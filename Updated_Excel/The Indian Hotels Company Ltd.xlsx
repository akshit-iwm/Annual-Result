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38CA0C8C-7769-436F-B332-D0E763C431DC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63" i="1" l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CL16" i="1"/>
  <c r="CL15" i="1"/>
  <c r="CL13" i="1"/>
  <c r="CL12" i="1"/>
  <c r="CL11" i="1"/>
  <c r="CL10" i="1"/>
  <c r="CL9" i="1"/>
  <c r="CL14" i="1"/>
  <c r="CL263" i="1"/>
  <c r="CK16" i="1"/>
  <c r="CK15" i="1"/>
  <c r="CK14" i="1"/>
  <c r="CK13" i="1"/>
  <c r="CK12" i="1"/>
  <c r="CK11" i="1"/>
  <c r="CK10" i="1"/>
  <c r="CK9" i="1"/>
  <c r="T18" i="1"/>
  <c r="CK18" i="1" l="1"/>
  <c r="CL18" i="1"/>
  <c r="Z16" i="1"/>
  <c r="Z15" i="1"/>
  <c r="Z14" i="1"/>
  <c r="Z13" i="1"/>
  <c r="Z12" i="1"/>
  <c r="Z11" i="1"/>
  <c r="Z10" i="1"/>
  <c r="Z9" i="1"/>
  <c r="Y16" i="1"/>
  <c r="Y15" i="1"/>
  <c r="Y14" i="1"/>
  <c r="Y13" i="1"/>
  <c r="Y12" i="1"/>
  <c r="Y11" i="1"/>
  <c r="Y10" i="1"/>
  <c r="Y9" i="1"/>
  <c r="X16" i="1"/>
  <c r="X15" i="1"/>
  <c r="X14" i="1"/>
  <c r="X13" i="1"/>
  <c r="X12" i="1"/>
  <c r="X11" i="1"/>
  <c r="X10" i="1"/>
  <c r="X9" i="1"/>
  <c r="X18" i="1" s="1"/>
  <c r="W16" i="1"/>
  <c r="W15" i="1"/>
  <c r="W14" i="1"/>
  <c r="W13" i="1"/>
  <c r="W12" i="1"/>
  <c r="W11" i="1"/>
  <c r="W10" i="1"/>
  <c r="W9" i="1"/>
  <c r="V16" i="1"/>
  <c r="V15" i="1"/>
  <c r="V14" i="1"/>
  <c r="V13" i="1"/>
  <c r="V12" i="1"/>
  <c r="V11" i="1"/>
  <c r="V10" i="1"/>
  <c r="V9" i="1"/>
  <c r="U16" i="1"/>
  <c r="U15" i="1"/>
  <c r="U14" i="1"/>
  <c r="U13" i="1"/>
  <c r="U12" i="1"/>
  <c r="U11" i="1"/>
  <c r="U10" i="1"/>
  <c r="U9" i="1"/>
  <c r="U18" i="1" s="1"/>
  <c r="T5" i="1"/>
  <c r="S5" i="1"/>
  <c r="R5" i="1"/>
  <c r="CJ16" i="1"/>
  <c r="CJ12" i="1"/>
  <c r="CJ14" i="1"/>
  <c r="CM14" i="1" s="1"/>
  <c r="CN14" i="1" s="1"/>
  <c r="CO14" i="1" s="1"/>
  <c r="CP14" i="1" s="1"/>
  <c r="CQ14" i="1" s="1"/>
  <c r="CR14" i="1" s="1"/>
  <c r="CS14" i="1" s="1"/>
  <c r="CT14" i="1" s="1"/>
  <c r="CJ11" i="1"/>
  <c r="CJ10" i="1"/>
  <c r="CJ13" i="1"/>
  <c r="CJ9" i="1"/>
  <c r="CJ18" i="1" s="1"/>
  <c r="CE5" i="1"/>
  <c r="CB5" i="1"/>
  <c r="BY5" i="1"/>
  <c r="BX5" i="1"/>
  <c r="BW5" i="1"/>
  <c r="BV5" i="1"/>
  <c r="W5" i="1" s="1"/>
  <c r="BU5" i="1"/>
  <c r="BT5" i="1"/>
  <c r="BS5" i="1"/>
  <c r="BR5" i="1"/>
  <c r="V5" i="1" s="1"/>
  <c r="BQ5" i="1"/>
  <c r="BP5" i="1"/>
  <c r="BO5" i="1"/>
  <c r="BN5" i="1"/>
  <c r="U5" i="1" s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60" i="1"/>
  <c r="AB33" i="1"/>
  <c r="AC33" i="1"/>
  <c r="AD33" i="1"/>
  <c r="AE33" i="1"/>
  <c r="AB46" i="1"/>
  <c r="AC46" i="1"/>
  <c r="AD46" i="1"/>
  <c r="AE46" i="1"/>
  <c r="AE45" i="1"/>
  <c r="AD45" i="1"/>
  <c r="AC45" i="1"/>
  <c r="AB45" i="1"/>
  <c r="AJ233" i="1"/>
  <c r="AE32" i="2"/>
  <c r="AC109" i="2"/>
  <c r="AD91" i="2"/>
  <c r="AC67" i="2"/>
  <c r="AF13" i="2"/>
  <c r="AD48" i="2"/>
  <c r="AB27" i="2"/>
  <c r="AA56" i="1" s="1"/>
  <c r="AD66" i="2"/>
  <c r="AC24" i="2"/>
  <c r="AC57" i="2"/>
  <c r="AC13" i="2"/>
  <c r="AD13" i="2"/>
  <c r="AE10" i="2"/>
  <c r="AB99" i="2"/>
  <c r="AF78" i="2"/>
  <c r="AF68" i="2"/>
  <c r="AF60" i="2"/>
  <c r="AB70" i="2"/>
  <c r="AC23" i="2"/>
  <c r="AD79" i="2"/>
  <c r="AD60" i="2"/>
  <c r="AD14" i="2"/>
  <c r="AE72" i="2"/>
  <c r="AC15" i="2"/>
  <c r="AD106" i="2"/>
  <c r="AB68" i="2"/>
  <c r="AA160" i="1" s="1"/>
  <c r="AF15" i="2"/>
  <c r="AF51" i="2"/>
  <c r="AE62" i="2"/>
  <c r="AB74" i="2"/>
  <c r="AC17" i="2"/>
  <c r="AF107" i="2"/>
  <c r="AD71" i="2"/>
  <c r="AF17" i="2"/>
  <c r="AF55" i="2"/>
  <c r="AC65" i="2"/>
  <c r="AB17" i="2"/>
  <c r="AA45" i="1" s="1"/>
  <c r="AE97" i="2"/>
  <c r="AE95" i="2"/>
  <c r="AE57" i="2"/>
  <c r="AD31" i="2"/>
  <c r="AC79" i="2"/>
  <c r="AF56" i="2"/>
  <c r="AF93" i="2"/>
  <c r="AD74" i="2"/>
  <c r="AF94" i="2"/>
  <c r="AF84" i="2"/>
  <c r="AD6" i="2"/>
  <c r="AD95" i="2"/>
  <c r="AF30" i="2"/>
  <c r="AE96" i="2"/>
  <c r="AB84" i="2"/>
  <c r="AE74" i="2"/>
  <c r="AC29" i="2"/>
  <c r="AE104" i="2"/>
  <c r="AD87" i="2"/>
  <c r="AB65" i="2"/>
  <c r="AB52" i="2"/>
  <c r="AA175" i="1" s="1"/>
  <c r="AF26" i="2"/>
  <c r="AD59" i="2"/>
  <c r="AD73" i="2"/>
  <c r="AF76" i="2"/>
  <c r="AD11" i="2"/>
  <c r="AB53" i="2"/>
  <c r="AF49" i="2"/>
  <c r="AB76" i="2"/>
  <c r="AA168" i="1" s="1"/>
  <c r="AA203" i="1" s="1"/>
  <c r="AF29" i="2"/>
  <c r="AD47" i="2"/>
  <c r="AF105" i="2"/>
  <c r="AE106" i="2"/>
  <c r="AD43" i="2"/>
  <c r="AC74" i="2"/>
  <c r="AD85" i="2"/>
  <c r="AC88" i="2"/>
  <c r="AF20" i="2"/>
  <c r="AE53" i="2"/>
  <c r="AC6" i="2"/>
  <c r="AF54" i="2"/>
  <c r="AE19" i="2"/>
  <c r="AC11" i="2"/>
  <c r="AF99" i="2"/>
  <c r="AC10" i="2"/>
  <c r="AF95" i="2"/>
  <c r="AE48" i="2"/>
  <c r="AE47" i="2"/>
  <c r="AB35" i="2"/>
  <c r="AA75" i="1" s="1"/>
  <c r="AC78" i="2"/>
  <c r="AE70" i="2"/>
  <c r="AC40" i="2"/>
  <c r="AC99" i="2"/>
  <c r="AE22" i="2"/>
  <c r="AF6" i="2"/>
  <c r="AC64" i="2"/>
  <c r="AC35" i="2"/>
  <c r="AD7" i="2"/>
  <c r="AF47" i="2"/>
  <c r="AD41" i="2"/>
  <c r="AC27" i="2"/>
  <c r="AF23" i="2"/>
  <c r="AB63" i="2"/>
  <c r="AA156" i="1" s="1"/>
  <c r="AB90" i="2"/>
  <c r="AF25" i="2"/>
  <c r="AF74" i="2"/>
  <c r="AE58" i="2"/>
  <c r="AE16" i="2"/>
  <c r="AD16" i="2"/>
  <c r="AB109" i="2"/>
  <c r="AB75" i="2"/>
  <c r="AA183" i="1" s="1"/>
  <c r="AD78" i="2"/>
  <c r="AF79" i="2"/>
  <c r="AB60" i="2"/>
  <c r="AD72" i="2"/>
  <c r="AE8" i="2"/>
  <c r="AE109" i="2"/>
  <c r="AD15" i="2"/>
  <c r="AE20" i="2"/>
  <c r="AE59" i="2"/>
  <c r="AB58" i="2"/>
  <c r="AF64" i="2"/>
  <c r="AF32" i="2"/>
  <c r="AC41" i="2"/>
  <c r="AF9" i="2"/>
  <c r="AD80" i="2"/>
  <c r="AD5" i="2"/>
  <c r="AF62" i="2"/>
  <c r="AC72" i="2"/>
  <c r="AC91" i="2"/>
  <c r="AF12" i="2"/>
  <c r="AC93" i="2"/>
  <c r="AB46" i="2"/>
  <c r="AD82" i="2"/>
  <c r="AC106" i="2"/>
  <c r="AE82" i="2"/>
  <c r="AB61" i="2"/>
  <c r="AD83" i="2"/>
  <c r="AE34" i="2"/>
  <c r="AB36" i="2"/>
  <c r="AC16" i="2"/>
  <c r="AC82" i="2"/>
  <c r="AB96" i="2"/>
  <c r="AE26" i="2"/>
  <c r="AC50" i="2"/>
  <c r="AD42" i="2"/>
  <c r="AE79" i="2"/>
  <c r="AB77" i="2"/>
  <c r="AA169" i="1" s="1"/>
  <c r="AA204" i="1" s="1"/>
  <c r="AD49" i="2"/>
  <c r="AD67" i="2"/>
  <c r="AC42" i="2"/>
  <c r="AF18" i="2"/>
  <c r="AB104" i="2"/>
  <c r="AF31" i="2"/>
  <c r="AB71" i="2"/>
  <c r="AA164" i="1" s="1"/>
  <c r="AE86" i="2"/>
  <c r="AB110" i="2"/>
  <c r="AA91" i="1" s="1"/>
  <c r="AC44" i="2"/>
  <c r="AD23" i="2"/>
  <c r="AD107" i="2"/>
  <c r="AF33" i="2"/>
  <c r="AB73" i="2"/>
  <c r="AA167" i="1" s="1"/>
  <c r="AD88" i="2"/>
  <c r="AB88" i="2"/>
  <c r="AD46" i="2"/>
  <c r="AB72" i="2"/>
  <c r="AA166" i="1" s="1"/>
  <c r="AE15" i="2"/>
  <c r="AF53" i="2"/>
  <c r="AE54" i="2"/>
  <c r="AF42" i="2"/>
  <c r="AB79" i="2"/>
  <c r="AA170" i="1" s="1"/>
  <c r="AC107" i="2"/>
  <c r="AE69" i="2"/>
  <c r="AC56" i="2"/>
  <c r="AD58" i="2"/>
  <c r="AC89" i="2"/>
  <c r="AF90" i="2"/>
  <c r="AD93" i="2"/>
  <c r="AE13" i="2"/>
  <c r="AE17" i="2"/>
  <c r="AB89" i="2"/>
  <c r="AB34" i="2"/>
  <c r="AE23" i="2"/>
  <c r="AE42" i="2"/>
  <c r="AB97" i="2"/>
  <c r="AC28" i="2"/>
  <c r="AF96" i="2"/>
  <c r="AF34" i="2"/>
  <c r="AB82" i="2"/>
  <c r="AF21" i="2"/>
  <c r="AC110" i="2"/>
  <c r="AF69" i="2"/>
  <c r="AB15" i="2"/>
  <c r="AA47" i="1" s="1"/>
  <c r="AC61" i="2"/>
  <c r="AF70" i="2"/>
  <c r="AD52" i="2"/>
  <c r="AC19" i="2"/>
  <c r="AD96" i="2"/>
  <c r="AD21" i="2"/>
  <c r="AC22" i="2"/>
  <c r="AC96" i="2"/>
  <c r="AB51" i="2"/>
  <c r="AA174" i="1" s="1"/>
  <c r="AF28" i="2"/>
  <c r="AD50" i="2"/>
  <c r="AB54" i="2"/>
  <c r="AA177" i="1" s="1"/>
  <c r="AA207" i="1" s="1"/>
  <c r="AD90" i="2"/>
  <c r="AB21" i="2"/>
  <c r="AB24" i="2"/>
  <c r="AB85" i="2"/>
  <c r="AA194" i="1" s="1"/>
  <c r="AC84" i="2"/>
  <c r="AE49" i="2"/>
  <c r="AB64" i="2"/>
  <c r="AA157" i="1" s="1"/>
  <c r="AC76" i="2"/>
  <c r="AB13" i="2"/>
  <c r="AA48" i="1" s="1"/>
  <c r="AC80" i="2"/>
  <c r="AD99" i="2"/>
  <c r="AD9" i="2"/>
  <c r="AE5" i="2"/>
  <c r="AE107" i="2"/>
  <c r="AB93" i="2"/>
  <c r="AA196" i="1" s="1"/>
  <c r="AE41" i="2"/>
  <c r="AC20" i="2"/>
  <c r="AC54" i="2"/>
  <c r="AE67" i="2"/>
  <c r="AF44" i="2"/>
  <c r="AB81" i="2"/>
  <c r="AC18" i="2"/>
  <c r="AC55" i="2"/>
  <c r="AE89" i="2"/>
  <c r="AF50" i="2"/>
  <c r="AE93" i="2"/>
  <c r="AE91" i="2"/>
  <c r="AF110" i="2"/>
  <c r="AD65" i="2"/>
  <c r="AC8" i="2"/>
  <c r="AD77" i="2"/>
  <c r="AF65" i="2"/>
  <c r="AE75" i="2"/>
  <c r="AE84" i="2"/>
  <c r="AC33" i="2"/>
  <c r="AB26" i="2"/>
  <c r="AC108" i="2"/>
  <c r="AF66" i="2"/>
  <c r="AF11" i="2"/>
  <c r="AF43" i="2"/>
  <c r="AE68" i="2"/>
  <c r="AB10" i="2"/>
  <c r="AD20" i="2"/>
  <c r="AF59" i="2"/>
  <c r="AC59" i="2"/>
  <c r="AB49" i="2"/>
  <c r="AA187" i="1" s="1"/>
  <c r="AC63" i="2"/>
  <c r="AB25" i="2"/>
  <c r="AA60" i="1" s="1"/>
  <c r="AF89" i="2"/>
  <c r="AD30" i="2"/>
  <c r="AB22" i="2"/>
  <c r="AF10" i="2"/>
  <c r="AF35" i="2"/>
  <c r="AE81" i="2"/>
  <c r="AF83" i="2"/>
  <c r="AD61" i="2"/>
  <c r="AE55" i="2"/>
  <c r="AE110" i="2"/>
  <c r="AE25" i="2"/>
  <c r="AE99" i="2"/>
  <c r="AF40" i="2"/>
  <c r="AB50" i="2"/>
  <c r="AA173" i="1" s="1"/>
  <c r="AC14" i="2"/>
  <c r="AF41" i="2"/>
  <c r="AC98" i="2"/>
  <c r="AC77" i="2"/>
  <c r="AE52" i="2"/>
  <c r="AC36" i="2"/>
  <c r="AE30" i="2"/>
  <c r="AD10" i="2"/>
  <c r="AD40" i="2"/>
  <c r="AC49" i="2"/>
  <c r="AC60" i="2"/>
  <c r="AC47" i="2"/>
  <c r="AB69" i="2"/>
  <c r="AC34" i="2"/>
  <c r="AC9" i="2"/>
  <c r="AD98" i="2"/>
  <c r="AE12" i="2"/>
  <c r="AB80" i="2"/>
  <c r="AA171" i="1" s="1"/>
  <c r="AB47" i="2"/>
  <c r="AA148" i="1" s="1"/>
  <c r="AF88" i="2"/>
  <c r="AF8" i="2"/>
  <c r="AC26" i="2"/>
  <c r="AC104" i="2"/>
  <c r="AB40" i="2"/>
  <c r="AD69" i="2"/>
  <c r="AF108" i="2"/>
  <c r="AD25" i="2"/>
  <c r="AE29" i="2"/>
  <c r="AF104" i="2"/>
  <c r="AB12" i="2"/>
  <c r="AA39" i="1" s="1"/>
  <c r="AD29" i="2"/>
  <c r="AB14" i="2"/>
  <c r="AA44" i="1" s="1"/>
  <c r="AE87" i="2"/>
  <c r="AB87" i="2"/>
  <c r="AA150" i="1" s="1"/>
  <c r="AD35" i="2"/>
  <c r="AD17" i="2"/>
  <c r="AF52" i="2"/>
  <c r="AB108" i="2"/>
  <c r="AA103" i="1" s="1"/>
  <c r="AB33" i="2"/>
  <c r="AA70" i="1" s="1"/>
  <c r="AB18" i="2"/>
  <c r="AA49" i="1" s="1"/>
  <c r="AB30" i="2"/>
  <c r="AA63" i="1" s="1"/>
  <c r="AD8" i="2"/>
  <c r="AE44" i="2"/>
  <c r="AE6" i="2"/>
  <c r="AC70" i="2"/>
  <c r="AE31" i="2"/>
  <c r="AB11" i="2"/>
  <c r="AA37" i="1" s="1"/>
  <c r="AB41" i="2"/>
  <c r="AA141" i="1" s="1"/>
  <c r="AA144" i="1" s="1"/>
  <c r="AD22" i="2"/>
  <c r="AB83" i="2"/>
  <c r="AA188" i="1" s="1"/>
  <c r="AD92" i="2"/>
  <c r="AF91" i="2"/>
  <c r="AE24" i="2"/>
  <c r="AD86" i="2"/>
  <c r="AF87" i="2"/>
  <c r="AC105" i="2"/>
  <c r="AF109" i="2"/>
  <c r="AC95" i="2"/>
  <c r="AC62" i="2"/>
  <c r="AF36" i="2"/>
  <c r="AD18" i="2"/>
  <c r="AD56" i="2"/>
  <c r="AE66" i="2"/>
  <c r="AF80" i="2"/>
  <c r="AB92" i="2"/>
  <c r="AE33" i="2"/>
  <c r="AE60" i="2"/>
  <c r="AC21" i="2"/>
  <c r="AD110" i="2"/>
  <c r="AE36" i="2"/>
  <c r="AC32" i="2"/>
  <c r="AD27" i="2"/>
  <c r="AE65" i="2"/>
  <c r="AF24" i="2"/>
  <c r="AC53" i="2"/>
  <c r="AB66" i="2"/>
  <c r="AB56" i="2"/>
  <c r="AA151" i="1" s="1"/>
  <c r="AD105" i="2"/>
  <c r="AD12" i="2"/>
  <c r="AD44" i="2"/>
  <c r="AE56" i="2"/>
  <c r="AC43" i="2"/>
  <c r="AE9" i="2"/>
  <c r="AF61" i="2"/>
  <c r="AB7" i="2"/>
  <c r="AA33" i="1" s="1"/>
  <c r="AE40" i="2"/>
  <c r="AF58" i="2"/>
  <c r="AB95" i="2"/>
  <c r="AA195" i="1" s="1"/>
  <c r="AD33" i="2"/>
  <c r="AC7" i="2"/>
  <c r="AB44" i="2"/>
  <c r="AE78" i="2"/>
  <c r="AF98" i="2"/>
  <c r="AC69" i="2"/>
  <c r="AB107" i="2"/>
  <c r="AA102" i="1" s="1"/>
  <c r="AE105" i="2"/>
  <c r="AD84" i="2"/>
  <c r="AB48" i="2"/>
  <c r="AA149" i="1" s="1"/>
  <c r="AE61" i="2"/>
  <c r="AF16" i="2"/>
  <c r="AC94" i="2"/>
  <c r="AE21" i="2"/>
  <c r="AD108" i="2"/>
  <c r="AD75" i="2"/>
  <c r="AD97" i="2"/>
  <c r="AD57" i="2"/>
  <c r="AF82" i="2"/>
  <c r="AD94" i="2"/>
  <c r="AC5" i="2"/>
  <c r="AC45" i="2"/>
  <c r="AD26" i="2"/>
  <c r="AD34" i="2"/>
  <c r="AF73" i="2"/>
  <c r="AE90" i="2"/>
  <c r="AE11" i="2"/>
  <c r="AE63" i="2"/>
  <c r="AE35" i="2"/>
  <c r="AB62" i="2"/>
  <c r="AA155" i="1" s="1"/>
  <c r="AA158" i="1" s="1"/>
  <c r="AA162" i="1" s="1"/>
  <c r="AC48" i="2"/>
  <c r="AD63" i="2"/>
  <c r="AB45" i="2"/>
  <c r="AA146" i="1" s="1"/>
  <c r="AE46" i="2"/>
  <c r="AE7" i="2"/>
  <c r="AF19" i="2"/>
  <c r="AB59" i="2"/>
  <c r="AE80" i="2"/>
  <c r="AB98" i="2"/>
  <c r="AD68" i="2"/>
  <c r="AC25" i="2"/>
  <c r="AD28" i="2"/>
  <c r="AF67" i="2"/>
  <c r="AC81" i="2"/>
  <c r="AB5" i="2"/>
  <c r="AC83" i="2"/>
  <c r="AF77" i="2"/>
  <c r="AB23" i="2"/>
  <c r="AA59" i="1" s="1"/>
  <c r="AD62" i="2"/>
  <c r="AC73" i="2"/>
  <c r="AD89" i="2"/>
  <c r="AE28" i="2"/>
  <c r="AC97" i="2"/>
  <c r="AF86" i="2"/>
  <c r="AD24" i="2"/>
  <c r="AF63" i="2"/>
  <c r="AC75" i="2"/>
  <c r="AF92" i="2"/>
  <c r="AC31" i="2"/>
  <c r="AE108" i="2"/>
  <c r="AE71" i="2"/>
  <c r="AB8" i="2"/>
  <c r="AB94" i="2"/>
  <c r="AB9" i="2"/>
  <c r="AB78" i="2"/>
  <c r="AA184" i="1" s="1"/>
  <c r="AE27" i="2"/>
  <c r="AC52" i="2"/>
  <c r="AD36" i="2"/>
  <c r="AF75" i="2"/>
  <c r="AE94" i="2"/>
  <c r="AF85" i="2"/>
  <c r="AC66" i="2"/>
  <c r="AC58" i="2"/>
  <c r="AE73" i="2"/>
  <c r="AE14" i="2"/>
  <c r="AF46" i="2"/>
  <c r="AC71" i="2"/>
  <c r="AF57" i="2"/>
  <c r="AB106" i="2"/>
  <c r="AA101" i="1" s="1"/>
  <c r="AB32" i="2"/>
  <c r="AA69" i="1" s="1"/>
  <c r="AD51" i="2"/>
  <c r="AE88" i="2"/>
  <c r="AE85" i="2"/>
  <c r="AB57" i="2"/>
  <c r="AA179" i="1" s="1"/>
  <c r="AF48" i="2"/>
  <c r="AB91" i="2"/>
  <c r="AE50" i="2"/>
  <c r="AE51" i="2"/>
  <c r="AF7" i="2"/>
  <c r="AC12" i="2"/>
  <c r="AE45" i="2"/>
  <c r="AD45" i="2"/>
  <c r="AF81" i="2"/>
  <c r="AF14" i="2"/>
  <c r="AE77" i="2"/>
  <c r="AD81" i="2"/>
  <c r="AE83" i="2"/>
  <c r="AC51" i="2"/>
  <c r="AB6" i="2"/>
  <c r="AA32" i="1" s="1"/>
  <c r="AB16" i="2"/>
  <c r="AD104" i="2"/>
  <c r="AF5" i="2"/>
  <c r="AB86" i="2"/>
  <c r="AA159" i="1" s="1"/>
  <c r="AF27" i="2"/>
  <c r="AB67" i="2"/>
  <c r="AA161" i="1" s="1"/>
  <c r="AE92" i="2"/>
  <c r="AD76" i="2"/>
  <c r="AB29" i="2"/>
  <c r="AA71" i="1" s="1"/>
  <c r="AE98" i="2"/>
  <c r="AB31" i="2"/>
  <c r="AD70" i="2"/>
  <c r="AC85" i="2"/>
  <c r="AD109" i="2"/>
  <c r="AE43" i="2"/>
  <c r="AB20" i="2"/>
  <c r="AF106" i="2"/>
  <c r="AD32" i="2"/>
  <c r="AF71" i="2"/>
  <c r="AC87" i="2"/>
  <c r="AC46" i="2"/>
  <c r="AB28" i="2"/>
  <c r="AB43" i="2"/>
  <c r="AA143" i="1" s="1"/>
  <c r="AC68" i="2"/>
  <c r="AE18" i="2"/>
  <c r="AE64" i="2"/>
  <c r="AE76" i="2"/>
  <c r="AD53" i="2"/>
  <c r="AC30" i="2"/>
  <c r="AF72" i="2"/>
  <c r="AC86" i="2"/>
  <c r="AD19" i="2"/>
  <c r="AB105" i="2"/>
  <c r="AF22" i="2"/>
  <c r="AB42" i="2"/>
  <c r="AA142" i="1" s="1"/>
  <c r="AB55" i="2"/>
  <c r="AC92" i="2"/>
  <c r="AD64" i="2"/>
  <c r="AF97" i="2"/>
  <c r="AF45" i="2"/>
  <c r="AD54" i="2"/>
  <c r="AD55" i="2"/>
  <c r="AC90" i="2"/>
  <c r="AB19" i="2"/>
  <c r="AA46" i="1" s="1"/>
  <c r="AB113" i="2"/>
  <c r="AA98" i="1" s="1"/>
  <c r="AB112" i="2"/>
  <c r="AA97" i="1" s="1"/>
  <c r="AB111" i="2"/>
  <c r="AF112" i="2"/>
  <c r="AF111" i="2"/>
  <c r="AA178" i="1" l="1"/>
  <c r="AA218" i="1"/>
  <c r="AA277" i="1"/>
  <c r="AA57" i="1"/>
  <c r="AA199" i="1"/>
  <c r="AA197" i="1"/>
  <c r="AA276" i="1"/>
  <c r="AA255" i="1"/>
  <c r="AA34" i="1"/>
  <c r="AA180" i="1"/>
  <c r="AA152" i="1"/>
  <c r="AA50" i="1"/>
  <c r="AA51" i="1" s="1"/>
  <c r="AA185" i="1"/>
  <c r="AA172" i="1"/>
  <c r="AA192" i="1"/>
  <c r="AA133" i="1" s="1"/>
  <c r="AA153" i="1"/>
  <c r="AA40" i="1"/>
  <c r="AA122" i="1"/>
  <c r="AA268" i="1"/>
  <c r="AD113" i="2"/>
  <c r="AD111" i="2"/>
  <c r="W18" i="1"/>
  <c r="V18" i="1"/>
  <c r="Z18" i="1"/>
  <c r="Y18" i="1"/>
  <c r="CG5" i="1"/>
  <c r="CI5" i="1"/>
  <c r="CF5" i="1"/>
  <c r="BZ5" i="1"/>
  <c r="X5" i="1" s="1"/>
  <c r="CM12" i="1"/>
  <c r="CN12" i="1" s="1"/>
  <c r="CO12" i="1" s="1"/>
  <c r="CP12" i="1" s="1"/>
  <c r="CQ12" i="1" s="1"/>
  <c r="CR12" i="1" s="1"/>
  <c r="CS12" i="1" s="1"/>
  <c r="CT12" i="1" s="1"/>
  <c r="CU12" i="1" s="1"/>
  <c r="CV12" i="1" s="1"/>
  <c r="CW12" i="1" s="1"/>
  <c r="CX12" i="1" s="1"/>
  <c r="AA12" i="1"/>
  <c r="CC5" i="1"/>
  <c r="AA14" i="1"/>
  <c r="CA5" i="1"/>
  <c r="CM13" i="1"/>
  <c r="CN13" i="1" s="1"/>
  <c r="CO13" i="1" s="1"/>
  <c r="CP13" i="1" s="1"/>
  <c r="AA13" i="1"/>
  <c r="CM16" i="1"/>
  <c r="CN16" i="1" s="1"/>
  <c r="CO16" i="1" s="1"/>
  <c r="CP16" i="1" s="1"/>
  <c r="AA16" i="1"/>
  <c r="CM11" i="1"/>
  <c r="CN11" i="1" s="1"/>
  <c r="CO11" i="1" s="1"/>
  <c r="CP11" i="1" s="1"/>
  <c r="AA11" i="1"/>
  <c r="CM15" i="1"/>
  <c r="CN15" i="1" s="1"/>
  <c r="CO15" i="1" s="1"/>
  <c r="CP15" i="1" s="1"/>
  <c r="AA15" i="1"/>
  <c r="CM10" i="1"/>
  <c r="CN10" i="1" s="1"/>
  <c r="CO10" i="1" s="1"/>
  <c r="CP10" i="1" s="1"/>
  <c r="AA10" i="1"/>
  <c r="CU14" i="1"/>
  <c r="CV14" i="1" s="1"/>
  <c r="CW14" i="1" s="1"/>
  <c r="CX14" i="1" s="1"/>
  <c r="AC14" i="1"/>
  <c r="AB14" i="1"/>
  <c r="B1" i="9"/>
  <c r="AF113" i="2"/>
  <c r="AE113" i="2"/>
  <c r="A1" i="9"/>
  <c r="AC113" i="2"/>
  <c r="AC112" i="2"/>
  <c r="AC111" i="2"/>
  <c r="AE112" i="2"/>
  <c r="L1" i="9"/>
  <c r="AE111" i="2"/>
  <c r="AD112" i="2"/>
  <c r="AA272" i="1" l="1"/>
  <c r="AA270" i="1"/>
  <c r="AA209" i="1"/>
  <c r="AA208" i="1" s="1"/>
  <c r="AA181" i="1"/>
  <c r="AA189" i="1"/>
  <c r="AA190" i="1" s="1"/>
  <c r="AA206" i="1"/>
  <c r="AA205" i="1" s="1"/>
  <c r="AA61" i="1"/>
  <c r="AA41" i="1"/>
  <c r="AA52" i="1"/>
  <c r="AA210" i="1"/>
  <c r="CK5" i="1"/>
  <c r="CJ5" i="1"/>
  <c r="CH5" i="1"/>
  <c r="Z5" i="1" s="1"/>
  <c r="AC12" i="1"/>
  <c r="CD5" i="1"/>
  <c r="Y5" i="1" s="1"/>
  <c r="AB12" i="1"/>
  <c r="CQ11" i="1"/>
  <c r="CR11" i="1" s="1"/>
  <c r="CS11" i="1" s="1"/>
  <c r="CT11" i="1" s="1"/>
  <c r="AB11" i="1"/>
  <c r="CQ10" i="1"/>
  <c r="CR10" i="1" s="1"/>
  <c r="CS10" i="1" s="1"/>
  <c r="CT10" i="1" s="1"/>
  <c r="AB10" i="1"/>
  <c r="CQ15" i="1"/>
  <c r="CR15" i="1" s="1"/>
  <c r="CS15" i="1" s="1"/>
  <c r="CT15" i="1" s="1"/>
  <c r="AB15" i="1"/>
  <c r="CY14" i="1"/>
  <c r="CZ14" i="1" s="1"/>
  <c r="DA14" i="1" s="1"/>
  <c r="DB14" i="1" s="1"/>
  <c r="AE14" i="1" s="1"/>
  <c r="AD14" i="1"/>
  <c r="CM9" i="1"/>
  <c r="CM18" i="1" s="1"/>
  <c r="AA9" i="1"/>
  <c r="AA18" i="1" s="1"/>
  <c r="CY12" i="1"/>
  <c r="CZ12" i="1" s="1"/>
  <c r="DA12" i="1" s="1"/>
  <c r="DB12" i="1" s="1"/>
  <c r="AE12" i="1" s="1"/>
  <c r="AD12" i="1"/>
  <c r="CQ16" i="1"/>
  <c r="CR16" i="1" s="1"/>
  <c r="CS16" i="1" s="1"/>
  <c r="CT16" i="1" s="1"/>
  <c r="AB16" i="1"/>
  <c r="CQ13" i="1"/>
  <c r="CR13" i="1" s="1"/>
  <c r="CS13" i="1" s="1"/>
  <c r="CT13" i="1" s="1"/>
  <c r="AB13" i="1"/>
  <c r="DB263" i="1"/>
  <c r="DA263" i="1"/>
  <c r="CZ263" i="1"/>
  <c r="CY263" i="1"/>
  <c r="CX263" i="1"/>
  <c r="CW263" i="1"/>
  <c r="CV263" i="1"/>
  <c r="CU263" i="1"/>
  <c r="CT263" i="1"/>
  <c r="CS263" i="1"/>
  <c r="CR263" i="1"/>
  <c r="CQ263" i="1"/>
  <c r="CP263" i="1"/>
  <c r="CO263" i="1"/>
  <c r="CN263" i="1"/>
  <c r="CM263" i="1"/>
  <c r="CK263" i="1"/>
  <c r="CK160" i="1"/>
  <c r="CM160" i="1" s="1"/>
  <c r="CN160" i="1" s="1"/>
  <c r="CO160" i="1" s="1"/>
  <c r="CP160" i="1" s="1"/>
  <c r="CQ160" i="1" s="1"/>
  <c r="CR160" i="1" s="1"/>
  <c r="CS160" i="1" s="1"/>
  <c r="CT160" i="1" s="1"/>
  <c r="CU160" i="1" s="1"/>
  <c r="CV160" i="1" s="1"/>
  <c r="CW160" i="1" s="1"/>
  <c r="CX160" i="1" s="1"/>
  <c r="CY160" i="1" s="1"/>
  <c r="CZ160" i="1" s="1"/>
  <c r="DA160" i="1" s="1"/>
  <c r="DB160" i="1" s="1"/>
  <c r="CH176" i="1"/>
  <c r="CJ263" i="1"/>
  <c r="Z263" i="1"/>
  <c r="AA58" i="1" l="1"/>
  <c r="AA53" i="1"/>
  <c r="AA136" i="1"/>
  <c r="AA256" i="1"/>
  <c r="AA257" i="1" s="1"/>
  <c r="CU10" i="1"/>
  <c r="CV10" i="1" s="1"/>
  <c r="CW10" i="1" s="1"/>
  <c r="CX10" i="1" s="1"/>
  <c r="AC10" i="1"/>
  <c r="CU13" i="1"/>
  <c r="CV13" i="1" s="1"/>
  <c r="CW13" i="1" s="1"/>
  <c r="CX13" i="1" s="1"/>
  <c r="AC13" i="1"/>
  <c r="CU16" i="1"/>
  <c r="CV16" i="1" s="1"/>
  <c r="CW16" i="1" s="1"/>
  <c r="CX16" i="1" s="1"/>
  <c r="AC16" i="1"/>
  <c r="CU15" i="1"/>
  <c r="CV15" i="1" s="1"/>
  <c r="CW15" i="1" s="1"/>
  <c r="CX15" i="1" s="1"/>
  <c r="AC15" i="1"/>
  <c r="CN9" i="1"/>
  <c r="CN18" i="1" s="1"/>
  <c r="CU11" i="1"/>
  <c r="CV11" i="1" s="1"/>
  <c r="CW11" i="1" s="1"/>
  <c r="CX11" i="1" s="1"/>
  <c r="AC11" i="1"/>
  <c r="CI263" i="1"/>
  <c r="CG160" i="1"/>
  <c r="CG263" i="1"/>
  <c r="CH263" i="1"/>
  <c r="AB37" i="1"/>
  <c r="AC37" i="1"/>
  <c r="AD37" i="1"/>
  <c r="AE37" i="1"/>
  <c r="AB38" i="1"/>
  <c r="AC38" i="1"/>
  <c r="AD38" i="1"/>
  <c r="AE38" i="1"/>
  <c r="AB48" i="1"/>
  <c r="AC48" i="1"/>
  <c r="AD48" i="1"/>
  <c r="AE48" i="1"/>
  <c r="AB49" i="1"/>
  <c r="AC49" i="1"/>
  <c r="AD49" i="1"/>
  <c r="AE49" i="1"/>
  <c r="AB71" i="1"/>
  <c r="AC71" i="1"/>
  <c r="AD71" i="1"/>
  <c r="AE71" i="1"/>
  <c r="AB183" i="1"/>
  <c r="AC183" i="1"/>
  <c r="AD183" i="1"/>
  <c r="AE183" i="1"/>
  <c r="AB197" i="1"/>
  <c r="AC197" i="1"/>
  <c r="AD197" i="1"/>
  <c r="AE197" i="1"/>
  <c r="CE160" i="1"/>
  <c r="CE263" i="1"/>
  <c r="CF263" i="1"/>
  <c r="AI221" i="1"/>
  <c r="AI226" i="1"/>
  <c r="AI230" i="1"/>
  <c r="AI233" i="1"/>
  <c r="AI263" i="1"/>
  <c r="Y263" i="1"/>
  <c r="AM160" i="1"/>
  <c r="AO160" i="1"/>
  <c r="AQ160" i="1"/>
  <c r="AS160" i="1"/>
  <c r="AU160" i="1"/>
  <c r="AW160" i="1"/>
  <c r="AY160" i="1"/>
  <c r="BA160" i="1"/>
  <c r="BC160" i="1"/>
  <c r="BE160" i="1"/>
  <c r="BG160" i="1"/>
  <c r="BI160" i="1"/>
  <c r="BK160" i="1"/>
  <c r="BM160" i="1"/>
  <c r="BO160" i="1"/>
  <c r="BQ160" i="1"/>
  <c r="BS160" i="1"/>
  <c r="BU160" i="1"/>
  <c r="BW160" i="1"/>
  <c r="BY160" i="1"/>
  <c r="CA160" i="1"/>
  <c r="CC160" i="1"/>
  <c r="CD263" i="1"/>
  <c r="CC263" i="1"/>
  <c r="AJ263" i="1"/>
  <c r="AK263" i="1"/>
  <c r="AL263" i="1"/>
  <c r="CB263" i="1"/>
  <c r="CA263" i="1"/>
  <c r="BZ263" i="1"/>
  <c r="BY263" i="1"/>
  <c r="BX263" i="1"/>
  <c r="BW263" i="1"/>
  <c r="BV263" i="1"/>
  <c r="BU263" i="1"/>
  <c r="BT263" i="1"/>
  <c r="BS263" i="1"/>
  <c r="BR263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62" i="1" l="1"/>
  <c r="AA79" i="1"/>
  <c r="CM5" i="1"/>
  <c r="CL5" i="1"/>
  <c r="AA5" i="1" s="1"/>
  <c r="CY16" i="1"/>
  <c r="CZ16" i="1" s="1"/>
  <c r="DA16" i="1" s="1"/>
  <c r="DB16" i="1" s="1"/>
  <c r="AE16" i="1" s="1"/>
  <c r="AD16" i="1"/>
  <c r="CY15" i="1"/>
  <c r="CZ15" i="1" s="1"/>
  <c r="DA15" i="1" s="1"/>
  <c r="DB15" i="1" s="1"/>
  <c r="AE15" i="1" s="1"/>
  <c r="AD15" i="1"/>
  <c r="CY10" i="1"/>
  <c r="CZ10" i="1" s="1"/>
  <c r="DA10" i="1" s="1"/>
  <c r="DB10" i="1" s="1"/>
  <c r="AE10" i="1" s="1"/>
  <c r="AD10" i="1"/>
  <c r="CY11" i="1"/>
  <c r="CZ11" i="1" s="1"/>
  <c r="DA11" i="1" s="1"/>
  <c r="DB11" i="1" s="1"/>
  <c r="AE11" i="1" s="1"/>
  <c r="AD11" i="1"/>
  <c r="CY13" i="1"/>
  <c r="CZ13" i="1" s="1"/>
  <c r="DA13" i="1" s="1"/>
  <c r="DB13" i="1" s="1"/>
  <c r="AE13" i="1" s="1"/>
  <c r="AD13" i="1"/>
  <c r="CO9" i="1"/>
  <c r="CO18" i="1" s="1"/>
  <c r="CN5" i="1"/>
  <c r="Y1" i="1"/>
  <c r="Z1" i="1" s="1"/>
  <c r="AA64" i="1" l="1"/>
  <c r="AA65" i="1"/>
  <c r="CP9" i="1"/>
  <c r="CP18" i="1" s="1"/>
  <c r="AA1" i="1"/>
  <c r="AB1" i="1" s="1"/>
  <c r="AC1" i="1" s="1"/>
  <c r="AD1" i="1" s="1"/>
  <c r="AE1" i="1" s="1"/>
  <c r="AA66" i="1" l="1"/>
  <c r="AA269" i="1" s="1"/>
  <c r="AA72" i="1"/>
  <c r="AA258" i="1"/>
  <c r="CO5" i="1"/>
  <c r="CQ9" i="1"/>
  <c r="CQ18" i="1" s="1"/>
  <c r="AB9" i="1"/>
  <c r="AB18" i="1" s="1"/>
  <c r="A1" i="3"/>
  <c r="AA76" i="1" l="1"/>
  <c r="AA78" i="1"/>
  <c r="AA217" i="1"/>
  <c r="AA219" i="1" s="1"/>
  <c r="CR9" i="1"/>
  <c r="CR18" i="1" s="1"/>
  <c r="A1" i="6"/>
  <c r="A1" i="4"/>
  <c r="CQ5" i="1" l="1"/>
  <c r="CP5" i="1"/>
  <c r="AB5" i="1" s="1"/>
  <c r="CS9" i="1"/>
  <c r="CS18" i="1" s="1"/>
  <c r="BK26" i="3"/>
  <c r="BS11" i="3"/>
  <c r="BP25" i="3"/>
  <c r="BN10" i="3"/>
  <c r="BH29" i="3"/>
  <c r="Y44" i="2"/>
  <c r="AA96" i="2"/>
  <c r="BD40" i="3"/>
  <c r="BT26" i="3"/>
  <c r="BV10" i="3"/>
  <c r="BR40" i="3"/>
  <c r="BN30" i="3"/>
  <c r="BK33" i="3"/>
  <c r="BE18" i="3"/>
  <c r="BC12" i="3"/>
  <c r="Z35" i="2"/>
  <c r="Z56" i="2"/>
  <c r="EZ9" i="4" a="1"/>
  <c r="BV29" i="3"/>
  <c r="BQ22" i="3"/>
  <c r="BG31" i="3"/>
  <c r="BS38" i="3"/>
  <c r="BE13" i="3"/>
  <c r="BF24" i="3"/>
  <c r="AA17" i="2"/>
  <c r="AA86" i="2"/>
  <c r="Z105" i="2"/>
  <c r="Y53" i="2"/>
  <c r="AA82" i="2"/>
  <c r="BS13" i="3"/>
  <c r="BM31" i="3"/>
  <c r="BO13" i="3"/>
  <c r="BT20" i="3"/>
  <c r="BL21" i="3"/>
  <c r="BG37" i="3"/>
  <c r="BB37" i="3"/>
  <c r="BA10" i="3"/>
  <c r="BQ17" i="3"/>
  <c r="BV6" i="3"/>
  <c r="BR30" i="3"/>
  <c r="BL36" i="3"/>
  <c r="BH20" i="3"/>
  <c r="BN13" i="3"/>
  <c r="Z72" i="2"/>
  <c r="BB19" i="3"/>
  <c r="BD25" i="3"/>
  <c r="FB13" i="4" a="1"/>
  <c r="BR7" i="3"/>
  <c r="BU30" i="3"/>
  <c r="BN32" i="3"/>
  <c r="BP10" i="3"/>
  <c r="BM19" i="3"/>
  <c r="BP40" i="3"/>
  <c r="Z30" i="2"/>
  <c r="Z86" i="2"/>
  <c r="Y48" i="2"/>
  <c r="FC7" i="4" a="1"/>
  <c r="BQ37" i="3"/>
  <c r="BF21" i="3"/>
  <c r="CL46" i="1" s="1"/>
  <c r="BE21" i="3"/>
  <c r="Y21" i="2"/>
  <c r="BB26" i="3"/>
  <c r="BC14" i="3"/>
  <c r="BT11" i="3"/>
  <c r="BJ5" i="3"/>
  <c r="BD11" i="3"/>
  <c r="FD12" i="4" a="1"/>
  <c r="BD45" i="3"/>
  <c r="Z12" i="2"/>
  <c r="Z14" i="2"/>
  <c r="BH21" i="3"/>
  <c r="BV25" i="3"/>
  <c r="BI18" i="3"/>
  <c r="BC11" i="3"/>
  <c r="V6" i="2"/>
  <c r="AA95" i="2"/>
  <c r="BR26" i="3"/>
  <c r="BK21" i="3"/>
  <c r="BA22" i="3"/>
  <c r="AA73" i="2"/>
  <c r="BB28" i="3"/>
  <c r="BT29" i="3"/>
  <c r="BI15" i="3"/>
  <c r="Y104" i="2"/>
  <c r="BL38" i="3"/>
  <c r="BC25" i="3"/>
  <c r="BU14" i="3"/>
  <c r="BT46" i="3"/>
  <c r="BH13" i="3"/>
  <c r="Z85" i="2"/>
  <c r="FE15" i="4" a="1"/>
  <c r="BD30" i="3"/>
  <c r="BN5" i="3"/>
  <c r="BS17" i="3"/>
  <c r="BP35" i="3"/>
  <c r="BF30" i="3"/>
  <c r="Y13" i="2"/>
  <c r="AA8" i="2"/>
  <c r="Y84" i="2"/>
  <c r="Z41" i="2"/>
  <c r="BK13" i="3"/>
  <c r="BS40" i="3"/>
  <c r="BO6" i="3"/>
  <c r="BT12" i="3"/>
  <c r="BN8" i="3"/>
  <c r="BI34" i="3"/>
  <c r="AA87" i="2"/>
  <c r="Z90" i="2"/>
  <c r="BD27" i="3"/>
  <c r="FE16" i="4" a="1"/>
  <c r="BS7" i="3"/>
  <c r="BQ28" i="3"/>
  <c r="BN38" i="3"/>
  <c r="BT33" i="3"/>
  <c r="BM17" i="3"/>
  <c r="BT9" i="3"/>
  <c r="Y46" i="2"/>
  <c r="AA63" i="2"/>
  <c r="BA8" i="3"/>
  <c r="FC14" i="4" a="1"/>
  <c r="Z83" i="2"/>
  <c r="BM34" i="3"/>
  <c r="BL10" i="3"/>
  <c r="BO19" i="3"/>
  <c r="BP21" i="3"/>
  <c r="BL15" i="3"/>
  <c r="BH45" i="3"/>
  <c r="Z20" i="2"/>
  <c r="BC5" i="3"/>
  <c r="BQ23" i="3"/>
  <c r="BV12" i="3"/>
  <c r="BR36" i="3"/>
  <c r="BE16" i="3"/>
  <c r="BJ39" i="3"/>
  <c r="BL30" i="3"/>
  <c r="BA17" i="3"/>
  <c r="BA5" i="3"/>
  <c r="BA23" i="3"/>
  <c r="EY12" i="4" a="1"/>
  <c r="BR13" i="3"/>
  <c r="BU36" i="3"/>
  <c r="BR19" i="3"/>
  <c r="BG34" i="3"/>
  <c r="BK24" i="3"/>
  <c r="BG40" i="3"/>
  <c r="AA94" i="2"/>
  <c r="BD10" i="3"/>
  <c r="Z16" i="2"/>
  <c r="FF11" i="4" a="1"/>
  <c r="BQ45" i="3"/>
  <c r="BM42" i="3"/>
  <c r="BH8" i="3"/>
  <c r="Z62" i="2"/>
  <c r="Z32" i="2"/>
  <c r="Z6" i="2"/>
  <c r="BH14" i="3"/>
  <c r="BF39" i="3"/>
  <c r="BD19" i="3"/>
  <c r="EZ15" i="4" a="1"/>
  <c r="Z18" i="2"/>
  <c r="Z92" i="2"/>
  <c r="Y16" i="2"/>
  <c r="BT8" i="3"/>
  <c r="BV38" i="3"/>
  <c r="BL29" i="3"/>
  <c r="Z40" i="2"/>
  <c r="BD36" i="3"/>
  <c r="FA5" i="4" a="1"/>
  <c r="BR39" i="3"/>
  <c r="BJ42" i="3"/>
  <c r="BJ25" i="3"/>
  <c r="BS23" i="3"/>
  <c r="BI7" i="3"/>
  <c r="BN12" i="3"/>
  <c r="AA19" i="2"/>
  <c r="Z44" i="2"/>
  <c r="AA34" i="2"/>
  <c r="BB40" i="3"/>
  <c r="BJ10" i="3"/>
  <c r="BG28" i="3"/>
  <c r="BO12" i="3"/>
  <c r="BP33" i="3"/>
  <c r="BJ12" i="3"/>
  <c r="BL35" i="3"/>
  <c r="AA66" i="2"/>
  <c r="Y45" i="2"/>
  <c r="BC35" i="3"/>
  <c r="AA88" i="2"/>
  <c r="BS19" i="3"/>
  <c r="BQ34" i="3"/>
  <c r="BV16" i="3"/>
  <c r="BG26" i="3"/>
  <c r="BK22" i="3"/>
  <c r="BP14" i="3"/>
  <c r="Y23" i="2"/>
  <c r="Y71" i="2"/>
  <c r="BA33" i="3"/>
  <c r="FA7" i="4" a="1"/>
  <c r="BC33" i="3"/>
  <c r="BU10" i="3"/>
  <c r="BH30" i="3"/>
  <c r="BO25" i="3"/>
  <c r="BP29" i="3"/>
  <c r="BN34" i="3"/>
  <c r="AA40" i="2"/>
  <c r="Y19" i="2"/>
  <c r="Y52" i="2"/>
  <c r="BQ29" i="3"/>
  <c r="BO46" i="3"/>
  <c r="BR42" i="3"/>
  <c r="BE36" i="3"/>
  <c r="BE20" i="3"/>
  <c r="BK7" i="3"/>
  <c r="BC41" i="3"/>
  <c r="AA28" i="2"/>
  <c r="BD17" i="3"/>
  <c r="EX6" i="4" a="1"/>
  <c r="BT5" i="3"/>
  <c r="BU42" i="3"/>
  <c r="BR25" i="3"/>
  <c r="BN15" i="3"/>
  <c r="BK46" i="3"/>
  <c r="BF17" i="3"/>
  <c r="CL45" i="1" s="1"/>
  <c r="BB24" i="3"/>
  <c r="BB5" i="3"/>
  <c r="BB31" i="3"/>
  <c r="FA16" i="4" a="1"/>
  <c r="BR8" i="3"/>
  <c r="BR21" i="3"/>
  <c r="BE8" i="3"/>
  <c r="BA26" i="3"/>
  <c r="BC30" i="3"/>
  <c r="AA99" i="2"/>
  <c r="BM22" i="3"/>
  <c r="BK31" i="3"/>
  <c r="AA5" i="2"/>
  <c r="FC11" i="4" a="1"/>
  <c r="AA84" i="2"/>
  <c r="X6" i="2"/>
  <c r="BD28" i="3"/>
  <c r="BJ34" i="3"/>
  <c r="BS14" i="3"/>
  <c r="BJ36" i="3"/>
  <c r="AA91" i="2"/>
  <c r="Z81" i="2"/>
  <c r="Z52" i="2"/>
  <c r="BS15" i="3"/>
  <c r="BL39" i="3"/>
  <c r="BB29" i="3"/>
  <c r="Y56" i="2"/>
  <c r="FC13" i="4" a="1"/>
  <c r="BH39" i="3"/>
  <c r="BL24" i="3"/>
  <c r="Y35" i="2"/>
  <c r="BN27" i="3"/>
  <c r="BC6" i="3"/>
  <c r="BT35" i="3"/>
  <c r="BM15" i="3"/>
  <c r="Y36" i="2"/>
  <c r="Y74" i="2"/>
  <c r="BU45" i="3"/>
  <c r="AA22" i="2"/>
  <c r="BQ46" i="3"/>
  <c r="BE7" i="3"/>
  <c r="Y60" i="2"/>
  <c r="Z98" i="2"/>
  <c r="BU20" i="3"/>
  <c r="BP37" i="3"/>
  <c r="BH7" i="3"/>
  <c r="BV19" i="3"/>
  <c r="BF41" i="3"/>
  <c r="BD32" i="3"/>
  <c r="BB35" i="3"/>
  <c r="BE38" i="3"/>
  <c r="BF5" i="3"/>
  <c r="Y99" i="2"/>
  <c r="BA7" i="3"/>
  <c r="BK45" i="3"/>
  <c r="AA71" i="2"/>
  <c r="Z84" i="2"/>
  <c r="AA52" i="2"/>
  <c r="BB7" i="3"/>
  <c r="BD14" i="3"/>
  <c r="Z36" i="2"/>
  <c r="BO28" i="3"/>
  <c r="BL9" i="3"/>
  <c r="Z91" i="2"/>
  <c r="Z106" i="2"/>
  <c r="BO10" i="3"/>
  <c r="BS28" i="3"/>
  <c r="BJ22" i="3"/>
  <c r="EZ13" i="4" a="1"/>
  <c r="BV20" i="3"/>
  <c r="BV26" i="3"/>
  <c r="BM24" i="3"/>
  <c r="BH11" i="3"/>
  <c r="BV36" i="3"/>
  <c r="BQ9" i="3"/>
  <c r="BG7" i="3"/>
  <c r="BS29" i="3"/>
  <c r="BG12" i="3"/>
  <c r="BM46" i="3"/>
  <c r="AA77" i="2"/>
  <c r="Z79" i="2"/>
  <c r="BA14" i="3"/>
  <c r="FD14" i="4" a="1"/>
  <c r="BV35" i="3"/>
  <c r="BJ7" i="3"/>
  <c r="BO18" i="3"/>
  <c r="BP45" i="3"/>
  <c r="BL31" i="3"/>
  <c r="Y83" i="2"/>
  <c r="AA30" i="2"/>
  <c r="Y81" i="2"/>
  <c r="Y41" i="2"/>
  <c r="AA13" i="2"/>
  <c r="BS25" i="3"/>
  <c r="BQ40" i="3"/>
  <c r="BV22" i="3"/>
  <c r="BN7" i="3"/>
  <c r="BK36" i="3"/>
  <c r="BI33" i="3"/>
  <c r="AA105" i="2"/>
  <c r="BC28" i="3"/>
  <c r="Z65" i="2"/>
  <c r="EX13" i="4" a="1"/>
  <c r="BD5" i="3"/>
  <c r="BD90" i="3" s="1"/>
  <c r="BU16" i="3"/>
  <c r="BE12" i="3"/>
  <c r="BO31" i="3"/>
  <c r="BK8" i="3"/>
  <c r="BF32" i="3"/>
  <c r="Y94" i="2"/>
  <c r="Z5" i="2"/>
  <c r="Z93" i="2"/>
  <c r="BQ35" i="3"/>
  <c r="BT34" i="3"/>
  <c r="BO8" i="3"/>
  <c r="BF12" i="3"/>
  <c r="CL38" i="1" s="1"/>
  <c r="BI40" i="3"/>
  <c r="BK23" i="3"/>
  <c r="BA29" i="3"/>
  <c r="Z59" i="2"/>
  <c r="AA49" i="2"/>
  <c r="FE11" i="4" a="1"/>
  <c r="BP12" i="3"/>
  <c r="BV7" i="3"/>
  <c r="BR31" i="3"/>
  <c r="BH40" i="3"/>
  <c r="BJ23" i="3"/>
  <c r="BN33" i="3"/>
  <c r="BD26" i="3"/>
  <c r="BB21" i="3"/>
  <c r="BD12" i="3"/>
  <c r="FF6" i="4" a="1"/>
  <c r="BS35" i="3"/>
  <c r="BV37" i="3"/>
  <c r="BL27" i="3"/>
  <c r="BC10" i="3"/>
  <c r="Z34" i="2"/>
  <c r="BQ8" i="3"/>
  <c r="BP27" i="3"/>
  <c r="BB10" i="3"/>
  <c r="BD21" i="3"/>
  <c r="BJ45" i="3"/>
  <c r="BI25" i="3"/>
  <c r="Z22" i="2"/>
  <c r="BC23" i="3"/>
  <c r="BQ15" i="3"/>
  <c r="BG27" i="3"/>
  <c r="BO36" i="3"/>
  <c r="BE17" i="3"/>
  <c r="BG45" i="3"/>
  <c r="Y10" i="2"/>
  <c r="Z19" i="2"/>
  <c r="BC9" i="3"/>
  <c r="EX11" i="4" a="1"/>
  <c r="BV41" i="3"/>
  <c r="BL26" i="3"/>
  <c r="BO24" i="3"/>
  <c r="BM7" i="3"/>
  <c r="BH19" i="3"/>
  <c r="Y88" i="2"/>
  <c r="Y62" i="2"/>
  <c r="AA21" i="2"/>
  <c r="AA57" i="2"/>
  <c r="AV10" i="3"/>
  <c r="BS31" i="3"/>
  <c r="BR5" i="3"/>
  <c r="BV28" i="3"/>
  <c r="BF31" i="3"/>
  <c r="BF15" i="3"/>
  <c r="CL48" i="1" s="1"/>
  <c r="BN9" i="3"/>
  <c r="Z64" i="2"/>
  <c r="BC7" i="3"/>
  <c r="BD16" i="3"/>
  <c r="FC16" i="4" a="1"/>
  <c r="EX5" i="4" a="1"/>
  <c r="BU22" i="3"/>
  <c r="BM32" i="3"/>
  <c r="BS39" i="3"/>
  <c r="BI13" i="3"/>
  <c r="BN36" i="3"/>
  <c r="Z48" i="2"/>
  <c r="AA50" i="2"/>
  <c r="Z17" i="2"/>
  <c r="BQ41" i="3"/>
  <c r="BM33" i="3"/>
  <c r="BO14" i="3"/>
  <c r="BT28" i="3"/>
  <c r="BF36" i="3"/>
  <c r="BE40" i="3"/>
  <c r="BB38" i="3"/>
  <c r="AA85" i="2"/>
  <c r="BB23" i="3"/>
  <c r="FD5" i="4" a="1"/>
  <c r="BI35" i="3"/>
  <c r="BV13" i="3"/>
  <c r="BR37" i="3"/>
  <c r="BM18" i="3"/>
  <c r="BL42" i="3"/>
  <c r="BM10" i="3"/>
  <c r="BC32" i="3"/>
  <c r="AA56" i="2"/>
  <c r="BA18" i="3"/>
  <c r="FB11" i="4" a="1"/>
  <c r="BT15" i="3"/>
  <c r="BS10" i="3"/>
  <c r="BN26" i="3"/>
  <c r="AA106" i="2"/>
  <c r="Y89" i="2"/>
  <c r="BQ32" i="3"/>
  <c r="BM11" i="3"/>
  <c r="AA110" i="2"/>
  <c r="Z99" i="2"/>
  <c r="Y70" i="2"/>
  <c r="BB12" i="3"/>
  <c r="Y97" i="2"/>
  <c r="BC24" i="3"/>
  <c r="BA6" i="3"/>
  <c r="BT17" i="3"/>
  <c r="BP26" i="3"/>
  <c r="BC19" i="3"/>
  <c r="BB42" i="3"/>
  <c r="BK17" i="3"/>
  <c r="BT38" i="3"/>
  <c r="BP34" i="3"/>
  <c r="AA81" i="2"/>
  <c r="BB11" i="3"/>
  <c r="BI39" i="3"/>
  <c r="BV42" i="3"/>
  <c r="BJ29" i="3"/>
  <c r="BD29" i="3"/>
  <c r="BL20" i="3"/>
  <c r="BS46" i="3"/>
  <c r="BR14" i="3"/>
  <c r="BN25" i="3"/>
  <c r="BC38" i="3"/>
  <c r="BA11" i="3"/>
  <c r="BM20" i="3"/>
  <c r="AA26" i="2"/>
  <c r="BI22" i="3"/>
  <c r="BK28" i="3"/>
  <c r="AA90" i="2"/>
  <c r="AA27" i="2"/>
  <c r="BP46" i="3"/>
  <c r="BK18" i="3"/>
  <c r="Y5" i="2"/>
  <c r="BS8" i="3"/>
  <c r="BJ20" i="3"/>
  <c r="Z47" i="2"/>
  <c r="BB36" i="3"/>
  <c r="BR33" i="3"/>
  <c r="BN14" i="3"/>
  <c r="BA16" i="3"/>
  <c r="Z97" i="2"/>
  <c r="FB14" i="4" a="1"/>
  <c r="BF13" i="3"/>
  <c r="BA27" i="3"/>
  <c r="FB5" i="4" a="1"/>
  <c r="BJ15" i="3"/>
  <c r="BA25" i="3"/>
  <c r="FE12" i="4" a="1"/>
  <c r="BO16" i="3"/>
  <c r="W6" i="2"/>
  <c r="BP11" i="3"/>
  <c r="BR27" i="3"/>
  <c r="BC16" i="3"/>
  <c r="BD24" i="3"/>
  <c r="BV14" i="3"/>
  <c r="BR15" i="3"/>
  <c r="BI24" i="3"/>
  <c r="BQ21" i="3"/>
  <c r="BJ24" i="3"/>
  <c r="BT21" i="3"/>
  <c r="BM21" i="3"/>
  <c r="BT42" i="3"/>
  <c r="Y72" i="2"/>
  <c r="Y78" i="2"/>
  <c r="Y7" i="2"/>
  <c r="FB8" i="4" a="1"/>
  <c r="BF11" i="3"/>
  <c r="CL39" i="1" s="1"/>
  <c r="BM8" i="3"/>
  <c r="BO30" i="3"/>
  <c r="BK12" i="3"/>
  <c r="BL17" i="3"/>
  <c r="Y28" i="2"/>
  <c r="Z61" i="2"/>
  <c r="BB33" i="3"/>
  <c r="FE5" i="4" a="1"/>
  <c r="Z8" i="2"/>
  <c r="BO40" i="3"/>
  <c r="BR11" i="3"/>
  <c r="BV34" i="3"/>
  <c r="BK9" i="3"/>
  <c r="BH34" i="3"/>
  <c r="BH26" i="3"/>
  <c r="BC18" i="3"/>
  <c r="BC29" i="3"/>
  <c r="BD38" i="3"/>
  <c r="EX9" i="4" a="1"/>
  <c r="EX14" i="4" a="1"/>
  <c r="BU28" i="3"/>
  <c r="BF46" i="3"/>
  <c r="CL88" i="1" s="1"/>
  <c r="BT39" i="3"/>
  <c r="BG18" i="3"/>
  <c r="BT13" i="3"/>
  <c r="AA14" i="2"/>
  <c r="Z70" i="2"/>
  <c r="AA15" i="2"/>
  <c r="BU5" i="3"/>
  <c r="BU84" i="3" s="1"/>
  <c r="BL14" i="3"/>
  <c r="BO20" i="3"/>
  <c r="BP15" i="3"/>
  <c r="BN18" i="3"/>
  <c r="BL13" i="3"/>
  <c r="Y17" i="2"/>
  <c r="Y31" i="2"/>
  <c r="Y18" i="2"/>
  <c r="BQ6" i="3"/>
  <c r="BH16" i="3"/>
  <c r="BT7" i="3"/>
  <c r="BR45" i="3"/>
  <c r="BG39" i="3"/>
  <c r="BG23" i="3"/>
  <c r="BI26" i="3"/>
  <c r="BB41" i="3"/>
  <c r="Z31" i="2"/>
  <c r="Y95" i="2"/>
  <c r="EY16" i="4" a="1"/>
  <c r="BP24" i="3"/>
  <c r="BS26" i="3"/>
  <c r="BL33" i="3"/>
  <c r="Y65" i="2"/>
  <c r="Y110" i="2"/>
  <c r="BS37" i="3"/>
  <c r="BI21" i="3"/>
  <c r="Y26" i="2"/>
  <c r="BC21" i="3"/>
  <c r="Z87" i="2"/>
  <c r="BP9" i="3"/>
  <c r="Y109" i="2"/>
  <c r="BJ17" i="3"/>
  <c r="BD35" i="3"/>
  <c r="BN19" i="3"/>
  <c r="BE6" i="3"/>
  <c r="BN42" i="3"/>
  <c r="BI14" i="3"/>
  <c r="BM26" i="3"/>
  <c r="BG41" i="3"/>
  <c r="BN29" i="3"/>
  <c r="BB20" i="3"/>
  <c r="BA13" i="3"/>
  <c r="BQ27" i="3"/>
  <c r="BV15" i="3"/>
  <c r="BP42" i="3"/>
  <c r="BK30" i="3"/>
  <c r="BE31" i="3"/>
  <c r="Y32" i="2"/>
  <c r="BD6" i="3"/>
  <c r="Y86" i="2"/>
  <c r="FB7" i="4" a="1"/>
  <c r="BU9" i="3"/>
  <c r="BK29" i="3"/>
  <c r="BO37" i="3"/>
  <c r="BI17" i="3"/>
  <c r="BP6" i="3"/>
  <c r="C4" i="2"/>
  <c r="AA58" i="2"/>
  <c r="BB8" i="3"/>
  <c r="EY7" i="4" a="1"/>
  <c r="FC12" i="4" a="1"/>
  <c r="BT10" i="3"/>
  <c r="BS41" i="3"/>
  <c r="BV40" i="3"/>
  <c r="BM30" i="3"/>
  <c r="BM14" i="3"/>
  <c r="BF45" i="3"/>
  <c r="CL87" i="1" s="1"/>
  <c r="BD22" i="3"/>
  <c r="BB46" i="3"/>
  <c r="Z27" i="2"/>
  <c r="EY15" i="4" a="1"/>
  <c r="BR12" i="3"/>
  <c r="BU34" i="3"/>
  <c r="BR17" i="3"/>
  <c r="BM27" i="3"/>
  <c r="BE23" i="3"/>
  <c r="BP20" i="3"/>
  <c r="Z108" i="2"/>
  <c r="Y61" i="2"/>
  <c r="EZ8" i="4" a="1"/>
  <c r="BU11" i="3"/>
  <c r="BJ33" i="3"/>
  <c r="BO26" i="3"/>
  <c r="BP23" i="3"/>
  <c r="BF38" i="3"/>
  <c r="AA109" i="2"/>
  <c r="Y108" i="2"/>
  <c r="AA65" i="2"/>
  <c r="Z82" i="2"/>
  <c r="BQ12" i="3"/>
  <c r="BJ35" i="3"/>
  <c r="BQ33" i="3"/>
  <c r="BV21" i="3"/>
  <c r="BE45" i="3"/>
  <c r="BN11" i="3"/>
  <c r="BF7" i="3"/>
  <c r="BD33" i="3"/>
  <c r="BA42" i="3"/>
  <c r="BA21" i="3"/>
  <c r="FE6" i="4" a="1"/>
  <c r="BU15" i="3"/>
  <c r="BJ32" i="3"/>
  <c r="BT27" i="3"/>
  <c r="BG22" i="3"/>
  <c r="BP8" i="3"/>
  <c r="AA29" i="2"/>
  <c r="BA15" i="3"/>
  <c r="AA97" i="2"/>
  <c r="FC8" i="4" a="1"/>
  <c r="FD6" i="4" a="1"/>
  <c r="BI29" i="3"/>
  <c r="BT6" i="3"/>
  <c r="BS6" i="3"/>
  <c r="BH37" i="3"/>
  <c r="BG35" i="3"/>
  <c r="BK19" i="3"/>
  <c r="BC27" i="3"/>
  <c r="Y96" i="2"/>
  <c r="Y27" i="2"/>
  <c r="FC15" i="4" a="1"/>
  <c r="BK32" i="3"/>
  <c r="BU40" i="3"/>
  <c r="BR23" i="3"/>
  <c r="BJ9" i="3"/>
  <c r="BG38" i="3"/>
  <c r="BK34" i="3"/>
  <c r="AA78" i="2"/>
  <c r="BA36" i="3"/>
  <c r="FE14" i="4" a="1"/>
  <c r="BU17" i="3"/>
  <c r="BG15" i="3"/>
  <c r="BO32" i="3"/>
  <c r="BI9" i="3"/>
  <c r="BE46" i="3"/>
  <c r="Y22" i="2"/>
  <c r="Y33" i="2"/>
  <c r="BQ39" i="3"/>
  <c r="BV27" i="3"/>
  <c r="BF27" i="3"/>
  <c r="BJ31" i="3"/>
  <c r="BN23" i="3"/>
  <c r="BB17" i="3"/>
  <c r="BA35" i="3"/>
  <c r="AA43" i="2"/>
  <c r="EX7" i="4" a="1"/>
  <c r="BU21" i="3"/>
  <c r="BR16" i="3"/>
  <c r="BH6" i="3"/>
  <c r="BE35" i="3"/>
  <c r="BG32" i="3"/>
  <c r="Z13" i="2"/>
  <c r="BA32" i="3"/>
  <c r="Y66" i="2"/>
  <c r="FA11" i="4" a="1"/>
  <c r="FF8" i="4" a="1"/>
  <c r="BE14" i="3"/>
  <c r="BM29" i="3"/>
  <c r="BS12" i="3"/>
  <c r="BT16" i="3"/>
  <c r="BH15" i="3"/>
  <c r="BK35" i="3"/>
  <c r="BB15" i="3"/>
  <c r="Y8" i="2"/>
  <c r="Y79" i="2"/>
  <c r="FF5" i="4" a="1"/>
  <c r="BH12" i="3"/>
  <c r="BV5" i="3"/>
  <c r="BR29" i="3"/>
  <c r="BF33" i="3"/>
  <c r="BL16" i="3"/>
  <c r="BJ11" i="3"/>
  <c r="AA47" i="2"/>
  <c r="BC42" i="3"/>
  <c r="BR6" i="3"/>
  <c r="BU23" i="3"/>
  <c r="BI36" i="3"/>
  <c r="BO41" i="3"/>
  <c r="BG14" i="3"/>
  <c r="BF16" i="3"/>
  <c r="CL44" i="1" s="1"/>
  <c r="Y51" i="2"/>
  <c r="AA35" i="2"/>
  <c r="AA33" i="2"/>
  <c r="AA45" i="2"/>
  <c r="BQ24" i="3"/>
  <c r="BU6" i="3"/>
  <c r="BN17" i="3"/>
  <c r="BO21" i="3"/>
  <c r="BP39" i="3"/>
  <c r="BH41" i="3"/>
  <c r="Y73" i="2"/>
  <c r="AA48" i="2"/>
  <c r="Z45" i="2"/>
  <c r="Z63" i="2"/>
  <c r="BQ13" i="3"/>
  <c r="BH38" i="3"/>
  <c r="BI20" i="3"/>
  <c r="BJ37" i="3"/>
  <c r="BB18" i="3"/>
  <c r="FD11" i="4" a="1"/>
  <c r="BV24" i="3"/>
  <c r="BF34" i="3"/>
  <c r="CL69" i="1" s="1"/>
  <c r="BA19" i="3"/>
  <c r="AA83" i="2"/>
  <c r="EZ12" i="4" a="1"/>
  <c r="BA30" i="3"/>
  <c r="BE29" i="3"/>
  <c r="AA42" i="2"/>
  <c r="BU32" i="3"/>
  <c r="BR10" i="3"/>
  <c r="BV33" i="3"/>
  <c r="BM6" i="3"/>
  <c r="BK11" i="3"/>
  <c r="BL40" i="3"/>
  <c r="BB25" i="3"/>
  <c r="Z57" i="2"/>
  <c r="Y69" i="2"/>
  <c r="FE7" i="4" a="1"/>
  <c r="BU27" i="3"/>
  <c r="BR22" i="3"/>
  <c r="BF29" i="3"/>
  <c r="CL63" i="1" s="1"/>
  <c r="BJ13" i="3"/>
  <c r="BL8" i="3"/>
  <c r="BA45" i="3"/>
  <c r="BA41" i="3"/>
  <c r="BC22" i="3"/>
  <c r="FE9" i="4" a="1"/>
  <c r="FB15" i="4" a="1"/>
  <c r="BL5" i="3"/>
  <c r="BF9" i="3"/>
  <c r="BS18" i="3"/>
  <c r="BP41" i="3"/>
  <c r="BF14" i="3"/>
  <c r="CL47" i="1" s="1"/>
  <c r="BJ40" i="3"/>
  <c r="Z107" i="2"/>
  <c r="AA98" i="2"/>
  <c r="BC40" i="3"/>
  <c r="BC13" i="3"/>
  <c r="BN31" i="3"/>
  <c r="BV11" i="3"/>
  <c r="BR35" i="3"/>
  <c r="BI12" i="3"/>
  <c r="BN35" i="3"/>
  <c r="BJ27" i="3"/>
  <c r="BC37" i="3"/>
  <c r="Y47" i="2"/>
  <c r="BL34" i="3"/>
  <c r="BU29" i="3"/>
  <c r="BF20" i="3"/>
  <c r="CL33" i="1" s="1"/>
  <c r="BT22" i="3"/>
  <c r="BE19" i="3"/>
  <c r="BT25" i="3"/>
  <c r="AA80" i="2"/>
  <c r="AA76" i="2"/>
  <c r="BD46" i="3"/>
  <c r="EY11" i="4" a="1"/>
  <c r="BQ30" i="3"/>
  <c r="BU12" i="3"/>
  <c r="BF37" i="3"/>
  <c r="BO27" i="3"/>
  <c r="BI5" i="3"/>
  <c r="BJ14" i="3"/>
  <c r="Y76" i="2"/>
  <c r="Z11" i="2"/>
  <c r="Y30" i="2"/>
  <c r="AA59" i="2"/>
  <c r="BQ19" i="3"/>
  <c r="BU7" i="3"/>
  <c r="BI46" i="3"/>
  <c r="BI30" i="3"/>
  <c r="AA74" i="2"/>
  <c r="EX8" i="4" a="1"/>
  <c r="BR38" i="3"/>
  <c r="BJ28" i="3"/>
  <c r="Z110" i="2"/>
  <c r="Z60" i="2"/>
  <c r="EZ7" i="4" a="1"/>
  <c r="FF16" i="4" a="1"/>
  <c r="BB39" i="3"/>
  <c r="Y29" i="2"/>
  <c r="BO38" i="3"/>
  <c r="BM13" i="3"/>
  <c r="AA68" i="2"/>
  <c r="BD7" i="3"/>
  <c r="C5" i="2"/>
  <c r="BT23" i="3"/>
  <c r="BK14" i="3"/>
  <c r="Y68" i="2"/>
  <c r="BE27" i="3"/>
  <c r="EY8" i="4" a="1"/>
  <c r="FF12" i="4" a="1"/>
  <c r="BK37" i="3"/>
  <c r="BG11" i="3"/>
  <c r="BO39" i="3"/>
  <c r="BV39" i="3"/>
  <c r="BK27" i="3"/>
  <c r="BE32" i="3"/>
  <c r="BM16" i="3"/>
  <c r="BD23" i="3"/>
  <c r="AA104" i="2"/>
  <c r="Y107" i="2"/>
  <c r="EX12" i="4" a="1"/>
  <c r="BU33" i="3"/>
  <c r="BR28" i="3"/>
  <c r="BI8" i="3"/>
  <c r="BL32" i="3"/>
  <c r="BF25" i="3"/>
  <c r="CL60" i="1" s="1"/>
  <c r="BD18" i="3"/>
  <c r="BC45" i="3"/>
  <c r="Z71" i="2"/>
  <c r="FA9" i="4" a="1"/>
  <c r="BO45" i="3"/>
  <c r="BQ10" i="3"/>
  <c r="BH28" i="3"/>
  <c r="BS24" i="3"/>
  <c r="BP13" i="3"/>
  <c r="BH33" i="3"/>
  <c r="AB39" i="3"/>
  <c r="AA9" i="2"/>
  <c r="AA46" i="2"/>
  <c r="Y105" i="2"/>
  <c r="AA20" i="2"/>
  <c r="BE34" i="3"/>
  <c r="BS42" i="3"/>
  <c r="BR41" i="3"/>
  <c r="BI32" i="3"/>
  <c r="BI16" i="3"/>
  <c r="BK5" i="3"/>
  <c r="BB32" i="3"/>
  <c r="AA32" i="2"/>
  <c r="BQ5" i="3"/>
  <c r="BQ62" i="3" s="1"/>
  <c r="BU35" i="3"/>
  <c r="BR18" i="3"/>
  <c r="BI31" i="3"/>
  <c r="BM23" i="3"/>
  <c r="BP28" i="3"/>
  <c r="AA7" i="2"/>
  <c r="Z21" i="2"/>
  <c r="BA24" i="3"/>
  <c r="FF15" i="4" a="1"/>
  <c r="BQ36" i="3"/>
  <c r="BU18" i="3"/>
  <c r="BG19" i="3"/>
  <c r="BO33" i="3"/>
  <c r="BG10" i="3"/>
  <c r="BN28" i="3"/>
  <c r="Y75" i="2"/>
  <c r="Y91" i="2"/>
  <c r="BB13" i="3"/>
  <c r="BC46" i="3"/>
  <c r="BQ25" i="3"/>
  <c r="BU31" i="3"/>
  <c r="BP19" i="3"/>
  <c r="BN40" i="3"/>
  <c r="Z74" i="2"/>
  <c r="FA12" i="4" a="1"/>
  <c r="BO11" i="3"/>
  <c r="BF40" i="3"/>
  <c r="Z53" i="2"/>
  <c r="BD20" i="3"/>
  <c r="Z96" i="2"/>
  <c r="FD8" i="4" a="1"/>
  <c r="EY5" i="4" a="1"/>
  <c r="BU26" i="3"/>
  <c r="BH24" i="3"/>
  <c r="BI23" i="3"/>
  <c r="Y24" i="2"/>
  <c r="BL7" i="3"/>
  <c r="Y93" i="2"/>
  <c r="BN39" i="3"/>
  <c r="BG24" i="3"/>
  <c r="AA93" i="2"/>
  <c r="BI28" i="3"/>
  <c r="BB16" i="3"/>
  <c r="BQ14" i="3"/>
  <c r="BT40" i="3"/>
  <c r="BJ8" i="3"/>
  <c r="EZ11" i="4" a="1"/>
  <c r="BD41" i="3"/>
  <c r="AA12" i="2"/>
  <c r="BF23" i="3"/>
  <c r="CL59" i="1" s="1"/>
  <c r="BJ19" i="3"/>
  <c r="BC39" i="3"/>
  <c r="FF9" i="4" a="1"/>
  <c r="BP32" i="3"/>
  <c r="Y34" i="2"/>
  <c r="BP36" i="3"/>
  <c r="BG30" i="3"/>
  <c r="AA41" i="2"/>
  <c r="EZ14" i="4" a="1"/>
  <c r="BS34" i="3"/>
  <c r="BT19" i="3"/>
  <c r="BU25" i="3"/>
  <c r="BP31" i="3"/>
  <c r="BN16" i="3"/>
  <c r="Y11" i="2"/>
  <c r="FB16" i="4" a="1"/>
  <c r="BH31" i="3"/>
  <c r="BE28" i="3"/>
  <c r="BO23" i="3"/>
  <c r="BV17" i="3"/>
  <c r="AA61" i="2"/>
  <c r="Y90" i="2"/>
  <c r="Y63" i="2"/>
  <c r="BV23" i="3"/>
  <c r="BT14" i="3"/>
  <c r="BO7" i="3"/>
  <c r="BN46" i="3"/>
  <c r="BC36" i="3"/>
  <c r="BQ11" i="3"/>
  <c r="BR24" i="3"/>
  <c r="BK40" i="3"/>
  <c r="Z50" i="2"/>
  <c r="BC17" i="3"/>
  <c r="EY13" i="4" a="1"/>
  <c r="BQ42" i="3"/>
  <c r="BU24" i="3"/>
  <c r="BK39" i="3"/>
  <c r="BS45" i="3"/>
  <c r="BE15" i="3"/>
  <c r="BT41" i="3"/>
  <c r="BS5" i="3"/>
  <c r="BS76" i="3" s="1"/>
  <c r="BF26" i="3"/>
  <c r="CL71" i="1" s="1"/>
  <c r="BF42" i="3"/>
  <c r="CL75" i="1" s="1"/>
  <c r="BG33" i="3"/>
  <c r="Z25" i="2"/>
  <c r="Z46" i="2"/>
  <c r="BA38" i="3"/>
  <c r="EY6" i="4" a="1"/>
  <c r="BU39" i="3"/>
  <c r="BR34" i="3"/>
  <c r="BG29" i="3"/>
  <c r="BG13" i="3"/>
  <c r="BH42" i="3"/>
  <c r="BB30" i="3"/>
  <c r="Z23" i="2"/>
  <c r="Z26" i="2"/>
  <c r="FA13" i="4" a="1"/>
  <c r="BQ16" i="3"/>
  <c r="BI10" i="3"/>
  <c r="BS30" i="3"/>
  <c r="BG8" i="3"/>
  <c r="BL25" i="3"/>
  <c r="AA79" i="2"/>
  <c r="Z94" i="2"/>
  <c r="BM36" i="3"/>
  <c r="BG21" i="3"/>
  <c r="BD39" i="3"/>
  <c r="BU41" i="3"/>
  <c r="BL12" i="3"/>
  <c r="BE37" i="3"/>
  <c r="Z88" i="2"/>
  <c r="AA92" i="2"/>
  <c r="BT37" i="3"/>
  <c r="EY14" i="4" a="1"/>
  <c r="AA18" i="2"/>
  <c r="BT30" i="3"/>
  <c r="EX15" i="4" a="1"/>
  <c r="BP7" i="3"/>
  <c r="BB14" i="3"/>
  <c r="AA24" i="2"/>
  <c r="FA8" i="4" a="1"/>
  <c r="BM25" i="3"/>
  <c r="BC20" i="3"/>
  <c r="BS32" i="3"/>
  <c r="Z77" i="2"/>
  <c r="Z42" i="2"/>
  <c r="BI42" i="3"/>
  <c r="FA14" i="4" a="1"/>
  <c r="Y106" i="2"/>
  <c r="Z9" i="2"/>
  <c r="BK6" i="3"/>
  <c r="BH18" i="3"/>
  <c r="AA69" i="2"/>
  <c r="BA31" i="3"/>
  <c r="BM28" i="3"/>
  <c r="BL18" i="3"/>
  <c r="Y25" i="2"/>
  <c r="BP22" i="3"/>
  <c r="Z29" i="2"/>
  <c r="BO17" i="3"/>
  <c r="BP38" i="3"/>
  <c r="BJ30" i="3"/>
  <c r="BA12" i="3"/>
  <c r="BS21" i="3"/>
  <c r="BE22" i="3"/>
  <c r="BO35" i="3"/>
  <c r="BG25" i="3"/>
  <c r="AA31" i="2"/>
  <c r="BS22" i="3"/>
  <c r="BF35" i="3"/>
  <c r="CL70" i="1" s="1"/>
  <c r="BG42" i="3"/>
  <c r="BH22" i="3"/>
  <c r="AA67" i="2"/>
  <c r="BE33" i="3"/>
  <c r="Y14" i="2"/>
  <c r="BG36" i="3"/>
  <c r="AA55" i="2"/>
  <c r="Z28" i="2"/>
  <c r="BO42" i="3"/>
  <c r="BF28" i="3"/>
  <c r="CL56" i="1" s="1"/>
  <c r="AA75" i="2"/>
  <c r="BN45" i="3"/>
  <c r="BM37" i="3"/>
  <c r="Y49" i="2"/>
  <c r="BE42" i="3"/>
  <c r="BK16" i="3"/>
  <c r="BR9" i="3"/>
  <c r="BE24" i="3"/>
  <c r="BE30" i="3"/>
  <c r="BQ18" i="3"/>
  <c r="BH23" i="3"/>
  <c r="BQ7" i="3"/>
  <c r="BA39" i="3"/>
  <c r="BB9" i="3"/>
  <c r="BJ46" i="3"/>
  <c r="BI6" i="3"/>
  <c r="Z69" i="2"/>
  <c r="Y42" i="2"/>
  <c r="BA20" i="3"/>
  <c r="Z66" i="2"/>
  <c r="Z51" i="2"/>
  <c r="BK41" i="3"/>
  <c r="Z73" i="2"/>
  <c r="BS33" i="3"/>
  <c r="BV31" i="3"/>
  <c r="BG17" i="3"/>
  <c r="Z104" i="2"/>
  <c r="BQ31" i="3"/>
  <c r="Y82" i="2"/>
  <c r="Y50" i="2"/>
  <c r="AA44" i="2"/>
  <c r="BI38" i="3"/>
  <c r="BU13" i="3"/>
  <c r="FE8" i="4" a="1"/>
  <c r="Z95" i="2"/>
  <c r="AA51" i="2"/>
  <c r="AA11" i="2"/>
  <c r="BG6" i="3"/>
  <c r="Y57" i="2"/>
  <c r="AA10" i="2"/>
  <c r="BV46" i="3"/>
  <c r="BK15" i="3"/>
  <c r="BA46" i="3"/>
  <c r="FA15" i="4" a="1"/>
  <c r="AA72" i="2"/>
  <c r="Z76" i="2"/>
  <c r="BV8" i="3"/>
  <c r="BA40" i="3"/>
  <c r="BL23" i="3"/>
  <c r="BG9" i="3"/>
  <c r="BP18" i="3"/>
  <c r="BD13" i="3"/>
  <c r="BE39" i="3"/>
  <c r="FA6" i="4" a="1"/>
  <c r="AA23" i="2"/>
  <c r="Y80" i="2"/>
  <c r="Z55" i="2"/>
  <c r="BU37" i="3"/>
  <c r="FF7" i="4" a="1"/>
  <c r="BQ38" i="3"/>
  <c r="BD8" i="3"/>
  <c r="BH27" i="3"/>
  <c r="BF6" i="3"/>
  <c r="CL32" i="1" s="1"/>
  <c r="CL21" i="1" s="1"/>
  <c r="BD15" i="3"/>
  <c r="Z15" i="2"/>
  <c r="BS20" i="3"/>
  <c r="BN22" i="3"/>
  <c r="AA107" i="2"/>
  <c r="BF18" i="3"/>
  <c r="CL49" i="1" s="1"/>
  <c r="BG46" i="3"/>
  <c r="BJ18" i="3"/>
  <c r="Z109" i="2"/>
  <c r="FF13" i="4" a="1"/>
  <c r="BG5" i="3"/>
  <c r="BG85" i="3" s="1"/>
  <c r="Y64" i="2"/>
  <c r="BU66" i="3"/>
  <c r="BC34" i="3"/>
  <c r="BO34" i="3"/>
  <c r="Z89" i="2"/>
  <c r="BB34" i="3"/>
  <c r="BE9" i="3"/>
  <c r="Y20" i="2"/>
  <c r="BA9" i="3"/>
  <c r="Y43" i="2"/>
  <c r="FD7" i="4" a="1"/>
  <c r="BG20" i="3"/>
  <c r="BJ26" i="3"/>
  <c r="BF10" i="3"/>
  <c r="CL37" i="1" s="1"/>
  <c r="BD34" i="3"/>
  <c r="AA60" i="2"/>
  <c r="EZ6" i="4" a="1"/>
  <c r="BM12" i="3"/>
  <c r="BM41" i="3"/>
  <c r="AA54" i="2"/>
  <c r="BA34" i="3"/>
  <c r="BE26" i="3"/>
  <c r="BK42" i="3"/>
  <c r="BI37" i="3"/>
  <c r="Y9" i="2"/>
  <c r="BF19" i="3"/>
  <c r="FC5" i="4" a="1"/>
  <c r="Y59" i="2"/>
  <c r="BA28" i="3"/>
  <c r="AY29" i="3"/>
  <c r="BN24" i="3"/>
  <c r="BH5" i="3"/>
  <c r="BH57" i="3" s="1"/>
  <c r="BN41" i="3"/>
  <c r="Z67" i="2"/>
  <c r="BL45" i="3"/>
  <c r="Y54" i="2"/>
  <c r="FE13" i="4" a="1"/>
  <c r="BM9" i="3"/>
  <c r="FD15" i="4" a="1"/>
  <c r="BB45" i="3"/>
  <c r="BN37" i="3"/>
  <c r="EY9" i="4" a="1"/>
  <c r="AA89" i="2"/>
  <c r="Y55" i="2"/>
  <c r="BE41" i="3"/>
  <c r="BO9" i="3"/>
  <c r="Z80" i="2"/>
  <c r="BS36" i="3"/>
  <c r="EZ5" i="4" a="1"/>
  <c r="FC9" i="4" a="1"/>
  <c r="BK20" i="3"/>
  <c r="Z75" i="2"/>
  <c r="BK25" i="3"/>
  <c r="BC8" i="3"/>
  <c r="BO29" i="3"/>
  <c r="BD31" i="3"/>
  <c r="Y12" i="2"/>
  <c r="BL41" i="3"/>
  <c r="Y87" i="2"/>
  <c r="BL6" i="3"/>
  <c r="BJ41" i="3"/>
  <c r="BB22" i="3"/>
  <c r="FB9" i="4" a="1"/>
  <c r="BM39" i="3"/>
  <c r="Z33" i="2"/>
  <c r="BI19" i="3"/>
  <c r="AA36" i="2"/>
  <c r="EZ16" i="4" a="1"/>
  <c r="BK10" i="3"/>
  <c r="BE5" i="3"/>
  <c r="BE49" i="3" s="1"/>
  <c r="BJ21" i="3"/>
  <c r="FB6" i="4" a="1"/>
  <c r="FD16" i="4" a="1"/>
  <c r="BH36" i="3"/>
  <c r="BP17" i="3"/>
  <c r="FD9" i="4" a="1"/>
  <c r="BM38" i="3"/>
  <c r="Z68" i="2"/>
  <c r="AA6" i="2"/>
  <c r="BU46" i="3"/>
  <c r="BC15" i="3"/>
  <c r="BA37" i="3"/>
  <c r="BJ38" i="3"/>
  <c r="AA108" i="2"/>
  <c r="BV9" i="3"/>
  <c r="BO15" i="3"/>
  <c r="Y92" i="2"/>
  <c r="BP5" i="3"/>
  <c r="BP57" i="3" s="1"/>
  <c r="BL22" i="3"/>
  <c r="Y40" i="2"/>
  <c r="FF14" i="4" a="1"/>
  <c r="AA64" i="2"/>
  <c r="BT32" i="3"/>
  <c r="AA70" i="2"/>
  <c r="BP16" i="3"/>
  <c r="Z43" i="2"/>
  <c r="BD37" i="3"/>
  <c r="BI27" i="3"/>
  <c r="EX16" i="4" a="1"/>
  <c r="BH25" i="3"/>
  <c r="BL11" i="3"/>
  <c r="Y6" i="2"/>
  <c r="FD13" i="4" a="1"/>
  <c r="BI45" i="3"/>
  <c r="Y98" i="2"/>
  <c r="BU8" i="3"/>
  <c r="Z58" i="2"/>
  <c r="BQ26" i="3"/>
  <c r="FB12" i="4" a="1"/>
  <c r="BE25" i="3"/>
  <c r="BP30" i="3"/>
  <c r="BT36" i="3"/>
  <c r="BB27" i="3"/>
  <c r="BI11" i="3"/>
  <c r="BS27" i="3"/>
  <c r="Y15" i="2"/>
  <c r="BL19" i="3"/>
  <c r="BJ16" i="3"/>
  <c r="BN21" i="3"/>
  <c r="BD42" i="3"/>
  <c r="BM5" i="3"/>
  <c r="BG16" i="3"/>
  <c r="BU38" i="3"/>
  <c r="Y85" i="2"/>
  <c r="BU19" i="3"/>
  <c r="Z49" i="2"/>
  <c r="BH17" i="3"/>
  <c r="BN6" i="3"/>
  <c r="BC26" i="3"/>
  <c r="BT18" i="3"/>
  <c r="BH10" i="3"/>
  <c r="Z24" i="2"/>
  <c r="BV45" i="3"/>
  <c r="BF22" i="3"/>
  <c r="Z78" i="2"/>
  <c r="BM45" i="3"/>
  <c r="BE10" i="3"/>
  <c r="AA25" i="2"/>
  <c r="BT24" i="3"/>
  <c r="AA62" i="2"/>
  <c r="BM40" i="3"/>
  <c r="BD9" i="3"/>
  <c r="BH35" i="3"/>
  <c r="Z54" i="2"/>
  <c r="BS16" i="3"/>
  <c r="Y58" i="2"/>
  <c r="BV30" i="3"/>
  <c r="FC6" i="4" a="1"/>
  <c r="BH9" i="3"/>
  <c r="AA16" i="2"/>
  <c r="BR32" i="3"/>
  <c r="BM35" i="3"/>
  <c r="BV32" i="3"/>
  <c r="BK38" i="3"/>
  <c r="Y77" i="2"/>
  <c r="BR20" i="3"/>
  <c r="BT45" i="3"/>
  <c r="BL37" i="3"/>
  <c r="BR46" i="3"/>
  <c r="BQ20" i="3"/>
  <c r="BJ6" i="3"/>
  <c r="Z10" i="2"/>
  <c r="BO5" i="3"/>
  <c r="BL28" i="3"/>
  <c r="BO22" i="3"/>
  <c r="BH32" i="3"/>
  <c r="BC31" i="3"/>
  <c r="BS9" i="3"/>
  <c r="BI41" i="3"/>
  <c r="BE11" i="3"/>
  <c r="BL46" i="3"/>
  <c r="Z7" i="2"/>
  <c r="BH46" i="3"/>
  <c r="Y67" i="2"/>
  <c r="BF8" i="3"/>
  <c r="AA53" i="2"/>
  <c r="BB6" i="3"/>
  <c r="BV18" i="3"/>
  <c r="BT31" i="3"/>
  <c r="BN20" i="3"/>
  <c r="BC47" i="3"/>
  <c r="BH76" i="3"/>
  <c r="BM71" i="3"/>
  <c r="BB54" i="3"/>
  <c r="BF94" i="3"/>
  <c r="BS96" i="3"/>
  <c r="BT48" i="3"/>
  <c r="BM47" i="3"/>
  <c r="HH9" i="4" a="1"/>
  <c r="BI93" i="3"/>
  <c r="BM72" i="3"/>
  <c r="BI78" i="3"/>
  <c r="BI59" i="3"/>
  <c r="BS75" i="3"/>
  <c r="BM91" i="3"/>
  <c r="BF90" i="3"/>
  <c r="CL150" i="1" s="1"/>
  <c r="BT91" i="3"/>
  <c r="BA68" i="3"/>
  <c r="BF60" i="3"/>
  <c r="CL146" i="1" s="1"/>
  <c r="BA47" i="3"/>
  <c r="BS50" i="3"/>
  <c r="BN59" i="3"/>
  <c r="BF64" i="3"/>
  <c r="CL173" i="1" s="1"/>
  <c r="BK70" i="3"/>
  <c r="BM78" i="3"/>
  <c r="BI48" i="3"/>
  <c r="BI55" i="3"/>
  <c r="BF79" i="3"/>
  <c r="CL167" i="1" s="1"/>
  <c r="BM67" i="3"/>
  <c r="BA64" i="3"/>
  <c r="BF61" i="3"/>
  <c r="BT97" i="3"/>
  <c r="BM85" i="3"/>
  <c r="BM80" i="3"/>
  <c r="BB76" i="3"/>
  <c r="BI66" i="3"/>
  <c r="BT65" i="3"/>
  <c r="BI79" i="3"/>
  <c r="GE9" i="4" a="1"/>
  <c r="GK7" i="4" a="1"/>
  <c r="HD11" i="4" a="1"/>
  <c r="GP16" i="4" a="1"/>
  <c r="AA113" i="2"/>
  <c r="BA59" i="3"/>
  <c r="BB96" i="3"/>
  <c r="BA88" i="3"/>
  <c r="BU57" i="3"/>
  <c r="BN64" i="3"/>
  <c r="BF56" i="3"/>
  <c r="CL141" i="1" s="1"/>
  <c r="GH8" i="4" a="1"/>
  <c r="HH12" i="4" a="1"/>
  <c r="HE6" i="4" a="1"/>
  <c r="HE11" i="4" a="1"/>
  <c r="BD88" i="3"/>
  <c r="BK49" i="3"/>
  <c r="FQ6" i="4" a="1"/>
  <c r="HF5" i="4" a="1"/>
  <c r="BT85" i="3"/>
  <c r="FO8" i="4" a="1"/>
  <c r="FG7" i="4" a="1"/>
  <c r="GW14" i="4" a="1"/>
  <c r="FQ16" i="4" a="1"/>
  <c r="BD62" i="3"/>
  <c r="BO63" i="3"/>
  <c r="BA58" i="3"/>
  <c r="BB95" i="3"/>
  <c r="BD50" i="3"/>
  <c r="BN60" i="3"/>
  <c r="BJ47" i="3"/>
  <c r="BF87" i="3"/>
  <c r="CL176" i="1" s="1"/>
  <c r="BM86" i="3"/>
  <c r="BB86" i="3"/>
  <c r="BG88" i="3"/>
  <c r="BU55" i="3"/>
  <c r="BE93" i="3"/>
  <c r="BO50" i="3"/>
  <c r="BA60" i="3"/>
  <c r="BB63" i="3"/>
  <c r="BU92" i="3"/>
  <c r="BN63" i="3"/>
  <c r="BJ89" i="3"/>
  <c r="BA73" i="3"/>
  <c r="BK74" i="3"/>
  <c r="BA83" i="3"/>
  <c r="BA93" i="3"/>
  <c r="BB97" i="3"/>
  <c r="BD61" i="3"/>
  <c r="BU80" i="3"/>
  <c r="BN74" i="3"/>
  <c r="BJ60" i="3"/>
  <c r="BA56" i="3"/>
  <c r="BA86" i="3"/>
  <c r="BF97" i="3"/>
  <c r="BN54" i="3"/>
  <c r="BF96" i="3"/>
  <c r="CL187" i="1" s="1"/>
  <c r="HA14" i="4" a="1"/>
  <c r="GM11" i="4" a="1"/>
  <c r="GR13" i="4" a="1"/>
  <c r="HG9" i="4" a="1"/>
  <c r="BM60" i="3"/>
  <c r="BN92" i="3"/>
  <c r="BB88" i="3"/>
  <c r="BU78" i="3"/>
  <c r="BN87" i="3"/>
  <c r="BJ48" i="3"/>
  <c r="FY6" i="4" a="1"/>
  <c r="FW8" i="4" a="1"/>
  <c r="GN12" i="4" a="1"/>
  <c r="HE13" i="4" a="1"/>
  <c r="BG89" i="3"/>
  <c r="BI49" i="3"/>
  <c r="BT63" i="3"/>
  <c r="FJ7" i="4" a="1"/>
  <c r="GS14" i="4" a="1"/>
  <c r="GK14" i="4" a="1"/>
  <c r="BE72" i="3"/>
  <c r="BT49" i="3"/>
  <c r="BI83" i="3"/>
  <c r="BO87" i="3"/>
  <c r="BT67" i="3"/>
  <c r="BB67" i="3"/>
  <c r="BP90" i="3"/>
  <c r="BJ50" i="3"/>
  <c r="BA62" i="3"/>
  <c r="BB49" i="3"/>
  <c r="BD86" i="3"/>
  <c r="BB47" i="3"/>
  <c r="BH65" i="3"/>
  <c r="BU94" i="3"/>
  <c r="BN73" i="3"/>
  <c r="BJ97" i="3"/>
  <c r="BA95" i="3"/>
  <c r="BB62" i="3"/>
  <c r="BD85" i="3"/>
  <c r="BU73" i="3"/>
  <c r="BN94" i="3"/>
  <c r="BJ66" i="3"/>
  <c r="GC6" i="4" a="1"/>
  <c r="GE5" i="4" a="1"/>
  <c r="GI11" i="4" a="1"/>
  <c r="FV14" i="4" a="1"/>
  <c r="BP76" i="3"/>
  <c r="BD89" i="3"/>
  <c r="BE83" i="3"/>
  <c r="BO76" i="3"/>
  <c r="BG82" i="3"/>
  <c r="BC65" i="3"/>
  <c r="BH81" i="3"/>
  <c r="BG58" i="3"/>
  <c r="BH74" i="3"/>
  <c r="BR91" i="3"/>
  <c r="BR55" i="3"/>
  <c r="BF81" i="3"/>
  <c r="CL168" i="1" s="1"/>
  <c r="BJ69" i="3"/>
  <c r="FL11" i="4" a="1"/>
  <c r="FU9" i="4" a="1"/>
  <c r="GH13" i="4" a="1"/>
  <c r="BH61" i="3"/>
  <c r="BK64" i="3"/>
  <c r="BM93" i="3"/>
  <c r="BI84" i="3"/>
  <c r="BI54" i="3"/>
  <c r="BS88" i="3"/>
  <c r="BT78" i="3"/>
  <c r="BH66" i="3"/>
  <c r="BG97" i="3"/>
  <c r="BH48" i="3"/>
  <c r="BR75" i="3"/>
  <c r="BF48" i="3"/>
  <c r="BJ81" i="3"/>
  <c r="BA75" i="3"/>
  <c r="BB73" i="3"/>
  <c r="BH87" i="3"/>
  <c r="BB60" i="3"/>
  <c r="BH85" i="3"/>
  <c r="BR89" i="3"/>
  <c r="BR48" i="3"/>
  <c r="BP74" i="3"/>
  <c r="BJ61" i="3"/>
  <c r="BB68" i="3"/>
  <c r="BH95" i="3"/>
  <c r="BU95" i="3"/>
  <c r="BN81" i="3"/>
  <c r="BJ87" i="3"/>
  <c r="GQ8" i="4" a="1"/>
  <c r="BM61" i="3"/>
  <c r="BB75" i="3"/>
  <c r="BF92" i="3"/>
  <c r="CL179" i="1" s="1"/>
  <c r="BS97" i="3"/>
  <c r="BT89" i="3"/>
  <c r="BC72" i="3"/>
  <c r="BE55" i="3"/>
  <c r="BR94" i="3"/>
  <c r="BO56" i="3"/>
  <c r="BK59" i="3"/>
  <c r="BP81" i="3"/>
  <c r="BB72" i="3"/>
  <c r="BH49" i="3"/>
  <c r="BR70" i="3"/>
  <c r="BG60" i="3"/>
  <c r="BR95" i="3"/>
  <c r="AA112" i="2"/>
  <c r="BJ85" i="3"/>
  <c r="BH75" i="3"/>
  <c r="BB64" i="3"/>
  <c r="BH50" i="3"/>
  <c r="BR65" i="3"/>
  <c r="BR49" i="3"/>
  <c r="BP79" i="3"/>
  <c r="BJ63" i="3"/>
  <c r="FM9" i="4" a="1"/>
  <c r="GG7" i="4" a="1"/>
  <c r="FW13" i="4" a="1"/>
  <c r="BK84" i="3"/>
  <c r="BG80" i="3"/>
  <c r="BI72" i="3"/>
  <c r="BI62" i="3"/>
  <c r="BS71" i="3"/>
  <c r="BT96" i="3"/>
  <c r="BE59" i="3"/>
  <c r="BP78" i="3"/>
  <c r="BU50" i="3"/>
  <c r="BM96" i="3"/>
  <c r="BT93" i="3"/>
  <c r="BR68" i="3"/>
  <c r="BA49" i="3"/>
  <c r="BF63" i="3"/>
  <c r="CL149" i="1" s="1"/>
  <c r="BA79" i="3"/>
  <c r="BF85" i="3"/>
  <c r="CL171" i="1" s="1"/>
  <c r="BS56" i="3"/>
  <c r="BN95" i="3"/>
  <c r="BM64" i="3"/>
  <c r="BP86" i="3"/>
  <c r="BT90" i="3"/>
  <c r="BS66" i="3"/>
  <c r="BK90" i="3"/>
  <c r="BG56" i="3"/>
  <c r="BH56" i="3"/>
  <c r="BC58" i="3"/>
  <c r="BE90" i="3"/>
  <c r="BT69" i="3"/>
  <c r="BR73" i="3"/>
  <c r="BO60" i="3"/>
  <c r="BK58" i="3"/>
  <c r="BG73" i="3"/>
  <c r="BR85" i="3"/>
  <c r="AA111" i="2"/>
  <c r="BK73" i="3"/>
  <c r="GI13" i="4" a="1"/>
  <c r="FY12" i="4" a="1"/>
  <c r="FQ14" i="4" a="1"/>
  <c r="BP77" i="3"/>
  <c r="BM95" i="3"/>
  <c r="BB81" i="3"/>
  <c r="BI85" i="3"/>
  <c r="BS65" i="3"/>
  <c r="BT83" i="3"/>
  <c r="BI77" i="3"/>
  <c r="BG71" i="3"/>
  <c r="BM65" i="3"/>
  <c r="BD75" i="3"/>
  <c r="BN76" i="3"/>
  <c r="BS81" i="3"/>
  <c r="BK91" i="3"/>
  <c r="GY8" i="4" a="1"/>
  <c r="GO8" i="4" a="1"/>
  <c r="GF13" i="4" a="1"/>
  <c r="BA69" i="3"/>
  <c r="BB79" i="3"/>
  <c r="BC85" i="3"/>
  <c r="BU60" i="3"/>
  <c r="BN55" i="3"/>
  <c r="BJ49" i="3"/>
  <c r="HA9" i="4" a="1"/>
  <c r="HB13" i="4" a="1"/>
  <c r="BN49" i="3"/>
  <c r="BO89" i="3"/>
  <c r="BM54" i="3"/>
  <c r="GO5" i="4" a="1"/>
  <c r="GE11" i="4" a="1"/>
  <c r="FV9" i="4" a="1"/>
  <c r="BD97" i="3"/>
  <c r="FP9" i="4" a="1"/>
  <c r="BP80" i="3"/>
  <c r="HD16" i="4" a="1"/>
  <c r="BN48" i="3"/>
  <c r="FR11" i="4" a="1"/>
  <c r="FO9" i="4" a="1"/>
  <c r="FV12" i="4" a="1"/>
  <c r="GQ16" i="4" a="1"/>
  <c r="HA12" i="4" a="1"/>
  <c r="FQ15" i="4" a="1"/>
  <c r="GO6" i="4" a="1"/>
  <c r="BR87" i="3"/>
  <c r="BM97" i="3"/>
  <c r="BA82" i="3"/>
  <c r="BB92" i="3"/>
  <c r="BD92" i="3"/>
  <c r="BU67" i="3"/>
  <c r="BN58" i="3"/>
  <c r="BP71" i="3"/>
  <c r="BD94" i="3"/>
  <c r="BO66" i="3"/>
  <c r="BS58" i="3"/>
  <c r="BK96" i="3"/>
  <c r="BC94" i="3"/>
  <c r="BE75" i="3"/>
  <c r="BT74" i="3"/>
  <c r="BM66" i="3"/>
  <c r="BP93" i="3"/>
  <c r="BN88" i="3"/>
  <c r="BS70" i="3"/>
  <c r="BK92" i="3"/>
  <c r="BC50" i="3"/>
  <c r="BE96" i="3"/>
  <c r="BT61" i="3"/>
  <c r="BR79" i="3"/>
  <c r="BO61" i="3"/>
  <c r="BK48" i="3"/>
  <c r="GL5" i="4" a="1"/>
  <c r="FJ5" i="4" a="1"/>
  <c r="FO6" i="4" a="1"/>
  <c r="BJ56" i="3"/>
  <c r="BM62" i="3"/>
  <c r="BA76" i="3"/>
  <c r="BF78" i="3"/>
  <c r="CL166" i="1" s="1"/>
  <c r="BS86" i="3"/>
  <c r="BN57" i="3"/>
  <c r="BE85" i="3"/>
  <c r="BG92" i="3"/>
  <c r="BP84" i="3"/>
  <c r="BD54" i="3"/>
  <c r="BE95" i="3"/>
  <c r="BO81" i="3"/>
  <c r="BG48" i="3"/>
  <c r="BK61" i="3"/>
  <c r="GK9" i="4" a="1"/>
  <c r="GC9" i="4" a="1"/>
  <c r="GC15" i="4" a="1"/>
  <c r="BA84" i="3"/>
  <c r="BB56" i="3"/>
  <c r="BU85" i="3"/>
  <c r="BN66" i="3"/>
  <c r="BJ78" i="3"/>
  <c r="FS6" i="4" a="1"/>
  <c r="GK6" i="4" a="1"/>
  <c r="BM48" i="3"/>
  <c r="BA92" i="3"/>
  <c r="BB85" i="3"/>
  <c r="BU91" i="3"/>
  <c r="BN72" i="3"/>
  <c r="BG50" i="3"/>
  <c r="BU61" i="3"/>
  <c r="BE60" i="3"/>
  <c r="BO57" i="3"/>
  <c r="BH93" i="3"/>
  <c r="GC5" i="4" a="1"/>
  <c r="BM50" i="3"/>
  <c r="BP91" i="3"/>
  <c r="BT73" i="3"/>
  <c r="BP94" i="3"/>
  <c r="BD83" i="3"/>
  <c r="BE94" i="3"/>
  <c r="BO71" i="3"/>
  <c r="BP63" i="3"/>
  <c r="BK71" i="3"/>
  <c r="BM82" i="3"/>
  <c r="BP96" i="3"/>
  <c r="BN78" i="3"/>
  <c r="BS74" i="3"/>
  <c r="BK94" i="3"/>
  <c r="FQ8" i="4" a="1"/>
  <c r="GN7" i="4" a="1"/>
  <c r="GQ12" i="4" a="1"/>
  <c r="BA72" i="3"/>
  <c r="BA61" i="3"/>
  <c r="BU49" i="3"/>
  <c r="BN93" i="3"/>
  <c r="BP87" i="3"/>
  <c r="BM74" i="3"/>
  <c r="BG67" i="3"/>
  <c r="BP68" i="3"/>
  <c r="BE71" i="3"/>
  <c r="BO72" i="3"/>
  <c r="BT71" i="3"/>
  <c r="FX6" i="4" a="1"/>
  <c r="GY13" i="4" a="1"/>
  <c r="GL13" i="4" a="1"/>
  <c r="HB15" i="4" a="1"/>
  <c r="BB90" i="3"/>
  <c r="BH79" i="3"/>
  <c r="BU74" i="3"/>
  <c r="BU88" i="3"/>
  <c r="BN97" i="3"/>
  <c r="BK78" i="3"/>
  <c r="BI71" i="3"/>
  <c r="BA87" i="3"/>
  <c r="BF91" i="3"/>
  <c r="CL178" i="1" s="1"/>
  <c r="BJ90" i="3"/>
  <c r="BF59" i="3"/>
  <c r="BM87" i="3"/>
  <c r="FG11" i="4" a="1"/>
  <c r="BG76" i="3"/>
  <c r="BO86" i="3"/>
  <c r="BG54" i="3"/>
  <c r="BF54" i="3"/>
  <c r="HD14" i="4" a="1"/>
  <c r="GB14" i="4" a="1"/>
  <c r="BE74" i="3"/>
  <c r="BR74" i="3"/>
  <c r="BI61" i="3"/>
  <c r="GO7" i="4" a="1"/>
  <c r="BG86" i="3"/>
  <c r="BR86" i="3"/>
  <c r="GX9" i="4" a="1"/>
  <c r="FR7" i="4" a="1"/>
  <c r="HF16" i="4" a="1"/>
  <c r="BD96" i="3"/>
  <c r="BP69" i="3"/>
  <c r="BN84" i="3"/>
  <c r="BS55" i="3"/>
  <c r="BJ64" i="3"/>
  <c r="GP7" i="4" a="1"/>
  <c r="GV12" i="4" a="1"/>
  <c r="GW15" i="4" a="1"/>
  <c r="GY11" i="4" a="1"/>
  <c r="GY15" i="4" a="1"/>
  <c r="GE14" i="4" a="1"/>
  <c r="GB16" i="4" a="1"/>
  <c r="BN62" i="3"/>
  <c r="FZ11" i="4" a="1"/>
  <c r="FJ6" i="4" a="1"/>
  <c r="FW11" i="4" a="1"/>
  <c r="BH60" i="3"/>
  <c r="BT62" i="3"/>
  <c r="FI6" i="4" a="1"/>
  <c r="GZ5" i="4" a="1"/>
  <c r="HH14" i="4" a="1"/>
  <c r="FW16" i="4" a="1"/>
  <c r="BD57" i="3"/>
  <c r="GM15" i="4" a="1"/>
  <c r="FZ12" i="4" a="1"/>
  <c r="BI69" i="3"/>
  <c r="BK54" i="3"/>
  <c r="GF8" i="4" a="1"/>
  <c r="FG13" i="4" a="1"/>
  <c r="GB15" i="4" a="1"/>
  <c r="HG15" i="4" a="1"/>
  <c r="FT16" i="4" a="1"/>
  <c r="BF83" i="3"/>
  <c r="CL184" i="1" s="1"/>
  <c r="BS82" i="3"/>
  <c r="BJ76" i="3"/>
  <c r="GZ9" i="4" a="1"/>
  <c r="HF12" i="4" a="1"/>
  <c r="FM15" i="4" a="1"/>
  <c r="BC93" i="3"/>
  <c r="FR6" i="4" a="1"/>
  <c r="BS94" i="3"/>
  <c r="BC49" i="3"/>
  <c r="BN65" i="3"/>
  <c r="BI56" i="3"/>
  <c r="FU5" i="4" a="1"/>
  <c r="FN9" i="4" a="1"/>
  <c r="GY14" i="4" a="1"/>
  <c r="GX5" i="4" a="1"/>
  <c r="BD74" i="3"/>
  <c r="BC71" i="3"/>
  <c r="BO97" i="3"/>
  <c r="BI60" i="3"/>
  <c r="GG5" i="4" a="1"/>
  <c r="GW9" i="4" a="1"/>
  <c r="FV15" i="4" a="1"/>
  <c r="BF72" i="3"/>
  <c r="CL159" i="1" s="1"/>
  <c r="BU63" i="3"/>
  <c r="BO55" i="3"/>
  <c r="GW6" i="4" a="1"/>
  <c r="BA63" i="3"/>
  <c r="BR54" i="3"/>
  <c r="BE47" i="3"/>
  <c r="FQ12" i="4" a="1"/>
  <c r="FS7" i="4" a="1"/>
  <c r="GH11" i="4" a="1"/>
  <c r="BJ74" i="3"/>
  <c r="FT6" i="4" a="1"/>
  <c r="BK76" i="3"/>
  <c r="BG83" i="3"/>
  <c r="BO92" i="3"/>
  <c r="BF58" i="3"/>
  <c r="CL143" i="1" s="1"/>
  <c r="GC8" i="4" a="1"/>
  <c r="BP88" i="3"/>
  <c r="BG91" i="3"/>
  <c r="FN6" i="4" a="1"/>
  <c r="BG61" i="3"/>
  <c r="BP72" i="3"/>
  <c r="BO75" i="3"/>
  <c r="BK79" i="3"/>
  <c r="GX12" i="4" a="1"/>
  <c r="BB58" i="3"/>
  <c r="BR92" i="3"/>
  <c r="BM68" i="3"/>
  <c r="BO83" i="3"/>
  <c r="HA6" i="4" a="1"/>
  <c r="GT8" i="4" a="1"/>
  <c r="BM49" i="3"/>
  <c r="BE78" i="3"/>
  <c r="BR77" i="3"/>
  <c r="BM55" i="3"/>
  <c r="GU7" i="4" a="1"/>
  <c r="BP56" i="3"/>
  <c r="BR67" i="3"/>
  <c r="FR15" i="4" a="1"/>
  <c r="FT9" i="4" a="1"/>
  <c r="GA14" i="4" a="1"/>
  <c r="BJ95" i="3"/>
  <c r="BR61" i="3"/>
  <c r="BM75" i="3"/>
  <c r="BM59" i="3"/>
  <c r="BU71" i="3"/>
  <c r="BK69" i="3"/>
  <c r="FW9" i="4" a="1"/>
  <c r="GX13" i="4" a="1"/>
  <c r="FS16" i="4" a="1"/>
  <c r="HC13" i="4" a="1"/>
  <c r="FU16" i="4" a="1"/>
  <c r="GX16" i="4" a="1"/>
  <c r="GM16" i="4" a="1"/>
  <c r="BE57" i="3"/>
  <c r="BF67" i="3"/>
  <c r="FY9" i="4" a="1"/>
  <c r="FP14" i="4" a="1"/>
  <c r="GG13" i="4" a="1"/>
  <c r="BN96" i="3"/>
  <c r="FZ6" i="4" a="1"/>
  <c r="FX8" i="4" a="1"/>
  <c r="FU13" i="4" a="1"/>
  <c r="GU16" i="4" a="1"/>
  <c r="BD81" i="3"/>
  <c r="BC96" i="3"/>
  <c r="GX15" i="4" a="1"/>
  <c r="BA78" i="3"/>
  <c r="BT58" i="3"/>
  <c r="GQ5" i="4" a="1"/>
  <c r="GV14" i="4" a="1"/>
  <c r="FI14" i="4" a="1"/>
  <c r="HC15" i="4" a="1"/>
  <c r="HA16" i="4" a="1"/>
  <c r="FW14" i="4" a="1"/>
  <c r="BB78" i="3"/>
  <c r="BU89" i="3"/>
  <c r="BJ65" i="3"/>
  <c r="GP8" i="4" a="1"/>
  <c r="GI7" i="4" a="1"/>
  <c r="HH8" i="4" a="1"/>
  <c r="BB70" i="3"/>
  <c r="FG12" i="4" a="1"/>
  <c r="FT15" i="4" a="1"/>
  <c r="GK5" i="4" a="1"/>
  <c r="BE56" i="3"/>
  <c r="BG65" i="3"/>
  <c r="BS80" i="3"/>
  <c r="BF62" i="3"/>
  <c r="CL148" i="1" s="1"/>
  <c r="GM8" i="4" a="1"/>
  <c r="FJ12" i="4" a="1"/>
  <c r="FM13" i="4" a="1"/>
  <c r="FQ7" i="4" a="1"/>
  <c r="BE82" i="3"/>
  <c r="BS83" i="3"/>
  <c r="GB13" i="4" a="1"/>
  <c r="BR56" i="3"/>
  <c r="BO59" i="3"/>
  <c r="BI50" i="3"/>
  <c r="BH86" i="3"/>
  <c r="BM70" i="3"/>
  <c r="HH6" i="4" a="1"/>
  <c r="BG81" i="3"/>
  <c r="BT77" i="3"/>
  <c r="BG69" i="3"/>
  <c r="BO65" i="3"/>
  <c r="GB5" i="4" a="1"/>
  <c r="GC12" i="4" a="1"/>
  <c r="BB66" i="3"/>
  <c r="BT50" i="3"/>
  <c r="BJ59" i="3"/>
  <c r="BM94" i="3"/>
  <c r="BE69" i="3"/>
  <c r="GT5" i="4" a="1"/>
  <c r="FX16" i="4" a="1"/>
  <c r="BM76" i="3"/>
  <c r="BI94" i="3"/>
  <c r="BJ62" i="3"/>
  <c r="FJ11" i="4" a="1"/>
  <c r="BB69" i="3"/>
  <c r="GQ6" i="4" a="1"/>
  <c r="GR12" i="4" a="1"/>
  <c r="GI14" i="4" a="1"/>
  <c r="GU11" i="4" a="1"/>
  <c r="GF14" i="4" a="1"/>
  <c r="BB74" i="3"/>
  <c r="BR76" i="3"/>
  <c r="BK57" i="3"/>
  <c r="GG12" i="4" a="1"/>
  <c r="GZ14" i="4" a="1"/>
  <c r="GC11" i="4" a="1"/>
  <c r="HE14" i="4" a="1"/>
  <c r="GS16" i="4" a="1"/>
  <c r="FY11" i="4" a="1"/>
  <c r="BC77" i="3"/>
  <c r="BF49" i="3"/>
  <c r="CL97" i="1" s="1"/>
  <c r="GC7" i="4" a="1"/>
  <c r="FL8" i="4" a="1"/>
  <c r="HF14" i="4" a="1"/>
  <c r="BF73" i="3"/>
  <c r="FO5" i="4" a="1"/>
  <c r="FJ15" i="4" a="1"/>
  <c r="GH15" i="4" a="1"/>
  <c r="GY12" i="4" a="1"/>
  <c r="FQ11" i="4" a="1"/>
  <c r="BH71" i="3"/>
  <c r="BT95" i="3"/>
  <c r="FG6" i="4" a="1"/>
  <c r="FV6" i="4" a="1"/>
  <c r="FY7" i="4" a="1"/>
  <c r="FY16" i="4" a="1"/>
  <c r="BC84" i="3"/>
  <c r="BC87" i="3"/>
  <c r="BF88" i="3"/>
  <c r="CL151" i="1" s="1"/>
  <c r="BR47" i="3"/>
  <c r="BK75" i="3"/>
  <c r="FH7" i="4" a="1"/>
  <c r="FH12" i="4" a="1"/>
  <c r="HD13" i="4" a="1"/>
  <c r="FO11" i="4" a="1"/>
  <c r="GX6" i="4" a="1"/>
  <c r="BB84" i="3"/>
  <c r="BS69" i="3"/>
  <c r="BJ80" i="3"/>
  <c r="FV11" i="4" a="1"/>
  <c r="FL13" i="4" a="1"/>
  <c r="GI15" i="4" a="1"/>
  <c r="GS8" i="4" a="1"/>
  <c r="BB50" i="3"/>
  <c r="BS61" i="3"/>
  <c r="BJ96" i="3"/>
  <c r="GS5" i="4" a="1"/>
  <c r="FQ13" i="4" a="1"/>
  <c r="FX15" i="4" a="1"/>
  <c r="GG6" i="4" a="1"/>
  <c r="BB55" i="3"/>
  <c r="BS57" i="3"/>
  <c r="GA9" i="4" a="1"/>
  <c r="BE62" i="3"/>
  <c r="BS85" i="3"/>
  <c r="BB89" i="3"/>
  <c r="BI89" i="3"/>
  <c r="BK72" i="3"/>
  <c r="BT82" i="3"/>
  <c r="BS48" i="3"/>
  <c r="FU7" i="4" a="1"/>
  <c r="FL15" i="4" a="1"/>
  <c r="BB83" i="3"/>
  <c r="BO67" i="3"/>
  <c r="BA90" i="3"/>
  <c r="BB59" i="3"/>
  <c r="BS63" i="3"/>
  <c r="BI87" i="3"/>
  <c r="GG8" i="4" a="1"/>
  <c r="GV16" i="4" a="1"/>
  <c r="BF71" i="3"/>
  <c r="BJ73" i="3"/>
  <c r="GV6" i="4" a="1"/>
  <c r="BH64" i="3"/>
  <c r="BN90" i="3"/>
  <c r="GR7" i="4" a="1"/>
  <c r="GH12" i="4" a="1"/>
  <c r="GL12" i="4" a="1"/>
  <c r="FX11" i="4" a="1"/>
  <c r="HF11" i="4" a="1"/>
  <c r="BH68" i="3"/>
  <c r="FM5" i="4" a="1"/>
  <c r="FZ7" i="4" a="1"/>
  <c r="FS15" i="4" a="1"/>
  <c r="BC92" i="3"/>
  <c r="HB12" i="4" a="1"/>
  <c r="GZ11" i="4" a="1"/>
  <c r="FK11" i="4" a="1"/>
  <c r="BG62" i="3"/>
  <c r="GR8" i="4" a="1"/>
  <c r="FL7" i="4" a="1"/>
  <c r="GC13" i="4" a="1"/>
  <c r="BF66" i="3"/>
  <c r="CL175" i="1" s="1"/>
  <c r="HA7" i="4" a="1"/>
  <c r="HH5" i="4" a="1"/>
  <c r="FH16" i="4" a="1"/>
  <c r="BC73" i="3"/>
  <c r="GU9" i="4" a="1"/>
  <c r="GH14" i="4" a="1"/>
  <c r="BB77" i="3"/>
  <c r="BN56" i="3"/>
  <c r="HE8" i="4" a="1"/>
  <c r="GV8" i="4" a="1"/>
  <c r="HA13" i="4" a="1"/>
  <c r="GW16" i="4" a="1"/>
  <c r="BC74" i="3"/>
  <c r="BD63" i="3"/>
  <c r="BI73" i="3"/>
  <c r="BK65" i="3"/>
  <c r="FZ9" i="4" a="1"/>
  <c r="FJ13" i="4" a="1"/>
  <c r="GG15" i="4" a="1"/>
  <c r="GF12" i="4" a="1"/>
  <c r="FP6" i="4" a="1"/>
  <c r="BG74" i="3"/>
  <c r="BJ67" i="3"/>
  <c r="GO9" i="4" a="1"/>
  <c r="GT7" i="4" a="1"/>
  <c r="GC16" i="4" a="1"/>
  <c r="GI8" i="4" a="1"/>
  <c r="BJ71" i="3"/>
  <c r="FI5" i="4" a="1"/>
  <c r="FM8" i="4" a="1"/>
  <c r="FI11" i="4" a="1"/>
  <c r="BG93" i="3"/>
  <c r="BI96" i="3"/>
  <c r="BU79" i="3"/>
  <c r="BN50" i="3"/>
  <c r="FW6" i="4" a="1"/>
  <c r="GV15" i="4" a="1"/>
  <c r="BU86" i="3"/>
  <c r="BA89" i="3"/>
  <c r="BH77" i="3"/>
  <c r="BS60" i="3"/>
  <c r="HD8" i="4" a="1"/>
  <c r="GD14" i="4" a="1"/>
  <c r="BF80" i="3"/>
  <c r="CL183" i="1" s="1"/>
  <c r="BT47" i="3"/>
  <c r="GP5" i="4" a="1"/>
  <c r="BU48" i="3"/>
  <c r="HG13" i="4" a="1"/>
  <c r="GJ13" i="4" a="1"/>
  <c r="HC14" i="4" a="1"/>
  <c r="GZ6" i="4" a="1"/>
  <c r="BT55" i="3"/>
  <c r="FM6" i="4" a="1"/>
  <c r="BV69" i="3"/>
  <c r="GK8" i="4" a="1"/>
  <c r="FV13" i="4" a="1"/>
  <c r="HF15" i="4" a="1"/>
  <c r="BC59" i="3"/>
  <c r="GF15" i="4" a="1"/>
  <c r="BC75" i="3"/>
  <c r="FV16" i="4" a="1"/>
  <c r="BJ88" i="3"/>
  <c r="BT94" i="3"/>
  <c r="FW15" i="4" a="1"/>
  <c r="FM14" i="4" a="1"/>
  <c r="BA67" i="3"/>
  <c r="BU72" i="3"/>
  <c r="BG84" i="3"/>
  <c r="GP9" i="4" a="1"/>
  <c r="GJ8" i="4" a="1"/>
  <c r="GJ16" i="4" a="1"/>
  <c r="BC89" i="3"/>
  <c r="BD84" i="3"/>
  <c r="HG16" i="4" a="1"/>
  <c r="BQ71" i="3"/>
  <c r="BE70" i="3"/>
  <c r="BF69" i="3"/>
  <c r="GA5" i="4" a="1"/>
  <c r="GE6" i="4" a="1"/>
  <c r="GJ15" i="4" a="1"/>
  <c r="GN13" i="4" a="1"/>
  <c r="BL50" i="3"/>
  <c r="GE13" i="4" a="1"/>
  <c r="BA74" i="3"/>
  <c r="BT59" i="3"/>
  <c r="HG5" i="4" a="1"/>
  <c r="FZ15" i="4" a="1"/>
  <c r="FL14" i="4" a="1"/>
  <c r="HE15" i="4" a="1"/>
  <c r="BO80" i="3"/>
  <c r="GU14" i="4" a="1"/>
  <c r="FH9" i="4" a="1"/>
  <c r="BR84" i="3"/>
  <c r="BK67" i="3"/>
  <c r="HD7" i="4" a="1"/>
  <c r="FM12" i="4" a="1"/>
  <c r="BC55" i="3"/>
  <c r="FK9" i="4" a="1"/>
  <c r="BS54" i="3"/>
  <c r="BD82" i="3"/>
  <c r="BR80" i="3"/>
  <c r="BK85" i="3"/>
  <c r="FU8" i="4" a="1"/>
  <c r="FP12" i="4" a="1"/>
  <c r="FR14" i="4" a="1"/>
  <c r="GO14" i="4" a="1"/>
  <c r="BD70" i="3"/>
  <c r="BR69" i="3"/>
  <c r="HB16" i="4" a="1"/>
  <c r="BG77" i="3"/>
  <c r="BU81" i="3"/>
  <c r="BJ77" i="3"/>
  <c r="FT5" i="4" a="1"/>
  <c r="GT15" i="4" a="1"/>
  <c r="BC70" i="3"/>
  <c r="GG9" i="4" a="1"/>
  <c r="BD76" i="3"/>
  <c r="BV78" i="3"/>
  <c r="FP8" i="4" a="1"/>
  <c r="FR16" i="4" a="1"/>
  <c r="BP58" i="3"/>
  <c r="BU97" i="3"/>
  <c r="BI88" i="3"/>
  <c r="BS72" i="3"/>
  <c r="BJ72" i="3"/>
  <c r="GJ5" i="4" a="1"/>
  <c r="GQ14" i="4" a="1"/>
  <c r="BM92" i="3"/>
  <c r="BR58" i="3"/>
  <c r="BT54" i="3"/>
  <c r="BK87" i="3"/>
  <c r="GT9" i="4" a="1"/>
  <c r="BB82" i="3"/>
  <c r="BP55" i="3"/>
  <c r="GB9" i="4" a="1"/>
  <c r="GL11" i="4" a="1"/>
  <c r="GU15" i="4" a="1"/>
  <c r="HA8" i="4" a="1"/>
  <c r="BH69" i="3"/>
  <c r="BD78" i="3"/>
  <c r="BI95" i="3"/>
  <c r="BI81" i="3"/>
  <c r="BA97" i="3"/>
  <c r="BP62" i="3"/>
  <c r="GB12" i="4" a="1"/>
  <c r="FS12" i="4" a="1"/>
  <c r="BD73" i="3"/>
  <c r="BR78" i="3"/>
  <c r="BB61" i="3"/>
  <c r="BU96" i="3"/>
  <c r="GT13" i="4" a="1"/>
  <c r="BU47" i="3"/>
  <c r="BN79" i="3"/>
  <c r="FK15" i="4" a="1"/>
  <c r="GW8" i="4" a="1"/>
  <c r="BE58" i="3"/>
  <c r="GW12" i="4" a="1"/>
  <c r="GS12" i="4" a="1"/>
  <c r="GO16" i="4" a="1"/>
  <c r="HE9" i="4" a="1"/>
  <c r="BJ91" i="3"/>
  <c r="GF9" i="4" a="1"/>
  <c r="BP85" i="3"/>
  <c r="HG6" i="4" a="1"/>
  <c r="GM9" i="4" a="1"/>
  <c r="HH16" i="4" a="1"/>
  <c r="BD56" i="3"/>
  <c r="GH16" i="4" a="1"/>
  <c r="BC62" i="3"/>
  <c r="BJ58" i="3"/>
  <c r="GB7" i="4" a="1"/>
  <c r="BG55" i="3"/>
  <c r="HB6" i="4" a="1"/>
  <c r="GS11" i="4" a="1"/>
  <c r="GJ11" i="4" a="1"/>
  <c r="BD64" i="3"/>
  <c r="BD72" i="3"/>
  <c r="BA48" i="3"/>
  <c r="BU75" i="3"/>
  <c r="HB9" i="4" a="1"/>
  <c r="HG8" i="4" a="1"/>
  <c r="GL16" i="4" a="1"/>
  <c r="BC86" i="3"/>
  <c r="HB5" i="4" a="1"/>
  <c r="BC90" i="3"/>
  <c r="BN68" i="3"/>
  <c r="GX11" i="4" a="1"/>
  <c r="GR9" i="4" a="1"/>
  <c r="FJ14" i="4" a="1"/>
  <c r="GY16" i="4" a="1"/>
  <c r="GP11" i="4" a="1"/>
  <c r="BE76" i="3"/>
  <c r="BI75" i="3"/>
  <c r="BT88" i="3"/>
  <c r="GI5" i="4" a="1"/>
  <c r="FM11" i="4" a="1"/>
  <c r="BR83" i="3"/>
  <c r="BA94" i="3"/>
  <c r="BR82" i="3"/>
  <c r="GY5" i="4" a="1"/>
  <c r="BA81" i="3"/>
  <c r="BI86" i="3"/>
  <c r="BT75" i="3"/>
  <c r="BF77" i="3"/>
  <c r="CL164" i="1" s="1"/>
  <c r="GU8" i="4" a="1"/>
  <c r="HD9" i="4" a="1"/>
  <c r="BF65" i="3"/>
  <c r="CL174" i="1" s="1"/>
  <c r="BJ82" i="3"/>
  <c r="FO7" i="4" a="1"/>
  <c r="GU13" i="4" a="1"/>
  <c r="GY9" i="4" a="1"/>
  <c r="FX13" i="4" a="1"/>
  <c r="GM14" i="4" a="1"/>
  <c r="GR11" i="4" a="1"/>
  <c r="FT8" i="4" a="1"/>
  <c r="FN13" i="4" a="1"/>
  <c r="GQ9" i="4" a="1"/>
  <c r="BD77" i="3"/>
  <c r="HE7" i="4" a="1"/>
  <c r="BD65" i="3"/>
  <c r="BS73" i="3"/>
  <c r="BM90" i="3"/>
  <c r="BU82" i="3"/>
  <c r="BJ92" i="3"/>
  <c r="FU14" i="4" a="1"/>
  <c r="BJ83" i="3"/>
  <c r="BS77" i="3"/>
  <c r="BJ68" i="3"/>
  <c r="GN8" i="4" a="1"/>
  <c r="GU12" i="4" a="1"/>
  <c r="HG14" i="4" a="1"/>
  <c r="BD69" i="3"/>
  <c r="BI91" i="3"/>
  <c r="GL6" i="4" a="1"/>
  <c r="BT80" i="3"/>
  <c r="BI63" i="3"/>
  <c r="GS9" i="4" a="1"/>
  <c r="GV5" i="4" a="1"/>
  <c r="FH13" i="4" a="1"/>
  <c r="BD47" i="3"/>
  <c r="FQ5" i="4" a="1"/>
  <c r="BA55" i="3"/>
  <c r="BF55" i="3"/>
  <c r="FH5" i="4" a="1"/>
  <c r="FZ8" i="4" a="1"/>
  <c r="GL15" i="4" a="1"/>
  <c r="FS14" i="4" a="1"/>
  <c r="GP13" i="4" a="1"/>
  <c r="BH88" i="3"/>
  <c r="BN77" i="3"/>
  <c r="FG9" i="4" a="1"/>
  <c r="GF7" i="4" a="1"/>
  <c r="FQ9" i="4" a="1"/>
  <c r="BD67" i="3"/>
  <c r="FI16" i="4" a="1"/>
  <c r="GM13" i="4" a="1"/>
  <c r="BN89" i="3"/>
  <c r="GH6" i="4" a="1"/>
  <c r="FG8" i="4" a="1"/>
  <c r="GL9" i="4" a="1"/>
  <c r="GE16" i="4" a="1"/>
  <c r="GK16" i="4" a="1"/>
  <c r="BN67" i="3"/>
  <c r="BD87" i="3"/>
  <c r="BC60" i="3"/>
  <c r="BT56" i="3"/>
  <c r="GR5" i="4" a="1"/>
  <c r="FN5" i="4" a="1"/>
  <c r="BC88" i="3"/>
  <c r="GR6" i="4" a="1"/>
  <c r="BR57" i="3"/>
  <c r="BI82" i="3"/>
  <c r="BF57" i="3"/>
  <c r="CL142" i="1" s="1"/>
  <c r="BA54" i="3"/>
  <c r="BT66" i="3"/>
  <c r="HC6" i="4" a="1"/>
  <c r="BA91" i="3"/>
  <c r="BH94" i="3"/>
  <c r="BT70" i="3"/>
  <c r="FY8" i="4" a="1"/>
  <c r="FS11" i="4" a="1"/>
  <c r="BH72" i="3"/>
  <c r="BB80" i="3"/>
  <c r="GZ8" i="4" a="1"/>
  <c r="GN14" i="4" a="1"/>
  <c r="BJ55" i="3"/>
  <c r="HG7" i="4" a="1"/>
  <c r="FK12" i="4" a="1"/>
  <c r="BC95" i="3"/>
  <c r="GG16" i="4" a="1"/>
  <c r="BD71" i="3"/>
  <c r="GA12" i="4" a="1"/>
  <c r="BF47" i="3"/>
  <c r="GC14" i="4" a="1"/>
  <c r="GK11" i="4" a="1"/>
  <c r="GL14" i="4" a="1"/>
  <c r="BC48" i="3"/>
  <c r="FU11" i="4" a="1"/>
  <c r="BD80" i="3"/>
  <c r="GJ9" i="4" a="1"/>
  <c r="BB48" i="3"/>
  <c r="BR64" i="3"/>
  <c r="BK77" i="3"/>
  <c r="FI8" i="4" a="1"/>
  <c r="GT14" i="4" a="1"/>
  <c r="BB94" i="3"/>
  <c r="BU83" i="3"/>
  <c r="BJ94" i="3"/>
  <c r="FO15" i="4" a="1"/>
  <c r="GZ13" i="4" a="1"/>
  <c r="HF6" i="4" a="1"/>
  <c r="BB93" i="3"/>
  <c r="HF7" i="4" a="1"/>
  <c r="GO12" i="4" a="1"/>
  <c r="BO79" i="3"/>
  <c r="BF68" i="3"/>
  <c r="CL158" i="1" s="1"/>
  <c r="FX7" i="4" a="1"/>
  <c r="GV11" i="4" a="1"/>
  <c r="FN12" i="4" a="1"/>
  <c r="BD91" i="3"/>
  <c r="FR12" i="4" a="1"/>
  <c r="BI76" i="3"/>
  <c r="BF93" i="3"/>
  <c r="GE8" i="4" a="1"/>
  <c r="FP7" i="4" a="1"/>
  <c r="FL16" i="4" a="1"/>
  <c r="BC64" i="3"/>
  <c r="BK62" i="3"/>
  <c r="HB8" i="4" a="1"/>
  <c r="BN70" i="3"/>
  <c r="GJ12" i="4" a="1"/>
  <c r="FN11" i="4" a="1"/>
  <c r="FO14" i="4" a="1"/>
  <c r="HE16" i="4" a="1"/>
  <c r="FV8" i="4" a="1"/>
  <c r="BN69" i="3"/>
  <c r="HE12" i="4" a="1"/>
  <c r="GF11" i="4" a="1"/>
  <c r="FZ14" i="4" a="1"/>
  <c r="HC16" i="4" a="1"/>
  <c r="BC91" i="3"/>
  <c r="BN85" i="3"/>
  <c r="BN80" i="3"/>
  <c r="GB8" i="4" a="1"/>
  <c r="GU5" i="4" a="1"/>
  <c r="BD55" i="3"/>
  <c r="GE12" i="4" a="1"/>
  <c r="FK13" i="4" a="1"/>
  <c r="FO16" i="4" a="1"/>
  <c r="BF75" i="3"/>
  <c r="FV5" i="4" a="1"/>
  <c r="GD9" i="4" a="1"/>
  <c r="BK80" i="3"/>
  <c r="GQ15" i="4" a="1"/>
  <c r="GH5" i="4" a="1"/>
  <c r="GP15" i="4" a="1"/>
  <c r="BC54" i="3"/>
  <c r="BI47" i="3"/>
  <c r="BD79" i="3"/>
  <c r="BN91" i="3"/>
  <c r="GQ13" i="4" a="1"/>
  <c r="GR14" i="4" a="1"/>
  <c r="GZ15" i="4" a="1"/>
  <c r="GS15" i="4" a="1"/>
  <c r="BF86" i="3"/>
  <c r="HG11" i="4" a="1"/>
  <c r="BA70" i="3"/>
  <c r="BR81" i="3"/>
  <c r="BT72" i="3"/>
  <c r="BF76" i="3"/>
  <c r="FP5" i="4" a="1"/>
  <c r="BE63" i="3"/>
  <c r="BP65" i="3"/>
  <c r="FM7" i="4" a="1"/>
  <c r="BN71" i="3"/>
  <c r="BJ86" i="3"/>
  <c r="BT86" i="3"/>
  <c r="HH7" i="4" a="1"/>
  <c r="FO12" i="4" a="1"/>
  <c r="BK50" i="3"/>
  <c r="BA77" i="3"/>
  <c r="BO91" i="3"/>
  <c r="FT12" i="4" a="1"/>
  <c r="GS6" i="4" a="1"/>
  <c r="BK81" i="3"/>
  <c r="FI12" i="4" a="1"/>
  <c r="FP15" i="4" a="1"/>
  <c r="BC61" i="3"/>
  <c r="BC78" i="3"/>
  <c r="BD59" i="3"/>
  <c r="BE67" i="3"/>
  <c r="FK6" i="4" a="1"/>
  <c r="GM12" i="4" a="1"/>
  <c r="FH15" i="4" a="1"/>
  <c r="GN11" i="4" a="1"/>
  <c r="HB14" i="4" a="1"/>
  <c r="BJ75" i="3"/>
  <c r="BD93" i="3"/>
  <c r="BP49" i="3"/>
  <c r="BK56" i="3"/>
  <c r="HA5" i="4" a="1"/>
  <c r="GS7" i="4" a="1"/>
  <c r="BR72" i="3"/>
  <c r="BK88" i="3"/>
  <c r="HE5" i="4" a="1"/>
  <c r="HB11" i="4" a="1"/>
  <c r="GK13" i="4" a="1"/>
  <c r="BA65" i="3"/>
  <c r="FW5" i="4" a="1"/>
  <c r="FV7" i="4" a="1"/>
  <c r="BF84" i="3"/>
  <c r="CL170" i="1" s="1"/>
  <c r="BS93" i="3"/>
  <c r="BJ70" i="3"/>
  <c r="FJ9" i="4" a="1"/>
  <c r="HC12" i="4" a="1"/>
  <c r="FI15" i="4" a="1"/>
  <c r="BD68" i="3"/>
  <c r="FT13" i="4" a="1"/>
  <c r="BA96" i="3"/>
  <c r="BU76" i="3"/>
  <c r="BH97" i="3"/>
  <c r="GB11" i="4" a="1"/>
  <c r="GV9" i="4" a="1"/>
  <c r="GN16" i="4" a="1"/>
  <c r="GP14" i="4" a="1"/>
  <c r="BK93" i="3"/>
  <c r="GN15" i="4" a="1"/>
  <c r="BD60" i="3"/>
  <c r="FK5" i="4" a="1"/>
  <c r="GY7" i="4" a="1"/>
  <c r="GX14" i="4" a="1"/>
  <c r="GN9" i="4" a="1"/>
  <c r="BR59" i="3"/>
  <c r="HA11" i="4" a="1"/>
  <c r="BN61" i="3"/>
  <c r="BR60" i="3"/>
  <c r="BT79" i="3"/>
  <c r="BO62" i="3"/>
  <c r="GY6" i="4" a="1"/>
  <c r="FK8" i="4" a="1"/>
  <c r="BN83" i="3"/>
  <c r="BA85" i="3"/>
  <c r="BI58" i="3"/>
  <c r="BN82" i="3"/>
  <c r="GI9" i="4" a="1"/>
  <c r="FI13" i="4" a="1"/>
  <c r="BR71" i="3"/>
  <c r="BS78" i="3"/>
  <c r="GA7" i="4" a="1"/>
  <c r="FH11" i="4" a="1"/>
  <c r="BS95" i="3"/>
  <c r="GL7" i="4" a="1"/>
  <c r="HD15" i="4" a="1"/>
  <c r="BC76" i="3"/>
  <c r="GS13" i="4" a="1"/>
  <c r="BU59" i="3"/>
  <c r="BG63" i="3"/>
  <c r="GM6" i="4" a="1"/>
  <c r="GO13" i="4" a="1"/>
  <c r="HG12" i="4" a="1"/>
  <c r="GP12" i="4" a="1"/>
  <c r="FY15" i="4" a="1"/>
  <c r="FY5" i="4" a="1"/>
  <c r="GH9" i="4" a="1"/>
  <c r="BA80" i="3"/>
  <c r="FS5" i="4" a="1"/>
  <c r="GD13" i="4" a="1"/>
  <c r="FK7" i="4" a="1"/>
  <c r="BP59" i="3"/>
  <c r="GW7" i="4" a="1"/>
  <c r="HD12" i="4" a="1"/>
  <c r="FU15" i="4" a="1"/>
  <c r="BC79" i="3"/>
  <c r="HC9" i="4" a="1"/>
  <c r="GU6" i="4" a="1"/>
  <c r="BB87" i="3"/>
  <c r="BU77" i="3"/>
  <c r="BJ57" i="3"/>
  <c r="FI7" i="4" a="1"/>
  <c r="FN7" i="4" a="1"/>
  <c r="GD8" i="4" a="1"/>
  <c r="GT12" i="4" a="1"/>
  <c r="FU12" i="4" a="1"/>
  <c r="BK68" i="3"/>
  <c r="BT84" i="3"/>
  <c r="FG5" i="4" a="1"/>
  <c r="FR8" i="4" a="1"/>
  <c r="FN14" i="4" a="1"/>
  <c r="GW11" i="4" a="1"/>
  <c r="GE7" i="4" a="1"/>
  <c r="BU70" i="3"/>
  <c r="BC67" i="3"/>
  <c r="HC8" i="4" a="1"/>
  <c r="FJ8" i="4" a="1"/>
  <c r="FN16" i="4" a="1"/>
  <c r="GA13" i="4" a="1"/>
  <c r="FY13" i="4" a="1"/>
  <c r="BC81" i="3"/>
  <c r="HC5" i="4" a="1"/>
  <c r="GA8" i="4" a="1"/>
  <c r="FP16" i="4" a="1"/>
  <c r="BC83" i="3"/>
  <c r="BN75" i="3"/>
  <c r="BO69" i="3"/>
  <c r="HD6" i="4" a="1"/>
  <c r="FR5" i="4" a="1"/>
  <c r="BF50" i="3"/>
  <c r="CL98" i="1" s="1"/>
  <c r="GI12" i="4" a="1"/>
  <c r="BR93" i="3"/>
  <c r="BH91" i="3"/>
  <c r="GD7" i="4" a="1"/>
  <c r="FT11" i="4" a="1"/>
  <c r="GR16" i="4" a="1"/>
  <c r="FX5" i="4" a="1"/>
  <c r="GJ7" i="4" a="1"/>
  <c r="BE89" i="3"/>
  <c r="BO58" i="3"/>
  <c r="BU58" i="3"/>
  <c r="BI68" i="3"/>
  <c r="FL12" i="4" a="1"/>
  <c r="BC82" i="3"/>
  <c r="BI67" i="3"/>
  <c r="BN47" i="3"/>
  <c r="GX7" i="4" a="1"/>
  <c r="GT11" i="4" a="1"/>
  <c r="BE77" i="3"/>
  <c r="GJ6" i="4" a="1"/>
  <c r="GA11" i="4" a="1"/>
  <c r="BU62" i="3"/>
  <c r="GE15" i="4" a="1"/>
  <c r="GZ12" i="4" a="1"/>
  <c r="GD16" i="4" a="1"/>
  <c r="BD66" i="3"/>
  <c r="GI16" i="4" a="1"/>
  <c r="BP73" i="3"/>
  <c r="BJ84" i="3"/>
  <c r="FS13" i="4" a="1"/>
  <c r="GQ11" i="4" a="1"/>
  <c r="FN15" i="4" a="1"/>
  <c r="GW13" i="4" a="1"/>
  <c r="FP13" i="4" a="1"/>
  <c r="FZ13" i="4" a="1"/>
  <c r="FW7" i="4" a="1"/>
  <c r="BT60" i="3"/>
  <c r="GM5" i="4" a="1"/>
  <c r="HC7" i="4" a="1"/>
  <c r="FU6" i="4" a="1"/>
  <c r="BA66" i="3"/>
  <c r="BT68" i="3"/>
  <c r="FL5" i="4" a="1"/>
  <c r="FX14" i="4" a="1"/>
  <c r="HF13" i="4" a="1"/>
  <c r="HA15" i="4" a="1"/>
  <c r="BD48" i="3"/>
  <c r="GP6" i="4" a="1"/>
  <c r="GD6" i="4" a="1"/>
  <c r="GV13" i="4" a="1"/>
  <c r="FG14" i="4" a="1"/>
  <c r="GG14" i="4" a="1"/>
  <c r="BF74" i="3"/>
  <c r="CL161" i="1" s="1"/>
  <c r="GV7" i="4" a="1"/>
  <c r="FK16" i="4" a="1"/>
  <c r="GF6" i="4" a="1"/>
  <c r="BC80" i="3"/>
  <c r="BH58" i="3"/>
  <c r="BT76" i="3"/>
  <c r="FS9" i="4" a="1"/>
  <c r="FI9" i="4" a="1"/>
  <c r="BB65" i="3"/>
  <c r="FL9" i="4" a="1"/>
  <c r="FH14" i="4" a="1"/>
  <c r="BC68" i="3"/>
  <c r="BA50" i="3"/>
  <c r="GD11" i="4" a="1"/>
  <c r="BD49" i="3"/>
  <c r="FH6" i="4" a="1"/>
  <c r="BI92" i="3"/>
  <c r="FZ5" i="4" a="1"/>
  <c r="FG15" i="4" a="1"/>
  <c r="BH63" i="3"/>
  <c r="BD95" i="3"/>
  <c r="BN86" i="3"/>
  <c r="GF5" i="4" a="1"/>
  <c r="GB6" i="4" a="1"/>
  <c r="FL6" i="4" a="1"/>
  <c r="BJ54" i="3"/>
  <c r="HF8" i="4" a="1"/>
  <c r="BT64" i="3"/>
  <c r="GO15" i="4" a="1"/>
  <c r="FP11" i="4" a="1"/>
  <c r="BH62" i="3"/>
  <c r="BB91" i="3"/>
  <c r="GQ7" i="4" a="1"/>
  <c r="GN6" i="4" a="1"/>
  <c r="FR13" i="4" a="1"/>
  <c r="BC57" i="3"/>
  <c r="BR50" i="3"/>
  <c r="GT16" i="4" a="1"/>
  <c r="BF95" i="3"/>
  <c r="CL188" i="1" s="1"/>
  <c r="HD5" i="4" a="1"/>
  <c r="GN5" i="4" a="1"/>
  <c r="FZ16" i="4" a="1"/>
  <c r="FK14" i="4" a="1"/>
  <c r="BC66" i="3"/>
  <c r="BK89" i="3"/>
  <c r="BF89" i="3"/>
  <c r="CL177" i="1" s="1"/>
  <c r="HB7" i="4" a="1"/>
  <c r="BM83" i="3"/>
  <c r="BT81" i="3"/>
  <c r="GT6" i="4" a="1"/>
  <c r="HF9" i="4" a="1"/>
  <c r="BC56" i="3"/>
  <c r="FY14" i="4" a="1"/>
  <c r="FH8" i="4" a="1"/>
  <c r="HH13" i="4" a="1"/>
  <c r="BB57" i="3"/>
  <c r="GI6" i="4" a="1"/>
  <c r="BF82" i="3"/>
  <c r="CL169" i="1" s="1"/>
  <c r="FN8" i="4" a="1"/>
  <c r="BU65" i="3"/>
  <c r="FT14" i="4" a="1"/>
  <c r="FG16" i="4" a="1"/>
  <c r="GZ7" i="4" a="1"/>
  <c r="GJ14" i="4" a="1"/>
  <c r="BK63" i="3"/>
  <c r="BT87" i="3"/>
  <c r="BO96" i="3"/>
  <c r="GA16" i="4" a="1"/>
  <c r="FO13" i="4" a="1"/>
  <c r="GK15" i="4" a="1"/>
  <c r="BT57" i="3"/>
  <c r="FT7" i="4" a="1"/>
  <c r="BH96" i="3"/>
  <c r="FS8" i="4" a="1"/>
  <c r="BR97" i="3"/>
  <c r="HH15" i="4" a="1"/>
  <c r="BK60" i="3"/>
  <c r="GM7" i="4" a="1"/>
  <c r="BT92" i="3"/>
  <c r="GA6" i="4" a="1"/>
  <c r="FM16" i="4" a="1"/>
  <c r="BC69" i="3"/>
  <c r="FR9" i="4" a="1"/>
  <c r="BS49" i="3"/>
  <c r="FW12" i="4" a="1"/>
  <c r="GW5" i="4" a="1"/>
  <c r="GD5" i="4" a="1"/>
  <c r="GG11" i="4" a="1"/>
  <c r="BF70" i="3"/>
  <c r="CL157" i="1" s="1"/>
  <c r="FX12" i="4" a="1"/>
  <c r="GK12" i="4" a="1"/>
  <c r="BC97" i="3"/>
  <c r="GX8" i="4" a="1"/>
  <c r="BC63" i="3"/>
  <c r="GH7" i="4" a="1"/>
  <c r="BJ93" i="3"/>
  <c r="GA15" i="4" a="1"/>
  <c r="HH11" i="4" a="1"/>
  <c r="GZ16" i="4" a="1"/>
  <c r="GO11" i="4" a="1"/>
  <c r="BA71" i="3"/>
  <c r="GF16" i="4" a="1"/>
  <c r="BE81" i="3"/>
  <c r="FJ16" i="4" a="1"/>
  <c r="HC11" i="4" a="1"/>
  <c r="BD58" i="3"/>
  <c r="BK47" i="3"/>
  <c r="FX9" i="4" a="1"/>
  <c r="GL8" i="4" a="1"/>
  <c r="BB71" i="3"/>
  <c r="BJ79" i="3"/>
  <c r="GD15" i="4" a="1"/>
  <c r="GR15" i="4" a="1"/>
  <c r="GD12" i="4" a="1"/>
  <c r="BA57" i="3"/>
  <c r="BP60" i="3"/>
  <c r="BU69" i="3" l="1"/>
  <c r="BE61" i="3"/>
  <c r="BH55" i="3"/>
  <c r="BP66" i="3"/>
  <c r="BG75" i="3"/>
  <c r="BG72" i="3"/>
  <c r="BU56" i="3"/>
  <c r="BP50" i="3"/>
  <c r="BO93" i="3"/>
  <c r="BU90" i="3"/>
  <c r="BU93" i="3"/>
  <c r="BG87" i="3"/>
  <c r="BS91" i="3"/>
  <c r="BK55" i="3"/>
  <c r="BU54" i="3"/>
  <c r="BE97" i="3"/>
  <c r="BU68" i="3"/>
  <c r="BM56" i="3"/>
  <c r="BK82" i="3"/>
  <c r="BP83" i="3"/>
  <c r="BV65" i="3"/>
  <c r="BS47" i="3"/>
  <c r="BO74" i="3"/>
  <c r="BE79" i="3"/>
  <c r="BU87" i="3"/>
  <c r="BI64" i="3"/>
  <c r="BK66" i="3"/>
  <c r="BS68" i="3"/>
  <c r="BO48" i="3"/>
  <c r="BG68" i="3"/>
  <c r="BS62" i="3"/>
  <c r="BO84" i="3"/>
  <c r="BS87" i="3"/>
  <c r="BH82" i="3"/>
  <c r="BO47" i="3"/>
  <c r="BS84" i="3"/>
  <c r="BI70" i="3"/>
  <c r="BI90" i="3"/>
  <c r="BU64" i="3"/>
  <c r="BK83" i="3"/>
  <c r="BO82" i="3"/>
  <c r="BO68" i="3"/>
  <c r="BE68" i="3"/>
  <c r="BE87" i="3"/>
  <c r="BG47" i="3"/>
  <c r="BK86" i="3"/>
  <c r="BK95" i="3"/>
  <c r="BI65" i="3"/>
  <c r="BG59" i="3"/>
  <c r="BI57" i="3"/>
  <c r="BO95" i="3"/>
  <c r="BE65" i="3"/>
  <c r="BP82" i="3"/>
  <c r="BG57" i="3"/>
  <c r="BI74" i="3"/>
  <c r="BI97" i="3"/>
  <c r="BK97" i="3"/>
  <c r="BO70" i="3"/>
  <c r="BI80" i="3"/>
  <c r="BP92" i="3"/>
  <c r="BG49" i="3"/>
  <c r="BE64" i="3"/>
  <c r="BP67" i="3"/>
  <c r="BS92" i="3"/>
  <c r="BP61" i="3"/>
  <c r="BS59" i="3"/>
  <c r="BG95" i="3"/>
  <c r="BM77" i="3"/>
  <c r="BO49" i="3"/>
  <c r="BS89" i="3"/>
  <c r="BP70" i="3"/>
  <c r="BO78" i="3"/>
  <c r="BG64" i="3"/>
  <c r="BM89" i="3"/>
  <c r="BO90" i="3"/>
  <c r="BG79" i="3"/>
  <c r="BH80" i="3"/>
  <c r="BE50" i="3"/>
  <c r="BP48" i="3"/>
  <c r="BO88" i="3"/>
  <c r="BG78" i="3"/>
  <c r="BM84" i="3"/>
  <c r="BS90" i="3"/>
  <c r="BM73" i="3"/>
  <c r="BM88" i="3"/>
  <c r="BH47" i="3"/>
  <c r="BH90" i="3"/>
  <c r="BM58" i="3"/>
  <c r="BS67" i="3"/>
  <c r="BS79" i="3"/>
  <c r="BP95" i="3"/>
  <c r="BG70" i="3"/>
  <c r="BS64" i="3"/>
  <c r="BO94" i="3"/>
  <c r="BH73" i="3"/>
  <c r="BG96" i="3"/>
  <c r="BG94" i="3"/>
  <c r="BE84" i="3"/>
  <c r="BE86" i="3"/>
  <c r="BM79" i="3"/>
  <c r="BM81" i="3"/>
  <c r="BM63" i="3"/>
  <c r="BH54" i="3"/>
  <c r="BO73" i="3"/>
  <c r="BE73" i="3"/>
  <c r="BP47" i="3"/>
  <c r="BH89" i="3"/>
  <c r="BH78" i="3"/>
  <c r="BO54" i="3"/>
  <c r="BH84" i="3"/>
  <c r="BE91" i="3"/>
  <c r="BV73" i="3"/>
  <c r="BL64" i="3"/>
  <c r="BQ57" i="3"/>
  <c r="BQ64" i="3"/>
  <c r="BP89" i="3"/>
  <c r="BE54" i="3"/>
  <c r="BG90" i="3"/>
  <c r="BP54" i="3"/>
  <c r="BE66" i="3"/>
  <c r="BH83" i="3"/>
  <c r="BE80" i="3"/>
  <c r="BQ50" i="3"/>
  <c r="BQ56" i="3"/>
  <c r="BL66" i="3"/>
  <c r="BV83" i="3"/>
  <c r="BL84" i="3"/>
  <c r="BL92" i="3"/>
  <c r="BV54" i="3"/>
  <c r="BQ93" i="3"/>
  <c r="BL86" i="3"/>
  <c r="BL58" i="3"/>
  <c r="BV56" i="3"/>
  <c r="BQ49" i="3"/>
  <c r="BQ84" i="3"/>
  <c r="BL56" i="3"/>
  <c r="BV88" i="3"/>
  <c r="BQ55" i="3"/>
  <c r="BL69" i="3"/>
  <c r="BV76" i="3"/>
  <c r="BQ97" i="3"/>
  <c r="BV55" i="3"/>
  <c r="BQ73" i="3"/>
  <c r="BQ69" i="3"/>
  <c r="BQ91" i="3"/>
  <c r="BQ92" i="3"/>
  <c r="BQ89" i="3"/>
  <c r="BL91" i="3"/>
  <c r="BV93" i="3"/>
  <c r="BL90" i="3"/>
  <c r="BQ85" i="3"/>
  <c r="BV57" i="3"/>
  <c r="BL63" i="3"/>
  <c r="BV71" i="3"/>
  <c r="BL76" i="3"/>
  <c r="BL88" i="3"/>
  <c r="BL83" i="3"/>
  <c r="BV75" i="3"/>
  <c r="BL65" i="3"/>
  <c r="BV91" i="3"/>
  <c r="BQ76" i="3"/>
  <c r="BL93" i="3"/>
  <c r="BQ74" i="3"/>
  <c r="BL61" i="3"/>
  <c r="BV58" i="3"/>
  <c r="BL57" i="3"/>
  <c r="BL89" i="3"/>
  <c r="BV72" i="3"/>
  <c r="BL78" i="3"/>
  <c r="BV89" i="3"/>
  <c r="BQ54" i="3"/>
  <c r="BQ80" i="3"/>
  <c r="BQ60" i="3"/>
  <c r="BQ83" i="3"/>
  <c r="BV70" i="3"/>
  <c r="BL67" i="3"/>
  <c r="BV74" i="3"/>
  <c r="BL48" i="3"/>
  <c r="BV67" i="3"/>
  <c r="BQ70" i="3"/>
  <c r="BL73" i="3"/>
  <c r="BQ58" i="3"/>
  <c r="BQ96" i="3"/>
  <c r="BL74" i="3"/>
  <c r="BL62" i="3"/>
  <c r="BV68" i="3"/>
  <c r="BV97" i="3"/>
  <c r="BL95" i="3"/>
  <c r="BQ66" i="3"/>
  <c r="BL96" i="3"/>
  <c r="BV49" i="3"/>
  <c r="BV62" i="3"/>
  <c r="BV63" i="3"/>
  <c r="BL55" i="3"/>
  <c r="BQ47" i="3"/>
  <c r="BV77" i="3"/>
  <c r="BV94" i="3"/>
  <c r="BV50" i="3"/>
  <c r="BQ95" i="3"/>
  <c r="BL80" i="3"/>
  <c r="BV90" i="3"/>
  <c r="BV92" i="3"/>
  <c r="BL82" i="3"/>
  <c r="BQ61" i="3"/>
  <c r="BQ94" i="3"/>
  <c r="BQ77" i="3"/>
  <c r="BQ78" i="3"/>
  <c r="BQ90" i="3"/>
  <c r="BV82" i="3"/>
  <c r="BV64" i="3"/>
  <c r="BQ88" i="3"/>
  <c r="BQ75" i="3"/>
  <c r="BQ65" i="3"/>
  <c r="BQ87" i="3"/>
  <c r="BL81" i="3"/>
  <c r="BL68" i="3"/>
  <c r="BV85" i="3"/>
  <c r="BL72" i="3"/>
  <c r="BL77" i="3"/>
  <c r="BV59" i="3"/>
  <c r="BL70" i="3"/>
  <c r="BL94" i="3"/>
  <c r="BV87" i="3"/>
  <c r="BQ48" i="3"/>
  <c r="BQ81" i="3"/>
  <c r="BL75" i="3"/>
  <c r="BL59" i="3"/>
  <c r="BL87" i="3"/>
  <c r="BQ68" i="3"/>
  <c r="BQ59" i="3"/>
  <c r="BL60" i="3"/>
  <c r="BL49" i="3"/>
  <c r="BV81" i="3"/>
  <c r="BV47" i="3"/>
  <c r="BQ82" i="3"/>
  <c r="BV79" i="3"/>
  <c r="BL79" i="3"/>
  <c r="BL54" i="3"/>
  <c r="BV60" i="3"/>
  <c r="BV66" i="3"/>
  <c r="BV95" i="3"/>
  <c r="BQ86" i="3"/>
  <c r="BQ79" i="3"/>
  <c r="BQ72" i="3"/>
  <c r="BV48" i="3"/>
  <c r="BQ67" i="3"/>
  <c r="BL97" i="3"/>
  <c r="BL71" i="3"/>
  <c r="BV96" i="3"/>
  <c r="BQ63" i="3"/>
  <c r="BV86" i="3"/>
  <c r="BL47" i="3"/>
  <c r="BV80" i="3"/>
  <c r="BV61" i="3"/>
  <c r="BL85" i="3"/>
  <c r="BV84" i="3"/>
  <c r="BO77" i="3"/>
  <c r="BE92" i="3"/>
  <c r="BH67" i="3"/>
  <c r="BM57" i="3"/>
  <c r="BH70" i="3"/>
  <c r="BP97" i="3"/>
  <c r="BE48" i="3"/>
  <c r="BO64" i="3"/>
  <c r="BE88" i="3"/>
  <c r="BM69" i="3"/>
  <c r="BH92" i="3"/>
  <c r="BO85" i="3"/>
  <c r="CL89" i="1"/>
  <c r="Z113" i="2"/>
  <c r="Y98" i="1" s="1"/>
  <c r="Z111" i="2"/>
  <c r="Z112" i="2"/>
  <c r="Y97" i="1" s="1"/>
  <c r="BR63" i="3"/>
  <c r="BR90" i="3"/>
  <c r="BR66" i="3"/>
  <c r="BR62" i="3"/>
  <c r="BR88" i="3"/>
  <c r="BR96" i="3"/>
  <c r="CL203" i="1"/>
  <c r="CL172" i="1"/>
  <c r="Y111" i="2"/>
  <c r="Y113" i="2"/>
  <c r="X98" i="1" s="1"/>
  <c r="Y112" i="2"/>
  <c r="X97" i="1" s="1"/>
  <c r="CL276" i="1"/>
  <c r="CL218" i="1"/>
  <c r="CL277" i="1"/>
  <c r="CL34" i="1"/>
  <c r="CL255" i="1"/>
  <c r="BP64" i="3"/>
  <c r="BP75" i="3"/>
  <c r="CL185" i="1"/>
  <c r="CL152" i="1"/>
  <c r="CL162" i="1"/>
  <c r="CL207" i="1"/>
  <c r="CL204" i="1"/>
  <c r="CL50" i="1"/>
  <c r="CL180" i="1"/>
  <c r="CL144" i="1"/>
  <c r="CH32" i="1"/>
  <c r="CH21" i="1" s="1"/>
  <c r="X161" i="1"/>
  <c r="Y33" i="1"/>
  <c r="CK39" i="1"/>
  <c r="X169" i="1"/>
  <c r="Y177" i="1"/>
  <c r="Z60" i="1"/>
  <c r="CK37" i="1"/>
  <c r="Y184" i="1"/>
  <c r="CI71" i="1"/>
  <c r="Y187" i="1"/>
  <c r="X194" i="1"/>
  <c r="CJ75" i="1"/>
  <c r="X47" i="1"/>
  <c r="CK60" i="1"/>
  <c r="X32" i="1"/>
  <c r="X21" i="1" s="1"/>
  <c r="Y143" i="1"/>
  <c r="Z157" i="1"/>
  <c r="CH157" i="1" s="1"/>
  <c r="CI157" i="1" s="1"/>
  <c r="Z103" i="1"/>
  <c r="CI48" i="1"/>
  <c r="Z32" i="1"/>
  <c r="Y160" i="1"/>
  <c r="JN16" i="4" s="1"/>
  <c r="Y70" i="1"/>
  <c r="X150" i="1"/>
  <c r="X178" i="1" s="1"/>
  <c r="X39" i="1"/>
  <c r="Y183" i="1"/>
  <c r="Y185" i="1" s="1"/>
  <c r="Z233" i="1" s="1"/>
  <c r="JO9" i="4" s="1"/>
  <c r="Y171" i="1"/>
  <c r="X177" i="1"/>
  <c r="X207" i="1" s="1"/>
  <c r="Y161" i="1"/>
  <c r="CE63" i="1"/>
  <c r="CG56" i="1"/>
  <c r="CK71" i="1"/>
  <c r="CG69" i="1"/>
  <c r="Z177" i="1"/>
  <c r="CJ69" i="1"/>
  <c r="X143" i="1"/>
  <c r="CH69" i="1"/>
  <c r="CI69" i="1"/>
  <c r="X157" i="1"/>
  <c r="Z102" i="1"/>
  <c r="Y47" i="1"/>
  <c r="CJ48" i="1"/>
  <c r="X171" i="1"/>
  <c r="Z59" i="1"/>
  <c r="Y168" i="1"/>
  <c r="Z166" i="1"/>
  <c r="CH166" i="1" s="1"/>
  <c r="JO15" i="4" s="1"/>
  <c r="X179" i="1"/>
  <c r="Z37" i="1"/>
  <c r="Z174" i="1"/>
  <c r="CH174" i="1" s="1"/>
  <c r="Y195" i="1"/>
  <c r="X173" i="1"/>
  <c r="Y167" i="1"/>
  <c r="Y174" i="1"/>
  <c r="CG33" i="1"/>
  <c r="X142" i="1"/>
  <c r="CK75" i="1"/>
  <c r="X187" i="1"/>
  <c r="Z183" i="1"/>
  <c r="CH183" i="1" s="1"/>
  <c r="X44" i="1"/>
  <c r="Z161" i="1"/>
  <c r="CH161" i="1" s="1"/>
  <c r="CI161" i="1" s="1"/>
  <c r="CG38" i="1"/>
  <c r="Y71" i="1"/>
  <c r="X60" i="1"/>
  <c r="X101" i="1"/>
  <c r="Y142" i="1"/>
  <c r="Y169" i="1"/>
  <c r="CI33" i="1"/>
  <c r="CH47" i="1"/>
  <c r="Z49" i="1"/>
  <c r="Z170" i="1"/>
  <c r="CH170" i="1" s="1"/>
  <c r="Y59" i="1"/>
  <c r="Y60" i="1"/>
  <c r="CK48" i="1"/>
  <c r="CI45" i="1"/>
  <c r="Y173" i="1"/>
  <c r="X156" i="1"/>
  <c r="CK56" i="1"/>
  <c r="X37" i="1"/>
  <c r="Z141" i="1"/>
  <c r="CH141" i="1" s="1"/>
  <c r="CI141" i="1" s="1"/>
  <c r="JP9" i="4" s="1"/>
  <c r="Z39" i="1"/>
  <c r="CH44" i="1"/>
  <c r="CP44" i="1" s="1"/>
  <c r="CT44" i="1" s="1"/>
  <c r="CX44" i="1" s="1"/>
  <c r="DB44" i="1" s="1"/>
  <c r="Z196" i="1"/>
  <c r="X196" i="1"/>
  <c r="CJ33" i="1"/>
  <c r="X183" i="1"/>
  <c r="Z33" i="1"/>
  <c r="Z69" i="1"/>
  <c r="CK69" i="1"/>
  <c r="Y164" i="1"/>
  <c r="CJ49" i="1"/>
  <c r="X102" i="1"/>
  <c r="CJ59" i="1"/>
  <c r="X160" i="1"/>
  <c r="Z160" i="1"/>
  <c r="CH160" i="1" s="1"/>
  <c r="CI160" i="1" s="1"/>
  <c r="X71" i="1"/>
  <c r="JP16" i="4" s="1"/>
  <c r="JP21" i="4" s="1"/>
  <c r="CJ101" i="1" s="1"/>
  <c r="Y91" i="1"/>
  <c r="JN8" i="4" s="1"/>
  <c r="X63" i="1"/>
  <c r="Y37" i="1"/>
  <c r="X168" i="1"/>
  <c r="CJ88" i="1"/>
  <c r="CI88" i="1" s="1"/>
  <c r="CH88" i="1" s="1"/>
  <c r="CG88" i="1" s="1"/>
  <c r="CF88" i="1" s="1"/>
  <c r="CE88" i="1" s="1"/>
  <c r="CD88" i="1" s="1"/>
  <c r="CC88" i="1" s="1"/>
  <c r="CB88" i="1" s="1"/>
  <c r="CA88" i="1" s="1"/>
  <c r="BZ88" i="1" s="1"/>
  <c r="BY88" i="1" s="1"/>
  <c r="BX88" i="1" s="1"/>
  <c r="BW88" i="1" s="1"/>
  <c r="BV88" i="1" s="1"/>
  <c r="BU88" i="1" s="1"/>
  <c r="BT88" i="1" s="1"/>
  <c r="BS88" i="1" s="1"/>
  <c r="BR88" i="1" s="1"/>
  <c r="BQ88" i="1" s="1"/>
  <c r="BP88" i="1" s="1"/>
  <c r="BO88" i="1" s="1"/>
  <c r="BN88" i="1" s="1"/>
  <c r="BM88" i="1" s="1"/>
  <c r="BL88" i="1" s="1"/>
  <c r="BK88" i="1" s="1"/>
  <c r="BJ88" i="1" s="1"/>
  <c r="BI88" i="1" s="1"/>
  <c r="BH88" i="1" s="1"/>
  <c r="BG88" i="1" s="1"/>
  <c r="BF88" i="1" s="1"/>
  <c r="BE88" i="1" s="1"/>
  <c r="BD88" i="1" s="1"/>
  <c r="BC88" i="1" s="1"/>
  <c r="BB88" i="1" s="1"/>
  <c r="BA88" i="1" s="1"/>
  <c r="AZ88" i="1" s="1"/>
  <c r="AY88" i="1" s="1"/>
  <c r="AX88" i="1" s="1"/>
  <c r="AW88" i="1" s="1"/>
  <c r="AV88" i="1" s="1"/>
  <c r="AU88" i="1" s="1"/>
  <c r="AT88" i="1" s="1"/>
  <c r="AS88" i="1" s="1"/>
  <c r="AR88" i="1" s="1"/>
  <c r="AQ88" i="1" s="1"/>
  <c r="AP88" i="1" s="1"/>
  <c r="AO88" i="1" s="1"/>
  <c r="AN88" i="1" s="1"/>
  <c r="AM88" i="1" s="1"/>
  <c r="AL88" i="1" s="1"/>
  <c r="AK88" i="1" s="1"/>
  <c r="AJ88" i="1" s="1"/>
  <c r="AI88" i="1" s="1"/>
  <c r="Z168" i="1"/>
  <c r="CH168" i="1" s="1"/>
  <c r="Z171" i="1"/>
  <c r="CH171" i="1" s="1"/>
  <c r="X148" i="1"/>
  <c r="Y102" i="1"/>
  <c r="Y179" i="1"/>
  <c r="CH60" i="1"/>
  <c r="Z142" i="1"/>
  <c r="CH142" i="1" s="1"/>
  <c r="CI142" i="1" s="1"/>
  <c r="CK63" i="1"/>
  <c r="Z188" i="1"/>
  <c r="CH188" i="1" s="1"/>
  <c r="CI188" i="1" s="1"/>
  <c r="CH49" i="1"/>
  <c r="Y156" i="1"/>
  <c r="Y146" i="1"/>
  <c r="Z149" i="1"/>
  <c r="CH149" i="1" s="1"/>
  <c r="CI149" i="1" s="1"/>
  <c r="X167" i="1"/>
  <c r="Z146" i="1"/>
  <c r="CH146" i="1" s="1"/>
  <c r="CI146" i="1" s="1"/>
  <c r="Z70" i="1"/>
  <c r="Z75" i="1"/>
  <c r="X174" i="1"/>
  <c r="CI75" i="1"/>
  <c r="Z148" i="1"/>
  <c r="CH148" i="1" s="1"/>
  <c r="CI148" i="1" s="1"/>
  <c r="X170" i="1"/>
  <c r="CH48" i="1"/>
  <c r="CK47" i="1"/>
  <c r="Y48" i="1"/>
  <c r="CK70" i="1"/>
  <c r="Z143" i="1"/>
  <c r="CH143" i="1" s="1"/>
  <c r="CG70" i="1"/>
  <c r="CH45" i="1"/>
  <c r="X70" i="1"/>
  <c r="CK88" i="1"/>
  <c r="Z184" i="1"/>
  <c r="CH184" i="1" s="1"/>
  <c r="X56" i="1"/>
  <c r="X218" i="1" s="1"/>
  <c r="CG48" i="1"/>
  <c r="Z71" i="1"/>
  <c r="CG46" i="1"/>
  <c r="CG75" i="1"/>
  <c r="CK87" i="1"/>
  <c r="CK89" i="1" s="1"/>
  <c r="X103" i="1"/>
  <c r="Y103" i="1"/>
  <c r="CK59" i="1"/>
  <c r="Y56" i="1"/>
  <c r="Y218" i="1" s="1"/>
  <c r="X159" i="1"/>
  <c r="X155" i="1" s="1"/>
  <c r="CJ32" i="1"/>
  <c r="X69" i="1"/>
  <c r="CH33" i="1"/>
  <c r="CK32" i="1"/>
  <c r="CK21" i="1" s="1"/>
  <c r="CJ70" i="1"/>
  <c r="Y150" i="1"/>
  <c r="Y178" i="1" s="1"/>
  <c r="CI46" i="1"/>
  <c r="X91" i="1"/>
  <c r="X195" i="1"/>
  <c r="X49" i="1"/>
  <c r="X45" i="1"/>
  <c r="Z47" i="1"/>
  <c r="Z44" i="1"/>
  <c r="CI63" i="1"/>
  <c r="CI49" i="1"/>
  <c r="X33" i="1"/>
  <c r="X184" i="1"/>
  <c r="X166" i="1"/>
  <c r="CI44" i="1"/>
  <c r="CM44" i="1" s="1"/>
  <c r="CQ44" i="1" s="1"/>
  <c r="CU44" i="1" s="1"/>
  <c r="CY44" i="1" s="1"/>
  <c r="CG60" i="1"/>
  <c r="CG44" i="1"/>
  <c r="Y148" i="1"/>
  <c r="Z56" i="1"/>
  <c r="Z218" i="1" s="1"/>
  <c r="CG39" i="1"/>
  <c r="CJ63" i="1"/>
  <c r="CH39" i="1"/>
  <c r="CH75" i="1"/>
  <c r="CG32" i="1"/>
  <c r="CH38" i="1"/>
  <c r="Z91" i="1"/>
  <c r="Z101" i="1"/>
  <c r="CG49" i="1"/>
  <c r="Z151" i="1"/>
  <c r="CH151" i="1" s="1"/>
  <c r="CI151" i="1" s="1"/>
  <c r="CH59" i="1"/>
  <c r="Z194" i="1"/>
  <c r="Z197" i="1" s="1"/>
  <c r="Y45" i="1"/>
  <c r="Z173" i="1"/>
  <c r="CH173" i="1" s="1"/>
  <c r="Y149" i="1"/>
  <c r="JO16" i="4" s="1"/>
  <c r="CJ44" i="1"/>
  <c r="CN44" i="1" s="1"/>
  <c r="CR44" i="1" s="1"/>
  <c r="CV44" i="1" s="1"/>
  <c r="CZ44" i="1" s="1"/>
  <c r="Y157" i="1"/>
  <c r="Z179" i="1"/>
  <c r="CH179" i="1" s="1"/>
  <c r="Y46" i="1"/>
  <c r="CK45" i="1"/>
  <c r="CI59" i="1"/>
  <c r="CJ46" i="1"/>
  <c r="CH37" i="1"/>
  <c r="CI37" i="1"/>
  <c r="CJ38" i="1"/>
  <c r="CH46" i="1"/>
  <c r="CJ71" i="1"/>
  <c r="Z187" i="1"/>
  <c r="CH187" i="1" s="1"/>
  <c r="CI187" i="1" s="1"/>
  <c r="CG63" i="1"/>
  <c r="Y196" i="1"/>
  <c r="CK38" i="1"/>
  <c r="CI56" i="1"/>
  <c r="CI218" i="1" s="1"/>
  <c r="Z48" i="1"/>
  <c r="X141" i="1"/>
  <c r="Z63" i="1"/>
  <c r="X188" i="1"/>
  <c r="CG47" i="1"/>
  <c r="Y170" i="1"/>
  <c r="Z169" i="1"/>
  <c r="CH169" i="1" s="1"/>
  <c r="Y101" i="1"/>
  <c r="CJ47" i="1"/>
  <c r="Z175" i="1"/>
  <c r="CH175" i="1" s="1"/>
  <c r="Z164" i="1"/>
  <c r="CH70" i="1"/>
  <c r="CI32" i="1"/>
  <c r="X75" i="1"/>
  <c r="X151" i="1"/>
  <c r="CH63" i="1"/>
  <c r="Y175" i="1"/>
  <c r="CJ56" i="1"/>
  <c r="CJ218" i="1" s="1"/>
  <c r="CG71" i="1"/>
  <c r="CJ45" i="1"/>
  <c r="CK33" i="1"/>
  <c r="X175" i="1"/>
  <c r="X46" i="1"/>
  <c r="X164" i="1"/>
  <c r="X59" i="1"/>
  <c r="CI70" i="1"/>
  <c r="X146" i="1"/>
  <c r="Z46" i="1"/>
  <c r="Y49" i="1"/>
  <c r="Y32" i="1"/>
  <c r="Y69" i="1"/>
  <c r="CJ37" i="1"/>
  <c r="CG59" i="1"/>
  <c r="CG45" i="1"/>
  <c r="CK44" i="1"/>
  <c r="Y188" i="1"/>
  <c r="Z156" i="1"/>
  <c r="CH156" i="1" s="1"/>
  <c r="Z150" i="1"/>
  <c r="CH150" i="1" s="1"/>
  <c r="CI150" i="1" s="1"/>
  <c r="Y141" i="1"/>
  <c r="X48" i="1"/>
  <c r="Y194" i="1"/>
  <c r="CI60" i="1"/>
  <c r="CH56" i="1"/>
  <c r="CH218" i="1" s="1"/>
  <c r="Z167" i="1"/>
  <c r="CH167" i="1" s="1"/>
  <c r="Z195" i="1"/>
  <c r="CI39" i="1"/>
  <c r="Y44" i="1"/>
  <c r="Y39" i="1"/>
  <c r="CJ87" i="1"/>
  <c r="CI87" i="1" s="1"/>
  <c r="CJ39" i="1"/>
  <c r="CI47" i="1"/>
  <c r="CH71" i="1"/>
  <c r="CK46" i="1"/>
  <c r="X149" i="1"/>
  <c r="Y159" i="1"/>
  <c r="Y155" i="1" s="1"/>
  <c r="Y63" i="1"/>
  <c r="CJ60" i="1"/>
  <c r="Y166" i="1"/>
  <c r="CG37" i="1"/>
  <c r="Z159" i="1"/>
  <c r="CH159" i="1" s="1"/>
  <c r="CI159" i="1" s="1"/>
  <c r="Z45" i="1"/>
  <c r="JN9" i="4" s="1"/>
  <c r="Y151" i="1"/>
  <c r="Y75" i="1"/>
  <c r="CI38" i="1"/>
  <c r="CK49" i="1"/>
  <c r="CR5" i="1"/>
  <c r="JY9" i="4" s="1"/>
  <c r="CJ97" i="1"/>
  <c r="CJ167" i="1"/>
  <c r="CJ176" i="1"/>
  <c r="KF16" i="4" s="1"/>
  <c r="JW9" i="4" s="1"/>
  <c r="JT9" i="4" s="1"/>
  <c r="CJ157" i="1"/>
  <c r="CK157" i="1" s="1"/>
  <c r="CJ150" i="1"/>
  <c r="CK150" i="1" s="1"/>
  <c r="CM150" i="1" s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JW14" i="4" s="1"/>
  <c r="JQ9" i="4" s="1"/>
  <c r="JV9" i="4" s="1"/>
  <c r="CJ169" i="1"/>
  <c r="CH98" i="1"/>
  <c r="CG98" i="1"/>
  <c r="CJ161" i="1"/>
  <c r="CK161" i="1" s="1"/>
  <c r="CM161" i="1" s="1"/>
  <c r="CN161" i="1" s="1"/>
  <c r="CO161" i="1" s="1"/>
  <c r="CP161" i="1" s="1"/>
  <c r="CQ161" i="1" s="1"/>
  <c r="CR161" i="1" s="1"/>
  <c r="CS161" i="1" s="1"/>
  <c r="CT161" i="1" s="1"/>
  <c r="CU161" i="1" s="1"/>
  <c r="CV161" i="1" s="1"/>
  <c r="CW161" i="1" s="1"/>
  <c r="CX161" i="1" s="1"/>
  <c r="CY161" i="1" s="1"/>
  <c r="CZ161" i="1" s="1"/>
  <c r="DA161" i="1" s="1"/>
  <c r="DB161" i="1" s="1"/>
  <c r="CJ146" i="1"/>
  <c r="CK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KG16" i="4" s="1"/>
  <c r="JQ16" i="4" s="1"/>
  <c r="CJ143" i="1"/>
  <c r="JX9" i="4" s="1"/>
  <c r="CI97" i="1"/>
  <c r="JS16" i="4" s="1"/>
  <c r="KE16" i="4" s="1"/>
  <c r="JW16" i="4" s="1"/>
  <c r="JR16" i="4" s="1"/>
  <c r="KD9" i="4" s="1"/>
  <c r="CJ149" i="1"/>
  <c r="CK149" i="1" s="1"/>
  <c r="CJ158" i="1"/>
  <c r="CJ178" i="1"/>
  <c r="KC9" i="4" s="1"/>
  <c r="KF9" i="4" s="1"/>
  <c r="CJ159" i="1"/>
  <c r="CK159" i="1" s="1"/>
  <c r="CM159" i="1" s="1"/>
  <c r="CN159" i="1" s="1"/>
  <c r="CO159" i="1" s="1"/>
  <c r="CP159" i="1" s="1"/>
  <c r="CQ159" i="1" s="1"/>
  <c r="CR159" i="1" s="1"/>
  <c r="CS159" i="1" s="1"/>
  <c r="CT159" i="1" s="1"/>
  <c r="CU159" i="1" s="1"/>
  <c r="CV159" i="1" s="1"/>
  <c r="CW159" i="1" s="1"/>
  <c r="CX159" i="1" s="1"/>
  <c r="CY159" i="1" s="1"/>
  <c r="CZ159" i="1" s="1"/>
  <c r="DA159" i="1" s="1"/>
  <c r="DB159" i="1" s="1"/>
  <c r="CJ188" i="1"/>
  <c r="CK188" i="1" s="1"/>
  <c r="CM188" i="1" s="1"/>
  <c r="CN188" i="1" s="1"/>
  <c r="CO188" i="1" s="1"/>
  <c r="CP188" i="1" s="1"/>
  <c r="CQ188" i="1" s="1"/>
  <c r="CR188" i="1" s="1"/>
  <c r="CS188" i="1" s="1"/>
  <c r="CT188" i="1" s="1"/>
  <c r="CU188" i="1" s="1"/>
  <c r="CV188" i="1" s="1"/>
  <c r="CW188" i="1" s="1"/>
  <c r="CX188" i="1" s="1"/>
  <c r="CY188" i="1" s="1"/>
  <c r="CZ188" i="1" s="1"/>
  <c r="DA188" i="1" s="1"/>
  <c r="DB188" i="1" s="1"/>
  <c r="CJ170" i="1"/>
  <c r="CJ168" i="1"/>
  <c r="CJ142" i="1"/>
  <c r="CK142" i="1" s="1"/>
  <c r="CM142" i="1" s="1"/>
  <c r="CN142" i="1" s="1"/>
  <c r="CO142" i="1" s="1"/>
  <c r="CP142" i="1" s="1"/>
  <c r="CQ142" i="1" s="1"/>
  <c r="CR142" i="1" s="1"/>
  <c r="CS142" i="1" s="1"/>
  <c r="CT142" i="1" s="1"/>
  <c r="CU142" i="1" s="1"/>
  <c r="CV142" i="1" s="1"/>
  <c r="CW142" i="1" s="1"/>
  <c r="CX142" i="1" s="1"/>
  <c r="CY142" i="1" s="1"/>
  <c r="CZ142" i="1" s="1"/>
  <c r="DA142" i="1" s="1"/>
  <c r="DB142" i="1" s="1"/>
  <c r="CJ173" i="1"/>
  <c r="JZ16" i="4" s="1"/>
  <c r="KB9" i="4" s="1"/>
  <c r="KA16" i="4" s="1"/>
  <c r="JZ9" i="4" s="1"/>
  <c r="CJ183" i="1"/>
  <c r="CJ174" i="1"/>
  <c r="KC16" i="4" s="1"/>
  <c r="JU16" i="4" s="1"/>
  <c r="CJ164" i="1"/>
  <c r="CJ141" i="1"/>
  <c r="KH16" i="4" s="1"/>
  <c r="KA9" i="4" s="1"/>
  <c r="JS9" i="4" s="1"/>
  <c r="CJ187" i="1"/>
  <c r="CK187" i="1" s="1"/>
  <c r="CM187" i="1" s="1"/>
  <c r="CN187" i="1" s="1"/>
  <c r="CO187" i="1" s="1"/>
  <c r="CP187" i="1" s="1"/>
  <c r="CQ187" i="1" s="1"/>
  <c r="CR187" i="1" s="1"/>
  <c r="CS187" i="1" s="1"/>
  <c r="CT187" i="1" s="1"/>
  <c r="CU187" i="1" s="1"/>
  <c r="CV187" i="1" s="1"/>
  <c r="CW187" i="1" s="1"/>
  <c r="JY16" i="4" s="1"/>
  <c r="KG9" i="4" s="1"/>
  <c r="CJ175" i="1"/>
  <c r="KE9" i="4" s="1"/>
  <c r="JX16" i="4" s="1"/>
  <c r="CK97" i="1"/>
  <c r="CJ151" i="1"/>
  <c r="CK151" i="1" s="1"/>
  <c r="CM151" i="1" s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KD16" i="4" s="1"/>
  <c r="JV16" i="4" s="1"/>
  <c r="JU9" i="4" s="1"/>
  <c r="Z98" i="1"/>
  <c r="CJ177" i="1"/>
  <c r="KB16" i="4" s="1"/>
  <c r="KB21" i="4" s="1"/>
  <c r="JT16" i="4" s="1"/>
  <c r="CJ171" i="1"/>
  <c r="CI98" i="1"/>
  <c r="Z97" i="1"/>
  <c r="CJ184" i="1"/>
  <c r="CJ166" i="1"/>
  <c r="CH97" i="1"/>
  <c r="KH9" i="4" s="1"/>
  <c r="CJ98" i="1"/>
  <c r="CJ179" i="1"/>
  <c r="CJ148" i="1"/>
  <c r="CK148" i="1" s="1"/>
  <c r="CM148" i="1" s="1"/>
  <c r="CG97" i="1"/>
  <c r="CT9" i="1"/>
  <c r="CT18" i="1" s="1"/>
  <c r="CB37" i="1"/>
  <c r="BH59" i="3"/>
  <c r="BG66" i="3"/>
  <c r="CK98" i="1" l="1"/>
  <c r="JY21" i="4"/>
  <c r="JR9" i="4" s="1"/>
  <c r="CJ276" i="1"/>
  <c r="CH164" i="1"/>
  <c r="AA226" i="1"/>
  <c r="CL26" i="1"/>
  <c r="X203" i="1"/>
  <c r="CH276" i="1"/>
  <c r="CH34" i="1"/>
  <c r="X34" i="1"/>
  <c r="X122" i="1" s="1"/>
  <c r="JO21" i="4"/>
  <c r="CI101" i="1" s="1"/>
  <c r="X144" i="1"/>
  <c r="X199" i="1" s="1"/>
  <c r="CH204" i="1"/>
  <c r="CI204" i="1" s="1"/>
  <c r="JN21" i="4"/>
  <c r="CH101" i="1" s="1"/>
  <c r="CH203" i="1"/>
  <c r="CI203" i="1" s="1"/>
  <c r="CH255" i="1"/>
  <c r="CL206" i="1"/>
  <c r="CL51" i="1"/>
  <c r="CL22" i="1"/>
  <c r="CJ34" i="1"/>
  <c r="Y276" i="1"/>
  <c r="CL35" i="1"/>
  <c r="X185" i="1"/>
  <c r="X272" i="1" s="1"/>
  <c r="Y204" i="1"/>
  <c r="X180" i="1"/>
  <c r="X209" i="1" s="1"/>
  <c r="Y203" i="1"/>
  <c r="CH185" i="1"/>
  <c r="CI233" i="1" s="1"/>
  <c r="X204" i="1"/>
  <c r="Y207" i="1"/>
  <c r="Z276" i="1"/>
  <c r="X172" i="1"/>
  <c r="X206" i="1" s="1"/>
  <c r="X205" i="1" s="1"/>
  <c r="CG276" i="1"/>
  <c r="Y172" i="1"/>
  <c r="Y206" i="1" s="1"/>
  <c r="JO7" i="4"/>
  <c r="Y226" i="1"/>
  <c r="CI156" i="1"/>
  <c r="KG21" i="4"/>
  <c r="JY7" i="4"/>
  <c r="JW21" i="4"/>
  <c r="JO14" i="4"/>
  <c r="CL40" i="1"/>
  <c r="CL272" i="1"/>
  <c r="CL270" i="1"/>
  <c r="CL192" i="1"/>
  <c r="CL133" i="1" s="1"/>
  <c r="CL153" i="1"/>
  <c r="CL116" i="1"/>
  <c r="Y144" i="1"/>
  <c r="CG277" i="1"/>
  <c r="CH172" i="1"/>
  <c r="CH206" i="1" s="1"/>
  <c r="X50" i="1"/>
  <c r="X22" i="1" s="1"/>
  <c r="JN14" i="4"/>
  <c r="Z226" i="1"/>
  <c r="JP7" i="4"/>
  <c r="Y158" i="1"/>
  <c r="CG50" i="1"/>
  <c r="CG22" i="1" s="1"/>
  <c r="JP15" i="4"/>
  <c r="CI276" i="1"/>
  <c r="JR21" i="4"/>
  <c r="CL101" i="1" s="1"/>
  <c r="X197" i="1"/>
  <c r="CJ203" i="1"/>
  <c r="CK203" i="1" s="1"/>
  <c r="KB8" i="4"/>
  <c r="KA8" i="4"/>
  <c r="KE21" i="4"/>
  <c r="Y50" i="1"/>
  <c r="CJ50" i="1"/>
  <c r="KE8" i="4"/>
  <c r="KD21" i="4"/>
  <c r="CJ207" i="1"/>
  <c r="CK207" i="1" s="1"/>
  <c r="JT21" i="4"/>
  <c r="JS7" i="4"/>
  <c r="JT8" i="4"/>
  <c r="X158" i="1"/>
  <c r="X162" i="1" s="1"/>
  <c r="CL209" i="1"/>
  <c r="CL181" i="1"/>
  <c r="CL189" i="1" s="1"/>
  <c r="CL190" i="1" s="1"/>
  <c r="Z21" i="1"/>
  <c r="Z255" i="1"/>
  <c r="Z34" i="1"/>
  <c r="Z203" i="1"/>
  <c r="CH177" i="1"/>
  <c r="CH207" i="1" s="1"/>
  <c r="CI207" i="1" s="1"/>
  <c r="Z207" i="1"/>
  <c r="CJ21" i="1"/>
  <c r="CJ255" i="1"/>
  <c r="CG21" i="1"/>
  <c r="CK26" i="1" s="1"/>
  <c r="CG255" i="1"/>
  <c r="CG34" i="1"/>
  <c r="CH36" i="1" s="1"/>
  <c r="CI164" i="1"/>
  <c r="CJ226" i="1" s="1"/>
  <c r="CI226" i="1"/>
  <c r="CI277" i="1"/>
  <c r="CI34" i="1"/>
  <c r="CL122" i="1"/>
  <c r="CL123" i="1" s="1"/>
  <c r="CK122" i="1"/>
  <c r="CK123" i="1" s="1"/>
  <c r="CI255" i="1"/>
  <c r="Y21" i="1"/>
  <c r="Y26" i="1" s="1"/>
  <c r="Y255" i="1"/>
  <c r="Y34" i="1"/>
  <c r="CH87" i="1"/>
  <c r="CI89" i="1"/>
  <c r="CJ277" i="1"/>
  <c r="Y40" i="1"/>
  <c r="Y41" i="1" s="1"/>
  <c r="KC14" i="4"/>
  <c r="Y180" i="1"/>
  <c r="CH277" i="1"/>
  <c r="Z50" i="1"/>
  <c r="CO44" i="1"/>
  <c r="CS44" i="1" s="1"/>
  <c r="CW44" i="1" s="1"/>
  <c r="DA44" i="1" s="1"/>
  <c r="JO8" i="4"/>
  <c r="KG7" i="4"/>
  <c r="JN7" i="4"/>
  <c r="CJ156" i="1"/>
  <c r="CJ155" i="1" s="1"/>
  <c r="CH144" i="1"/>
  <c r="X276" i="1"/>
  <c r="Y277" i="1"/>
  <c r="KH8" i="4"/>
  <c r="JP14" i="4"/>
  <c r="JP19" i="4" s="1"/>
  <c r="CJ102" i="1" s="1"/>
  <c r="Z144" i="1"/>
  <c r="KD7" i="4"/>
  <c r="CI152" i="1"/>
  <c r="CI50" i="1"/>
  <c r="JZ7" i="4"/>
  <c r="X255" i="1"/>
  <c r="CJ122" i="1"/>
  <c r="JN15" i="4"/>
  <c r="Y197" i="1"/>
  <c r="Y152" i="1"/>
  <c r="JP8" i="4"/>
  <c r="CG218" i="1"/>
  <c r="KH21" i="4"/>
  <c r="JV7" i="4"/>
  <c r="JS21" i="4"/>
  <c r="JQ21" i="4"/>
  <c r="CK101" i="1" s="1"/>
  <c r="Z155" i="1"/>
  <c r="Z172" i="1"/>
  <c r="AA220" i="1" s="1"/>
  <c r="CJ89" i="1"/>
  <c r="Z178" i="1"/>
  <c r="JW8" i="4"/>
  <c r="JS8" i="4"/>
  <c r="KE14" i="4"/>
  <c r="JS14" i="4"/>
  <c r="JS19" i="4" s="1"/>
  <c r="JZ15" i="4"/>
  <c r="KA21" i="4"/>
  <c r="Z185" i="1"/>
  <c r="AA233" i="1" s="1"/>
  <c r="X277" i="1"/>
  <c r="CI21" i="1"/>
  <c r="Z152" i="1"/>
  <c r="KF15" i="4"/>
  <c r="KF8" i="4"/>
  <c r="KF20" i="4" s="1"/>
  <c r="JY15" i="4"/>
  <c r="JS15" i="4"/>
  <c r="JS20" i="4" s="1"/>
  <c r="KC8" i="4"/>
  <c r="JR7" i="4"/>
  <c r="JQ14" i="4"/>
  <c r="KG15" i="4"/>
  <c r="KA15" i="4"/>
  <c r="JU14" i="4"/>
  <c r="KB15" i="4"/>
  <c r="KF21" i="4"/>
  <c r="Z277" i="1"/>
  <c r="KB7" i="4"/>
  <c r="JQ7" i="4"/>
  <c r="JU21" i="4"/>
  <c r="JR15" i="4"/>
  <c r="JR20" i="4" s="1"/>
  <c r="CL103" i="1" s="1"/>
  <c r="JW7" i="4"/>
  <c r="JW19" i="4" s="1"/>
  <c r="JY8" i="4"/>
  <c r="JT7" i="4"/>
  <c r="KG8" i="4"/>
  <c r="JZ8" i="4"/>
  <c r="CK34" i="1"/>
  <c r="CK50" i="1"/>
  <c r="CK22" i="1" s="1"/>
  <c r="CK23" i="1" s="1"/>
  <c r="KH7" i="4"/>
  <c r="KF14" i="4"/>
  <c r="KC21" i="4"/>
  <c r="KF7" i="4"/>
  <c r="KC15" i="4"/>
  <c r="JQ8" i="4"/>
  <c r="JX14" i="4"/>
  <c r="X152" i="1"/>
  <c r="KA14" i="4"/>
  <c r="JU15" i="4"/>
  <c r="JQ15" i="4"/>
  <c r="JQ20" i="4" s="1"/>
  <c r="CK103" i="1" s="1"/>
  <c r="JX8" i="4"/>
  <c r="JW15" i="4"/>
  <c r="CH152" i="1"/>
  <c r="CH50" i="1"/>
  <c r="Z204" i="1"/>
  <c r="KE7" i="4"/>
  <c r="JV14" i="4"/>
  <c r="CS5" i="1"/>
  <c r="CJ152" i="1"/>
  <c r="CJ185" i="1"/>
  <c r="CK233" i="1" s="1"/>
  <c r="CJ162" i="1"/>
  <c r="CM157" i="1"/>
  <c r="CN157" i="1" s="1"/>
  <c r="CO157" i="1" s="1"/>
  <c r="CP157" i="1" s="1"/>
  <c r="AB157" i="1" s="1"/>
  <c r="CJ172" i="1"/>
  <c r="CJ206" i="1" s="1"/>
  <c r="JV21" i="4"/>
  <c r="KB14" i="4"/>
  <c r="JZ14" i="4"/>
  <c r="KA7" i="4"/>
  <c r="KA19" i="4" s="1"/>
  <c r="CJ144" i="1"/>
  <c r="JU8" i="4"/>
  <c r="JV8" i="4"/>
  <c r="KC7" i="4"/>
  <c r="CK164" i="1"/>
  <c r="KE15" i="4"/>
  <c r="JV15" i="4"/>
  <c r="KD14" i="4"/>
  <c r="JX7" i="4"/>
  <c r="KD15" i="4"/>
  <c r="JX21" i="4"/>
  <c r="KH15" i="4"/>
  <c r="CK57" i="1"/>
  <c r="JZ21" i="4"/>
  <c r="JY14" i="4"/>
  <c r="CJ180" i="1"/>
  <c r="CJ209" i="1" s="1"/>
  <c r="JT14" i="4"/>
  <c r="KD8" i="4"/>
  <c r="KG14" i="4"/>
  <c r="JT15" i="4"/>
  <c r="JR8" i="4"/>
  <c r="KH14" i="4"/>
  <c r="JX15" i="4"/>
  <c r="JR14" i="4"/>
  <c r="JU7" i="4"/>
  <c r="CJ204" i="1"/>
  <c r="CK204" i="1" s="1"/>
  <c r="CM204" i="1" s="1"/>
  <c r="CK141" i="1"/>
  <c r="CM141" i="1" s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U9" i="1"/>
  <c r="CU18" i="1" s="1"/>
  <c r="AC9" i="1"/>
  <c r="AC18" i="1" s="1"/>
  <c r="CK152" i="1"/>
  <c r="CM203" i="1"/>
  <c r="CN148" i="1"/>
  <c r="CM207" i="1"/>
  <c r="CX187" i="1"/>
  <c r="JP20" i="4" l="1"/>
  <c r="CJ103" i="1" s="1"/>
  <c r="X23" i="1"/>
  <c r="CM21" i="1"/>
  <c r="KA20" i="4"/>
  <c r="KB19" i="4"/>
  <c r="CL205" i="1"/>
  <c r="JY19" i="4"/>
  <c r="AA212" i="1"/>
  <c r="AA35" i="1"/>
  <c r="Z199" i="1"/>
  <c r="AA231" i="1"/>
  <c r="AA230" i="1"/>
  <c r="AA273" i="1"/>
  <c r="CL23" i="1"/>
  <c r="JX20" i="4"/>
  <c r="X40" i="1"/>
  <c r="X51" i="1"/>
  <c r="X153" i="1"/>
  <c r="Y205" i="1"/>
  <c r="X57" i="1"/>
  <c r="CJ40" i="1"/>
  <c r="CH40" i="1"/>
  <c r="CL42" i="1" s="1"/>
  <c r="JO19" i="4"/>
  <c r="CI102" i="1" s="1"/>
  <c r="JO20" i="4"/>
  <c r="CI103" i="1" s="1"/>
  <c r="JN20" i="4"/>
  <c r="CH103" i="1" s="1"/>
  <c r="JN19" i="4"/>
  <c r="CH102" i="1" s="1"/>
  <c r="CH205" i="1"/>
  <c r="CI205" i="1" s="1"/>
  <c r="Y220" i="1"/>
  <c r="CK126" i="1"/>
  <c r="X181" i="1"/>
  <c r="X189" i="1" s="1"/>
  <c r="Y233" i="1"/>
  <c r="CI273" i="1"/>
  <c r="Z26" i="1"/>
  <c r="Z272" i="1"/>
  <c r="Y51" i="1"/>
  <c r="CG23" i="1"/>
  <c r="CJ123" i="1"/>
  <c r="KB20" i="4"/>
  <c r="JV19" i="4"/>
  <c r="CJ273" i="1"/>
  <c r="JZ19" i="4"/>
  <c r="KC19" i="4"/>
  <c r="KE20" i="4"/>
  <c r="KD20" i="4"/>
  <c r="KH20" i="4"/>
  <c r="CJ208" i="1"/>
  <c r="CK208" i="1" s="1"/>
  <c r="CK209" i="1" s="1"/>
  <c r="CL208" i="1"/>
  <c r="CL210" i="1"/>
  <c r="CG51" i="1"/>
  <c r="CG40" i="1"/>
  <c r="CJ249" i="1"/>
  <c r="CL268" i="1"/>
  <c r="CI36" i="1"/>
  <c r="CJ36" i="1"/>
  <c r="Y212" i="1"/>
  <c r="Y122" i="1"/>
  <c r="Y35" i="1"/>
  <c r="Y221" i="1"/>
  <c r="Y209" i="1"/>
  <c r="Y181" i="1"/>
  <c r="Z22" i="1"/>
  <c r="Z23" i="1" s="1"/>
  <c r="Z51" i="1"/>
  <c r="CI22" i="1"/>
  <c r="CI23" i="1" s="1"/>
  <c r="CI51" i="1"/>
  <c r="Z158" i="1"/>
  <c r="CH155" i="1"/>
  <c r="CH158" i="1" s="1"/>
  <c r="Z206" i="1"/>
  <c r="Z205" i="1" s="1"/>
  <c r="Z220" i="1"/>
  <c r="CL52" i="1"/>
  <c r="CL41" i="1"/>
  <c r="CL126" i="1"/>
  <c r="CL118" i="1"/>
  <c r="CL249" i="1"/>
  <c r="CI40" i="1"/>
  <c r="CH89" i="1"/>
  <c r="CG87" i="1"/>
  <c r="KE19" i="4"/>
  <c r="JY20" i="4"/>
  <c r="JQ19" i="4"/>
  <c r="CK102" i="1" s="1"/>
  <c r="JU20" i="4"/>
  <c r="JT20" i="4"/>
  <c r="JR19" i="4"/>
  <c r="CL102" i="1" s="1"/>
  <c r="JU19" i="4"/>
  <c r="KG20" i="4"/>
  <c r="Y199" i="1"/>
  <c r="Y272" i="1"/>
  <c r="Y57" i="1"/>
  <c r="Y162" i="1"/>
  <c r="Y22" i="1"/>
  <c r="Y52" i="1"/>
  <c r="CJ22" i="1"/>
  <c r="CJ23" i="1" s="1"/>
  <c r="CJ51" i="1"/>
  <c r="Z212" i="1"/>
  <c r="Z35" i="1"/>
  <c r="Z40" i="1"/>
  <c r="AA42" i="1" s="1"/>
  <c r="Z122" i="1"/>
  <c r="CH272" i="1"/>
  <c r="Y273" i="1"/>
  <c r="Y153" i="1"/>
  <c r="Y61" i="1"/>
  <c r="CH178" i="1"/>
  <c r="CH180" i="1" s="1"/>
  <c r="Z180" i="1"/>
  <c r="Z153" i="1"/>
  <c r="Z230" i="1"/>
  <c r="Z192" i="1"/>
  <c r="Z133" i="1" s="1"/>
  <c r="Z61" i="1"/>
  <c r="CL128" i="1"/>
  <c r="CL120" i="1"/>
  <c r="CL132" i="1"/>
  <c r="CL135" i="1" s="1"/>
  <c r="CK40" i="1"/>
  <c r="CL212" i="1"/>
  <c r="CL36" i="1"/>
  <c r="X61" i="1"/>
  <c r="X192" i="1"/>
  <c r="X133" i="1" s="1"/>
  <c r="CH153" i="1"/>
  <c r="CH192" i="1"/>
  <c r="CH22" i="1"/>
  <c r="CH23" i="1" s="1"/>
  <c r="CH51" i="1"/>
  <c r="CK226" i="1"/>
  <c r="CL226" i="1"/>
  <c r="CL273" i="1"/>
  <c r="CL230" i="1"/>
  <c r="CJ230" i="1"/>
  <c r="CI230" i="1"/>
  <c r="JZ20" i="4"/>
  <c r="CJ272" i="1"/>
  <c r="CK51" i="1"/>
  <c r="JX19" i="4"/>
  <c r="Y192" i="1"/>
  <c r="Y133" i="1" s="1"/>
  <c r="KG19" i="4"/>
  <c r="Y230" i="1"/>
  <c r="KH19" i="4"/>
  <c r="KD19" i="4"/>
  <c r="Z273" i="1"/>
  <c r="JT19" i="4"/>
  <c r="JW20" i="4"/>
  <c r="KF19" i="4"/>
  <c r="KC20" i="4"/>
  <c r="CK27" i="1"/>
  <c r="CK36" i="1"/>
  <c r="CK155" i="1"/>
  <c r="CJ268" i="1"/>
  <c r="CK35" i="1"/>
  <c r="JV20" i="4"/>
  <c r="CQ157" i="1"/>
  <c r="CR157" i="1" s="1"/>
  <c r="CS157" i="1" s="1"/>
  <c r="CT157" i="1" s="1"/>
  <c r="AC157" i="1" s="1"/>
  <c r="CJ270" i="1"/>
  <c r="CJ153" i="1"/>
  <c r="CJ116" i="1"/>
  <c r="CJ118" i="1" s="1"/>
  <c r="CI155" i="1"/>
  <c r="CI158" i="1" s="1"/>
  <c r="CJ57" i="1" s="1"/>
  <c r="CJ181" i="1"/>
  <c r="CJ189" i="1" s="1"/>
  <c r="CK132" i="1"/>
  <c r="CK128" i="1"/>
  <c r="CV9" i="1"/>
  <c r="CV18" i="1" s="1"/>
  <c r="X268" i="1"/>
  <c r="X270" i="1"/>
  <c r="CJ205" i="1"/>
  <c r="CK205" i="1" s="1"/>
  <c r="CJ210" i="1"/>
  <c r="X208" i="1"/>
  <c r="X210" i="1"/>
  <c r="CM149" i="1"/>
  <c r="CK230" i="1"/>
  <c r="CK273" i="1"/>
  <c r="CI57" i="1"/>
  <c r="CH162" i="1"/>
  <c r="CJ131" i="1"/>
  <c r="CN204" i="1"/>
  <c r="CO148" i="1"/>
  <c r="CN207" i="1"/>
  <c r="CN203" i="1"/>
  <c r="CY141" i="1"/>
  <c r="CY187" i="1"/>
  <c r="CN21" i="1" l="1"/>
  <c r="CO21" i="1" s="1"/>
  <c r="CP21" i="1" s="1"/>
  <c r="CJ132" i="1"/>
  <c r="AA229" i="1"/>
  <c r="X190" i="1"/>
  <c r="Y42" i="1"/>
  <c r="CM51" i="1"/>
  <c r="CH116" i="1"/>
  <c r="CI170" i="1"/>
  <c r="X41" i="1"/>
  <c r="X52" i="1"/>
  <c r="X58" i="1" s="1"/>
  <c r="Y222" i="1"/>
  <c r="CH41" i="1"/>
  <c r="CJ52" i="1"/>
  <c r="CJ41" i="1"/>
  <c r="CH52" i="1"/>
  <c r="CL54" i="1" s="1"/>
  <c r="CI131" i="1"/>
  <c r="CI132" i="1"/>
  <c r="CI206" i="1"/>
  <c r="Z181" i="1"/>
  <c r="AA221" i="1"/>
  <c r="AA222" i="1" s="1"/>
  <c r="AA223" i="1" s="1"/>
  <c r="CL27" i="1"/>
  <c r="Z57" i="1"/>
  <c r="Z162" i="1"/>
  <c r="CJ126" i="1"/>
  <c r="CJ127" i="1"/>
  <c r="CJ128" i="1"/>
  <c r="CG41" i="1"/>
  <c r="CH43" i="1"/>
  <c r="CG52" i="1"/>
  <c r="Y208" i="1"/>
  <c r="Y210" i="1"/>
  <c r="Y213" i="1" s="1"/>
  <c r="Y214" i="1" s="1"/>
  <c r="Z27" i="1"/>
  <c r="Y27" i="1"/>
  <c r="Y23" i="1"/>
  <c r="CK43" i="1"/>
  <c r="CK52" i="1"/>
  <c r="CL256" i="1"/>
  <c r="CL257" i="1" s="1"/>
  <c r="CL58" i="1"/>
  <c r="CL62" i="1" s="1"/>
  <c r="CL274" i="1"/>
  <c r="CL275" i="1" s="1"/>
  <c r="CL53" i="1"/>
  <c r="CI52" i="1"/>
  <c r="CI41" i="1"/>
  <c r="CG89" i="1"/>
  <c r="CF87" i="1"/>
  <c r="CE87" i="1" s="1"/>
  <c r="CD87" i="1" s="1"/>
  <c r="CC87" i="1" s="1"/>
  <c r="CB87" i="1" s="1"/>
  <c r="CA87" i="1" s="1"/>
  <c r="BZ87" i="1" s="1"/>
  <c r="BY87" i="1" s="1"/>
  <c r="BX87" i="1" s="1"/>
  <c r="BW87" i="1" s="1"/>
  <c r="BV87" i="1" s="1"/>
  <c r="BU87" i="1" s="1"/>
  <c r="BT87" i="1" s="1"/>
  <c r="BS87" i="1" s="1"/>
  <c r="BR87" i="1" s="1"/>
  <c r="BQ87" i="1" s="1"/>
  <c r="BP87" i="1" s="1"/>
  <c r="BO87" i="1" s="1"/>
  <c r="BN87" i="1" s="1"/>
  <c r="BM87" i="1" s="1"/>
  <c r="BL87" i="1" s="1"/>
  <c r="BK87" i="1" s="1"/>
  <c r="BJ87" i="1" s="1"/>
  <c r="BI87" i="1" s="1"/>
  <c r="BH87" i="1" s="1"/>
  <c r="BG87" i="1" s="1"/>
  <c r="BF87" i="1" s="1"/>
  <c r="BE87" i="1" s="1"/>
  <c r="BD87" i="1" s="1"/>
  <c r="BC87" i="1" s="1"/>
  <c r="BB87" i="1" s="1"/>
  <c r="BA87" i="1" s="1"/>
  <c r="AZ87" i="1" s="1"/>
  <c r="AY87" i="1" s="1"/>
  <c r="AX87" i="1" s="1"/>
  <c r="AW87" i="1" s="1"/>
  <c r="AV87" i="1" s="1"/>
  <c r="AU87" i="1" s="1"/>
  <c r="AT87" i="1" s="1"/>
  <c r="AS87" i="1" s="1"/>
  <c r="AR87" i="1" s="1"/>
  <c r="AQ87" i="1" s="1"/>
  <c r="AP87" i="1" s="1"/>
  <c r="AO87" i="1" s="1"/>
  <c r="AN87" i="1" s="1"/>
  <c r="AM87" i="1" s="1"/>
  <c r="AL87" i="1" s="1"/>
  <c r="AK87" i="1" s="1"/>
  <c r="AJ87" i="1" s="1"/>
  <c r="AI87" i="1" s="1"/>
  <c r="CL127" i="1"/>
  <c r="CL119" i="1"/>
  <c r="CL131" i="1"/>
  <c r="CL134" i="1" s="1"/>
  <c r="Y268" i="1"/>
  <c r="Y270" i="1"/>
  <c r="Y189" i="1"/>
  <c r="Y190" i="1" s="1"/>
  <c r="CH181" i="1"/>
  <c r="CH189" i="1" s="1"/>
  <c r="CH190" i="1" s="1"/>
  <c r="CH209" i="1"/>
  <c r="CK42" i="1"/>
  <c r="CL43" i="1"/>
  <c r="CK41" i="1"/>
  <c r="CI43" i="1"/>
  <c r="CJ43" i="1"/>
  <c r="CH132" i="1"/>
  <c r="CH131" i="1"/>
  <c r="CK127" i="1"/>
  <c r="CK131" i="1"/>
  <c r="Y227" i="1"/>
  <c r="Y225" i="1" s="1"/>
  <c r="Y53" i="1"/>
  <c r="Y136" i="1"/>
  <c r="Y58" i="1"/>
  <c r="Y62" i="1" s="1"/>
  <c r="Y256" i="1"/>
  <c r="Y257" i="1" s="1"/>
  <c r="Z52" i="1"/>
  <c r="Z42" i="1"/>
  <c r="Z41" i="1"/>
  <c r="Z221" i="1"/>
  <c r="Z222" i="1" s="1"/>
  <c r="Z209" i="1"/>
  <c r="Z210" i="1" s="1"/>
  <c r="AA213" i="1" s="1"/>
  <c r="AA214" i="1" s="1"/>
  <c r="CH133" i="1"/>
  <c r="CI61" i="1"/>
  <c r="CJ119" i="1"/>
  <c r="CJ190" i="1"/>
  <c r="CM26" i="1"/>
  <c r="CM164" i="1"/>
  <c r="CM226" i="1" s="1"/>
  <c r="CJ120" i="1"/>
  <c r="CU157" i="1"/>
  <c r="CV157" i="1" s="1"/>
  <c r="CW157" i="1" s="1"/>
  <c r="CX157" i="1" s="1"/>
  <c r="CU5" i="1"/>
  <c r="CI162" i="1"/>
  <c r="CJ227" i="1" s="1"/>
  <c r="CJ225" i="1" s="1"/>
  <c r="CT5" i="1"/>
  <c r="AC5" i="1" s="1"/>
  <c r="CW9" i="1"/>
  <c r="CW18" i="1" s="1"/>
  <c r="CM32" i="1"/>
  <c r="CK206" i="1"/>
  <c r="CK210" i="1" s="1"/>
  <c r="CM208" i="1"/>
  <c r="CN149" i="1"/>
  <c r="CM152" i="1"/>
  <c r="CM273" i="1" s="1"/>
  <c r="CK218" i="1"/>
  <c r="CK156" i="1"/>
  <c r="CH270" i="1"/>
  <c r="CP148" i="1"/>
  <c r="CO203" i="1"/>
  <c r="CO204" i="1"/>
  <c r="CO207" i="1"/>
  <c r="CZ187" i="1"/>
  <c r="CZ141" i="1"/>
  <c r="CM69" i="1"/>
  <c r="CN69" i="1" s="1"/>
  <c r="CO69" i="1" s="1"/>
  <c r="CP69" i="1" s="1"/>
  <c r="CQ69" i="1" s="1"/>
  <c r="CR69" i="1" s="1"/>
  <c r="CS69" i="1" s="1"/>
  <c r="CT69" i="1" s="1"/>
  <c r="CU69" i="1" s="1"/>
  <c r="CM70" i="1"/>
  <c r="CN26" i="1" l="1"/>
  <c r="AD157" i="1"/>
  <c r="CY157" i="1"/>
  <c r="CZ157" i="1" s="1"/>
  <c r="DA157" i="1" s="1"/>
  <c r="DB157" i="1" s="1"/>
  <c r="AE157" i="1" s="1"/>
  <c r="CN164" i="1"/>
  <c r="CN51" i="1"/>
  <c r="CH118" i="1"/>
  <c r="CH120" i="1"/>
  <c r="CH119" i="1"/>
  <c r="Y274" i="1"/>
  <c r="Y275" i="1" s="1"/>
  <c r="X256" i="1"/>
  <c r="X257" i="1" s="1"/>
  <c r="Y54" i="1"/>
  <c r="X53" i="1"/>
  <c r="X136" i="1"/>
  <c r="CJ256" i="1"/>
  <c r="CJ257" i="1" s="1"/>
  <c r="CH53" i="1"/>
  <c r="CH58" i="1"/>
  <c r="CH62" i="1" s="1"/>
  <c r="CH256" i="1"/>
  <c r="CH257" i="1" s="1"/>
  <c r="CJ53" i="1"/>
  <c r="CJ58" i="1"/>
  <c r="CJ62" i="1" s="1"/>
  <c r="CJ65" i="1" s="1"/>
  <c r="X62" i="1"/>
  <c r="X79" i="1"/>
  <c r="Z227" i="1"/>
  <c r="Z225" i="1" s="1"/>
  <c r="AA227" i="1"/>
  <c r="AA225" i="1" s="1"/>
  <c r="Z54" i="1"/>
  <c r="AA274" i="1"/>
  <c r="AA275" i="1" s="1"/>
  <c r="AA54" i="1"/>
  <c r="CH135" i="1"/>
  <c r="CH134" i="1"/>
  <c r="Z208" i="1"/>
  <c r="Y79" i="1"/>
  <c r="Z189" i="1"/>
  <c r="Z190" i="1" s="1"/>
  <c r="Z268" i="1"/>
  <c r="Z270" i="1"/>
  <c r="CK54" i="1"/>
  <c r="Z213" i="1"/>
  <c r="Z214" i="1" s="1"/>
  <c r="CG58" i="1"/>
  <c r="CG62" i="1" s="1"/>
  <c r="CH274" i="1"/>
  <c r="CJ250" i="1"/>
  <c r="CJ136" i="1"/>
  <c r="CG53" i="1"/>
  <c r="CG256" i="1"/>
  <c r="CG257" i="1" s="1"/>
  <c r="CH55" i="1"/>
  <c r="CL55" i="1"/>
  <c r="CK58" i="1"/>
  <c r="CK62" i="1" s="1"/>
  <c r="CK53" i="1"/>
  <c r="CK55" i="1"/>
  <c r="CI274" i="1"/>
  <c r="CI275" i="1" s="1"/>
  <c r="CK136" i="1"/>
  <c r="CJ274" i="1"/>
  <c r="CJ275" i="1" s="1"/>
  <c r="CI55" i="1"/>
  <c r="CJ55" i="1"/>
  <c r="CL64" i="1"/>
  <c r="CL65" i="1"/>
  <c r="CI58" i="1"/>
  <c r="CI53" i="1"/>
  <c r="CI256" i="1"/>
  <c r="CI257" i="1" s="1"/>
  <c r="CL250" i="1"/>
  <c r="CL136" i="1"/>
  <c r="CH210" i="1"/>
  <c r="CL213" i="1" s="1"/>
  <c r="CH208" i="1"/>
  <c r="CI208" i="1" s="1"/>
  <c r="Z53" i="1"/>
  <c r="Z58" i="1"/>
  <c r="Z274" i="1"/>
  <c r="Z275" i="1" s="1"/>
  <c r="Z256" i="1"/>
  <c r="Z257" i="1" s="1"/>
  <c r="Z136" i="1"/>
  <c r="CK158" i="1"/>
  <c r="CL57" i="1" s="1"/>
  <c r="CM57" i="1" s="1"/>
  <c r="CN57" i="1" s="1"/>
  <c r="CO57" i="1" s="1"/>
  <c r="CP57" i="1" s="1"/>
  <c r="CQ57" i="1" s="1"/>
  <c r="CR57" i="1" s="1"/>
  <c r="CS57" i="1" s="1"/>
  <c r="CT57" i="1" s="1"/>
  <c r="CU57" i="1" s="1"/>
  <c r="CV57" i="1" s="1"/>
  <c r="CW57" i="1" s="1"/>
  <c r="CX57" i="1" s="1"/>
  <c r="CY57" i="1" s="1"/>
  <c r="CZ57" i="1" s="1"/>
  <c r="DA57" i="1" s="1"/>
  <c r="DB57" i="1" s="1"/>
  <c r="CL156" i="1"/>
  <c r="CL155" i="1" s="1"/>
  <c r="CI227" i="1"/>
  <c r="CI225" i="1" s="1"/>
  <c r="CV5" i="1"/>
  <c r="CN32" i="1"/>
  <c r="CX9" i="1"/>
  <c r="CX18" i="1" s="1"/>
  <c r="CM41" i="1"/>
  <c r="CN41" i="1" s="1"/>
  <c r="CN208" i="1"/>
  <c r="CM209" i="1"/>
  <c r="CM205" i="1"/>
  <c r="CO149" i="1"/>
  <c r="CN152" i="1"/>
  <c r="CN273" i="1" s="1"/>
  <c r="CM230" i="1"/>
  <c r="Y64" i="1"/>
  <c r="Y65" i="1"/>
  <c r="CP207" i="1"/>
  <c r="CP204" i="1"/>
  <c r="CP203" i="1"/>
  <c r="CQ148" i="1"/>
  <c r="DA141" i="1"/>
  <c r="DA187" i="1"/>
  <c r="CE89" i="1"/>
  <c r="AB69" i="1"/>
  <c r="AC69" i="1"/>
  <c r="CV69" i="1"/>
  <c r="CW69" i="1" s="1"/>
  <c r="CX69" i="1" s="1"/>
  <c r="CY69" i="1" s="1"/>
  <c r="AB59" i="1"/>
  <c r="CN70" i="1"/>
  <c r="CO70" i="1" s="1"/>
  <c r="CP70" i="1" s="1"/>
  <c r="CQ70" i="1" s="1"/>
  <c r="CN226" i="1" l="1"/>
  <c r="CO164" i="1"/>
  <c r="CO226" i="1" s="1"/>
  <c r="CO51" i="1"/>
  <c r="AA237" i="1"/>
  <c r="AA234" i="1"/>
  <c r="AA235" i="1" s="1"/>
  <c r="CH65" i="1"/>
  <c r="CH64" i="1"/>
  <c r="CJ64" i="1"/>
  <c r="X64" i="1"/>
  <c r="X65" i="1"/>
  <c r="CJ66" i="1"/>
  <c r="CJ269" i="1" s="1"/>
  <c r="CJ258" i="1"/>
  <c r="CJ72" i="1"/>
  <c r="CP51" i="1"/>
  <c r="CL67" i="1"/>
  <c r="CO26" i="1"/>
  <c r="CK162" i="1"/>
  <c r="CK65" i="1"/>
  <c r="CK64" i="1"/>
  <c r="CG65" i="1"/>
  <c r="CK67" i="1" s="1"/>
  <c r="CG64" i="1"/>
  <c r="CL68" i="1"/>
  <c r="CL258" i="1"/>
  <c r="CL66" i="1"/>
  <c r="CL269" i="1" s="1"/>
  <c r="CL72" i="1"/>
  <c r="CL79" i="1"/>
  <c r="CI62" i="1"/>
  <c r="CL137" i="1"/>
  <c r="CL138" i="1"/>
  <c r="CI176" i="1"/>
  <c r="CI209" i="1"/>
  <c r="Z79" i="1"/>
  <c r="Z62" i="1"/>
  <c r="CM155" i="1"/>
  <c r="CN155" i="1" s="1"/>
  <c r="CO155" i="1" s="1"/>
  <c r="CP155" i="1" s="1"/>
  <c r="CK227" i="1"/>
  <c r="CK225" i="1" s="1"/>
  <c r="CL227" i="1"/>
  <c r="CL225" i="1" s="1"/>
  <c r="CQ21" i="1"/>
  <c r="CW5" i="1"/>
  <c r="CY9" i="1"/>
  <c r="CY18" i="1" s="1"/>
  <c r="AD9" i="1"/>
  <c r="AD18" i="1" s="1"/>
  <c r="CO32" i="1"/>
  <c r="CP26" i="1"/>
  <c r="CP164" i="1"/>
  <c r="CP226" i="1" s="1"/>
  <c r="CG258" i="1"/>
  <c r="CG72" i="1"/>
  <c r="CG76" i="1" s="1"/>
  <c r="CH72" i="1"/>
  <c r="CH90" i="1" s="1"/>
  <c r="CH66" i="1"/>
  <c r="CH269" i="1" s="1"/>
  <c r="CH258" i="1"/>
  <c r="CO208" i="1"/>
  <c r="CN209" i="1"/>
  <c r="CG66" i="1"/>
  <c r="CG269" i="1" s="1"/>
  <c r="CH68" i="1"/>
  <c r="CM206" i="1"/>
  <c r="CM210" i="1" s="1"/>
  <c r="CN205" i="1"/>
  <c r="CP149" i="1"/>
  <c r="CO152" i="1"/>
  <c r="CO273" i="1" s="1"/>
  <c r="CN230" i="1"/>
  <c r="X258" i="1"/>
  <c r="X66" i="1"/>
  <c r="X269" i="1" s="1"/>
  <c r="Y67" i="1"/>
  <c r="X72" i="1"/>
  <c r="Y258" i="1"/>
  <c r="Y66" i="1"/>
  <c r="Y269" i="1" s="1"/>
  <c r="Y72" i="1"/>
  <c r="CO41" i="1"/>
  <c r="CP41" i="1" s="1"/>
  <c r="CB89" i="1"/>
  <c r="BL89" i="1"/>
  <c r="CR148" i="1"/>
  <c r="CQ203" i="1"/>
  <c r="CQ207" i="1"/>
  <c r="CC89" i="1"/>
  <c r="CQ204" i="1"/>
  <c r="DB141" i="1"/>
  <c r="DB187" i="1"/>
  <c r="AL89" i="1"/>
  <c r="CF89" i="1"/>
  <c r="CD89" i="1"/>
  <c r="BY89" i="1"/>
  <c r="BZ89" i="1"/>
  <c r="CA89" i="1"/>
  <c r="CJ90" i="1"/>
  <c r="CJ217" i="1"/>
  <c r="CJ219" i="1" s="1"/>
  <c r="CJ76" i="1"/>
  <c r="AD69" i="1"/>
  <c r="AB70" i="1"/>
  <c r="CZ69" i="1"/>
  <c r="DA69" i="1" s="1"/>
  <c r="DB69" i="1" s="1"/>
  <c r="AE69" i="1" s="1"/>
  <c r="AC59" i="1"/>
  <c r="CR70" i="1"/>
  <c r="CS70" i="1" s="1"/>
  <c r="CT70" i="1" s="1"/>
  <c r="CU70" i="1" s="1"/>
  <c r="L6" i="6" a="1"/>
  <c r="AV26" i="3"/>
  <c r="AT35" i="3"/>
  <c r="ER11" i="4" a="1"/>
  <c r="AZ10" i="3"/>
  <c r="AX25" i="3"/>
  <c r="AS31" i="3"/>
  <c r="F5" i="6" a="1"/>
  <c r="AX30" i="3"/>
  <c r="AV20" i="3"/>
  <c r="AF39" i="3"/>
  <c r="AY27" i="3"/>
  <c r="ES11" i="4" a="1"/>
  <c r="ER8" i="4" a="1"/>
  <c r="AY24" i="3"/>
  <c r="AS28" i="3"/>
  <c r="AF29" i="3"/>
  <c r="AF27" i="3"/>
  <c r="AZ26" i="3"/>
  <c r="ET8" i="4" a="1"/>
  <c r="AH5" i="6" a="1"/>
  <c r="ET7" i="4" a="1"/>
  <c r="AS10" i="3"/>
  <c r="AX5" i="3"/>
  <c r="G5" i="6" a="1"/>
  <c r="AS46" i="3"/>
  <c r="AY5" i="3"/>
  <c r="AT8" i="3"/>
  <c r="AV6" i="3"/>
  <c r="AY10" i="3"/>
  <c r="AT18" i="3"/>
  <c r="EO14" i="4" a="1"/>
  <c r="AW7" i="3"/>
  <c r="EL11" i="4" a="1"/>
  <c r="AX37" i="3"/>
  <c r="AS22" i="3"/>
  <c r="AF19" i="3"/>
  <c r="AW35" i="3"/>
  <c r="AH6" i="6" a="1"/>
  <c r="AE5" i="6" a="1"/>
  <c r="Z6" i="6" a="1"/>
  <c r="ET6" i="4" a="1"/>
  <c r="AY6" i="6" a="1"/>
  <c r="AB5" i="3"/>
  <c r="AV37" i="3"/>
  <c r="EP8" i="4" a="1"/>
  <c r="AX40" i="3"/>
  <c r="N6" i="6" a="1"/>
  <c r="AV12" i="3"/>
  <c r="AV11" i="3"/>
  <c r="AY41" i="3"/>
  <c r="EW11" i="4" a="1"/>
  <c r="AY36" i="3"/>
  <c r="AW27" i="3"/>
  <c r="F46" i="3"/>
  <c r="AX12" i="3"/>
  <c r="AW45" i="3"/>
  <c r="AW30" i="3"/>
  <c r="L5" i="6" a="1"/>
  <c r="EQ5" i="4" a="1"/>
  <c r="P5" i="6" a="1"/>
  <c r="AS5" i="3"/>
  <c r="EV8" i="4" a="1"/>
  <c r="AX7" i="3"/>
  <c r="AF8" i="3"/>
  <c r="EL9" i="4" a="1"/>
  <c r="AF34" i="3"/>
  <c r="EM15" i="4" a="1"/>
  <c r="AT25" i="3"/>
  <c r="AF35" i="3"/>
  <c r="AJ5" i="6" a="1"/>
  <c r="AZ11" i="3"/>
  <c r="AT36" i="3"/>
  <c r="AZ32" i="3"/>
  <c r="AV33" i="3"/>
  <c r="ET16" i="4" a="1"/>
  <c r="AU25" i="3"/>
  <c r="AK5" i="6" a="1"/>
  <c r="AF10" i="3"/>
  <c r="EV12" i="4" a="1"/>
  <c r="AX26" i="3"/>
  <c r="R6" i="6" a="1"/>
  <c r="AW28" i="3"/>
  <c r="AX9" i="3"/>
  <c r="EM5" i="4" a="1"/>
  <c r="AY28" i="3"/>
  <c r="AS38" i="3"/>
  <c r="EN6" i="4" a="1"/>
  <c r="AF26" i="3"/>
  <c r="AV29" i="3"/>
  <c r="AS34" i="3"/>
  <c r="AZ19" i="3"/>
  <c r="AU29" i="3"/>
  <c r="AZ36" i="3"/>
  <c r="EM12" i="4" a="1"/>
  <c r="I5" i="6" a="1"/>
  <c r="AX5" i="6" a="1"/>
  <c r="AS18" i="3"/>
  <c r="AT30" i="3"/>
  <c r="AF23" i="3"/>
  <c r="EM13" i="4" a="1"/>
  <c r="AF33" i="3"/>
  <c r="AZ6" i="3"/>
  <c r="EQ15" i="4" a="1"/>
  <c r="AT29" i="3"/>
  <c r="AT19" i="3"/>
  <c r="AU5" i="6" a="1"/>
  <c r="AW42" i="3"/>
  <c r="AB6" i="6" a="1"/>
  <c r="H6" i="6" a="1"/>
  <c r="AP5" i="3"/>
  <c r="AF14" i="3"/>
  <c r="C5" i="4" a="1"/>
  <c r="AU6" i="3"/>
  <c r="EV6" i="4" a="1"/>
  <c r="AS21" i="3"/>
  <c r="AU26" i="3"/>
  <c r="AV21" i="3"/>
  <c r="AZ35" i="3"/>
  <c r="AU8" i="3"/>
  <c r="AD5" i="6" a="1"/>
  <c r="AS9" i="3"/>
  <c r="AX20" i="3"/>
  <c r="AX33" i="3"/>
  <c r="AX10" i="3"/>
  <c r="V6" i="6" a="1"/>
  <c r="EQ13" i="4" a="1"/>
  <c r="AN6" i="6" a="1"/>
  <c r="AV9" i="3"/>
  <c r="AZ34" i="3"/>
  <c r="AW40" i="3"/>
  <c r="AU33" i="3"/>
  <c r="EU8" i="4" a="1"/>
  <c r="AF7" i="3"/>
  <c r="EU14" i="4" a="1"/>
  <c r="EN8" i="4" a="1"/>
  <c r="AK6" i="6" a="1"/>
  <c r="ER13" i="4" a="1"/>
  <c r="EV7" i="4" a="1"/>
  <c r="EV14" i="4" a="1"/>
  <c r="EQ14" i="4" a="1"/>
  <c r="AW21" i="3"/>
  <c r="U5" i="6" a="1"/>
  <c r="EW13" i="4" a="1"/>
  <c r="AV6" i="6" a="1"/>
  <c r="EP13" i="4" a="1"/>
  <c r="EO12" i="4" a="1"/>
  <c r="EW9" i="4" a="1"/>
  <c r="AR6" i="6" a="1"/>
  <c r="AY17" i="3"/>
  <c r="AW36" i="3"/>
  <c r="AZ7" i="3"/>
  <c r="EL15" i="4" a="1"/>
  <c r="AV27" i="3"/>
  <c r="T5" i="6" a="1"/>
  <c r="AU16" i="3"/>
  <c r="J6" i="6" a="1"/>
  <c r="EN7" i="4" a="1"/>
  <c r="W5" i="6" a="1"/>
  <c r="AY9" i="3"/>
  <c r="EW6" i="4" a="1"/>
  <c r="AF25" i="3"/>
  <c r="F45" i="3"/>
  <c r="AV45" i="3"/>
  <c r="AU37" i="3"/>
  <c r="E6" i="6" a="1"/>
  <c r="AR6" i="3"/>
  <c r="EN11" i="4" a="1"/>
  <c r="AU17" i="3"/>
  <c r="EU7" i="4" a="1"/>
  <c r="AF6" i="6" a="1"/>
  <c r="AX39" i="3"/>
  <c r="AU30" i="3"/>
  <c r="EV9" i="4" a="1"/>
  <c r="AT6" i="3"/>
  <c r="AZ18" i="3"/>
  <c r="AZ14" i="3"/>
  <c r="AW10" i="3"/>
  <c r="AY39" i="3"/>
  <c r="AA5" i="6" a="1"/>
  <c r="AU14" i="3"/>
  <c r="AF45" i="3"/>
  <c r="AW5" i="3"/>
  <c r="AV28" i="3"/>
  <c r="W6" i="6" a="1"/>
  <c r="EW14" i="4" a="1"/>
  <c r="AV16" i="3"/>
  <c r="ES14" i="4" a="1"/>
  <c r="AR5" i="6" a="1"/>
  <c r="AV13" i="3"/>
  <c r="R5" i="6" a="1"/>
  <c r="AV14" i="3"/>
  <c r="AZ29" i="3"/>
  <c r="AT12" i="3"/>
  <c r="AV7" i="3"/>
  <c r="AS11" i="3"/>
  <c r="N5" i="6" a="1"/>
  <c r="AF22" i="3"/>
  <c r="C6" i="4" a="1"/>
  <c r="AF24" i="3"/>
  <c r="ES6" i="4" a="1"/>
  <c r="AX13" i="3"/>
  <c r="AU24" i="3"/>
  <c r="AW37" i="3"/>
  <c r="ET11" i="4" a="1"/>
  <c r="AW9" i="3"/>
  <c r="AY30" i="3"/>
  <c r="AV35" i="3"/>
  <c r="AW22" i="3"/>
  <c r="K5" i="6" a="1"/>
  <c r="EN12" i="4" a="1"/>
  <c r="AY23" i="3"/>
  <c r="C5" i="3"/>
  <c r="AT33" i="3"/>
  <c r="AT27" i="3"/>
  <c r="D6" i="6" a="1"/>
  <c r="AX11" i="3"/>
  <c r="AT38" i="3"/>
  <c r="EP12" i="4" a="1"/>
  <c r="AU36" i="3"/>
  <c r="AY22" i="3"/>
  <c r="ET13" i="4" a="1"/>
  <c r="AS27" i="3"/>
  <c r="AS17" i="3"/>
  <c r="AG5" i="6" a="1"/>
  <c r="AB5" i="6" a="1"/>
  <c r="AV22" i="3"/>
  <c r="AX17" i="3"/>
  <c r="AX36" i="3"/>
  <c r="AZ8" i="3"/>
  <c r="AS32" i="3"/>
  <c r="D5" i="6" a="1"/>
  <c r="K6" i="6" a="1"/>
  <c r="AT5" i="3"/>
  <c r="AW26" i="3"/>
  <c r="AY37" i="3"/>
  <c r="AY35" i="3"/>
  <c r="AS42" i="3"/>
  <c r="AY21" i="3"/>
  <c r="EO13" i="4" a="1"/>
  <c r="AF11" i="3"/>
  <c r="AW31" i="3"/>
  <c r="ER7" i="4" a="1"/>
  <c r="AF5" i="6" a="1"/>
  <c r="AX19" i="3"/>
  <c r="AF21" i="3"/>
  <c r="AT20" i="3"/>
  <c r="AZ40" i="3"/>
  <c r="ET12" i="4" a="1"/>
  <c r="AX27" i="3"/>
  <c r="AF36" i="3"/>
  <c r="AV46" i="3"/>
  <c r="EO7" i="4" a="1"/>
  <c r="AU42" i="3"/>
  <c r="AU19" i="3"/>
  <c r="AU12" i="3"/>
  <c r="EV13" i="4" a="1"/>
  <c r="AT16" i="3"/>
  <c r="AV19" i="3"/>
  <c r="AZ22" i="3"/>
  <c r="AT31" i="3"/>
  <c r="AW46" i="3"/>
  <c r="AX45" i="3"/>
  <c r="EV15" i="4" a="1"/>
  <c r="AY19" i="3"/>
  <c r="AU39" i="3"/>
  <c r="ER9" i="4" a="1"/>
  <c r="AX23" i="3"/>
  <c r="AS29" i="3"/>
  <c r="AU46" i="3"/>
  <c r="AF46" i="3"/>
  <c r="AM5" i="6" a="1"/>
  <c r="EL14" i="4" a="1"/>
  <c r="S6" i="6" a="1"/>
  <c r="AX16" i="3"/>
  <c r="AT40" i="3"/>
  <c r="AU40" i="3"/>
  <c r="ER14" i="4" a="1"/>
  <c r="AS12" i="3"/>
  <c r="AX14" i="3"/>
  <c r="AZ21" i="3"/>
  <c r="AU38" i="3"/>
  <c r="AF12" i="3"/>
  <c r="G6" i="6" a="1"/>
  <c r="ES15" i="4" a="1"/>
  <c r="AW8" i="3"/>
  <c r="EP7" i="4" a="1"/>
  <c r="EU11" i="4" a="1"/>
  <c r="EO9" i="4" a="1"/>
  <c r="AT13" i="3"/>
  <c r="AS19" i="3"/>
  <c r="EP9" i="4" a="1"/>
  <c r="AL6" i="6" a="1"/>
  <c r="AZ5" i="3"/>
  <c r="AZ25" i="3"/>
  <c r="AZ28" i="3"/>
  <c r="AV24" i="3"/>
  <c r="AS14" i="3"/>
  <c r="EL16" i="4" a="1"/>
  <c r="AF6" i="3"/>
  <c r="ER15" i="4" a="1"/>
  <c r="EN16" i="4" a="1"/>
  <c r="AU20" i="3"/>
  <c r="AY14" i="3"/>
  <c r="AW14" i="3"/>
  <c r="AZ38" i="3"/>
  <c r="AX8" i="3"/>
  <c r="AU18" i="3"/>
  <c r="AY40" i="3"/>
  <c r="AW6" i="6" a="1"/>
  <c r="EW16" i="4" a="1"/>
  <c r="AT26" i="3"/>
  <c r="AT39" i="3"/>
  <c r="AT32" i="3"/>
  <c r="AX6" i="6" a="1"/>
  <c r="F6" i="6" a="1"/>
  <c r="EO15" i="4" a="1"/>
  <c r="ES5" i="4" a="1"/>
  <c r="AY34" i="3"/>
  <c r="AG6" i="6" a="1"/>
  <c r="EM16" i="4" a="1"/>
  <c r="C5" i="6" a="1"/>
  <c r="AT24" i="3"/>
  <c r="AF5" i="3"/>
  <c r="T6" i="6" a="1"/>
  <c r="AF15" i="3"/>
  <c r="AV5" i="6" a="1"/>
  <c r="AZ17" i="3"/>
  <c r="ER6" i="4" a="1"/>
  <c r="AF31" i="3"/>
  <c r="AS24" i="3"/>
  <c r="ES16" i="4" a="1"/>
  <c r="AX29" i="3"/>
  <c r="U6" i="6" a="1"/>
  <c r="AY33" i="3"/>
  <c r="AW41" i="3"/>
  <c r="EQ11" i="4" a="1"/>
  <c r="AZ41" i="3"/>
  <c r="AS8" i="3"/>
  <c r="AX42" i="3"/>
  <c r="ET15" i="4" a="1"/>
  <c r="EP5" i="4" a="1"/>
  <c r="AW24" i="3"/>
  <c r="AX34" i="3"/>
  <c r="AE6" i="6" a="1"/>
  <c r="AW13" i="3"/>
  <c r="AS25" i="3"/>
  <c r="EO16" i="4" a="1"/>
  <c r="AY11" i="3"/>
  <c r="AS37" i="3"/>
  <c r="AS35" i="3"/>
  <c r="EO8" i="4" a="1"/>
  <c r="AV8" i="3"/>
  <c r="AX24" i="3"/>
  <c r="AZ9" i="3"/>
  <c r="X5" i="6" a="1"/>
  <c r="EV16" i="4" a="1"/>
  <c r="AT34" i="3"/>
  <c r="AT21" i="3"/>
  <c r="AV30" i="3"/>
  <c r="AT6" i="6" a="1"/>
  <c r="EW8" i="4" a="1"/>
  <c r="AW16" i="3"/>
  <c r="AZ13" i="3"/>
  <c r="AM6" i="6" a="1"/>
  <c r="ES7" i="4" a="1"/>
  <c r="EP6" i="4" a="1"/>
  <c r="AV41" i="3"/>
  <c r="AV34" i="3"/>
  <c r="AY32" i="3"/>
  <c r="AU32" i="3"/>
  <c r="AW19" i="3"/>
  <c r="EM8" i="4" a="1"/>
  <c r="AU6" i="6" a="1"/>
  <c r="AU41" i="3"/>
  <c r="AY31" i="3"/>
  <c r="AF32" i="3"/>
  <c r="AO5" i="6" a="1"/>
  <c r="P6" i="6" a="1"/>
  <c r="EL12" i="4" a="1"/>
  <c r="AV17" i="3"/>
  <c r="AT7" i="3"/>
  <c r="AU35" i="3"/>
  <c r="AL5" i="6" a="1"/>
  <c r="AU31" i="3"/>
  <c r="AF20" i="3"/>
  <c r="EQ16" i="4" a="1"/>
  <c r="AZ37" i="3"/>
  <c r="EN9" i="4" a="1"/>
  <c r="AT41" i="3"/>
  <c r="ET14" i="4" a="1"/>
  <c r="EW5" i="4" a="1"/>
  <c r="AT5" i="6" a="1"/>
  <c r="AY18" i="3"/>
  <c r="AY45" i="3"/>
  <c r="EQ9" i="4" a="1"/>
  <c r="AV36" i="3"/>
  <c r="AC6" i="6" a="1"/>
  <c r="AR7" i="3"/>
  <c r="AD6" i="6" a="1"/>
  <c r="AZ24" i="3"/>
  <c r="AX18" i="3"/>
  <c r="ES12" i="4" a="1"/>
  <c r="ET9" i="4" a="1"/>
  <c r="EW15" i="4" a="1"/>
  <c r="EU6" i="4" a="1"/>
  <c r="I6" i="6" a="1"/>
  <c r="AZ27" i="3"/>
  <c r="AW32" i="3"/>
  <c r="EM6" i="4" a="1"/>
  <c r="EU9" i="4" a="1"/>
  <c r="EQ6" i="4" a="1"/>
  <c r="AI6" i="6" a="1"/>
  <c r="AU27" i="3"/>
  <c r="AW23" i="3"/>
  <c r="AZ46" i="3"/>
  <c r="EL13" i="4" a="1"/>
  <c r="EU15" i="4" a="1"/>
  <c r="AU34" i="3"/>
  <c r="AZ15" i="3"/>
  <c r="AW6" i="3"/>
  <c r="AU23" i="3"/>
  <c r="AV23" i="3"/>
  <c r="EM9" i="4" a="1"/>
  <c r="AW38" i="3"/>
  <c r="AW34" i="3"/>
  <c r="EL8" i="4" a="1"/>
  <c r="Y5" i="6" a="1"/>
  <c r="O5" i="6" a="1"/>
  <c r="AY6" i="3"/>
  <c r="AO6" i="6" a="1"/>
  <c r="AF17" i="3"/>
  <c r="Q5" i="6" a="1"/>
  <c r="X6" i="6" a="1"/>
  <c r="AS20" i="3"/>
  <c r="AF18" i="3"/>
  <c r="AP7" i="3"/>
  <c r="EQ7" i="4" a="1"/>
  <c r="AS7" i="3"/>
  <c r="EN13" i="4" a="1"/>
  <c r="AS5" i="6" a="1"/>
  <c r="H5" i="6" a="1"/>
  <c r="AW33" i="3"/>
  <c r="AV32" i="3"/>
  <c r="EO11" i="4" a="1"/>
  <c r="AF13" i="3"/>
  <c r="AU9" i="3"/>
  <c r="EW7" i="4" a="1"/>
  <c r="AS45" i="3"/>
  <c r="AS15" i="3"/>
  <c r="AF9" i="3"/>
  <c r="ET5" i="4" a="1"/>
  <c r="EU13" i="4" a="1"/>
  <c r="AN5" i="6" a="1"/>
  <c r="EP11" i="4" a="1"/>
  <c r="AX28" i="3"/>
  <c r="AT46" i="3"/>
  <c r="AS6" i="6" a="1"/>
  <c r="EO5" i="4" a="1"/>
  <c r="AV31" i="3"/>
  <c r="AX35" i="3"/>
  <c r="EU5" i="4" a="1"/>
  <c r="AF42" i="3"/>
  <c r="AU10" i="3"/>
  <c r="AY25" i="3"/>
  <c r="AY15" i="3"/>
  <c r="EO6" i="4" a="1"/>
  <c r="EV5" i="4" a="1"/>
  <c r="EP15" i="4" a="1"/>
  <c r="AW29" i="3"/>
  <c r="AV38" i="3"/>
  <c r="AY8" i="3"/>
  <c r="AF28" i="3"/>
  <c r="AX41" i="3"/>
  <c r="AW17" i="3"/>
  <c r="EQ12" i="4" a="1"/>
  <c r="AY46" i="3"/>
  <c r="AT10" i="3"/>
  <c r="ER5" i="4" a="1"/>
  <c r="AX38" i="3"/>
  <c r="AY5" i="6" a="1"/>
  <c r="AS30" i="3"/>
  <c r="AS36" i="3"/>
  <c r="AV39" i="3"/>
  <c r="J5" i="6" a="1"/>
  <c r="EP16" i="4" a="1"/>
  <c r="AZ31" i="3"/>
  <c r="AV18" i="3"/>
  <c r="EM14" i="4" a="1"/>
  <c r="EL7" i="4" a="1"/>
  <c r="AZ30" i="3"/>
  <c r="AT11" i="3"/>
  <c r="AX6" i="3"/>
  <c r="AU5" i="3"/>
  <c r="AX46" i="3"/>
  <c r="EQ8" i="4" a="1"/>
  <c r="EP14" i="4" a="1"/>
  <c r="AV42" i="3"/>
  <c r="AU45" i="3"/>
  <c r="AV25" i="3"/>
  <c r="AI5" i="6" a="1"/>
  <c r="AZ33" i="3"/>
  <c r="ER12" i="4" a="1"/>
  <c r="AY16" i="3"/>
  <c r="AS26" i="3"/>
  <c r="AF30" i="3"/>
  <c r="AX31" i="3"/>
  <c r="AT28" i="3"/>
  <c r="Z5" i="6" a="1"/>
  <c r="AA6" i="6" a="1"/>
  <c r="ER16" i="4" a="1"/>
  <c r="AZ20" i="3"/>
  <c r="EN14" i="4" a="1"/>
  <c r="AV5" i="3"/>
  <c r="AS33" i="3"/>
  <c r="O6" i="6" a="1"/>
  <c r="M6" i="6" a="1"/>
  <c r="AF41" i="3"/>
  <c r="AW39" i="3"/>
  <c r="AW11" i="3"/>
  <c r="S5" i="6" a="1"/>
  <c r="AT9" i="3"/>
  <c r="Y6" i="6" a="1"/>
  <c r="EL5" i="4" a="1"/>
  <c r="AW25" i="3"/>
  <c r="AU21" i="3"/>
  <c r="AY7" i="3"/>
  <c r="AZ42" i="3"/>
  <c r="AT37" i="3"/>
  <c r="AT45" i="3"/>
  <c r="AT42" i="3"/>
  <c r="AF40" i="3"/>
  <c r="AS16" i="3"/>
  <c r="EV11" i="4" a="1"/>
  <c r="AY20" i="3"/>
  <c r="AU11" i="3"/>
  <c r="AQ5" i="6" a="1"/>
  <c r="EN15" i="4" a="1"/>
  <c r="AU7" i="3"/>
  <c r="EM7" i="4" a="1"/>
  <c r="AT17" i="3"/>
  <c r="AU13" i="3"/>
  <c r="AZ45" i="3"/>
  <c r="AF37" i="3"/>
  <c r="AX21" i="3"/>
  <c r="AS39" i="3"/>
  <c r="ES9" i="4" a="1"/>
  <c r="AT14" i="3"/>
  <c r="AS13" i="3"/>
  <c r="AS23" i="3"/>
  <c r="AP5" i="6" a="1"/>
  <c r="AS41" i="3"/>
  <c r="C6" i="6" a="1"/>
  <c r="AT15" i="3"/>
  <c r="AY26" i="3"/>
  <c r="AU28" i="3"/>
  <c r="AV40" i="3"/>
  <c r="EW12" i="4" a="1"/>
  <c r="AZ12" i="3"/>
  <c r="AS6" i="3"/>
  <c r="EN5" i="4" a="1"/>
  <c r="AX15" i="3"/>
  <c r="AW12" i="3"/>
  <c r="AW5" i="6" a="1"/>
  <c r="AU15" i="3"/>
  <c r="AQ6" i="6" a="1"/>
  <c r="AY42" i="3"/>
  <c r="ES13" i="4" a="1"/>
  <c r="AC5" i="6" a="1"/>
  <c r="AF38" i="3"/>
  <c r="EL6" i="4" a="1"/>
  <c r="E5" i="6" a="1"/>
  <c r="AY13" i="3"/>
  <c r="AF16" i="3"/>
  <c r="ES8" i="4" a="1"/>
  <c r="AV15" i="3"/>
  <c r="AY38" i="3"/>
  <c r="AU22" i="3"/>
  <c r="AX32" i="3"/>
  <c r="AZ39" i="3"/>
  <c r="AY12" i="3"/>
  <c r="AR5" i="3"/>
  <c r="EM11" i="4" a="1"/>
  <c r="AT23" i="3"/>
  <c r="EU16" i="4" a="1"/>
  <c r="AJ6" i="6" a="1"/>
  <c r="M5" i="6" a="1"/>
  <c r="AW20" i="3"/>
  <c r="AW15" i="3"/>
  <c r="AP6" i="6" a="1"/>
  <c r="AZ23" i="3"/>
  <c r="AZ16" i="3"/>
  <c r="AT22" i="3"/>
  <c r="AP6" i="3"/>
  <c r="EU12" i="4" a="1"/>
  <c r="AW18" i="3"/>
  <c r="AS40" i="3"/>
  <c r="Q6" i="6" a="1"/>
  <c r="V5" i="6" a="1"/>
  <c r="AX22" i="3"/>
  <c r="CQ51" i="1" l="1"/>
  <c r="CR51" i="1"/>
  <c r="CK66" i="1"/>
  <c r="CK72" i="1"/>
  <c r="CK68" i="1"/>
  <c r="CL76" i="1"/>
  <c r="CL217" i="1"/>
  <c r="CL219" i="1" s="1"/>
  <c r="CL90" i="1"/>
  <c r="CI64" i="1"/>
  <c r="CM64" i="1" s="1"/>
  <c r="CI65" i="1"/>
  <c r="Z64" i="1"/>
  <c r="Z65" i="1"/>
  <c r="AA67" i="1" s="1"/>
  <c r="AB155" i="1"/>
  <c r="CQ155" i="1"/>
  <c r="CR155" i="1" s="1"/>
  <c r="CS155" i="1" s="1"/>
  <c r="CT155" i="1" s="1"/>
  <c r="CR21" i="1"/>
  <c r="CH217" i="1"/>
  <c r="CH219" i="1" s="1"/>
  <c r="CQ164" i="1"/>
  <c r="CQ226" i="1" s="1"/>
  <c r="CQ26" i="1"/>
  <c r="CP32" i="1"/>
  <c r="CZ9" i="1"/>
  <c r="CZ18" i="1" s="1"/>
  <c r="CG217" i="1"/>
  <c r="CG219" i="1" s="1"/>
  <c r="CG90" i="1"/>
  <c r="CH76" i="1"/>
  <c r="CP208" i="1"/>
  <c r="CO209" i="1"/>
  <c r="CN206" i="1"/>
  <c r="CN210" i="1" s="1"/>
  <c r="CO205" i="1"/>
  <c r="CQ149" i="1"/>
  <c r="CP152" i="1"/>
  <c r="CP273" i="1" s="1"/>
  <c r="CO230" i="1"/>
  <c r="BY46" i="1"/>
  <c r="CA33" i="1"/>
  <c r="CE46" i="1"/>
  <c r="CA46" i="1"/>
  <c r="CF46" i="1"/>
  <c r="CD46" i="1"/>
  <c r="BZ46" i="1"/>
  <c r="BL46" i="1"/>
  <c r="CC46" i="1"/>
  <c r="CB46" i="1"/>
  <c r="CF33" i="1"/>
  <c r="CD33" i="1"/>
  <c r="BY33" i="1"/>
  <c r="CE33" i="1"/>
  <c r="BZ33" i="1"/>
  <c r="CC33" i="1"/>
  <c r="CB33" i="1"/>
  <c r="BL33" i="1"/>
  <c r="Y217" i="1"/>
  <c r="Y219" i="1" s="1"/>
  <c r="Y223" i="1" s="1"/>
  <c r="Y237" i="1" s="1"/>
  <c r="Y231" i="1"/>
  <c r="Y229" i="1" s="1"/>
  <c r="Y78" i="1"/>
  <c r="Y76" i="1"/>
  <c r="X217" i="1"/>
  <c r="X219" i="1" s="1"/>
  <c r="X76" i="1"/>
  <c r="X78" i="1"/>
  <c r="CD49" i="1"/>
  <c r="CC69" i="1"/>
  <c r="CA32" i="1"/>
  <c r="CA21" i="1" s="1"/>
  <c r="CD63" i="1"/>
  <c r="AH7" i="6" s="1"/>
  <c r="CD59" i="1"/>
  <c r="CF60" i="1"/>
  <c r="BY69" i="1"/>
  <c r="BL69" i="1"/>
  <c r="CD70" i="1"/>
  <c r="AV7" i="6" s="1"/>
  <c r="CB44" i="1"/>
  <c r="R7" i="6" s="1"/>
  <c r="X7" i="6" s="1"/>
  <c r="CD69" i="1"/>
  <c r="CD39" i="1"/>
  <c r="V7" i="6" s="1"/>
  <c r="BY39" i="1"/>
  <c r="CB32" i="1"/>
  <c r="CB21" i="1" s="1"/>
  <c r="BY75" i="1"/>
  <c r="BL32" i="1"/>
  <c r="AW7" i="6" s="1"/>
  <c r="BY45" i="1"/>
  <c r="CA37" i="1"/>
  <c r="CB47" i="1"/>
  <c r="BZ60" i="1"/>
  <c r="O7" i="6" s="1"/>
  <c r="BL71" i="1"/>
  <c r="AQ7" i="6" s="1"/>
  <c r="CF32" i="1"/>
  <c r="JJ9" i="4" s="1"/>
  <c r="BY70" i="1"/>
  <c r="AM7" i="6" s="1"/>
  <c r="JM16" i="4" s="1"/>
  <c r="CF71" i="1"/>
  <c r="CA48" i="1"/>
  <c r="BL47" i="1"/>
  <c r="BL70" i="1"/>
  <c r="CF59" i="1"/>
  <c r="BL60" i="1"/>
  <c r="BZ69" i="1"/>
  <c r="CC49" i="1"/>
  <c r="CC45" i="1"/>
  <c r="JM9" i="4" s="1"/>
  <c r="CA45" i="1"/>
  <c r="JL16" i="4" s="1"/>
  <c r="BZ48" i="1"/>
  <c r="CB45" i="1"/>
  <c r="CC37" i="1"/>
  <c r="JK16" i="4" s="1"/>
  <c r="CA75" i="1"/>
  <c r="BZ38" i="1"/>
  <c r="CE39" i="1"/>
  <c r="CC38" i="1"/>
  <c r="C7" i="6" s="1"/>
  <c r="T7" i="6" s="1"/>
  <c r="BY48" i="1"/>
  <c r="CC70" i="1"/>
  <c r="CC32" i="1"/>
  <c r="CC21" i="1" s="1"/>
  <c r="CB59" i="1"/>
  <c r="JL9" i="4" s="1"/>
  <c r="CF63" i="1"/>
  <c r="AL7" i="6" s="1"/>
  <c r="BZ56" i="1"/>
  <c r="BZ218" i="1" s="1"/>
  <c r="BZ59" i="1"/>
  <c r="J7" i="6" s="1"/>
  <c r="BY71" i="1"/>
  <c r="Z7" i="6" s="1"/>
  <c r="BL44" i="1"/>
  <c r="CF37" i="1"/>
  <c r="CF47" i="1"/>
  <c r="BZ37" i="1"/>
  <c r="CA39" i="1"/>
  <c r="CD38" i="1"/>
  <c r="BL45" i="1"/>
  <c r="BY38" i="1"/>
  <c r="CE56" i="1"/>
  <c r="CE218" i="1" s="1"/>
  <c r="AD7" i="6" s="1"/>
  <c r="CF49" i="1"/>
  <c r="CE44" i="1"/>
  <c r="CA71" i="1"/>
  <c r="CD60" i="1"/>
  <c r="CB48" i="1"/>
  <c r="CD71" i="1"/>
  <c r="AP7" i="6" s="1"/>
  <c r="Y7" i="6" s="1"/>
  <c r="CA49" i="1"/>
  <c r="AA7" i="6" s="1"/>
  <c r="AJ7" i="6" s="1"/>
  <c r="BY32" i="1"/>
  <c r="BY21" i="1" s="1"/>
  <c r="BY47" i="1"/>
  <c r="CB63" i="1"/>
  <c r="CE49" i="1"/>
  <c r="I7" i="6" s="1"/>
  <c r="AK7" i="6" s="1"/>
  <c r="CE38" i="1"/>
  <c r="K7" i="6" s="1"/>
  <c r="F7" i="6" s="1"/>
  <c r="CB69" i="1"/>
  <c r="CF48" i="1"/>
  <c r="AC7" i="6" s="1"/>
  <c r="AE7" i="6" s="1"/>
  <c r="M7" i="6" s="1"/>
  <c r="Q7" i="6" s="1"/>
  <c r="CA70" i="1"/>
  <c r="BZ70" i="1"/>
  <c r="CA60" i="1"/>
  <c r="CF70" i="1"/>
  <c r="AU7" i="6" s="1"/>
  <c r="BL39" i="1"/>
  <c r="CE48" i="1"/>
  <c r="CB56" i="1"/>
  <c r="CB218" i="1" s="1"/>
  <c r="CC71" i="1"/>
  <c r="CC75" i="1"/>
  <c r="AX7" i="6" s="1"/>
  <c r="BZ47" i="1"/>
  <c r="AT7" i="6" s="1"/>
  <c r="S7" i="6" s="1"/>
  <c r="BY37" i="1"/>
  <c r="CE59" i="1"/>
  <c r="CA69" i="1"/>
  <c r="CB71" i="1"/>
  <c r="CA59" i="1"/>
  <c r="CF75" i="1"/>
  <c r="CF45" i="1"/>
  <c r="CA44" i="1"/>
  <c r="AN7" i="6" s="1"/>
  <c r="CE70" i="1"/>
  <c r="CC39" i="1"/>
  <c r="CE75" i="1"/>
  <c r="CF39" i="1"/>
  <c r="G7" i="6" s="1"/>
  <c r="BL56" i="1"/>
  <c r="AF7" i="6" s="1"/>
  <c r="CC44" i="1"/>
  <c r="CD44" i="1"/>
  <c r="JJ16" i="4" s="1"/>
  <c r="BY49" i="1"/>
  <c r="CB70" i="1"/>
  <c r="CE32" i="1"/>
  <c r="AB7" i="6" s="1"/>
  <c r="BL38" i="1"/>
  <c r="CD75" i="1"/>
  <c r="BY44" i="1"/>
  <c r="BZ39" i="1"/>
  <c r="CD45" i="1"/>
  <c r="L7" i="6" s="1"/>
  <c r="BL63" i="1"/>
  <c r="BZ32" i="1"/>
  <c r="BZ21" i="1" s="1"/>
  <c r="CA56" i="1"/>
  <c r="BZ63" i="1"/>
  <c r="BY56" i="1"/>
  <c r="BY218" i="1" s="1"/>
  <c r="AI7" i="6" s="1"/>
  <c r="CC63" i="1"/>
  <c r="D7" i="6" s="1"/>
  <c r="BZ45" i="1"/>
  <c r="AG7" i="6" s="1"/>
  <c r="BZ44" i="1"/>
  <c r="BL75" i="1"/>
  <c r="W7" i="6" s="1"/>
  <c r="CB75" i="1"/>
  <c r="CE71" i="1"/>
  <c r="CF44" i="1"/>
  <c r="CC47" i="1"/>
  <c r="CD47" i="1"/>
  <c r="CE37" i="1"/>
  <c r="BY59" i="1"/>
  <c r="CC59" i="1"/>
  <c r="BZ75" i="1"/>
  <c r="AS7" i="6" s="1"/>
  <c r="BZ71" i="1"/>
  <c r="CE60" i="1"/>
  <c r="CD37" i="1"/>
  <c r="BL59" i="1"/>
  <c r="CB38" i="1"/>
  <c r="CC56" i="1"/>
  <c r="CC218" i="1" s="1"/>
  <c r="BY63" i="1"/>
  <c r="H7" i="6" s="1"/>
  <c r="CA47" i="1"/>
  <c r="BZ49" i="1"/>
  <c r="CD32" i="1"/>
  <c r="CD21" i="1" s="1"/>
  <c r="AR7" i="6" s="1"/>
  <c r="CF38" i="1"/>
  <c r="BL37" i="1"/>
  <c r="BL48" i="1"/>
  <c r="JK9" i="4" s="1"/>
  <c r="AO7" i="6" s="1"/>
  <c r="CA63" i="1"/>
  <c r="BL49" i="1"/>
  <c r="CA38" i="1"/>
  <c r="CE69" i="1"/>
  <c r="CD48" i="1"/>
  <c r="P7" i="6" s="1"/>
  <c r="E7" i="6" s="1"/>
  <c r="U7" i="6" s="1"/>
  <c r="CC48" i="1"/>
  <c r="AY7" i="6" s="1"/>
  <c r="CD56" i="1"/>
  <c r="CB39" i="1"/>
  <c r="CC60" i="1"/>
  <c r="CB60" i="1"/>
  <c r="CE47" i="1"/>
  <c r="CE45" i="1"/>
  <c r="CF56" i="1"/>
  <c r="CF218" i="1" s="1"/>
  <c r="CB49" i="1"/>
  <c r="BY60" i="1"/>
  <c r="CF69" i="1"/>
  <c r="N7" i="6" s="1"/>
  <c r="CQ41" i="1"/>
  <c r="CS148" i="1"/>
  <c r="CR204" i="1"/>
  <c r="CR207" i="1"/>
  <c r="CR203" i="1"/>
  <c r="CJ79" i="1"/>
  <c r="AC70" i="1"/>
  <c r="CV70" i="1"/>
  <c r="CW70" i="1" s="1"/>
  <c r="CX70" i="1" s="1"/>
  <c r="CY70" i="1" s="1"/>
  <c r="AD59" i="1"/>
  <c r="AT60" i="3"/>
  <c r="AF47" i="3"/>
  <c r="AU65" i="3"/>
  <c r="AZ62" i="3"/>
  <c r="AX72" i="3"/>
  <c r="AX78" i="3"/>
  <c r="AT48" i="3"/>
  <c r="AY79" i="3"/>
  <c r="AU59" i="3"/>
  <c r="AW59" i="3"/>
  <c r="AF78" i="3"/>
  <c r="AF97" i="3"/>
  <c r="AU61" i="3"/>
  <c r="AY47" i="3"/>
  <c r="AS74" i="3"/>
  <c r="AX71" i="3"/>
  <c r="AW89" i="3"/>
  <c r="AU85" i="3"/>
  <c r="AU55" i="3"/>
  <c r="AW83" i="3"/>
  <c r="AW70" i="3"/>
  <c r="AS86" i="3"/>
  <c r="AF86" i="3"/>
  <c r="AW94" i="3"/>
  <c r="AV57" i="3"/>
  <c r="C61" i="3"/>
  <c r="AF89" i="3"/>
  <c r="AS81" i="3"/>
  <c r="AU47" i="3"/>
  <c r="C90" i="3"/>
  <c r="C67" i="3"/>
  <c r="AW61" i="3"/>
  <c r="AX85" i="3"/>
  <c r="AF76" i="3"/>
  <c r="AV94" i="3"/>
  <c r="AT83" i="3"/>
  <c r="AF92" i="3"/>
  <c r="AU69" i="3"/>
  <c r="AZ76" i="3"/>
  <c r="AT88" i="3"/>
  <c r="AY93" i="3"/>
  <c r="AZ70" i="3"/>
  <c r="AY72" i="3"/>
  <c r="C69" i="3"/>
  <c r="AW75" i="3"/>
  <c r="AU82" i="3"/>
  <c r="AW50" i="3"/>
  <c r="AU89" i="3"/>
  <c r="AV93" i="3"/>
  <c r="AZ58" i="3"/>
  <c r="AS83" i="3"/>
  <c r="AW84" i="3"/>
  <c r="AZ87" i="3"/>
  <c r="AT56" i="3"/>
  <c r="AY74" i="3"/>
  <c r="AU48" i="3"/>
  <c r="AU90" i="3"/>
  <c r="AY86" i="3"/>
  <c r="AZ80" i="3"/>
  <c r="AT74" i="3"/>
  <c r="AY65" i="3"/>
  <c r="AX50" i="3"/>
  <c r="AZ63" i="3"/>
  <c r="AW68" i="3"/>
  <c r="AV95" i="3"/>
  <c r="C62" i="3"/>
  <c r="AS66" i="3"/>
  <c r="AV59" i="3"/>
  <c r="AX89" i="3"/>
  <c r="AW62" i="3"/>
  <c r="AU78" i="3"/>
  <c r="AT93" i="3"/>
  <c r="AX81" i="3"/>
  <c r="AV77" i="3"/>
  <c r="AW96" i="3"/>
  <c r="AX55" i="3"/>
  <c r="C91" i="3"/>
  <c r="AZ90" i="3"/>
  <c r="AS94" i="3"/>
  <c r="AU64" i="3"/>
  <c r="AF69" i="3"/>
  <c r="AZ71" i="3"/>
  <c r="AV97" i="3"/>
  <c r="AF77" i="3"/>
  <c r="AW47" i="3"/>
  <c r="AF73" i="3"/>
  <c r="AY92" i="3"/>
  <c r="C80" i="3"/>
  <c r="AT57" i="3"/>
  <c r="AF64" i="3"/>
  <c r="AU71" i="3"/>
  <c r="AS48" i="3"/>
  <c r="C64" i="3"/>
  <c r="AV86" i="3"/>
  <c r="C65" i="3"/>
  <c r="AX94" i="3"/>
  <c r="AF87" i="3"/>
  <c r="AS87" i="3"/>
  <c r="AZ79" i="3"/>
  <c r="AV90" i="3"/>
  <c r="AZ48" i="3"/>
  <c r="AV47" i="3"/>
  <c r="AX73" i="3"/>
  <c r="AY75" i="3"/>
  <c r="AU75" i="3"/>
  <c r="AS60" i="3"/>
  <c r="AY62" i="3"/>
  <c r="AS67" i="3"/>
  <c r="AW63" i="3"/>
  <c r="AY82" i="3"/>
  <c r="AU57" i="3"/>
  <c r="AY96" i="3"/>
  <c r="C63" i="3"/>
  <c r="C94" i="3"/>
  <c r="AU77" i="3"/>
  <c r="AF90" i="3"/>
  <c r="C78" i="3"/>
  <c r="AZ55" i="3"/>
  <c r="AZ81" i="3"/>
  <c r="AV60" i="3"/>
  <c r="AY70" i="3"/>
  <c r="AT58" i="3"/>
  <c r="AS68" i="3"/>
  <c r="AX88" i="3"/>
  <c r="AV96" i="3"/>
  <c r="AU92" i="3"/>
  <c r="AS58" i="3"/>
  <c r="AY55" i="3"/>
  <c r="AX68" i="3"/>
  <c r="AY91" i="3"/>
  <c r="C81" i="3"/>
  <c r="AX83" i="3"/>
  <c r="AT55" i="3"/>
  <c r="AW55" i="3"/>
  <c r="AF71" i="3"/>
  <c r="AT95" i="3"/>
  <c r="AV54" i="3"/>
  <c r="AV73" i="3"/>
  <c r="AT97" i="3"/>
  <c r="AZ73" i="3"/>
  <c r="AF81" i="3"/>
  <c r="AT90" i="3"/>
  <c r="AU67" i="3"/>
  <c r="AZ65" i="3"/>
  <c r="AY88" i="3"/>
  <c r="AW60" i="3"/>
  <c r="AY61" i="3"/>
  <c r="AT86" i="3"/>
  <c r="AZ77" i="3"/>
  <c r="AU76" i="3"/>
  <c r="AW58" i="3"/>
  <c r="AX84" i="3"/>
  <c r="AX66" i="3"/>
  <c r="AV75" i="3"/>
  <c r="AU54" i="3"/>
  <c r="AX82" i="3"/>
  <c r="AW73" i="3"/>
  <c r="C87" i="3"/>
  <c r="AT84" i="3"/>
  <c r="AU58" i="3"/>
  <c r="AZ49" i="3"/>
  <c r="AS77" i="3"/>
  <c r="AX96" i="3"/>
  <c r="AU68" i="3"/>
  <c r="AS62" i="3"/>
  <c r="AS95" i="3"/>
  <c r="AT62" i="3"/>
  <c r="AF74" i="3"/>
  <c r="AW65" i="3"/>
  <c r="AW91" i="3"/>
  <c r="AU79" i="3"/>
  <c r="AS57" i="3"/>
  <c r="AT69" i="3"/>
  <c r="AU66" i="3"/>
  <c r="C85" i="3"/>
  <c r="AZ92" i="3"/>
  <c r="AY56" i="3"/>
  <c r="AW82" i="3"/>
  <c r="AS78" i="3"/>
  <c r="AW90" i="3"/>
  <c r="AV63" i="3"/>
  <c r="AU83" i="3"/>
  <c r="AX57" i="3"/>
  <c r="AZ74" i="3"/>
  <c r="AT91" i="3"/>
  <c r="AS97" i="3"/>
  <c r="AV81" i="3"/>
  <c r="AS61" i="3"/>
  <c r="AZ47" i="3"/>
  <c r="AF58" i="3"/>
  <c r="C83" i="3"/>
  <c r="AF66" i="3"/>
  <c r="AS70" i="3"/>
  <c r="AS56" i="3"/>
  <c r="AW86" i="3"/>
  <c r="AX49" i="3"/>
  <c r="C56" i="3"/>
  <c r="AX47" i="3"/>
  <c r="AS80" i="3"/>
  <c r="C92" i="3"/>
  <c r="AU87" i="3"/>
  <c r="AS54" i="3"/>
  <c r="AF79" i="3"/>
  <c r="AX65" i="3"/>
  <c r="AS91" i="3"/>
  <c r="AS72" i="3"/>
  <c r="AU96" i="3"/>
  <c r="AS76" i="3"/>
  <c r="AV91" i="3"/>
  <c r="AT61" i="3"/>
  <c r="AZ95" i="3"/>
  <c r="AT82" i="3"/>
  <c r="AY89" i="3"/>
  <c r="AU60" i="3"/>
  <c r="AZ69" i="3"/>
  <c r="AU70" i="3"/>
  <c r="C71" i="3"/>
  <c r="AV56" i="3"/>
  <c r="AZ54" i="3"/>
  <c r="AY76" i="3"/>
  <c r="AS73" i="3"/>
  <c r="AT77" i="3"/>
  <c r="AY50" i="3"/>
  <c r="C75" i="3"/>
  <c r="AF84" i="3"/>
  <c r="AY87" i="3"/>
  <c r="AV85" i="3"/>
  <c r="AW77" i="3"/>
  <c r="AY85" i="3"/>
  <c r="AF68" i="3"/>
  <c r="AT68" i="3"/>
  <c r="AV49" i="3"/>
  <c r="AY80" i="3"/>
  <c r="AS55" i="3"/>
  <c r="AF59" i="3"/>
  <c r="AF61" i="3"/>
  <c r="C57" i="3"/>
  <c r="AS69" i="3"/>
  <c r="AY57" i="3"/>
  <c r="AS59" i="3"/>
  <c r="C79" i="3"/>
  <c r="C76" i="3"/>
  <c r="AS82" i="3"/>
  <c r="AX77" i="3"/>
  <c r="AV83" i="3"/>
  <c r="AT78" i="3"/>
  <c r="C58" i="3"/>
  <c r="AX93" i="3"/>
  <c r="AT76" i="3"/>
  <c r="AY78" i="3"/>
  <c r="AW48" i="3"/>
  <c r="AS92" i="3"/>
  <c r="AX97" i="3"/>
  <c r="AT81" i="3"/>
  <c r="AU80" i="3"/>
  <c r="AW76" i="3"/>
  <c r="AZ84" i="3"/>
  <c r="AU63" i="3"/>
  <c r="AT64" i="3"/>
  <c r="AF65" i="3"/>
  <c r="C70" i="3"/>
  <c r="AZ82" i="3"/>
  <c r="AX75" i="3"/>
  <c r="C55" i="3"/>
  <c r="C73" i="3"/>
  <c r="C88" i="3"/>
  <c r="AZ94" i="3"/>
  <c r="AV88" i="3"/>
  <c r="C95" i="3"/>
  <c r="C93" i="3"/>
  <c r="AY71" i="3"/>
  <c r="C50" i="3"/>
  <c r="AX69" i="3"/>
  <c r="AY73" i="3"/>
  <c r="AF62" i="3"/>
  <c r="AW88" i="3"/>
  <c r="AW71" i="3"/>
  <c r="AV80" i="3"/>
  <c r="AW79" i="3"/>
  <c r="AZ83" i="3"/>
  <c r="AW57" i="3"/>
  <c r="AV65" i="3"/>
  <c r="AY60" i="3"/>
  <c r="AT59" i="3"/>
  <c r="AY66" i="3"/>
  <c r="AV68" i="3"/>
  <c r="AX58" i="3"/>
  <c r="AZ93" i="3"/>
  <c r="AF57" i="3"/>
  <c r="AX59" i="3"/>
  <c r="AV92" i="3"/>
  <c r="AX60" i="3"/>
  <c r="AT47" i="3"/>
  <c r="AX91" i="3"/>
  <c r="AS93" i="3"/>
  <c r="AF72" i="3"/>
  <c r="AX67" i="3"/>
  <c r="AU93" i="3"/>
  <c r="AS50" i="3"/>
  <c r="AW87" i="3"/>
  <c r="AV78" i="3"/>
  <c r="AU88" i="3"/>
  <c r="AW95" i="3"/>
  <c r="C60" i="3"/>
  <c r="AT49" i="3"/>
  <c r="AT66" i="3"/>
  <c r="AZ56" i="3"/>
  <c r="AY84" i="3"/>
  <c r="AF95" i="3"/>
  <c r="AZ50" i="3"/>
  <c r="AX90" i="3"/>
  <c r="AW81" i="3"/>
  <c r="AZ64" i="3"/>
  <c r="AX70" i="3"/>
  <c r="AY94" i="3"/>
  <c r="AY49" i="3"/>
  <c r="AW54" i="3"/>
  <c r="C77" i="3"/>
  <c r="AT63" i="3"/>
  <c r="AY77" i="3"/>
  <c r="AZ67" i="3"/>
  <c r="AT73" i="3"/>
  <c r="AZ59" i="3"/>
  <c r="AY67" i="3"/>
  <c r="AY54" i="3"/>
  <c r="AY97" i="3"/>
  <c r="AX76" i="3"/>
  <c r="AF91" i="3"/>
  <c r="AF93" i="3"/>
  <c r="AF75" i="3"/>
  <c r="AF49" i="3"/>
  <c r="AS90" i="3"/>
  <c r="AZ68" i="3"/>
  <c r="AW66" i="3"/>
  <c r="C96" i="3"/>
  <c r="AX61" i="3"/>
  <c r="AX62" i="3"/>
  <c r="AY69" i="3"/>
  <c r="AX64" i="3"/>
  <c r="AW56" i="3"/>
  <c r="C82" i="3"/>
  <c r="AX80" i="3"/>
  <c r="AW97" i="3"/>
  <c r="AV82" i="3"/>
  <c r="C74" i="3"/>
  <c r="AT54" i="3"/>
  <c r="AW80" i="3"/>
  <c r="AW72" i="3"/>
  <c r="C66" i="3"/>
  <c r="AT89" i="3"/>
  <c r="AV64" i="3"/>
  <c r="AW93" i="3"/>
  <c r="AT94" i="3"/>
  <c r="AX86" i="3"/>
  <c r="AT87" i="3"/>
  <c r="AU95" i="3"/>
  <c r="AU72" i="3"/>
  <c r="AX54" i="3"/>
  <c r="AF88" i="3"/>
  <c r="AV69" i="3"/>
  <c r="AT50" i="3"/>
  <c r="AZ61" i="3"/>
  <c r="AF85" i="3"/>
  <c r="AU91" i="3"/>
  <c r="AV84" i="3"/>
  <c r="AF54" i="3"/>
  <c r="AF60" i="3"/>
  <c r="AZ60" i="3"/>
  <c r="AT85" i="3"/>
  <c r="C84" i="3"/>
  <c r="AZ66" i="3"/>
  <c r="AS65" i="3"/>
  <c r="AT75" i="3"/>
  <c r="AY58" i="3"/>
  <c r="AS64" i="3"/>
  <c r="AS71" i="3"/>
  <c r="AS79" i="3"/>
  <c r="AS89" i="3"/>
  <c r="AF94" i="3"/>
  <c r="AS85" i="3"/>
  <c r="AZ85" i="3"/>
  <c r="AV66" i="3"/>
  <c r="AV61" i="3"/>
  <c r="AV71" i="3"/>
  <c r="AT67" i="3"/>
  <c r="AT72" i="3"/>
  <c r="C54" i="3"/>
  <c r="AX95" i="3"/>
  <c r="AF83" i="3"/>
  <c r="AV76" i="3"/>
  <c r="AX56" i="3"/>
  <c r="AV48" i="3"/>
  <c r="AY83" i="3"/>
  <c r="AZ97" i="3"/>
  <c r="AF56" i="3"/>
  <c r="AU73" i="3"/>
  <c r="AF70" i="3"/>
  <c r="AY90" i="3"/>
  <c r="AF67" i="3"/>
  <c r="AZ86" i="3"/>
  <c r="AT70" i="3"/>
  <c r="AT79" i="3"/>
  <c r="AZ57" i="3"/>
  <c r="C86" i="3"/>
  <c r="AW78" i="3"/>
  <c r="AZ88" i="3"/>
  <c r="AZ72" i="3"/>
  <c r="AZ91" i="3"/>
  <c r="AX63" i="3"/>
  <c r="AT71" i="3"/>
  <c r="AX79" i="3"/>
  <c r="AU74" i="3"/>
  <c r="AW69" i="3"/>
  <c r="AU50" i="3"/>
  <c r="AU86" i="3"/>
  <c r="AY59" i="3"/>
  <c r="AS84" i="3"/>
  <c r="AU56" i="3"/>
  <c r="AY95" i="3"/>
  <c r="C89" i="3"/>
  <c r="C68" i="3"/>
  <c r="AY63" i="3"/>
  <c r="AU62" i="3"/>
  <c r="AV50" i="3"/>
  <c r="AW92" i="3"/>
  <c r="AS96" i="3"/>
  <c r="AX87" i="3"/>
  <c r="AY64" i="3"/>
  <c r="AU97" i="3"/>
  <c r="AW85" i="3"/>
  <c r="AT80" i="3"/>
  <c r="AV87" i="3"/>
  <c r="AV72" i="3"/>
  <c r="C59" i="3"/>
  <c r="AV70" i="3"/>
  <c r="AX92" i="3"/>
  <c r="AV74" i="3"/>
  <c r="AX74" i="3"/>
  <c r="C72" i="3"/>
  <c r="AZ96" i="3"/>
  <c r="AF96" i="3"/>
  <c r="AF80" i="3"/>
  <c r="AY68" i="3"/>
  <c r="AT96" i="3"/>
  <c r="AW49" i="3"/>
  <c r="AX48" i="3"/>
  <c r="AS75" i="3"/>
  <c r="AF63" i="3"/>
  <c r="AV62" i="3"/>
  <c r="AV55" i="3"/>
  <c r="AY48" i="3"/>
  <c r="AW74" i="3"/>
  <c r="AZ78" i="3"/>
  <c r="AW64" i="3"/>
  <c r="C97" i="3"/>
  <c r="AU94" i="3"/>
  <c r="AV58" i="3"/>
  <c r="AU81" i="3"/>
  <c r="AW67" i="3"/>
  <c r="AV67" i="3"/>
  <c r="AS88" i="3"/>
  <c r="AF55" i="3"/>
  <c r="AT92" i="3"/>
  <c r="AT65" i="3"/>
  <c r="AZ89" i="3"/>
  <c r="AF82" i="3"/>
  <c r="AZ75" i="3"/>
  <c r="AV79" i="3"/>
  <c r="AU49" i="3"/>
  <c r="AU84" i="3"/>
  <c r="AV89" i="3"/>
  <c r="AY81" i="3"/>
  <c r="AS63" i="3"/>
  <c r="CS51" i="1" l="1"/>
  <c r="CT51" i="1" s="1"/>
  <c r="CN64" i="1"/>
  <c r="CK76" i="1"/>
  <c r="CK90" i="1"/>
  <c r="CO64" i="1"/>
  <c r="CJ251" i="1"/>
  <c r="CI68" i="1"/>
  <c r="CI72" i="1"/>
  <c r="CI258" i="1"/>
  <c r="CI66" i="1"/>
  <c r="CI269" i="1" s="1"/>
  <c r="CJ68" i="1"/>
  <c r="CL251" i="1"/>
  <c r="Z258" i="1"/>
  <c r="Z66" i="1"/>
  <c r="Z269" i="1" s="1"/>
  <c r="Z72" i="1"/>
  <c r="Z67" i="1"/>
  <c r="AC155" i="1"/>
  <c r="CU155" i="1"/>
  <c r="CV155" i="1" s="1"/>
  <c r="CW155" i="1" s="1"/>
  <c r="CX155" i="1" s="1"/>
  <c r="CS21" i="1"/>
  <c r="CE21" i="1"/>
  <c r="CF21" i="1"/>
  <c r="CY5" i="1"/>
  <c r="CR164" i="1"/>
  <c r="CR226" i="1" s="1"/>
  <c r="CX5" i="1"/>
  <c r="AD5" i="1" s="1"/>
  <c r="DA9" i="1"/>
  <c r="DA18" i="1" s="1"/>
  <c r="CR26" i="1"/>
  <c r="CQ32" i="1"/>
  <c r="CA255" i="1"/>
  <c r="CC255" i="1"/>
  <c r="CB255" i="1"/>
  <c r="CD255" i="1"/>
  <c r="BZ255" i="1"/>
  <c r="CQ208" i="1"/>
  <c r="CP209" i="1"/>
  <c r="CO206" i="1"/>
  <c r="CO210" i="1" s="1"/>
  <c r="CP205" i="1"/>
  <c r="CR149" i="1"/>
  <c r="CQ152" i="1"/>
  <c r="CQ273" i="1" s="1"/>
  <c r="CP230" i="1"/>
  <c r="BZ149" i="1"/>
  <c r="CA149" i="1" s="1"/>
  <c r="BL97" i="1"/>
  <c r="CF98" i="1"/>
  <c r="CB170" i="1"/>
  <c r="CC170" i="1" s="1"/>
  <c r="CD177" i="1"/>
  <c r="CD207" i="1" s="1"/>
  <c r="CE207" i="1" s="1"/>
  <c r="CB188" i="1"/>
  <c r="CC188" i="1" s="1"/>
  <c r="BL148" i="1"/>
  <c r="BM148" i="1" s="1"/>
  <c r="CD157" i="1"/>
  <c r="CD148" i="1"/>
  <c r="CE148" i="1" s="1"/>
  <c r="CF151" i="1"/>
  <c r="CG151" i="1" s="1"/>
  <c r="CB151" i="1"/>
  <c r="CC151" i="1" s="1"/>
  <c r="CB176" i="1"/>
  <c r="CC176" i="1" s="1"/>
  <c r="CB168" i="1"/>
  <c r="CB203" i="1" s="1"/>
  <c r="CC203" i="1" s="1"/>
  <c r="BZ177" i="1"/>
  <c r="BZ207" i="1" s="1"/>
  <c r="CA207" i="1" s="1"/>
  <c r="BZ188" i="1"/>
  <c r="CA188" i="1" s="1"/>
  <c r="BZ178" i="1"/>
  <c r="CA178" i="1" s="1"/>
  <c r="BZ184" i="1"/>
  <c r="BZ174" i="1"/>
  <c r="CA174" i="1" s="1"/>
  <c r="BZ156" i="1"/>
  <c r="BL169" i="1"/>
  <c r="BL204" i="1" s="1"/>
  <c r="BM204" i="1" s="1"/>
  <c r="BL177" i="1"/>
  <c r="BL207" i="1" s="1"/>
  <c r="BM207" i="1" s="1"/>
  <c r="BL146" i="1"/>
  <c r="BM146" i="1" s="1"/>
  <c r="CA97" i="1"/>
  <c r="CF97" i="1"/>
  <c r="CF170" i="1"/>
  <c r="CG170" i="1" s="1"/>
  <c r="CF157" i="1"/>
  <c r="CB98" i="1"/>
  <c r="CF168" i="1"/>
  <c r="CF203" i="1" s="1"/>
  <c r="CG203" i="1" s="1"/>
  <c r="CG168" i="1" s="1"/>
  <c r="CF146" i="1"/>
  <c r="CG146" i="1" s="1"/>
  <c r="CB173" i="1"/>
  <c r="CC173" i="1" s="1"/>
  <c r="CF188" i="1"/>
  <c r="CG188" i="1" s="1"/>
  <c r="CB149" i="1"/>
  <c r="CC149" i="1" s="1"/>
  <c r="CB187" i="1"/>
  <c r="CC187" i="1" s="1"/>
  <c r="CD98" i="1"/>
  <c r="CB183" i="1"/>
  <c r="CD169" i="1"/>
  <c r="CD204" i="1" s="1"/>
  <c r="CE204" i="1" s="1"/>
  <c r="CD146" i="1"/>
  <c r="CE146" i="1" s="1"/>
  <c r="BL149" i="1"/>
  <c r="CD155" i="1"/>
  <c r="CD175" i="1"/>
  <c r="CE175" i="1" s="1"/>
  <c r="CD183" i="1"/>
  <c r="CD166" i="1"/>
  <c r="CE166" i="1" s="1"/>
  <c r="CF164" i="1"/>
  <c r="CF150" i="1"/>
  <c r="CG150" i="1" s="1"/>
  <c r="CB166" i="1"/>
  <c r="CC166" i="1" s="1"/>
  <c r="BL178" i="1"/>
  <c r="BM178" i="1" s="1"/>
  <c r="BL187" i="1"/>
  <c r="BM187" i="1" s="1"/>
  <c r="BL188" i="1"/>
  <c r="CB150" i="1"/>
  <c r="CC150" i="1" s="1"/>
  <c r="CE98" i="1"/>
  <c r="BZ183" i="1"/>
  <c r="BZ187" i="1"/>
  <c r="CA187" i="1" s="1"/>
  <c r="BZ143" i="1"/>
  <c r="BZ151" i="1"/>
  <c r="CA151" i="1" s="1"/>
  <c r="CF169" i="1"/>
  <c r="CF204" i="1" s="1"/>
  <c r="CG204" i="1" s="1"/>
  <c r="CG169" i="1" s="1"/>
  <c r="CF156" i="1"/>
  <c r="CF173" i="1"/>
  <c r="CB143" i="1"/>
  <c r="CB169" i="1"/>
  <c r="CB204" i="1" s="1"/>
  <c r="CC204" i="1" s="1"/>
  <c r="CD184" i="1"/>
  <c r="CD176" i="1"/>
  <c r="CE176" i="1" s="1"/>
  <c r="CB97" i="1"/>
  <c r="BZ179" i="1"/>
  <c r="CA179" i="1" s="1"/>
  <c r="BZ157" i="1"/>
  <c r="BZ141" i="1"/>
  <c r="BZ171" i="1"/>
  <c r="CA171" i="1" s="1"/>
  <c r="BZ98" i="1"/>
  <c r="BZ148" i="1"/>
  <c r="CA148" i="1" s="1"/>
  <c r="BZ150" i="1"/>
  <c r="CA150" i="1" s="1"/>
  <c r="BZ166" i="1"/>
  <c r="CA166" i="1" s="1"/>
  <c r="BZ155" i="1"/>
  <c r="BL157" i="1"/>
  <c r="BL173" i="1"/>
  <c r="BM173" i="1" s="1"/>
  <c r="CF148" i="1"/>
  <c r="CF177" i="1"/>
  <c r="CF207" i="1" s="1"/>
  <c r="CG207" i="1" s="1"/>
  <c r="CG177" i="1" s="1"/>
  <c r="CD178" i="1"/>
  <c r="CE178" i="1" s="1"/>
  <c r="CF178" i="1"/>
  <c r="CG178" i="1" s="1"/>
  <c r="CB155" i="1"/>
  <c r="CB178" i="1"/>
  <c r="CC178" i="1" s="1"/>
  <c r="BY98" i="1"/>
  <c r="CD187" i="1"/>
  <c r="CE187" i="1" s="1"/>
  <c r="CD159" i="1"/>
  <c r="CE159" i="1" s="1"/>
  <c r="BL184" i="1"/>
  <c r="CB177" i="1"/>
  <c r="CB207" i="1" s="1"/>
  <c r="CC207" i="1" s="1"/>
  <c r="CB142" i="1"/>
  <c r="CC142" i="1" s="1"/>
  <c r="BL174" i="1"/>
  <c r="BM174" i="1" s="1"/>
  <c r="CD151" i="1"/>
  <c r="CE151" i="1" s="1"/>
  <c r="CD171" i="1"/>
  <c r="CE171" i="1" s="1"/>
  <c r="CD143" i="1"/>
  <c r="CD170" i="1"/>
  <c r="CE170" i="1" s="1"/>
  <c r="CD179" i="1"/>
  <c r="CE179" i="1" s="1"/>
  <c r="CD164" i="1"/>
  <c r="CE164" i="1" s="1"/>
  <c r="CF141" i="1"/>
  <c r="CF142" i="1"/>
  <c r="CG142" i="1" s="1"/>
  <c r="CF175" i="1"/>
  <c r="CG175" i="1" s="1"/>
  <c r="CF187" i="1"/>
  <c r="CG187" i="1" s="1"/>
  <c r="CB184" i="1"/>
  <c r="CB164" i="1"/>
  <c r="AI98" i="1"/>
  <c r="BL171" i="1"/>
  <c r="BM171" i="1" s="1"/>
  <c r="BL159" i="1"/>
  <c r="BM159" i="1" s="1"/>
  <c r="BL150" i="1"/>
  <c r="BM150" i="1" s="1"/>
  <c r="CB148" i="1"/>
  <c r="CC148" i="1" s="1"/>
  <c r="BL170" i="1"/>
  <c r="BM170" i="1" s="1"/>
  <c r="BZ159" i="1"/>
  <c r="CA159" i="1" s="1"/>
  <c r="BZ97" i="1"/>
  <c r="BL176" i="1"/>
  <c r="BM176" i="1" s="1"/>
  <c r="CB156" i="1"/>
  <c r="CF171" i="1"/>
  <c r="CG171" i="1" s="1"/>
  <c r="CB171" i="1"/>
  <c r="CC171" i="1" s="1"/>
  <c r="CD97" i="1"/>
  <c r="CC98" i="1"/>
  <c r="CD142" i="1"/>
  <c r="CE142" i="1" s="1"/>
  <c r="BL143" i="1"/>
  <c r="CD149" i="1"/>
  <c r="CE149" i="1" s="1"/>
  <c r="CF183" i="1"/>
  <c r="CF176" i="1"/>
  <c r="CG176" i="1" s="1"/>
  <c r="CE97" i="1"/>
  <c r="BZ169" i="1"/>
  <c r="BZ204" i="1" s="1"/>
  <c r="CA204" i="1" s="1"/>
  <c r="BZ146" i="1"/>
  <c r="CA146" i="1" s="1"/>
  <c r="BZ168" i="1"/>
  <c r="BZ203" i="1" s="1"/>
  <c r="CA203" i="1" s="1"/>
  <c r="BZ142" i="1"/>
  <c r="CA142" i="1" s="1"/>
  <c r="BZ173" i="1"/>
  <c r="BZ175" i="1"/>
  <c r="CA175" i="1" s="1"/>
  <c r="BZ170" i="1"/>
  <c r="CA170" i="1" s="1"/>
  <c r="BZ164" i="1"/>
  <c r="CA164" i="1" s="1"/>
  <c r="BZ176" i="1"/>
  <c r="CA176" i="1" s="1"/>
  <c r="BL179" i="1"/>
  <c r="BM179" i="1" s="1"/>
  <c r="BL168" i="1"/>
  <c r="BL203" i="1" s="1"/>
  <c r="BM203" i="1" s="1"/>
  <c r="BL155" i="1"/>
  <c r="BL156" i="1"/>
  <c r="CA98" i="1"/>
  <c r="CF179" i="1"/>
  <c r="CG179" i="1" s="1"/>
  <c r="CF174" i="1"/>
  <c r="CG174" i="1" s="1"/>
  <c r="CF184" i="1"/>
  <c r="CB141" i="1"/>
  <c r="CC141" i="1" s="1"/>
  <c r="CF155" i="1"/>
  <c r="CF143" i="1"/>
  <c r="CG143" i="1" s="1"/>
  <c r="CF149" i="1"/>
  <c r="CG149" i="1" s="1"/>
  <c r="CD150" i="1"/>
  <c r="CE150" i="1" s="1"/>
  <c r="CB179" i="1"/>
  <c r="CC179" i="1" s="1"/>
  <c r="CB159" i="1"/>
  <c r="CC159" i="1" s="1"/>
  <c r="CB175" i="1"/>
  <c r="CC175" i="1" s="1"/>
  <c r="CD141" i="1"/>
  <c r="BL164" i="1"/>
  <c r="CB157" i="1"/>
  <c r="BL151" i="1"/>
  <c r="BM151" i="1" s="1"/>
  <c r="CD156" i="1"/>
  <c r="CD168" i="1"/>
  <c r="CD203" i="1" s="1"/>
  <c r="CE203" i="1" s="1"/>
  <c r="CD174" i="1"/>
  <c r="CE174" i="1" s="1"/>
  <c r="CD173" i="1"/>
  <c r="CE173" i="1" s="1"/>
  <c r="CD188" i="1"/>
  <c r="CE188" i="1" s="1"/>
  <c r="CF159" i="1"/>
  <c r="CG159" i="1" s="1"/>
  <c r="CF166" i="1"/>
  <c r="CG166" i="1" s="1"/>
  <c r="CC97" i="1"/>
  <c r="CB174" i="1"/>
  <c r="CC174" i="1" s="1"/>
  <c r="CB146" i="1"/>
  <c r="CC146" i="1" s="1"/>
  <c r="BL183" i="1"/>
  <c r="BL141" i="1"/>
  <c r="BM141" i="1" s="1"/>
  <c r="BL175" i="1"/>
  <c r="BM175" i="1" s="1"/>
  <c r="BL166" i="1"/>
  <c r="BM166" i="1" s="1"/>
  <c r="BL142" i="1"/>
  <c r="BM142" i="1" s="1"/>
  <c r="BL277" i="1"/>
  <c r="CH122" i="1"/>
  <c r="CH123" i="1" s="1"/>
  <c r="CB161" i="1"/>
  <c r="CC161" i="1" s="1"/>
  <c r="CF161" i="1"/>
  <c r="CG161" i="1" s="1"/>
  <c r="CD161" i="1"/>
  <c r="CE161" i="1" s="1"/>
  <c r="BL161" i="1"/>
  <c r="BM161" i="1" s="1"/>
  <c r="BZ161" i="1"/>
  <c r="CA161" i="1" s="1"/>
  <c r="BL167" i="1"/>
  <c r="CD167" i="1"/>
  <c r="CB167" i="1"/>
  <c r="CF167" i="1"/>
  <c r="BZ167" i="1"/>
  <c r="CA276" i="1"/>
  <c r="JJ21" i="4"/>
  <c r="CD101" i="1" s="1"/>
  <c r="CA34" i="1"/>
  <c r="CA40" i="1" s="1"/>
  <c r="CA41" i="1" s="1"/>
  <c r="JK14" i="4"/>
  <c r="BL34" i="1"/>
  <c r="BL40" i="1" s="1"/>
  <c r="BY34" i="1"/>
  <c r="BY40" i="1" s="1"/>
  <c r="BL218" i="1"/>
  <c r="CF34" i="1"/>
  <c r="CF276" i="1"/>
  <c r="JL21" i="4"/>
  <c r="CF101" i="1" s="1"/>
  <c r="Y234" i="1"/>
  <c r="Y235" i="1" s="1"/>
  <c r="CF122" i="1"/>
  <c r="CF123" i="1" s="1"/>
  <c r="CB50" i="1"/>
  <c r="CB22" i="1" s="1"/>
  <c r="CB23" i="1" s="1"/>
  <c r="CE255" i="1"/>
  <c r="CC277" i="1"/>
  <c r="CA50" i="1"/>
  <c r="CA22" i="1" s="1"/>
  <c r="CA23" i="1" s="1"/>
  <c r="CE276" i="1"/>
  <c r="CC276" i="1"/>
  <c r="JM7" i="4"/>
  <c r="CA277" i="1"/>
  <c r="JJ8" i="4"/>
  <c r="CF50" i="1"/>
  <c r="BZ276" i="1"/>
  <c r="BZ34" i="1"/>
  <c r="CA218" i="1"/>
  <c r="CD277" i="1"/>
  <c r="CB122" i="1"/>
  <c r="CB123" i="1" s="1"/>
  <c r="JK21" i="4"/>
  <c r="CE101" i="1" s="1"/>
  <c r="JK15" i="4"/>
  <c r="CD276" i="1"/>
  <c r="JL14" i="4"/>
  <c r="CC50" i="1"/>
  <c r="CC22" i="1" s="1"/>
  <c r="CC23" i="1" s="1"/>
  <c r="BY50" i="1"/>
  <c r="BY22" i="1" s="1"/>
  <c r="BY23" i="1" s="1"/>
  <c r="CI122" i="1"/>
  <c r="CI123" i="1" s="1"/>
  <c r="CI126" i="1" s="1"/>
  <c r="CF255" i="1"/>
  <c r="BY277" i="1"/>
  <c r="JL8" i="4"/>
  <c r="CE50" i="1"/>
  <c r="CE22" i="1" s="1"/>
  <c r="BL276" i="1"/>
  <c r="CE122" i="1"/>
  <c r="CE123" i="1" s="1"/>
  <c r="CD34" i="1"/>
  <c r="CD40" i="1" s="1"/>
  <c r="CH42" i="1" s="1"/>
  <c r="CC34" i="1"/>
  <c r="CD218" i="1"/>
  <c r="CE34" i="1"/>
  <c r="CG122" i="1"/>
  <c r="CG123" i="1" s="1"/>
  <c r="CD122" i="1"/>
  <c r="CD123" i="1" s="1"/>
  <c r="CB34" i="1"/>
  <c r="CB40" i="1" s="1"/>
  <c r="CB276" i="1"/>
  <c r="CC122" i="1"/>
  <c r="CC123" i="1" s="1"/>
  <c r="JJ15" i="4"/>
  <c r="CB277" i="1"/>
  <c r="BY276" i="1"/>
  <c r="CD50" i="1"/>
  <c r="CD22" i="1" s="1"/>
  <c r="CD23" i="1" s="1"/>
  <c r="JM8" i="4"/>
  <c r="JL7" i="4"/>
  <c r="CF277" i="1"/>
  <c r="JJ7" i="4"/>
  <c r="JK8" i="4"/>
  <c r="JM21" i="4"/>
  <c r="CG101" i="1" s="1"/>
  <c r="BZ277" i="1"/>
  <c r="CE277" i="1"/>
  <c r="JK7" i="4"/>
  <c r="BL50" i="1"/>
  <c r="JL15" i="4"/>
  <c r="BZ50" i="1"/>
  <c r="BZ22" i="1" s="1"/>
  <c r="BZ23" i="1" s="1"/>
  <c r="JM14" i="4"/>
  <c r="JM15" i="4"/>
  <c r="JJ14" i="4"/>
  <c r="CR41" i="1"/>
  <c r="CS41" i="1" s="1"/>
  <c r="CS204" i="1"/>
  <c r="CS207" i="1"/>
  <c r="CS203" i="1"/>
  <c r="CT148" i="1"/>
  <c r="AD70" i="1"/>
  <c r="CZ70" i="1"/>
  <c r="DA70" i="1" s="1"/>
  <c r="DB70" i="1" s="1"/>
  <c r="AE59" i="1"/>
  <c r="U32" i="1"/>
  <c r="U21" i="1" s="1"/>
  <c r="V32" i="1"/>
  <c r="V21" i="1" s="1"/>
  <c r="V26" i="1" s="1"/>
  <c r="W32" i="1"/>
  <c r="W21" i="1" s="1"/>
  <c r="CK212" i="1" l="1"/>
  <c r="AA82" i="1"/>
  <c r="CP64" i="1"/>
  <c r="CJ78" i="1"/>
  <c r="CI217" i="1"/>
  <c r="CI219" i="1" s="1"/>
  <c r="CI90" i="1"/>
  <c r="CI76" i="1"/>
  <c r="CL78" i="1"/>
  <c r="CI143" i="1"/>
  <c r="CI144" i="1" s="1"/>
  <c r="Z76" i="1"/>
  <c r="Z78" i="1"/>
  <c r="Z231" i="1"/>
  <c r="Z229" i="1" s="1"/>
  <c r="Z217" i="1"/>
  <c r="Z219" i="1" s="1"/>
  <c r="Z223" i="1" s="1"/>
  <c r="Z237" i="1" s="1"/>
  <c r="AD155" i="1"/>
  <c r="CY155" i="1"/>
  <c r="CZ155" i="1" s="1"/>
  <c r="DA155" i="1" s="1"/>
  <c r="DB155" i="1" s="1"/>
  <c r="AE155" i="1" s="1"/>
  <c r="CS164" i="1"/>
  <c r="W26" i="1"/>
  <c r="X26" i="1"/>
  <c r="CT21" i="1"/>
  <c r="CF22" i="1"/>
  <c r="CJ27" i="1" s="1"/>
  <c r="CE23" i="1"/>
  <c r="CJ26" i="1"/>
  <c r="CI26" i="1"/>
  <c r="CZ5" i="1"/>
  <c r="CS26" i="1"/>
  <c r="CR32" i="1"/>
  <c r="DB9" i="1"/>
  <c r="DB18" i="1" s="1"/>
  <c r="CC26" i="1"/>
  <c r="CG26" i="1"/>
  <c r="CC27" i="1"/>
  <c r="CG27" i="1"/>
  <c r="CD26" i="1"/>
  <c r="CH26" i="1"/>
  <c r="CE27" i="1"/>
  <c r="CI27" i="1"/>
  <c r="CE26" i="1"/>
  <c r="CD27" i="1"/>
  <c r="CH27" i="1"/>
  <c r="CF26" i="1"/>
  <c r="CQ209" i="1"/>
  <c r="CR208" i="1"/>
  <c r="CP206" i="1"/>
  <c r="CP210" i="1" s="1"/>
  <c r="CQ205" i="1"/>
  <c r="CS149" i="1"/>
  <c r="CR152" i="1"/>
  <c r="CR273" i="1" s="1"/>
  <c r="CQ230" i="1"/>
  <c r="BZ185" i="1"/>
  <c r="BL185" i="1"/>
  <c r="CB226" i="1"/>
  <c r="CA141" i="1"/>
  <c r="BZ144" i="1"/>
  <c r="BZ116" i="1" s="1"/>
  <c r="BL144" i="1"/>
  <c r="BL116" i="1" s="1"/>
  <c r="CB185" i="1"/>
  <c r="CC233" i="1" s="1"/>
  <c r="CG148" i="1"/>
  <c r="CG152" i="1" s="1"/>
  <c r="CF152" i="1"/>
  <c r="CD158" i="1"/>
  <c r="CE57" i="1" s="1"/>
  <c r="CC164" i="1"/>
  <c r="CD226" i="1" s="1"/>
  <c r="CE141" i="1"/>
  <c r="CD144" i="1"/>
  <c r="CD116" i="1" s="1"/>
  <c r="CD118" i="1" s="1"/>
  <c r="BM164" i="1"/>
  <c r="BM226" i="1" s="1"/>
  <c r="CD185" i="1"/>
  <c r="CF226" i="1"/>
  <c r="CE152" i="1"/>
  <c r="BM149" i="1"/>
  <c r="BM152" i="1" s="1"/>
  <c r="BL152" i="1"/>
  <c r="CG164" i="1"/>
  <c r="CG173" i="1"/>
  <c r="CG180" i="1" s="1"/>
  <c r="CF180" i="1"/>
  <c r="CF209" i="1" s="1"/>
  <c r="CF208" i="1" s="1"/>
  <c r="CG141" i="1"/>
  <c r="CG144" i="1" s="1"/>
  <c r="CF144" i="1"/>
  <c r="CF116" i="1" s="1"/>
  <c r="CF118" i="1" s="1"/>
  <c r="CA173" i="1"/>
  <c r="BZ180" i="1"/>
  <c r="BZ209" i="1" s="1"/>
  <c r="BZ208" i="1" s="1"/>
  <c r="BZ158" i="1"/>
  <c r="BZ162" i="1" s="1"/>
  <c r="CA152" i="1"/>
  <c r="CB158" i="1"/>
  <c r="CF185" i="1"/>
  <c r="BL158" i="1"/>
  <c r="CF158" i="1"/>
  <c r="CF162" i="1" s="1"/>
  <c r="CC152" i="1"/>
  <c r="CB152" i="1"/>
  <c r="CE226" i="1"/>
  <c r="BZ152" i="1"/>
  <c r="CB180" i="1"/>
  <c r="CB209" i="1" s="1"/>
  <c r="CB208" i="1" s="1"/>
  <c r="BL180" i="1"/>
  <c r="BL209" i="1" s="1"/>
  <c r="BL208" i="1" s="1"/>
  <c r="CD180" i="1"/>
  <c r="CD209" i="1" s="1"/>
  <c r="CD208" i="1" s="1"/>
  <c r="CB144" i="1"/>
  <c r="CD152" i="1"/>
  <c r="CH126" i="1"/>
  <c r="CH127" i="1"/>
  <c r="CH128" i="1"/>
  <c r="BM167" i="1"/>
  <c r="BL172" i="1"/>
  <c r="CE167" i="1"/>
  <c r="CD172" i="1"/>
  <c r="CC167" i="1"/>
  <c r="CB172" i="1"/>
  <c r="CG167" i="1"/>
  <c r="CG172" i="1" s="1"/>
  <c r="CG206" i="1" s="1"/>
  <c r="CG205" i="1" s="1"/>
  <c r="CF172" i="1"/>
  <c r="CA167" i="1"/>
  <c r="BZ172" i="1"/>
  <c r="CD126" i="1"/>
  <c r="CA51" i="1"/>
  <c r="CA36" i="1"/>
  <c r="JK19" i="4"/>
  <c r="CE102" i="1" s="1"/>
  <c r="BL51" i="1"/>
  <c r="CC35" i="1"/>
  <c r="CC51" i="1"/>
  <c r="CI249" i="1"/>
  <c r="CF40" i="1"/>
  <c r="CG36" i="1"/>
  <c r="CJ35" i="1"/>
  <c r="BY51" i="1"/>
  <c r="JL20" i="4"/>
  <c r="CF103" i="1" s="1"/>
  <c r="CF128" i="1" s="1"/>
  <c r="BZ40" i="1"/>
  <c r="CD42" i="1" s="1"/>
  <c r="CF51" i="1"/>
  <c r="Y82" i="1"/>
  <c r="JJ19" i="4"/>
  <c r="CD102" i="1" s="1"/>
  <c r="CD131" i="1" s="1"/>
  <c r="JM20" i="4"/>
  <c r="CG103" i="1" s="1"/>
  <c r="CD51" i="1"/>
  <c r="JM19" i="4"/>
  <c r="CG102" i="1" s="1"/>
  <c r="CE177" i="1"/>
  <c r="CE180" i="1" s="1"/>
  <c r="CE209" i="1" s="1"/>
  <c r="CE208" i="1" s="1"/>
  <c r="CF126" i="1"/>
  <c r="JJ20" i="4"/>
  <c r="CD103" i="1" s="1"/>
  <c r="CD132" i="1" s="1"/>
  <c r="JL19" i="4"/>
  <c r="CF102" i="1" s="1"/>
  <c r="JK20" i="4"/>
  <c r="CE103" i="1" s="1"/>
  <c r="CE132" i="1" s="1"/>
  <c r="CA52" i="1"/>
  <c r="CA256" i="1" s="1"/>
  <c r="CA257" i="1" s="1"/>
  <c r="CD212" i="1"/>
  <c r="CD35" i="1"/>
  <c r="BZ36" i="1"/>
  <c r="CD249" i="1"/>
  <c r="BZ51" i="1"/>
  <c r="CE168" i="1"/>
  <c r="CE212" i="1"/>
  <c r="CG212" i="1"/>
  <c r="CF35" i="1"/>
  <c r="CH249" i="1"/>
  <c r="CJ212" i="1"/>
  <c r="CE51" i="1"/>
  <c r="CC40" i="1"/>
  <c r="CC43" i="1" s="1"/>
  <c r="CF249" i="1"/>
  <c r="CB36" i="1"/>
  <c r="CH268" i="1"/>
  <c r="Z82" i="1"/>
  <c r="CE35" i="1"/>
  <c r="CG126" i="1"/>
  <c r="CE126" i="1"/>
  <c r="CG249" i="1"/>
  <c r="CF36" i="1"/>
  <c r="CF212" i="1"/>
  <c r="CE249" i="1"/>
  <c r="CC36" i="1"/>
  <c r="CC249" i="1"/>
  <c r="CE169" i="1"/>
  <c r="CB51" i="1"/>
  <c r="CB41" i="1"/>
  <c r="CB52" i="1"/>
  <c r="CB43" i="1"/>
  <c r="CD52" i="1"/>
  <c r="CH54" i="1" s="1"/>
  <c r="CD36" i="1"/>
  <c r="CH35" i="1"/>
  <c r="CI212" i="1"/>
  <c r="CI127" i="1"/>
  <c r="CE40" i="1"/>
  <c r="CE43" i="1" s="1"/>
  <c r="CI35" i="1"/>
  <c r="CD41" i="1"/>
  <c r="CI128" i="1"/>
  <c r="CG35" i="1"/>
  <c r="CE36" i="1"/>
  <c r="CH212" i="1"/>
  <c r="CA226" i="1"/>
  <c r="BL41" i="1"/>
  <c r="BL52" i="1"/>
  <c r="BY41" i="1"/>
  <c r="BY52" i="1"/>
  <c r="CT41" i="1"/>
  <c r="CU41" i="1" s="1"/>
  <c r="CT203" i="1"/>
  <c r="CT207" i="1"/>
  <c r="CU148" i="1"/>
  <c r="CT204" i="1"/>
  <c r="AE70" i="1"/>
  <c r="V255" i="1"/>
  <c r="W255" i="1"/>
  <c r="U255" i="1"/>
  <c r="CQ64" i="1" l="1"/>
  <c r="CF52" i="1"/>
  <c r="AA84" i="1" s="1"/>
  <c r="AA83" i="1"/>
  <c r="Z234" i="1"/>
  <c r="Z235" i="1" s="1"/>
  <c r="CL93" i="1"/>
  <c r="CJ93" i="1"/>
  <c r="CK93" i="1"/>
  <c r="CL109" i="1"/>
  <c r="CL111" i="1"/>
  <c r="CL110" i="1"/>
  <c r="CI231" i="1"/>
  <c r="CI229" i="1" s="1"/>
  <c r="CJ231" i="1"/>
  <c r="CJ229" i="1" s="1"/>
  <c r="CI116" i="1"/>
  <c r="CI153" i="1"/>
  <c r="CS226" i="1"/>
  <c r="CT164" i="1"/>
  <c r="CF27" i="1"/>
  <c r="CU21" i="1"/>
  <c r="CF23" i="1"/>
  <c r="DA5" i="1"/>
  <c r="AE9" i="1"/>
  <c r="AE18" i="1" s="1"/>
  <c r="CT26" i="1"/>
  <c r="CS32" i="1"/>
  <c r="CC226" i="1"/>
  <c r="CS208" i="1"/>
  <c r="CR209" i="1"/>
  <c r="CG273" i="1"/>
  <c r="CQ206" i="1"/>
  <c r="CQ210" i="1" s="1"/>
  <c r="CR205" i="1"/>
  <c r="CH226" i="1"/>
  <c r="CG226" i="1"/>
  <c r="CA233" i="1"/>
  <c r="BZ272" i="1"/>
  <c r="CT149" i="1"/>
  <c r="CS152" i="1"/>
  <c r="CS273" i="1" s="1"/>
  <c r="CD230" i="1"/>
  <c r="CF273" i="1"/>
  <c r="BM233" i="1"/>
  <c r="BL272" i="1"/>
  <c r="CF230" i="1"/>
  <c r="CF153" i="1"/>
  <c r="CR230" i="1"/>
  <c r="BL153" i="1"/>
  <c r="BL192" i="1"/>
  <c r="BL133" i="1" s="1"/>
  <c r="CA57" i="1"/>
  <c r="CA158" i="1"/>
  <c r="CB162" i="1"/>
  <c r="CC57" i="1"/>
  <c r="CC158" i="1"/>
  <c r="BZ192" i="1"/>
  <c r="BZ153" i="1"/>
  <c r="CF119" i="1"/>
  <c r="CD162" i="1"/>
  <c r="CE158" i="1"/>
  <c r="CE233" i="1"/>
  <c r="CD272" i="1"/>
  <c r="CA273" i="1"/>
  <c r="CA230" i="1"/>
  <c r="BM230" i="1"/>
  <c r="BM273" i="1"/>
  <c r="CH231" i="1"/>
  <c r="CG116" i="1"/>
  <c r="CG119" i="1" s="1"/>
  <c r="CG231" i="1"/>
  <c r="CG233" i="1"/>
  <c r="CF192" i="1"/>
  <c r="CF272" i="1"/>
  <c r="BM158" i="1"/>
  <c r="BM162" i="1" s="1"/>
  <c r="BL162" i="1"/>
  <c r="BL270" i="1" s="1"/>
  <c r="CG57" i="1"/>
  <c r="CG158" i="1"/>
  <c r="CH273" i="1"/>
  <c r="CH275" i="1" s="1"/>
  <c r="CH230" i="1"/>
  <c r="CG153" i="1"/>
  <c r="CG230" i="1"/>
  <c r="CB273" i="1"/>
  <c r="CB153" i="1"/>
  <c r="CB192" i="1"/>
  <c r="CB230" i="1"/>
  <c r="CB116" i="1"/>
  <c r="CB272" i="1"/>
  <c r="CC273" i="1"/>
  <c r="CC230" i="1"/>
  <c r="CE230" i="1"/>
  <c r="CD273" i="1"/>
  <c r="CD153" i="1"/>
  <c r="CD192" i="1"/>
  <c r="CE273" i="1"/>
  <c r="BL206" i="1"/>
  <c r="BL181" i="1"/>
  <c r="CD206" i="1"/>
  <c r="CD181" i="1"/>
  <c r="CB206" i="1"/>
  <c r="CB181" i="1"/>
  <c r="CF206" i="1"/>
  <c r="CF181" i="1"/>
  <c r="CF189" i="1" s="1"/>
  <c r="BZ206" i="1"/>
  <c r="BZ181" i="1"/>
  <c r="BZ189" i="1" s="1"/>
  <c r="CE127" i="1"/>
  <c r="CE131" i="1"/>
  <c r="BZ43" i="1"/>
  <c r="BZ52" i="1"/>
  <c r="BZ41" i="1"/>
  <c r="CA43" i="1"/>
  <c r="CG209" i="1"/>
  <c r="CH221" i="1"/>
  <c r="CG221" i="1"/>
  <c r="CJ42" i="1"/>
  <c r="CF41" i="1"/>
  <c r="CG43" i="1"/>
  <c r="CF42" i="1"/>
  <c r="BZ270" i="1"/>
  <c r="CF270" i="1"/>
  <c r="CF268" i="1"/>
  <c r="CF132" i="1"/>
  <c r="CF120" i="1"/>
  <c r="CG132" i="1"/>
  <c r="CG128" i="1"/>
  <c r="CG131" i="1"/>
  <c r="CG127" i="1"/>
  <c r="CF131" i="1"/>
  <c r="CF127" i="1"/>
  <c r="CG55" i="1"/>
  <c r="CG42" i="1"/>
  <c r="CC41" i="1"/>
  <c r="Y83" i="1"/>
  <c r="CC52" i="1"/>
  <c r="CC58" i="1" s="1"/>
  <c r="CC62" i="1" s="1"/>
  <c r="CD43" i="1"/>
  <c r="CC42" i="1"/>
  <c r="CD120" i="1"/>
  <c r="CD127" i="1"/>
  <c r="CE172" i="1"/>
  <c r="CD119" i="1"/>
  <c r="CE221" i="1"/>
  <c r="CG220" i="1"/>
  <c r="CD128" i="1"/>
  <c r="CF221" i="1"/>
  <c r="CA58" i="1"/>
  <c r="CA62" i="1" s="1"/>
  <c r="CA65" i="1" s="1"/>
  <c r="CA72" i="1" s="1"/>
  <c r="CA217" i="1" s="1"/>
  <c r="CA219" i="1" s="1"/>
  <c r="CI250" i="1"/>
  <c r="CA53" i="1"/>
  <c r="CG274" i="1"/>
  <c r="CE128" i="1"/>
  <c r="CF53" i="1"/>
  <c r="CF256" i="1"/>
  <c r="CF257" i="1" s="1"/>
  <c r="CJ54" i="1"/>
  <c r="CF58" i="1"/>
  <c r="CG181" i="1"/>
  <c r="CH220" i="1"/>
  <c r="CD53" i="1"/>
  <c r="CB53" i="1"/>
  <c r="CB256" i="1"/>
  <c r="CB257" i="1" s="1"/>
  <c r="CB58" i="1"/>
  <c r="CB62" i="1" s="1"/>
  <c r="CB55" i="1"/>
  <c r="CB274" i="1"/>
  <c r="CF54" i="1"/>
  <c r="CD256" i="1"/>
  <c r="CD257" i="1" s="1"/>
  <c r="CD58" i="1"/>
  <c r="CD62" i="1" s="1"/>
  <c r="CD65" i="1" s="1"/>
  <c r="CD258" i="1" s="1"/>
  <c r="CF43" i="1"/>
  <c r="CE42" i="1"/>
  <c r="CI42" i="1"/>
  <c r="Z83" i="1"/>
  <c r="CE52" i="1"/>
  <c r="CG250" i="1" s="1"/>
  <c r="CE41" i="1"/>
  <c r="BY58" i="1"/>
  <c r="BY62" i="1" s="1"/>
  <c r="BY53" i="1"/>
  <c r="BL58" i="1"/>
  <c r="BL62" i="1" s="1"/>
  <c r="BL53" i="1"/>
  <c r="CV41" i="1"/>
  <c r="CU203" i="1"/>
  <c r="CV148" i="1"/>
  <c r="CU204" i="1"/>
  <c r="CU207" i="1"/>
  <c r="AB174" i="1"/>
  <c r="A1" i="1"/>
  <c r="CI136" i="1" l="1"/>
  <c r="CR64" i="1"/>
  <c r="CJ111" i="1"/>
  <c r="CJ110" i="1"/>
  <c r="CJ109" i="1"/>
  <c r="CK111" i="1"/>
  <c r="CK110" i="1"/>
  <c r="CK109" i="1"/>
  <c r="CI119" i="1"/>
  <c r="CI120" i="1"/>
  <c r="CI118" i="1"/>
  <c r="CT226" i="1"/>
  <c r="CU164" i="1"/>
  <c r="CU51" i="1"/>
  <c r="CV51" i="1" s="1"/>
  <c r="CV21" i="1"/>
  <c r="CU26" i="1"/>
  <c r="CT32" i="1"/>
  <c r="CG275" i="1"/>
  <c r="CT208" i="1"/>
  <c r="CS209" i="1"/>
  <c r="CF190" i="1"/>
  <c r="CR206" i="1"/>
  <c r="CR210" i="1" s="1"/>
  <c r="CS205" i="1"/>
  <c r="CA162" i="1"/>
  <c r="CB57" i="1"/>
  <c r="CB189" i="1"/>
  <c r="CB190" i="1" s="1"/>
  <c r="CD189" i="1"/>
  <c r="CD190" i="1" s="1"/>
  <c r="CU149" i="1"/>
  <c r="CT152" i="1"/>
  <c r="CT273" i="1" s="1"/>
  <c r="CB270" i="1"/>
  <c r="CB268" i="1"/>
  <c r="CE162" i="1"/>
  <c r="CF57" i="1"/>
  <c r="CS230" i="1"/>
  <c r="CB275" i="1"/>
  <c r="CG229" i="1"/>
  <c r="BZ190" i="1"/>
  <c r="CD57" i="1"/>
  <c r="CC162" i="1"/>
  <c r="BZ133" i="1"/>
  <c r="CA61" i="1"/>
  <c r="CD268" i="1"/>
  <c r="CD270" i="1"/>
  <c r="CH229" i="1"/>
  <c r="CG118" i="1"/>
  <c r="CG120" i="1"/>
  <c r="CF133" i="1"/>
  <c r="CG61" i="1"/>
  <c r="CH57" i="1"/>
  <c r="CG162" i="1"/>
  <c r="CB133" i="1"/>
  <c r="CC61" i="1"/>
  <c r="CD133" i="1"/>
  <c r="CE61" i="1"/>
  <c r="CF205" i="1"/>
  <c r="CF210" i="1"/>
  <c r="CJ213" i="1" s="1"/>
  <c r="BL210" i="1"/>
  <c r="BL205" i="1"/>
  <c r="CD210" i="1"/>
  <c r="CD205" i="1"/>
  <c r="CB210" i="1"/>
  <c r="CB205" i="1"/>
  <c r="BZ205" i="1"/>
  <c r="BZ210" i="1"/>
  <c r="CG222" i="1"/>
  <c r="CG223" i="1" s="1"/>
  <c r="BZ53" i="1"/>
  <c r="BZ58" i="1"/>
  <c r="CA274" i="1"/>
  <c r="CA275" i="1" s="1"/>
  <c r="CA55" i="1"/>
  <c r="BZ256" i="1"/>
  <c r="BZ257" i="1" s="1"/>
  <c r="CD54" i="1"/>
  <c r="BZ55" i="1"/>
  <c r="BZ274" i="1"/>
  <c r="CB136" i="1"/>
  <c r="CH222" i="1"/>
  <c r="CH223" i="1" s="1"/>
  <c r="CD136" i="1"/>
  <c r="CC274" i="1"/>
  <c r="CC275" i="1" s="1"/>
  <c r="CE220" i="1"/>
  <c r="CE222" i="1" s="1"/>
  <c r="CE181" i="1"/>
  <c r="CG208" i="1"/>
  <c r="CG210" i="1"/>
  <c r="CK213" i="1" s="1"/>
  <c r="CC256" i="1"/>
  <c r="CC257" i="1" s="1"/>
  <c r="CG54" i="1"/>
  <c r="Y84" i="1"/>
  <c r="CC53" i="1"/>
  <c r="CC250" i="1"/>
  <c r="CD274" i="1"/>
  <c r="CD275" i="1" s="1"/>
  <c r="CC136" i="1"/>
  <c r="CD250" i="1"/>
  <c r="CC55" i="1"/>
  <c r="CD55" i="1"/>
  <c r="CC54" i="1"/>
  <c r="CC65" i="1"/>
  <c r="CC64" i="1"/>
  <c r="CF62" i="1"/>
  <c r="CI79" i="1"/>
  <c r="CE206" i="1"/>
  <c r="CF220" i="1"/>
  <c r="CF222" i="1" s="1"/>
  <c r="CA64" i="1"/>
  <c r="CA90" i="1"/>
  <c r="CA143" i="1"/>
  <c r="CA144" i="1" s="1"/>
  <c r="CA116" i="1" s="1"/>
  <c r="CH67" i="1"/>
  <c r="CD64" i="1"/>
  <c r="CA76" i="1"/>
  <c r="CA258" i="1"/>
  <c r="CA66" i="1"/>
  <c r="CA269" i="1" s="1"/>
  <c r="CD66" i="1"/>
  <c r="CD269" i="1" s="1"/>
  <c r="CF136" i="1"/>
  <c r="CD79" i="1"/>
  <c r="CD72" i="1"/>
  <c r="CD76" i="1" s="1"/>
  <c r="CE55" i="1"/>
  <c r="CE136" i="1"/>
  <c r="CE250" i="1"/>
  <c r="CB64" i="1"/>
  <c r="CB65" i="1"/>
  <c r="CE274" i="1"/>
  <c r="CE275" i="1" s="1"/>
  <c r="CF274" i="1"/>
  <c r="CF275" i="1" s="1"/>
  <c r="CE256" i="1"/>
  <c r="CE257" i="1" s="1"/>
  <c r="Z84" i="1"/>
  <c r="CE54" i="1"/>
  <c r="CH136" i="1"/>
  <c r="CE53" i="1"/>
  <c r="CG136" i="1"/>
  <c r="CE58" i="1"/>
  <c r="CH250" i="1"/>
  <c r="CF55" i="1"/>
  <c r="CI54" i="1"/>
  <c r="CF250" i="1"/>
  <c r="BL65" i="1"/>
  <c r="BL64" i="1"/>
  <c r="BY64" i="1"/>
  <c r="BY65" i="1"/>
  <c r="CW41" i="1"/>
  <c r="CX41" i="1" s="1"/>
  <c r="CW148" i="1"/>
  <c r="CV203" i="1"/>
  <c r="CV207" i="1"/>
  <c r="CV204" i="1"/>
  <c r="AC174" i="1"/>
  <c r="CS64" i="1" l="1"/>
  <c r="CV164" i="1"/>
  <c r="CU226" i="1"/>
  <c r="CW51" i="1"/>
  <c r="CW21" i="1"/>
  <c r="DB5" i="1"/>
  <c r="AE5" i="1" s="1"/>
  <c r="CU32" i="1"/>
  <c r="CV26" i="1"/>
  <c r="CU208" i="1"/>
  <c r="CT209" i="1"/>
  <c r="CD135" i="1"/>
  <c r="CD138" i="1" s="1"/>
  <c r="CD134" i="1"/>
  <c r="CD137" i="1" s="1"/>
  <c r="CS206" i="1"/>
  <c r="CS210" i="1" s="1"/>
  <c r="CT205" i="1"/>
  <c r="CA227" i="1"/>
  <c r="CA225" i="1" s="1"/>
  <c r="CB227" i="1"/>
  <c r="CB225" i="1" s="1"/>
  <c r="CE227" i="1"/>
  <c r="CE225" i="1" s="1"/>
  <c r="CF227" i="1"/>
  <c r="CF225" i="1" s="1"/>
  <c r="CH227" i="1"/>
  <c r="CH225" i="1" s="1"/>
  <c r="CH237" i="1" s="1"/>
  <c r="CG227" i="1"/>
  <c r="CG225" i="1" s="1"/>
  <c r="CV149" i="1"/>
  <c r="CU152" i="1"/>
  <c r="CU273" i="1" s="1"/>
  <c r="CT230" i="1"/>
  <c r="CD227" i="1"/>
  <c r="CD225" i="1" s="1"/>
  <c r="CC227" i="1"/>
  <c r="CC225" i="1" s="1"/>
  <c r="CF213" i="1"/>
  <c r="CF134" i="1"/>
  <c r="CF137" i="1" s="1"/>
  <c r="CF135" i="1"/>
  <c r="CF138" i="1" s="1"/>
  <c r="CD213" i="1"/>
  <c r="CH213" i="1"/>
  <c r="BZ62" i="1"/>
  <c r="CB79" i="1"/>
  <c r="CD251" i="1"/>
  <c r="CF65" i="1"/>
  <c r="CF64" i="1"/>
  <c r="CC67" i="1"/>
  <c r="CG67" i="1"/>
  <c r="CC258" i="1"/>
  <c r="CC72" i="1"/>
  <c r="CC66" i="1"/>
  <c r="CC269" i="1" s="1"/>
  <c r="CD68" i="1"/>
  <c r="CE205" i="1"/>
  <c r="CE210" i="1"/>
  <c r="CA231" i="1"/>
  <c r="CA229" i="1" s="1"/>
  <c r="CA153" i="1"/>
  <c r="CC68" i="1"/>
  <c r="CD217" i="1"/>
  <c r="CD219" i="1" s="1"/>
  <c r="Y85" i="1"/>
  <c r="CD90" i="1"/>
  <c r="CH137" i="1"/>
  <c r="CH138" i="1"/>
  <c r="CF79" i="1"/>
  <c r="CH79" i="1"/>
  <c r="CG79" i="1"/>
  <c r="CE62" i="1"/>
  <c r="CB72" i="1"/>
  <c r="CB68" i="1"/>
  <c r="CB258" i="1"/>
  <c r="CB66" i="1"/>
  <c r="CB269" i="1" s="1"/>
  <c r="BL72" i="1"/>
  <c r="BL66" i="1"/>
  <c r="BL269" i="1" s="1"/>
  <c r="CM88" i="1"/>
  <c r="CN88" i="1" s="1"/>
  <c r="CO88" i="1" s="1"/>
  <c r="CP88" i="1" s="1"/>
  <c r="BY66" i="1"/>
  <c r="BY269" i="1" s="1"/>
  <c r="BY72" i="1"/>
  <c r="CY41" i="1"/>
  <c r="CZ41" i="1" s="1"/>
  <c r="CX148" i="1"/>
  <c r="CW204" i="1"/>
  <c r="CW203" i="1"/>
  <c r="CW207" i="1"/>
  <c r="AE174" i="1"/>
  <c r="AD174" i="1"/>
  <c r="CT64" i="1" l="1"/>
  <c r="CU64" i="1"/>
  <c r="CF258" i="1"/>
  <c r="AA85" i="1"/>
  <c r="CW164" i="1"/>
  <c r="CV226" i="1"/>
  <c r="CQ88" i="1"/>
  <c r="CR88" i="1" s="1"/>
  <c r="CS88" i="1" s="1"/>
  <c r="CT88" i="1" s="1"/>
  <c r="AB88" i="1"/>
  <c r="AA88" i="1" s="1"/>
  <c r="Z88" i="1" s="1"/>
  <c r="Y88" i="1" s="1"/>
  <c r="X88" i="1" s="1"/>
  <c r="W88" i="1" s="1"/>
  <c r="V88" i="1" s="1"/>
  <c r="U88" i="1" s="1"/>
  <c r="T88" i="1" s="1"/>
  <c r="S88" i="1" s="1"/>
  <c r="R88" i="1" s="1"/>
  <c r="Q88" i="1" s="1"/>
  <c r="P88" i="1" s="1"/>
  <c r="O88" i="1" s="1"/>
  <c r="N88" i="1" s="1"/>
  <c r="M88" i="1" s="1"/>
  <c r="L88" i="1" s="1"/>
  <c r="K88" i="1" s="1"/>
  <c r="J88" i="1" s="1"/>
  <c r="I88" i="1" s="1"/>
  <c r="H88" i="1" s="1"/>
  <c r="G88" i="1" s="1"/>
  <c r="F88" i="1" s="1"/>
  <c r="E88" i="1" s="1"/>
  <c r="CX51" i="1"/>
  <c r="CY51" i="1" s="1"/>
  <c r="CZ51" i="1" s="1"/>
  <c r="CX21" i="1"/>
  <c r="CW26" i="1"/>
  <c r="CV32" i="1"/>
  <c r="CV208" i="1"/>
  <c r="CU209" i="1"/>
  <c r="CG237" i="1"/>
  <c r="CG234" i="1"/>
  <c r="CG184" i="1" s="1"/>
  <c r="CG185" i="1" s="1"/>
  <c r="CG235" i="1" s="1"/>
  <c r="CT206" i="1"/>
  <c r="CT210" i="1" s="1"/>
  <c r="CU205" i="1"/>
  <c r="CW149" i="1"/>
  <c r="CV152" i="1"/>
  <c r="CV273" i="1" s="1"/>
  <c r="CU230" i="1"/>
  <c r="CF67" i="1"/>
  <c r="CF66" i="1"/>
  <c r="CF269" i="1" s="1"/>
  <c r="BZ65" i="1"/>
  <c r="BZ64" i="1"/>
  <c r="CJ67" i="1"/>
  <c r="CG68" i="1"/>
  <c r="CI251" i="1"/>
  <c r="CF72" i="1"/>
  <c r="CD78" i="1"/>
  <c r="CC76" i="1"/>
  <c r="CC143" i="1"/>
  <c r="CC144" i="1" s="1"/>
  <c r="CC90" i="1"/>
  <c r="CC217" i="1"/>
  <c r="CC219" i="1" s="1"/>
  <c r="CB90" i="1"/>
  <c r="CB76" i="1"/>
  <c r="CB217" i="1"/>
  <c r="CB219" i="1" s="1"/>
  <c r="CB231" i="1"/>
  <c r="CB229" i="1" s="1"/>
  <c r="CE65" i="1"/>
  <c r="CE64" i="1"/>
  <c r="BY217" i="1"/>
  <c r="BY219" i="1" s="1"/>
  <c r="BY76" i="1"/>
  <c r="BY90" i="1"/>
  <c r="BL217" i="1"/>
  <c r="BL219" i="1" s="1"/>
  <c r="BL90" i="1"/>
  <c r="BL76" i="1"/>
  <c r="DA41" i="1"/>
  <c r="DB41" i="1" s="1"/>
  <c r="CX207" i="1"/>
  <c r="CX204" i="1"/>
  <c r="CX203" i="1"/>
  <c r="CY148" i="1"/>
  <c r="AB150" i="1"/>
  <c r="AB160" i="1"/>
  <c r="AB159" i="1"/>
  <c r="AB151" i="1"/>
  <c r="AB146" i="1"/>
  <c r="AB175" i="1"/>
  <c r="AB167" i="1"/>
  <c r="AB142" i="1"/>
  <c r="CV64" i="1" l="1"/>
  <c r="CY21" i="1"/>
  <c r="CZ21" i="1" s="1"/>
  <c r="DA21" i="1" s="1"/>
  <c r="DB21" i="1" s="1"/>
  <c r="AC88" i="1"/>
  <c r="CU88" i="1"/>
  <c r="CV88" i="1" s="1"/>
  <c r="CW88" i="1" s="1"/>
  <c r="CX88" i="1" s="1"/>
  <c r="CX164" i="1"/>
  <c r="CW226" i="1"/>
  <c r="DA51" i="1"/>
  <c r="DB51" i="1" s="1"/>
  <c r="CW32" i="1"/>
  <c r="CX26" i="1"/>
  <c r="CW208" i="1"/>
  <c r="CV209" i="1"/>
  <c r="CU206" i="1"/>
  <c r="CU210" i="1" s="1"/>
  <c r="CV205" i="1"/>
  <c r="CX149" i="1"/>
  <c r="CW152" i="1"/>
  <c r="CW273" i="1" s="1"/>
  <c r="CV230" i="1"/>
  <c r="CD93" i="1"/>
  <c r="CD110" i="1" s="1"/>
  <c r="BZ66" i="1"/>
  <c r="BZ269" i="1" s="1"/>
  <c r="BZ68" i="1"/>
  <c r="CC251" i="1"/>
  <c r="BZ72" i="1"/>
  <c r="CC78" i="1" s="1"/>
  <c r="BZ258" i="1"/>
  <c r="CD67" i="1"/>
  <c r="CA68" i="1"/>
  <c r="CG272" i="1"/>
  <c r="CH233" i="1"/>
  <c r="CH234" i="1" s="1"/>
  <c r="CH235" i="1" s="1"/>
  <c r="CG268" i="1"/>
  <c r="CG270" i="1"/>
  <c r="CG189" i="1"/>
  <c r="CG190" i="1" s="1"/>
  <c r="CG192" i="1"/>
  <c r="CF217" i="1"/>
  <c r="CF219" i="1" s="1"/>
  <c r="CF223" i="1" s="1"/>
  <c r="CF237" i="1" s="1"/>
  <c r="CF76" i="1"/>
  <c r="CF90" i="1"/>
  <c r="CI93" i="1" s="1"/>
  <c r="CI78" i="1"/>
  <c r="CC116" i="1"/>
  <c r="CC153" i="1"/>
  <c r="CC79" i="1" s="1"/>
  <c r="CC231" i="1"/>
  <c r="CC229" i="1" s="1"/>
  <c r="CD231" i="1"/>
  <c r="CD229" i="1" s="1"/>
  <c r="CG251" i="1"/>
  <c r="CI67" i="1"/>
  <c r="CH251" i="1"/>
  <c r="CE68" i="1"/>
  <c r="CE66" i="1"/>
  <c r="CE269" i="1" s="1"/>
  <c r="CE67" i="1"/>
  <c r="CF68" i="1"/>
  <c r="CE72" i="1"/>
  <c r="CF251" i="1"/>
  <c r="CE251" i="1"/>
  <c r="Z85" i="1"/>
  <c r="CE258" i="1"/>
  <c r="CY204" i="1"/>
  <c r="CZ148" i="1"/>
  <c r="CY203" i="1"/>
  <c r="CY207" i="1"/>
  <c r="AC160" i="1"/>
  <c r="AC150" i="1"/>
  <c r="AB188" i="1"/>
  <c r="AC146" i="1"/>
  <c r="AC175" i="1"/>
  <c r="AB171" i="1"/>
  <c r="AB178" i="1"/>
  <c r="AC167" i="1"/>
  <c r="AC151" i="1"/>
  <c r="AB179" i="1"/>
  <c r="AC142" i="1"/>
  <c r="AC159" i="1"/>
  <c r="CW64" i="1" l="1"/>
  <c r="AD88" i="1"/>
  <c r="CY88" i="1"/>
  <c r="CZ88" i="1" s="1"/>
  <c r="DA88" i="1" s="1"/>
  <c r="DB88" i="1" s="1"/>
  <c r="AE88" i="1" s="1"/>
  <c r="CY164" i="1"/>
  <c r="CY226" i="1" s="1"/>
  <c r="CX226" i="1"/>
  <c r="CX32" i="1"/>
  <c r="CY26" i="1"/>
  <c r="CX208" i="1"/>
  <c r="CW209" i="1"/>
  <c r="CV206" i="1"/>
  <c r="CV210" i="1" s="1"/>
  <c r="CW205" i="1"/>
  <c r="CY149" i="1"/>
  <c r="CX152" i="1"/>
  <c r="CX273" i="1" s="1"/>
  <c r="CW230" i="1"/>
  <c r="CD109" i="1"/>
  <c r="CD111" i="1"/>
  <c r="CB78" i="1"/>
  <c r="BZ90" i="1"/>
  <c r="BZ76" i="1"/>
  <c r="BZ217" i="1"/>
  <c r="BZ219" i="1" s="1"/>
  <c r="CH61" i="1"/>
  <c r="CG133" i="1"/>
  <c r="CI111" i="1"/>
  <c r="CI109" i="1"/>
  <c r="CI110" i="1"/>
  <c r="CL114" i="1" s="1"/>
  <c r="CE76" i="1"/>
  <c r="CE143" i="1"/>
  <c r="CE144" i="1" s="1"/>
  <c r="CE78" i="1" s="1"/>
  <c r="CE217" i="1"/>
  <c r="CE219" i="1" s="1"/>
  <c r="CE223" i="1" s="1"/>
  <c r="CE237" i="1" s="1"/>
  <c r="CE90" i="1"/>
  <c r="CF78" i="1"/>
  <c r="CG78" i="1"/>
  <c r="CH78" i="1"/>
  <c r="DA148" i="1"/>
  <c r="CZ207" i="1"/>
  <c r="CZ204" i="1"/>
  <c r="CZ203" i="1"/>
  <c r="AE160" i="1"/>
  <c r="AD160" i="1"/>
  <c r="AE150" i="1"/>
  <c r="AD150" i="1"/>
  <c r="AC188" i="1"/>
  <c r="AE175" i="1"/>
  <c r="AD175" i="1"/>
  <c r="AE167" i="1"/>
  <c r="AD167" i="1"/>
  <c r="AD142" i="1"/>
  <c r="AE142" i="1"/>
  <c r="AC178" i="1"/>
  <c r="AE151" i="1"/>
  <c r="AD151" i="1"/>
  <c r="AE159" i="1"/>
  <c r="AD159" i="1"/>
  <c r="AC179" i="1"/>
  <c r="AC171" i="1"/>
  <c r="AE146" i="1"/>
  <c r="AD146" i="1"/>
  <c r="CX64" i="1" l="1"/>
  <c r="CZ164" i="1"/>
  <c r="CZ226" i="1" s="1"/>
  <c r="CZ26" i="1"/>
  <c r="CY32" i="1"/>
  <c r="CY208" i="1"/>
  <c r="CX209" i="1"/>
  <c r="CW206" i="1"/>
  <c r="CW210" i="1" s="1"/>
  <c r="CX205" i="1"/>
  <c r="CZ149" i="1"/>
  <c r="CY152" i="1"/>
  <c r="CY273" i="1" s="1"/>
  <c r="CX230" i="1"/>
  <c r="CC93" i="1"/>
  <c r="CB93" i="1"/>
  <c r="CG135" i="1"/>
  <c r="CG138" i="1" s="1"/>
  <c r="CG134" i="1"/>
  <c r="CG137" i="1" s="1"/>
  <c r="CF93" i="1"/>
  <c r="CH93" i="1"/>
  <c r="CL94" i="1" s="1"/>
  <c r="CG93" i="1"/>
  <c r="CK94" i="1" s="1"/>
  <c r="CE93" i="1"/>
  <c r="CE116" i="1"/>
  <c r="CF231" i="1"/>
  <c r="CF229" i="1" s="1"/>
  <c r="CE153" i="1"/>
  <c r="CE79" i="1" s="1"/>
  <c r="CE231" i="1"/>
  <c r="CE229" i="1" s="1"/>
  <c r="CE234" i="1" s="1"/>
  <c r="CE184" i="1" s="1"/>
  <c r="CE185" i="1" s="1"/>
  <c r="CE189" i="1" s="1"/>
  <c r="DA203" i="1"/>
  <c r="DA204" i="1"/>
  <c r="DA207" i="1"/>
  <c r="DB148" i="1"/>
  <c r="AE188" i="1"/>
  <c r="AD188" i="1"/>
  <c r="AE178" i="1"/>
  <c r="AD178" i="1"/>
  <c r="AE179" i="1"/>
  <c r="AD179" i="1"/>
  <c r="AE171" i="1"/>
  <c r="AD171" i="1"/>
  <c r="BY255" i="1"/>
  <c r="CY64" i="1" l="1"/>
  <c r="CZ64" i="1" s="1"/>
  <c r="DA64" i="1" s="1"/>
  <c r="DB64" i="1" s="1"/>
  <c r="DA164" i="1"/>
  <c r="DB164" i="1" s="1"/>
  <c r="DB226" i="1" s="1"/>
  <c r="DA26" i="1"/>
  <c r="CZ32" i="1"/>
  <c r="CZ208" i="1"/>
  <c r="CY209" i="1"/>
  <c r="DA149" i="1"/>
  <c r="CZ152" i="1"/>
  <c r="CZ273" i="1" s="1"/>
  <c r="CX206" i="1"/>
  <c r="CX210" i="1" s="1"/>
  <c r="CY205" i="1"/>
  <c r="CY230" i="1"/>
  <c r="CE118" i="1"/>
  <c r="CE119" i="1"/>
  <c r="CE120" i="1"/>
  <c r="CE268" i="1"/>
  <c r="CE109" i="1"/>
  <c r="CE110" i="1"/>
  <c r="CI94" i="1"/>
  <c r="CE111" i="1"/>
  <c r="CE272" i="1"/>
  <c r="CG94" i="1"/>
  <c r="CG109" i="1"/>
  <c r="CG111" i="1"/>
  <c r="CG110" i="1"/>
  <c r="CE192" i="1"/>
  <c r="CE133" i="1" s="1"/>
  <c r="CE135" i="1" s="1"/>
  <c r="CE138" i="1" s="1"/>
  <c r="CF233" i="1"/>
  <c r="CF234" i="1" s="1"/>
  <c r="CF235" i="1" s="1"/>
  <c r="CE270" i="1"/>
  <c r="CH94" i="1"/>
  <c r="CH110" i="1"/>
  <c r="CK114" i="1" s="1"/>
  <c r="CH109" i="1"/>
  <c r="CH111" i="1"/>
  <c r="CE235" i="1"/>
  <c r="CF94" i="1"/>
  <c r="CJ94" i="1"/>
  <c r="CF111" i="1"/>
  <c r="CF109" i="1"/>
  <c r="CF110" i="1"/>
  <c r="DB204" i="1"/>
  <c r="DB203" i="1"/>
  <c r="DB207" i="1"/>
  <c r="CE190" i="1"/>
  <c r="AB44" i="1"/>
  <c r="DA226" i="1" l="1"/>
  <c r="DA32" i="1"/>
  <c r="DA208" i="1"/>
  <c r="CZ209" i="1"/>
  <c r="DB149" i="1"/>
  <c r="DB152" i="1" s="1"/>
  <c r="DA152" i="1"/>
  <c r="DA230" i="1" s="1"/>
  <c r="CZ230" i="1"/>
  <c r="CY206" i="1"/>
  <c r="CY210" i="1" s="1"/>
  <c r="CZ205" i="1"/>
  <c r="CJ114" i="1"/>
  <c r="CH114" i="1"/>
  <c r="CF61" i="1"/>
  <c r="CI114" i="1"/>
  <c r="CG114" i="1"/>
  <c r="CE134" i="1"/>
  <c r="CE137" i="1" s="1"/>
  <c r="AC44" i="1"/>
  <c r="BY256" i="1"/>
  <c r="BY257" i="1" s="1"/>
  <c r="DA273" i="1" l="1"/>
  <c r="DB32" i="1"/>
  <c r="DB26" i="1"/>
  <c r="DB208" i="1"/>
  <c r="DB209" i="1" s="1"/>
  <c r="DA209" i="1"/>
  <c r="DB230" i="1"/>
  <c r="DB273" i="1"/>
  <c r="CZ206" i="1"/>
  <c r="CZ210" i="1" s="1"/>
  <c r="DA205" i="1"/>
  <c r="AD44" i="1"/>
  <c r="BY258" i="1"/>
  <c r="DA206" i="1" l="1"/>
  <c r="DA210" i="1" s="1"/>
  <c r="DB205" i="1"/>
  <c r="DB206" i="1" s="1"/>
  <c r="DB210" i="1" s="1"/>
  <c r="AE44" i="1"/>
  <c r="BI89" i="1" l="1"/>
  <c r="AT89" i="1"/>
  <c r="BT89" i="1"/>
  <c r="AV89" i="1"/>
  <c r="AX89" i="1"/>
  <c r="AR89" i="1"/>
  <c r="AO89" i="1" l="1"/>
  <c r="BK89" i="1"/>
  <c r="AN89" i="1"/>
  <c r="AW89" i="1"/>
  <c r="BB89" i="1"/>
  <c r="BM89" i="1"/>
  <c r="BQ89" i="1"/>
  <c r="AJ89" i="1"/>
  <c r="BS89" i="1"/>
  <c r="BR89" i="1"/>
  <c r="BO89" i="1"/>
  <c r="AM89" i="1"/>
  <c r="AI89" i="1"/>
  <c r="AP89" i="1"/>
  <c r="AZ89" i="1"/>
  <c r="AS89" i="1"/>
  <c r="BN89" i="1"/>
  <c r="BU89" i="1"/>
  <c r="BA89" i="1"/>
  <c r="BC89" i="1"/>
  <c r="AU89" i="1"/>
  <c r="BW89" i="1"/>
  <c r="BP89" i="1"/>
  <c r="BJ89" i="1"/>
  <c r="BH89" i="1"/>
  <c r="BX89" i="1"/>
  <c r="BG89" i="1"/>
  <c r="AQ89" i="1"/>
  <c r="AY89" i="1"/>
  <c r="AK89" i="1"/>
  <c r="BE89" i="1"/>
  <c r="BD89" i="1"/>
  <c r="BV89" i="1"/>
  <c r="BF89" i="1"/>
  <c r="BL255" i="1" l="1"/>
  <c r="AB164" i="1" l="1"/>
  <c r="CN101" i="1" l="1"/>
  <c r="AB226" i="1"/>
  <c r="CO101" i="1" l="1"/>
  <c r="CM87" i="1"/>
  <c r="CP101" i="1" l="1"/>
  <c r="CN87" i="1"/>
  <c r="CM89" i="1"/>
  <c r="G36" i="2"/>
  <c r="I12" i="2"/>
  <c r="I5" i="2"/>
  <c r="P29" i="2"/>
  <c r="S14" i="2"/>
  <c r="K34" i="2"/>
  <c r="I18" i="2"/>
  <c r="K35" i="2"/>
  <c r="T16" i="2"/>
  <c r="AF50" i="3"/>
  <c r="U32" i="2"/>
  <c r="D10" i="3"/>
  <c r="D28" i="3"/>
  <c r="R25" i="2"/>
  <c r="E30" i="2"/>
  <c r="N26" i="2"/>
  <c r="C36" i="2"/>
  <c r="AR85" i="3"/>
  <c r="AR13" i="3"/>
  <c r="G24" i="3"/>
  <c r="CZ16" i="4" a="1"/>
  <c r="CW14" i="4" a="1"/>
  <c r="DW6" i="4" a="1"/>
  <c r="W36" i="2"/>
  <c r="K12" i="2"/>
  <c r="F11" i="2"/>
  <c r="Q10" i="2"/>
  <c r="AR56" i="3"/>
  <c r="F15" i="2"/>
  <c r="T45" i="3"/>
  <c r="D14" i="3"/>
  <c r="W9" i="2"/>
  <c r="X23" i="2"/>
  <c r="X10" i="2"/>
  <c r="M12" i="2"/>
  <c r="L11" i="2"/>
  <c r="C15" i="2"/>
  <c r="AE45" i="3"/>
  <c r="E15" i="3"/>
  <c r="Q5" i="2"/>
  <c r="U18" i="2"/>
  <c r="Q24" i="2"/>
  <c r="S7" i="2"/>
  <c r="V17" i="2"/>
  <c r="AR37" i="3"/>
  <c r="D32" i="3"/>
  <c r="H9" i="2"/>
  <c r="U30" i="2"/>
  <c r="L19" i="2"/>
  <c r="F75" i="2"/>
  <c r="O12" i="2"/>
  <c r="K16" i="2"/>
  <c r="H15" i="2"/>
  <c r="R11" i="2"/>
  <c r="F22" i="3"/>
  <c r="E13" i="3"/>
  <c r="X19" i="2"/>
  <c r="I31" i="2"/>
  <c r="C22" i="2"/>
  <c r="L21" i="2"/>
  <c r="T11" i="2"/>
  <c r="I21" i="2"/>
  <c r="W13" i="2"/>
  <c r="U33" i="2"/>
  <c r="F16" i="3"/>
  <c r="I14" i="4" a="1"/>
  <c r="CU6" i="4" a="1"/>
  <c r="BB6" i="4" a="1"/>
  <c r="CD6" i="4" a="1"/>
  <c r="CI12" i="4" a="1"/>
  <c r="BR14" i="4" a="1"/>
  <c r="M36" i="2"/>
  <c r="G45" i="3"/>
  <c r="AN7" i="4" a="1"/>
  <c r="BL12" i="4" a="1"/>
  <c r="AP15" i="4" a="1"/>
  <c r="AV8" i="4" a="1"/>
  <c r="CE13" i="4" a="1"/>
  <c r="E12" i="4" a="1"/>
  <c r="DU6" i="4" a="1"/>
  <c r="Z6" i="4" a="1"/>
  <c r="G33" i="2"/>
  <c r="R7" i="2"/>
  <c r="AR10" i="3"/>
  <c r="CX14" i="4" a="1"/>
  <c r="BI6" i="4" a="1"/>
  <c r="BG12" i="4" a="1"/>
  <c r="N12" i="4" a="1"/>
  <c r="AE15" i="4" a="1"/>
  <c r="DC8" i="4" a="1"/>
  <c r="CE8" i="4" a="1"/>
  <c r="EI11" i="4" a="1"/>
  <c r="DC6" i="4" a="1"/>
  <c r="D15" i="2"/>
  <c r="C12" i="2"/>
  <c r="CI14" i="4" a="1"/>
  <c r="DH12" i="4" a="1"/>
  <c r="AL5" i="4" a="1"/>
  <c r="BA7" i="4" a="1"/>
  <c r="R14" i="2"/>
  <c r="E20" i="3"/>
  <c r="AG7" i="4" a="1"/>
  <c r="D31" i="2"/>
  <c r="AR30" i="3"/>
  <c r="AX11" i="4" a="1"/>
  <c r="BT13" i="4" a="1"/>
  <c r="U9" i="4" a="1"/>
  <c r="CT15" i="4" a="1"/>
  <c r="BJ8" i="4" a="1"/>
  <c r="F89" i="2"/>
  <c r="N21" i="2"/>
  <c r="F34" i="3"/>
  <c r="AK8" i="4" a="1"/>
  <c r="BP11" i="4" a="1"/>
  <c r="CA9" i="4" a="1"/>
  <c r="Z16" i="4" a="1"/>
  <c r="J27" i="2"/>
  <c r="V14" i="2"/>
  <c r="D21" i="2"/>
  <c r="I33" i="2"/>
  <c r="S29" i="2"/>
  <c r="L29" i="2"/>
  <c r="X9" i="2"/>
  <c r="G26" i="2"/>
  <c r="N30" i="2"/>
  <c r="AR97" i="3"/>
  <c r="AR82" i="3"/>
  <c r="AD8" i="3"/>
  <c r="EH5" i="4" a="1"/>
  <c r="R12" i="2"/>
  <c r="G22" i="2"/>
  <c r="F7" i="2"/>
  <c r="E6" i="2"/>
  <c r="D30" i="2"/>
  <c r="AR21" i="3"/>
  <c r="AR20" i="3"/>
  <c r="BR12" i="4" a="1"/>
  <c r="BA9" i="4" a="1"/>
  <c r="ED9" i="4" a="1"/>
  <c r="N5" i="2"/>
  <c r="L10" i="2"/>
  <c r="J6" i="2"/>
  <c r="M29" i="2"/>
  <c r="AR88" i="3"/>
  <c r="J30" i="2"/>
  <c r="AR17" i="3"/>
  <c r="AK45" i="3"/>
  <c r="S35" i="2"/>
  <c r="R54" i="2"/>
  <c r="N16" i="2"/>
  <c r="M20" i="2"/>
  <c r="O24" i="2"/>
  <c r="E9" i="2"/>
  <c r="D21" i="3"/>
  <c r="AB46" i="3"/>
  <c r="L8" i="2"/>
  <c r="Q33" i="2"/>
  <c r="W11" i="2"/>
  <c r="G8" i="2"/>
  <c r="H14" i="2"/>
  <c r="AR19" i="3"/>
  <c r="AR46" i="3"/>
  <c r="F10" i="2"/>
  <c r="E19" i="2"/>
  <c r="K7" i="2"/>
  <c r="L17" i="2"/>
  <c r="I20" i="2"/>
  <c r="V36" i="2"/>
  <c r="J20" i="2"/>
  <c r="M30" i="2"/>
  <c r="AR12" i="3"/>
  <c r="AD12" i="3"/>
  <c r="T5" i="2"/>
  <c r="T12" i="2"/>
  <c r="O22" i="2"/>
  <c r="D33" i="2"/>
  <c r="AR55" i="3"/>
  <c r="C30" i="2"/>
  <c r="U35" i="2"/>
  <c r="M31" i="2"/>
  <c r="Y46" i="3"/>
  <c r="C9" i="4" a="1"/>
  <c r="P9" i="4" a="1"/>
  <c r="CT7" i="4" a="1"/>
  <c r="T6" i="4" a="1"/>
  <c r="BO15" i="4" a="1"/>
  <c r="U19" i="2"/>
  <c r="G9" i="2"/>
  <c r="O45" i="3"/>
  <c r="EG12" i="4" a="1"/>
  <c r="AA12" i="4" a="1"/>
  <c r="DQ14" i="4" a="1"/>
  <c r="CL12" i="4" a="1"/>
  <c r="CP9" i="4" a="1"/>
  <c r="CO15" i="4" a="1"/>
  <c r="AD6" i="4" a="1"/>
  <c r="EG8" i="4" a="1"/>
  <c r="J15" i="2"/>
  <c r="P21" i="2"/>
  <c r="E8" i="3"/>
  <c r="CF9" i="4" a="1"/>
  <c r="C8" i="4" a="1"/>
  <c r="D7" i="4" a="1"/>
  <c r="BV11" i="4" a="1"/>
  <c r="AB6" i="4" a="1"/>
  <c r="K6" i="4" a="1"/>
  <c r="CH5" i="4" a="1"/>
  <c r="BR9" i="4" a="1"/>
  <c r="DB5" i="4" a="1"/>
  <c r="D35" i="2"/>
  <c r="E40" i="3"/>
  <c r="AL12" i="4" a="1"/>
  <c r="CG12" i="4" a="1"/>
  <c r="C7" i="4" a="1"/>
  <c r="AY11" i="4" a="1"/>
  <c r="Q31" i="2"/>
  <c r="W46" i="3"/>
  <c r="V34" i="2"/>
  <c r="M7" i="2"/>
  <c r="AK46" i="3"/>
  <c r="S11" i="4" a="1"/>
  <c r="DZ16" i="4" a="1"/>
  <c r="EA8" i="4" a="1"/>
  <c r="CJ8" i="4" a="1"/>
  <c r="E6" i="4" a="1"/>
  <c r="C20" i="2"/>
  <c r="J5" i="2"/>
  <c r="AO6" i="3"/>
  <c r="BQ7" i="4" a="1"/>
  <c r="CD8" i="4" a="1"/>
  <c r="CN15" i="4" a="1"/>
  <c r="AW7" i="4" a="1"/>
  <c r="CH13" i="4" a="1"/>
  <c r="AU12" i="4" a="1"/>
  <c r="DT14" i="4" a="1"/>
  <c r="BR8" i="4" a="1"/>
  <c r="R8" i="2"/>
  <c r="G27" i="3"/>
  <c r="CI7" i="4" a="1"/>
  <c r="CT8" i="4" a="1"/>
  <c r="BL8" i="4" a="1"/>
  <c r="BH7" i="4" a="1"/>
  <c r="CB12" i="4" a="1"/>
  <c r="L13" i="2"/>
  <c r="R31" i="2"/>
  <c r="I10" i="2"/>
  <c r="S5" i="2"/>
  <c r="AR63" i="3"/>
  <c r="E32" i="2"/>
  <c r="O33" i="2"/>
  <c r="H16" i="2"/>
  <c r="Q13" i="2"/>
  <c r="J8" i="2"/>
  <c r="G13" i="2"/>
  <c r="E33" i="3"/>
  <c r="DT7" i="4" a="1"/>
  <c r="L35" i="2"/>
  <c r="N28" i="2"/>
  <c r="X25" i="2"/>
  <c r="L14" i="2"/>
  <c r="AR73" i="3"/>
  <c r="X45" i="3"/>
  <c r="F23" i="3"/>
  <c r="CR13" i="4" a="1"/>
  <c r="DG13" i="4" a="1"/>
  <c r="AU11" i="4" a="1"/>
  <c r="I27" i="2"/>
  <c r="R18" i="2"/>
  <c r="R24" i="2"/>
  <c r="U10" i="2"/>
  <c r="AR72" i="3"/>
  <c r="AR77" i="3"/>
  <c r="F13" i="3"/>
  <c r="N9" i="4" a="1"/>
  <c r="K5" i="2"/>
  <c r="C17" i="2"/>
  <c r="L9" i="2"/>
  <c r="W33" i="2"/>
  <c r="AR90" i="3"/>
  <c r="T17" i="2"/>
  <c r="AB45" i="3"/>
  <c r="K45" i="3"/>
  <c r="U36" i="2"/>
  <c r="F17" i="2"/>
  <c r="E31" i="2"/>
  <c r="M15" i="2"/>
  <c r="J16" i="2"/>
  <c r="D37" i="3"/>
  <c r="F24" i="3"/>
  <c r="U27" i="2"/>
  <c r="K13" i="2"/>
  <c r="H36" i="2"/>
  <c r="P7" i="2"/>
  <c r="D24" i="2"/>
  <c r="V18" i="2"/>
  <c r="I25" i="2"/>
  <c r="AR54" i="3"/>
  <c r="F19" i="3"/>
  <c r="D38" i="3"/>
  <c r="D19" i="2"/>
  <c r="U25" i="2"/>
  <c r="J7" i="2"/>
  <c r="F19" i="2"/>
  <c r="M24" i="2"/>
  <c r="AR86" i="3"/>
  <c r="F31" i="2"/>
  <c r="K14" i="2"/>
  <c r="D46" i="3"/>
  <c r="CO6" i="4" a="1"/>
  <c r="X15" i="4" a="1"/>
  <c r="AX16" i="4" a="1"/>
  <c r="CH15" i="4" a="1"/>
  <c r="DM16" i="4" a="1"/>
  <c r="W46" i="2"/>
  <c r="M11" i="2"/>
  <c r="G15" i="3"/>
  <c r="DL14" i="4" a="1"/>
  <c r="DI8" i="4" a="1"/>
  <c r="AU13" i="4" a="1"/>
  <c r="CW9" i="4" a="1"/>
  <c r="DB12" i="4" a="1"/>
  <c r="V9" i="4" a="1"/>
  <c r="U15" i="4" a="1"/>
  <c r="CR7" i="4" a="1"/>
  <c r="S9" i="2"/>
  <c r="U9" i="2"/>
  <c r="BO14" i="4" a="1"/>
  <c r="AZ7" i="4" a="1"/>
  <c r="DL13" i="4" a="1"/>
  <c r="CP8" i="4" a="1"/>
  <c r="BD11" i="4" a="1"/>
  <c r="CC14" i="4" a="1"/>
  <c r="CO7" i="4" a="1"/>
  <c r="BY16" i="4" a="1"/>
  <c r="BA11" i="4" a="1"/>
  <c r="EI13" i="4" a="1"/>
  <c r="M26" i="2"/>
  <c r="F20" i="3"/>
  <c r="BU6" i="4" a="1"/>
  <c r="BA5" i="4" a="1"/>
  <c r="EC11" i="4" a="1"/>
  <c r="DJ6" i="4" a="1"/>
  <c r="F29" i="2"/>
  <c r="AR32" i="3"/>
  <c r="U12" i="2"/>
  <c r="T21" i="2"/>
  <c r="H46" i="3"/>
  <c r="DG8" i="4" a="1"/>
  <c r="R11" i="4" a="1"/>
  <c r="DI13" i="4" a="1"/>
  <c r="BM16" i="4" a="1"/>
  <c r="DM11" i="4" a="1"/>
  <c r="R5" i="2"/>
  <c r="J23" i="2"/>
  <c r="E46" i="3"/>
  <c r="G20" i="2"/>
  <c r="S34" i="2"/>
  <c r="K30" i="2"/>
  <c r="X17" i="2"/>
  <c r="AR67" i="3"/>
  <c r="O9" i="2"/>
  <c r="K21" i="2"/>
  <c r="D23" i="2"/>
  <c r="D27" i="2"/>
  <c r="W74" i="2"/>
  <c r="G17" i="3"/>
  <c r="G6" i="3"/>
  <c r="V32" i="2"/>
  <c r="X13" i="2"/>
  <c r="M25" i="2"/>
  <c r="W26" i="2"/>
  <c r="L25" i="2"/>
  <c r="G12" i="2"/>
  <c r="D17" i="3"/>
  <c r="E45" i="3"/>
  <c r="DM6" i="4" a="1"/>
  <c r="P7" i="4" a="1"/>
  <c r="BE6" i="4" a="1"/>
  <c r="J18" i="2"/>
  <c r="R6" i="2"/>
  <c r="D22" i="2"/>
  <c r="P69" i="2"/>
  <c r="M34" i="2"/>
  <c r="AR78" i="3"/>
  <c r="AL46" i="3"/>
  <c r="AZ14" i="4" a="1"/>
  <c r="J24" i="2"/>
  <c r="J10" i="2"/>
  <c r="T7" i="2"/>
  <c r="L22" i="2"/>
  <c r="AR50" i="3"/>
  <c r="V25" i="2"/>
  <c r="AR25" i="3"/>
  <c r="F41" i="3"/>
  <c r="U14" i="2"/>
  <c r="S13" i="2"/>
  <c r="N10" i="2"/>
  <c r="E15" i="2"/>
  <c r="K19" i="2"/>
  <c r="AI46" i="3"/>
  <c r="F27" i="3"/>
  <c r="H8" i="2"/>
  <c r="L33" i="2"/>
  <c r="R34" i="2"/>
  <c r="O17" i="2"/>
  <c r="D7" i="2"/>
  <c r="G27" i="2"/>
  <c r="U5" i="2"/>
  <c r="V19" i="2"/>
  <c r="AA45" i="3"/>
  <c r="AR18" i="3"/>
  <c r="G17" i="2"/>
  <c r="U11" i="2"/>
  <c r="S15" i="2"/>
  <c r="H11" i="2"/>
  <c r="V20" i="2"/>
  <c r="I26" i="2"/>
  <c r="W20" i="2"/>
  <c r="K15" i="2"/>
  <c r="G25" i="3"/>
  <c r="CT14" i="4" a="1"/>
  <c r="CI13" i="4" a="1"/>
  <c r="CP12" i="4" a="1"/>
  <c r="CZ8" i="4" a="1"/>
  <c r="EF7" i="4" a="1"/>
  <c r="V35" i="2"/>
  <c r="AS49" i="3"/>
  <c r="E31" i="3"/>
  <c r="BZ15" i="4" a="1"/>
  <c r="P16" i="4" a="1"/>
  <c r="CF6" i="4" a="1"/>
  <c r="BJ6" i="4" a="1"/>
  <c r="BG15" i="4" a="1"/>
  <c r="DC16" i="4" a="1"/>
  <c r="CX16" i="4" a="1"/>
  <c r="EI8" i="4" a="1"/>
  <c r="P28" i="2"/>
  <c r="AA46" i="3"/>
  <c r="DO14" i="4" a="1"/>
  <c r="DR5" i="4" a="1"/>
  <c r="CU9" i="4" a="1"/>
  <c r="AW14" i="4" a="1"/>
  <c r="G11" i="4" a="1"/>
  <c r="C16" i="4" a="1"/>
  <c r="BT14" i="4" a="1"/>
  <c r="CH12" i="4" a="1"/>
  <c r="X12" i="4" a="1"/>
  <c r="CV8" i="4" a="1"/>
  <c r="I30" i="2"/>
  <c r="D26" i="3"/>
  <c r="EJ5" i="4" a="1"/>
  <c r="AQ12" i="4" a="1"/>
  <c r="BC5" i="4" a="1"/>
  <c r="Q18" i="2"/>
  <c r="E12" i="2"/>
  <c r="AR38" i="3"/>
  <c r="W21" i="2"/>
  <c r="E7" i="2"/>
  <c r="G28" i="3"/>
  <c r="CG16" i="4" a="1"/>
  <c r="H24" i="2"/>
  <c r="S23" i="2"/>
  <c r="P16" i="2"/>
  <c r="C29" i="2"/>
  <c r="E13" i="2"/>
  <c r="G34" i="2"/>
  <c r="Q17" i="2"/>
  <c r="D36" i="2"/>
  <c r="I36" i="2"/>
  <c r="N13" i="2"/>
  <c r="AR22" i="3"/>
  <c r="AR45" i="3"/>
  <c r="Q22" i="2"/>
  <c r="M19" i="2"/>
  <c r="W8" i="2"/>
  <c r="X18" i="2"/>
  <c r="M23" i="2"/>
  <c r="C33" i="2"/>
  <c r="E6" i="3"/>
  <c r="AD6" i="3"/>
  <c r="BT7" i="4" a="1"/>
  <c r="CJ5" i="4" a="1"/>
  <c r="G12" i="4" a="1"/>
  <c r="S27" i="2"/>
  <c r="W24" i="2"/>
  <c r="X15" i="2"/>
  <c r="F33" i="2"/>
  <c r="T32" i="2"/>
  <c r="E9" i="3"/>
  <c r="AP46" i="3"/>
  <c r="BY7" i="4" a="1"/>
  <c r="X41" i="2"/>
  <c r="K29" i="2"/>
  <c r="E29" i="2"/>
  <c r="C35" i="2"/>
  <c r="AR68" i="3"/>
  <c r="AR96" i="3"/>
  <c r="F31" i="3"/>
  <c r="R16" i="4" a="1"/>
  <c r="U23" i="2"/>
  <c r="Q12" i="2"/>
  <c r="W29" i="2"/>
  <c r="D13" i="2"/>
  <c r="AR48" i="3"/>
  <c r="AD17" i="3"/>
  <c r="F9" i="3"/>
  <c r="U29" i="2"/>
  <c r="P22" i="2"/>
  <c r="S19" i="2"/>
  <c r="K32" i="2"/>
  <c r="W31" i="2"/>
  <c r="E10" i="2"/>
  <c r="J32" i="2"/>
  <c r="I11" i="2"/>
  <c r="AR33" i="3"/>
  <c r="E34" i="3"/>
  <c r="N11" i="2"/>
  <c r="U34" i="2"/>
  <c r="V10" i="2"/>
  <c r="P32" i="2"/>
  <c r="R26" i="2"/>
  <c r="AJ46" i="3"/>
  <c r="S22" i="2"/>
  <c r="AG45" i="3"/>
  <c r="CX7" i="4" a="1"/>
  <c r="BG8" i="4" a="1"/>
  <c r="BR13" i="4" a="1"/>
  <c r="AN11" i="4" a="1"/>
  <c r="D11" i="4" a="1"/>
  <c r="BC14" i="4" a="1"/>
  <c r="O19" i="2"/>
  <c r="X36" i="2"/>
  <c r="F5" i="3"/>
  <c r="DS12" i="4" a="1"/>
  <c r="DE15" i="4" a="1"/>
  <c r="CE6" i="4" a="1"/>
  <c r="BQ11" i="4" a="1"/>
  <c r="CF11" i="4" a="1"/>
  <c r="BE9" i="4" a="1"/>
  <c r="DQ6" i="4" a="1"/>
  <c r="CW6" i="4" a="1"/>
  <c r="T24" i="2"/>
  <c r="AR41" i="3"/>
  <c r="BN7" i="4" a="1"/>
  <c r="BZ5" i="4" a="1"/>
  <c r="BD5" i="4" a="1"/>
  <c r="DL5" i="4" a="1"/>
  <c r="CS5" i="4" a="1"/>
  <c r="R5" i="4" a="1"/>
  <c r="AH7" i="4" a="1"/>
  <c r="BN15" i="4" a="1"/>
  <c r="BL15" i="4" a="1"/>
  <c r="CB11" i="4" a="1"/>
  <c r="Q29" i="2"/>
  <c r="AN45" i="3"/>
  <c r="BX9" i="4" a="1"/>
  <c r="R6" i="4" a="1"/>
  <c r="AK5" i="4" a="1"/>
  <c r="O6" i="2"/>
  <c r="R27" i="2"/>
  <c r="P45" i="3"/>
  <c r="I8" i="2"/>
  <c r="Q57" i="2"/>
  <c r="G19" i="3"/>
  <c r="BL9" i="4" a="1"/>
  <c r="AI13" i="4" a="1"/>
  <c r="CS12" i="4" a="1"/>
  <c r="DT16" i="4" a="1"/>
  <c r="L7" i="4" a="1"/>
  <c r="P14" i="2"/>
  <c r="N20" i="2"/>
  <c r="F38" i="3"/>
  <c r="CN16" i="4" a="1"/>
  <c r="AK7" i="4" a="1"/>
  <c r="AP11" i="4" a="1"/>
  <c r="BV8" i="4" a="1"/>
  <c r="BT15" i="4" a="1"/>
  <c r="DW7" i="4" a="1"/>
  <c r="CJ6" i="4" a="1"/>
  <c r="BF16" i="4" a="1"/>
  <c r="H26" i="2"/>
  <c r="Q28" i="2"/>
  <c r="O26" i="2"/>
  <c r="E35" i="2"/>
  <c r="L24" i="2"/>
  <c r="N23" i="2"/>
  <c r="R30" i="2"/>
  <c r="F21" i="2"/>
  <c r="M33" i="2"/>
  <c r="O5" i="2"/>
  <c r="J35" i="2"/>
  <c r="I6" i="2"/>
  <c r="F36" i="3"/>
  <c r="E36" i="3"/>
  <c r="S32" i="2"/>
  <c r="C24" i="2"/>
  <c r="R28" i="2"/>
  <c r="F12" i="2"/>
  <c r="AR64" i="3"/>
  <c r="V27" i="2"/>
  <c r="E22" i="3"/>
  <c r="AM45" i="3"/>
  <c r="BS6" i="4" a="1"/>
  <c r="I11" i="4" a="1"/>
  <c r="CR5" i="4" a="1"/>
  <c r="X14" i="2"/>
  <c r="V33" i="2"/>
  <c r="M5" i="2"/>
  <c r="H21" i="2"/>
  <c r="J14" i="2"/>
  <c r="F17" i="3"/>
  <c r="D45" i="3"/>
  <c r="EC15" i="4" a="1"/>
  <c r="D9" i="2"/>
  <c r="E14" i="2"/>
  <c r="J12" i="2"/>
  <c r="J28" i="2"/>
  <c r="U24" i="2"/>
  <c r="AF48" i="3"/>
  <c r="Q45" i="3"/>
  <c r="X13" i="4" a="1"/>
  <c r="I28" i="2"/>
  <c r="I15" i="2"/>
  <c r="P33" i="2"/>
  <c r="W14" i="2"/>
  <c r="AR83" i="3"/>
  <c r="G31" i="3"/>
  <c r="AR31" i="3"/>
  <c r="O32" i="2"/>
  <c r="D29" i="2"/>
  <c r="M14" i="2"/>
  <c r="D8" i="2"/>
  <c r="R21" i="2"/>
  <c r="L18" i="2"/>
  <c r="R17" i="2"/>
  <c r="I34" i="2"/>
  <c r="D29" i="3"/>
  <c r="AR29" i="3"/>
  <c r="N9" i="2"/>
  <c r="P23" i="2"/>
  <c r="D10" i="2"/>
  <c r="Q20" i="2"/>
  <c r="C26" i="2"/>
  <c r="H45" i="3"/>
  <c r="I35" i="2"/>
  <c r="G11" i="3"/>
  <c r="DZ14" i="4" a="1"/>
  <c r="BN16" i="4" a="1"/>
  <c r="O6" i="4" a="1"/>
  <c r="W16" i="2"/>
  <c r="H99" i="2"/>
  <c r="K25" i="2"/>
  <c r="L28" i="2"/>
  <c r="T23" i="2"/>
  <c r="F30" i="2"/>
  <c r="J13" i="2"/>
  <c r="C19" i="2"/>
  <c r="P19" i="2"/>
  <c r="P31" i="2"/>
  <c r="AR74" i="3"/>
  <c r="D36" i="3"/>
  <c r="AD9" i="3"/>
  <c r="G7" i="2"/>
  <c r="L16" i="2"/>
  <c r="W18" i="2"/>
  <c r="P24" i="2"/>
  <c r="AR76" i="3"/>
  <c r="S11" i="2"/>
  <c r="D23" i="3"/>
  <c r="D5" i="3"/>
  <c r="AI7" i="4" a="1"/>
  <c r="CO13" i="4" a="1"/>
  <c r="CG8" i="4" a="1"/>
  <c r="H29" i="2"/>
  <c r="V16" i="2"/>
  <c r="W10" i="2"/>
  <c r="C32" i="2"/>
  <c r="O31" i="2"/>
  <c r="D19" i="3"/>
  <c r="G13" i="3"/>
  <c r="J8" i="4" a="1"/>
  <c r="O16" i="2"/>
  <c r="S26" i="2"/>
  <c r="O28" i="2"/>
  <c r="C25" i="2"/>
  <c r="K22" i="2"/>
  <c r="F32" i="3"/>
  <c r="AL45" i="3"/>
  <c r="DL9" i="4" a="1"/>
  <c r="N18" i="2"/>
  <c r="H13" i="2"/>
  <c r="T13" i="2"/>
  <c r="Q32" i="2"/>
  <c r="P12" i="2"/>
  <c r="E18" i="3"/>
  <c r="T34" i="2"/>
  <c r="O27" i="2"/>
  <c r="P17" i="2"/>
  <c r="O29" i="2"/>
  <c r="AR62" i="3"/>
  <c r="P10" i="2"/>
  <c r="Q35" i="2"/>
  <c r="C27" i="2"/>
  <c r="M35" i="2"/>
  <c r="S21" i="2"/>
  <c r="AR58" i="3"/>
  <c r="C45" i="3"/>
  <c r="E16" i="3"/>
  <c r="U17" i="2"/>
  <c r="D26" i="2"/>
  <c r="G5" i="2"/>
  <c r="W27" i="2"/>
  <c r="AR92" i="3"/>
  <c r="AR66" i="3"/>
  <c r="U45" i="3"/>
  <c r="AD9" i="4" a="1"/>
  <c r="K7" i="4" a="1"/>
  <c r="BR5" i="4" a="1"/>
  <c r="CH8" i="4" a="1"/>
  <c r="V7" i="2"/>
  <c r="U22" i="2"/>
  <c r="F25" i="2"/>
  <c r="K6" i="2"/>
  <c r="AR94" i="3"/>
  <c r="E28" i="3"/>
  <c r="AR39" i="3"/>
  <c r="DH14" i="4" a="1"/>
  <c r="U6" i="2"/>
  <c r="D17" i="2"/>
  <c r="L15" i="2"/>
  <c r="X92" i="2"/>
  <c r="X32" i="2"/>
  <c r="F8" i="3"/>
  <c r="AD7" i="3"/>
  <c r="V29" i="2"/>
  <c r="G29" i="2"/>
  <c r="Q55" i="2"/>
  <c r="U20" i="2"/>
  <c r="T10" i="2"/>
  <c r="C11" i="2"/>
  <c r="D40" i="3"/>
  <c r="D25" i="3"/>
  <c r="L23" i="2"/>
  <c r="S17" i="2"/>
  <c r="T26" i="2"/>
  <c r="R29" i="2"/>
  <c r="G32" i="2"/>
  <c r="M32" i="2"/>
  <c r="AR69" i="3"/>
  <c r="E22" i="2"/>
  <c r="E23" i="3"/>
  <c r="J45" i="3"/>
  <c r="Q16" i="2"/>
  <c r="I19" i="2"/>
  <c r="U13" i="2"/>
  <c r="L6" i="2"/>
  <c r="E20" i="2"/>
  <c r="AR36" i="3"/>
  <c r="M13" i="2"/>
  <c r="D12" i="3"/>
  <c r="CF16" i="4" a="1"/>
  <c r="U16" i="4" a="1"/>
  <c r="DR11" i="4" a="1"/>
  <c r="BI9" i="4" a="1"/>
  <c r="CD15" i="4" a="1"/>
  <c r="BP9" i="4" a="1"/>
  <c r="T29" i="2"/>
  <c r="D25" i="2"/>
  <c r="F11" i="4" a="1"/>
  <c r="BK13" i="4" a="1"/>
  <c r="AD5" i="4" a="1"/>
  <c r="EJ12" i="4" a="1"/>
  <c r="BP16" i="4" a="1"/>
  <c r="EI5" i="4" a="1"/>
  <c r="J13" i="4" a="1"/>
  <c r="BF5" i="4" a="1"/>
  <c r="Q15" i="4" a="1"/>
  <c r="N6" i="2"/>
  <c r="G14" i="3"/>
  <c r="AI16" i="4" a="1"/>
  <c r="BX16" i="4" a="1"/>
  <c r="BY15" i="4" a="1"/>
  <c r="D9" i="4" a="1"/>
  <c r="EB16" i="4" a="1"/>
  <c r="CE11" i="4" a="1"/>
  <c r="BZ14" i="4" a="1"/>
  <c r="AT9" i="4" a="1"/>
  <c r="DY12" i="4" a="1"/>
  <c r="U15" i="2"/>
  <c r="E34" i="2"/>
  <c r="F11" i="3"/>
  <c r="CZ12" i="4" a="1"/>
  <c r="D13" i="4" a="1"/>
  <c r="DJ14" i="4" a="1"/>
  <c r="O25" i="2"/>
  <c r="AR75" i="3"/>
  <c r="F7" i="3"/>
  <c r="H6" i="2"/>
  <c r="X12" i="2"/>
  <c r="DV16" i="4" a="1"/>
  <c r="T7" i="4" a="1"/>
  <c r="AD7" i="4" a="1"/>
  <c r="AU7" i="4" a="1"/>
  <c r="AJ13" i="4" a="1"/>
  <c r="CL11" i="4" a="1"/>
  <c r="X20" i="2"/>
  <c r="S45" i="3"/>
  <c r="Z8" i="4" a="1"/>
  <c r="CA15" i="4" a="1"/>
  <c r="AB9" i="4" a="1"/>
  <c r="DT9" i="4" a="1"/>
  <c r="AJ16" i="4" a="1"/>
  <c r="BO9" i="4" a="1"/>
  <c r="CD14" i="4" a="1"/>
  <c r="H16" i="4" a="1"/>
  <c r="G19" i="2"/>
  <c r="E17" i="2"/>
  <c r="G10" i="3"/>
  <c r="AD8" i="4" a="1"/>
  <c r="CV6" i="4" a="1"/>
  <c r="F8" i="4" a="1"/>
  <c r="AJ9" i="4" a="1"/>
  <c r="CV14" i="4" a="1"/>
  <c r="BB5" i="4" a="1"/>
  <c r="W7" i="4" a="1"/>
  <c r="S16" i="2"/>
  <c r="N8" i="2"/>
  <c r="D35" i="3"/>
  <c r="BC12" i="4" a="1"/>
  <c r="J7" i="4" a="1"/>
  <c r="AE12" i="4" a="1"/>
  <c r="CK5" i="4" a="1"/>
  <c r="I9" i="2"/>
  <c r="D5" i="2"/>
  <c r="G29" i="3"/>
  <c r="DK7" i="4" a="1"/>
  <c r="DO9" i="4" a="1"/>
  <c r="DZ9" i="4" a="1"/>
  <c r="C21" i="2"/>
  <c r="N29" i="2"/>
  <c r="O20" i="2"/>
  <c r="Q26" i="2"/>
  <c r="J29" i="2"/>
  <c r="AR59" i="3"/>
  <c r="H20" i="2"/>
  <c r="O18" i="2"/>
  <c r="P11" i="2"/>
  <c r="Q25" i="2"/>
  <c r="AR79" i="3"/>
  <c r="T46" i="3"/>
  <c r="G12" i="3"/>
  <c r="G15" i="2"/>
  <c r="W23" i="2"/>
  <c r="H31" i="2"/>
  <c r="Q23" i="2"/>
  <c r="G21" i="2"/>
  <c r="AR61" i="3"/>
  <c r="G9" i="3"/>
  <c r="E16" i="4" a="1"/>
  <c r="CQ6" i="4" a="1"/>
  <c r="BE8" i="4" a="1"/>
  <c r="CC16" i="4" a="1"/>
  <c r="P27" i="2"/>
  <c r="S62" i="2"/>
  <c r="H34" i="2"/>
  <c r="F16" i="2"/>
  <c r="C16" i="2"/>
  <c r="AR9" i="3"/>
  <c r="AO45" i="3"/>
  <c r="J16" i="4" a="1"/>
  <c r="T36" i="2"/>
  <c r="F34" i="2"/>
  <c r="O36" i="2"/>
  <c r="O10" i="2"/>
  <c r="Q34" i="2"/>
  <c r="AE46" i="3"/>
  <c r="E24" i="3"/>
  <c r="F24" i="2"/>
  <c r="J33" i="2"/>
  <c r="D12" i="2"/>
  <c r="H7" i="2"/>
  <c r="C7" i="2"/>
  <c r="M21" i="2"/>
  <c r="G46" i="3"/>
  <c r="E27" i="3"/>
  <c r="X11" i="2"/>
  <c r="W35" i="2"/>
  <c r="K26" i="2"/>
  <c r="V28" i="2"/>
  <c r="J19" i="2"/>
  <c r="K59" i="2"/>
  <c r="T8" i="2"/>
  <c r="L27" i="2"/>
  <c r="K46" i="3"/>
  <c r="AD11" i="3"/>
  <c r="Q56" i="2"/>
  <c r="W12" i="2"/>
  <c r="I24" i="2"/>
  <c r="E23" i="2"/>
  <c r="AR95" i="3"/>
  <c r="E26" i="3"/>
  <c r="O34" i="2"/>
  <c r="D39" i="3"/>
  <c r="CB7" i="4" a="1"/>
  <c r="CN8" i="4" a="1"/>
  <c r="EJ7" i="4" a="1"/>
  <c r="DF12" i="4" a="1"/>
  <c r="BJ15" i="4" a="1"/>
  <c r="DX9" i="4" a="1"/>
  <c r="R20" i="2"/>
  <c r="AR34" i="3"/>
  <c r="AB12" i="4" a="1"/>
  <c r="DI14" i="4" a="1"/>
  <c r="DD9" i="4" a="1"/>
  <c r="CC13" i="4" a="1"/>
  <c r="CI16" i="4" a="1"/>
  <c r="DO8" i="4" a="1"/>
  <c r="AA8" i="4" a="1"/>
  <c r="AW9" i="4" a="1"/>
  <c r="C8" i="2"/>
  <c r="H10" i="2"/>
  <c r="E37" i="3"/>
  <c r="AS6" i="4" a="1"/>
  <c r="CS8" i="4" a="1"/>
  <c r="AZ8" i="4" a="1"/>
  <c r="DS5" i="4" a="1"/>
  <c r="CQ11" i="4" a="1"/>
  <c r="AL7" i="4" a="1"/>
  <c r="CZ5" i="4" a="1"/>
  <c r="AF12" i="4" a="1"/>
  <c r="CU7" i="4" a="1"/>
  <c r="O35" i="2"/>
  <c r="X24" i="2"/>
  <c r="N46" i="3"/>
  <c r="DB14" i="4" a="1"/>
  <c r="AO5" i="4" a="1"/>
  <c r="DR12" i="4" a="1"/>
  <c r="N33" i="2"/>
  <c r="W25" i="2"/>
  <c r="N12" i="2"/>
  <c r="K20" i="2"/>
  <c r="F21" i="3"/>
  <c r="X31" i="2"/>
  <c r="BY8" i="4" a="1"/>
  <c r="P9" i="2"/>
  <c r="AR65" i="3"/>
  <c r="V12" i="2"/>
  <c r="AR84" i="3"/>
  <c r="P34" i="2"/>
  <c r="H25" i="2"/>
  <c r="S12" i="2"/>
  <c r="V24" i="2"/>
  <c r="W70" i="2"/>
  <c r="X28" i="2"/>
  <c r="G25" i="2"/>
  <c r="U21" i="2"/>
  <c r="DK5" i="4" a="1"/>
  <c r="AD16" i="4" a="1"/>
  <c r="CD11" i="4" a="1"/>
  <c r="I45" i="3"/>
  <c r="BK12" i="4" a="1"/>
  <c r="BP15" i="4" a="1"/>
  <c r="CH16" i="4" a="1"/>
  <c r="D11" i="2"/>
  <c r="DH8" i="4" a="1"/>
  <c r="BH16" i="4" a="1"/>
  <c r="AV14" i="4" a="1"/>
  <c r="H7" i="4" a="1"/>
  <c r="F14" i="2"/>
  <c r="DY16" i="4" a="1"/>
  <c r="G10" i="2"/>
  <c r="AX8" i="4" a="1"/>
  <c r="G26" i="3"/>
  <c r="BE12" i="4" a="1"/>
  <c r="DW15" i="4" a="1"/>
  <c r="BA15" i="4" a="1"/>
  <c r="U26" i="2"/>
  <c r="J9" i="4" a="1"/>
  <c r="AY7" i="4" a="1"/>
  <c r="BB14" i="4" a="1"/>
  <c r="AS13" i="4" a="1"/>
  <c r="DZ7" i="4" a="1"/>
  <c r="DJ5" i="4" a="1"/>
  <c r="P13" i="2"/>
  <c r="C46" i="3"/>
  <c r="L9" i="4" a="1"/>
  <c r="AC12" i="4" a="1"/>
  <c r="DC15" i="4" a="1"/>
  <c r="CM15" i="4" a="1"/>
  <c r="AQ7" i="4" a="1"/>
  <c r="CU14" i="4" a="1"/>
  <c r="N27" i="2"/>
  <c r="H5" i="2"/>
  <c r="EJ14" i="4" a="1"/>
  <c r="EG5" i="4" a="1"/>
  <c r="EK8" i="4" a="1"/>
  <c r="BL16" i="4" a="1"/>
  <c r="AQ5" i="4" a="1"/>
  <c r="F36" i="2"/>
  <c r="AD45" i="3"/>
  <c r="G18" i="2"/>
  <c r="DO6" i="4" a="1"/>
  <c r="BJ14" i="4" a="1"/>
  <c r="DH5" i="4" a="1"/>
  <c r="AH11" i="4" a="1"/>
  <c r="EJ11" i="4" a="1"/>
  <c r="CS14" i="4" a="1"/>
  <c r="DW5" i="4" a="1"/>
  <c r="CO5" i="4" a="1"/>
  <c r="DZ8" i="4" a="1"/>
  <c r="AO8" i="4" a="1"/>
  <c r="BW5" i="4" a="1"/>
  <c r="BB15" i="4" a="1"/>
  <c r="DJ11" i="4" a="1"/>
  <c r="CF13" i="4" a="1"/>
  <c r="P46" i="3"/>
  <c r="EF15" i="4" a="1"/>
  <c r="T5" i="4" a="1"/>
  <c r="N16" i="4" a="1"/>
  <c r="K13" i="4" a="1"/>
  <c r="BH13" i="4" a="1"/>
  <c r="C15" i="4" a="1"/>
  <c r="DM13" i="4" a="1"/>
  <c r="BY11" i="4" a="1"/>
  <c r="BX14" i="4" a="1"/>
  <c r="DZ15" i="4" a="1"/>
  <c r="DR13" i="4" a="1"/>
  <c r="F32" i="2"/>
  <c r="EK11" i="4" a="1"/>
  <c r="Z12" i="4" a="1"/>
  <c r="BZ8" i="4" a="1"/>
  <c r="CT5" i="4" a="1"/>
  <c r="DS8" i="4" a="1"/>
  <c r="AQ8" i="4" a="1"/>
  <c r="AG5" i="4" a="1"/>
  <c r="CQ16" i="4" a="1"/>
  <c r="Z46" i="3"/>
  <c r="BA6" i="4" a="1"/>
  <c r="AW12" i="4" a="1"/>
  <c r="BL14" i="4" a="1"/>
  <c r="CE9" i="4" a="1"/>
  <c r="K11" i="4" a="1"/>
  <c r="AC11" i="4" a="1"/>
  <c r="DA12" i="4" a="1"/>
  <c r="DD7" i="4" a="1"/>
  <c r="AG9" i="4" a="1"/>
  <c r="DS14" i="4" a="1"/>
  <c r="BM15" i="4" a="1"/>
  <c r="AG14" i="4" a="1"/>
  <c r="DR7" i="4" a="1"/>
  <c r="BN13" i="4" a="1"/>
  <c r="CC15" i="4" a="1"/>
  <c r="S6" i="4" a="1"/>
  <c r="BJ5" i="4" a="1"/>
  <c r="J5" i="4" a="1"/>
  <c r="W9" i="4" a="1"/>
  <c r="K23" i="2"/>
  <c r="BF12" i="4" a="1"/>
  <c r="EH7" i="4" a="1"/>
  <c r="BN8" i="4" a="1"/>
  <c r="DS9" i="4" a="1"/>
  <c r="CX11" i="4" a="1"/>
  <c r="DW12" i="4" a="1"/>
  <c r="AT14" i="4" a="1"/>
  <c r="L6" i="4" a="1"/>
  <c r="D6" i="2"/>
  <c r="E16" i="2"/>
  <c r="E25" i="2"/>
  <c r="Q46" i="3"/>
  <c r="E11" i="2"/>
  <c r="CI15" i="4" a="1"/>
  <c r="C31" i="2"/>
  <c r="W34" i="2"/>
  <c r="V26" i="2"/>
  <c r="AS47" i="3"/>
  <c r="Q21" i="2"/>
  <c r="E21" i="2"/>
  <c r="L20" i="2"/>
  <c r="K10" i="2"/>
  <c r="E5" i="2"/>
  <c r="T35" i="2"/>
  <c r="H27" i="2"/>
  <c r="N24" i="2"/>
  <c r="AN8" i="4" a="1"/>
  <c r="K9" i="4" a="1"/>
  <c r="T15" i="2"/>
  <c r="CK15" i="4" a="1"/>
  <c r="AP16" i="4" a="1"/>
  <c r="T9" i="4" a="1"/>
  <c r="AW8" i="4" a="1"/>
  <c r="AC46" i="3"/>
  <c r="DC7" i="4" a="1"/>
  <c r="BS14" i="4" a="1"/>
  <c r="CV7" i="4" a="1"/>
  <c r="Y15" i="4" a="1"/>
  <c r="AH46" i="3"/>
  <c r="DE12" i="4" a="1"/>
  <c r="I17" i="2"/>
  <c r="Y16" i="4" a="1"/>
  <c r="F14" i="3"/>
  <c r="AE6" i="4" a="1"/>
  <c r="I5" i="4" a="1"/>
  <c r="CD16" i="4" a="1"/>
  <c r="AR91" i="3"/>
  <c r="BW11" i="4" a="1"/>
  <c r="DX13" i="4" a="1"/>
  <c r="Z7" i="4" a="1"/>
  <c r="CA6" i="4" a="1"/>
  <c r="BT6" i="4" a="1"/>
  <c r="CK8" i="4" a="1"/>
  <c r="E8" i="2"/>
  <c r="G18" i="3"/>
  <c r="D6" i="4" a="1"/>
  <c r="W13" i="4" a="1"/>
  <c r="DG14" i="4" a="1"/>
  <c r="EB5" i="4" a="1"/>
  <c r="AZ13" i="4" a="1"/>
  <c r="AY14" i="4" a="1"/>
  <c r="C34" i="2"/>
  <c r="E45" i="2"/>
  <c r="CY6" i="4" a="1"/>
  <c r="EG16" i="4" a="1"/>
  <c r="DQ11" i="4" a="1"/>
  <c r="AA11" i="4" a="1"/>
  <c r="AP7" i="4" a="1"/>
  <c r="W7" i="2"/>
  <c r="D42" i="3"/>
  <c r="Z45" i="3"/>
  <c r="DA14" i="4" a="1"/>
  <c r="EE15" i="4" a="1"/>
  <c r="CG9" i="4" a="1"/>
  <c r="EI7" i="4" a="1"/>
  <c r="DH11" i="4" a="1"/>
  <c r="BY13" i="4" a="1"/>
  <c r="AW5" i="4" a="1"/>
  <c r="BQ16" i="4" a="1"/>
  <c r="EK9" i="4" a="1"/>
  <c r="EF12" i="4" a="1"/>
  <c r="EH14" i="4" a="1"/>
  <c r="P6" i="4" a="1"/>
  <c r="DO13" i="4" a="1"/>
  <c r="EF11" i="4" a="1"/>
  <c r="CY15" i="4" a="1"/>
  <c r="DX8" i="4" a="1"/>
  <c r="BH15" i="4" a="1"/>
  <c r="AW16" i="4" a="1"/>
  <c r="BO6" i="4" a="1"/>
  <c r="DE13" i="4" a="1"/>
  <c r="EG14" i="4" a="1"/>
  <c r="CG14" i="4" a="1"/>
  <c r="X14" i="4" a="1"/>
  <c r="N15" i="4" a="1"/>
  <c r="P15" i="4" a="1"/>
  <c r="DI6" i="4" a="1"/>
  <c r="DC12" i="4" a="1"/>
  <c r="AI12" i="4" a="1"/>
  <c r="AJ11" i="4" a="1"/>
  <c r="DH15" i="4" a="1"/>
  <c r="AN13" i="4" a="1"/>
  <c r="CT9" i="4" a="1"/>
  <c r="CE14" i="4" a="1"/>
  <c r="EH11" i="4" a="1"/>
  <c r="AM15" i="4" a="1"/>
  <c r="BM8" i="4" a="1"/>
  <c r="CJ13" i="4" a="1"/>
  <c r="I8" i="4" a="1"/>
  <c r="S5" i="4" a="1"/>
  <c r="AU14" i="4" a="1"/>
  <c r="AL14" i="4" a="1"/>
  <c r="DV7" i="4" a="1"/>
  <c r="DJ9" i="4" a="1"/>
  <c r="H12" i="2"/>
  <c r="V30" i="2"/>
  <c r="S31" i="2"/>
  <c r="F40" i="3"/>
  <c r="K43" i="2"/>
  <c r="BJ11" i="4" a="1"/>
  <c r="F27" i="2"/>
  <c r="C13" i="2"/>
  <c r="D47" i="2"/>
  <c r="AR47" i="3"/>
  <c r="J21" i="2"/>
  <c r="AR81" i="3"/>
  <c r="Q14" i="2"/>
  <c r="R23" i="2"/>
  <c r="H35" i="2"/>
  <c r="D32" i="2"/>
  <c r="G11" i="2"/>
  <c r="F20" i="2"/>
  <c r="AR11" i="4" a="1"/>
  <c r="AR13" i="4" a="1"/>
  <c r="R13" i="2"/>
  <c r="BL13" i="4" a="1"/>
  <c r="CT12" i="4" a="1"/>
  <c r="CV13" i="4" a="1"/>
  <c r="DN7" i="4" a="1"/>
  <c r="F12" i="3"/>
  <c r="BH6" i="4" a="1"/>
  <c r="AL6" i="4" a="1"/>
  <c r="DL12" i="4" a="1"/>
  <c r="BU16" i="4" a="1"/>
  <c r="F6" i="3"/>
  <c r="BY5" i="4" a="1"/>
  <c r="C10" i="2"/>
  <c r="G31" i="2"/>
  <c r="Y45" i="3"/>
  <c r="CJ9" i="4" a="1"/>
  <c r="CH6" i="4" a="1"/>
  <c r="AI15" i="4" a="1"/>
  <c r="J34" i="2"/>
  <c r="BX8" i="4" a="1"/>
  <c r="X8" i="4" a="1"/>
  <c r="I16" i="4" a="1"/>
  <c r="DR6" i="4" a="1"/>
  <c r="Z9" i="4" a="1"/>
  <c r="EB12" i="4" a="1"/>
  <c r="V9" i="2"/>
  <c r="AR14" i="3"/>
  <c r="BG5" i="4" a="1"/>
  <c r="DD13" i="4" a="1"/>
  <c r="DY14" i="4" a="1"/>
  <c r="AR9" i="4" a="1"/>
  <c r="DB13" i="4" a="1"/>
  <c r="M11" i="4" a="1"/>
  <c r="M28" i="2"/>
  <c r="S46" i="3"/>
  <c r="BF13" i="4" a="1"/>
  <c r="AK13" i="4" a="1"/>
  <c r="DG5" i="4" a="1"/>
  <c r="BG7" i="4" a="1"/>
  <c r="DX5" i="4" a="1"/>
  <c r="Q7" i="2"/>
  <c r="AN46" i="3"/>
  <c r="AZ15" i="4" a="1"/>
  <c r="BW16" i="4" a="1"/>
  <c r="BX6" i="4" a="1"/>
  <c r="CC7" i="4" a="1"/>
  <c r="I6" i="4" a="1"/>
  <c r="DL16" i="4" a="1"/>
  <c r="DQ13" i="4" a="1"/>
  <c r="AO9" i="4" a="1"/>
  <c r="AJ8" i="4" a="1"/>
  <c r="DV12" i="4" a="1"/>
  <c r="BQ14" i="4" a="1"/>
  <c r="BY12" i="4" a="1"/>
  <c r="R8" i="4" a="1"/>
  <c r="N25" i="2"/>
  <c r="F18" i="2"/>
  <c r="S18" i="2"/>
  <c r="R35" i="2"/>
  <c r="N34" i="2"/>
  <c r="CM8" i="4" a="1"/>
  <c r="C9" i="2"/>
  <c r="D34" i="3"/>
  <c r="O30" i="2"/>
  <c r="AR24" i="3"/>
  <c r="H54" i="2"/>
  <c r="D30" i="3"/>
  <c r="V23" i="2"/>
  <c r="C59" i="2"/>
  <c r="O14" i="2"/>
  <c r="K33" i="2"/>
  <c r="C14" i="2"/>
  <c r="V31" i="2"/>
  <c r="DU8" i="4" a="1"/>
  <c r="AU5" i="4" a="1"/>
  <c r="R9" i="2"/>
  <c r="BJ12" i="4" a="1"/>
  <c r="AI5" i="4" a="1"/>
  <c r="C13" i="4" a="1"/>
  <c r="ED8" i="4" a="1"/>
  <c r="D27" i="3"/>
  <c r="AV16" i="4" a="1"/>
  <c r="DN6" i="4" a="1"/>
  <c r="AY13" i="4" a="1"/>
  <c r="AS7" i="4" a="1"/>
  <c r="E12" i="3"/>
  <c r="BO12" i="4" a="1"/>
  <c r="R19" i="2"/>
  <c r="T30" i="2"/>
  <c r="L45" i="3"/>
  <c r="AM5" i="4" a="1"/>
  <c r="BJ16" i="4" a="1"/>
  <c r="DS13" i="4" a="1"/>
  <c r="X46" i="3"/>
  <c r="CN11" i="4" a="1"/>
  <c r="EB8" i="4" a="1"/>
  <c r="DX7" i="4" a="1"/>
  <c r="CN9" i="4" a="1"/>
  <c r="DK6" i="4" a="1"/>
  <c r="DU13" i="4" a="1"/>
  <c r="T20" i="2"/>
  <c r="F15" i="3"/>
  <c r="DQ16" i="4" a="1"/>
  <c r="CM13" i="4" a="1"/>
  <c r="V6" i="4" a="1"/>
  <c r="EA9" i="4" a="1"/>
  <c r="BK9" i="4" a="1"/>
  <c r="CR12" i="4" a="1"/>
  <c r="P6" i="2"/>
  <c r="G5" i="3"/>
  <c r="BV14" i="4" a="1"/>
  <c r="W5" i="4" a="1"/>
  <c r="DP12" i="4" a="1"/>
  <c r="M6" i="4" a="1"/>
  <c r="D16" i="2"/>
  <c r="AR71" i="3"/>
  <c r="G16" i="3"/>
  <c r="Q11" i="2"/>
  <c r="H17" i="2"/>
  <c r="E36" i="2"/>
  <c r="K28" i="2"/>
  <c r="T25" i="2"/>
  <c r="EH16" i="4" a="1"/>
  <c r="I32" i="2"/>
  <c r="AP45" i="3"/>
  <c r="K36" i="2"/>
  <c r="F29" i="3"/>
  <c r="U7" i="2"/>
  <c r="D11" i="3"/>
  <c r="P36" i="2"/>
  <c r="N19" i="2"/>
  <c r="G7" i="3"/>
  <c r="R33" i="2"/>
  <c r="P25" i="2"/>
  <c r="O23" i="2"/>
  <c r="DL6" i="4" a="1"/>
  <c r="DO16" i="4" a="1"/>
  <c r="T9" i="2"/>
  <c r="BV13" i="4" a="1"/>
  <c r="CS7" i="4" a="1"/>
  <c r="DH13" i="4" a="1"/>
  <c r="R12" i="4" a="1"/>
  <c r="G23" i="3"/>
  <c r="DB16" i="4" a="1"/>
  <c r="V8" i="4" a="1"/>
  <c r="X16" i="4" a="1"/>
  <c r="M22" i="2"/>
  <c r="G20" i="3"/>
  <c r="AH15" i="4" a="1"/>
  <c r="K27" i="2"/>
  <c r="V5" i="2"/>
  <c r="DA11" i="4" a="1"/>
  <c r="DX6" i="4" a="1"/>
  <c r="DI7" i="4" a="1"/>
  <c r="CT13" i="4" a="1"/>
  <c r="I46" i="3"/>
  <c r="Q12" i="4" a="1"/>
  <c r="T8" i="4" a="1"/>
  <c r="AO14" i="4" a="1"/>
  <c r="BS11" i="4" a="1"/>
  <c r="DS16" i="4" a="1"/>
  <c r="M15" i="4" a="1"/>
  <c r="K18" i="2"/>
  <c r="AR23" i="3"/>
  <c r="DM12" i="4" a="1"/>
  <c r="BO5" i="4" a="1"/>
  <c r="AT6" i="4" a="1"/>
  <c r="BW6" i="4" a="1"/>
  <c r="BZ6" i="4" a="1"/>
  <c r="AH6" i="4" a="1"/>
  <c r="O11" i="2"/>
  <c r="L46" i="3"/>
  <c r="Z15" i="4" a="1"/>
  <c r="BS7" i="4" a="1"/>
  <c r="AR12" i="4" a="1"/>
  <c r="U14" i="4" a="1"/>
  <c r="M18" i="2"/>
  <c r="E18" i="2"/>
  <c r="E19" i="3"/>
  <c r="DP9" i="4" a="1"/>
  <c r="DT6" i="4" a="1"/>
  <c r="DN8" i="4" a="1"/>
  <c r="BN12" i="4" a="1"/>
  <c r="EJ8" i="4" a="1"/>
  <c r="O8" i="2"/>
  <c r="CW7" i="4" a="1"/>
  <c r="DG7" i="4" a="1"/>
  <c r="EB15" i="4" a="1"/>
  <c r="DQ12" i="4" a="1"/>
  <c r="EK6" i="4" a="1"/>
  <c r="EH12" i="4" a="1"/>
  <c r="N11" i="4" a="1"/>
  <c r="CR15" i="4" a="1"/>
  <c r="BE16" i="4" a="1"/>
  <c r="DC9" i="4" a="1"/>
  <c r="DX11" i="4" a="1"/>
  <c r="BD13" i="4" a="1"/>
  <c r="DD15" i="4" a="1"/>
  <c r="CH9" i="4" a="1"/>
  <c r="AJ7" i="4" a="1"/>
  <c r="AQ15" i="4" a="1"/>
  <c r="D12" i="4" a="1"/>
  <c r="AA7" i="4" a="1"/>
  <c r="AV6" i="4" a="1"/>
  <c r="CL14" i="4" a="1"/>
  <c r="BM7" i="4" a="1"/>
  <c r="EF14" i="4" a="1"/>
  <c r="AV9" i="4" a="1"/>
  <c r="CY13" i="4" a="1"/>
  <c r="CV12" i="4" a="1"/>
  <c r="BC16" i="4" a="1"/>
  <c r="DM8" i="4" a="1"/>
  <c r="CH11" i="4" a="1"/>
  <c r="EB7" i="4" a="1"/>
  <c r="CI6" i="4" a="1"/>
  <c r="CB13" i="4" a="1"/>
  <c r="AZ12" i="4" a="1"/>
  <c r="CQ12" i="4" a="1"/>
  <c r="V13" i="4" a="1"/>
  <c r="O15" i="4" a="1"/>
  <c r="DL8" i="4" a="1"/>
  <c r="Y6" i="4" a="1"/>
  <c r="EF6" i="4" a="1"/>
  <c r="CA14" i="4" a="1"/>
  <c r="AS15" i="4" a="1"/>
  <c r="L26" i="2"/>
  <c r="T33" i="2"/>
  <c r="O13" i="2"/>
  <c r="AR70" i="3"/>
  <c r="S33" i="2"/>
  <c r="W22" i="2"/>
  <c r="DE14" i="4" a="1"/>
  <c r="J9" i="2"/>
  <c r="AR42" i="3"/>
  <c r="M8" i="2"/>
  <c r="E14" i="3"/>
  <c r="Q9" i="2"/>
  <c r="AD14" i="3"/>
  <c r="C28" i="2"/>
  <c r="N31" i="2"/>
  <c r="J46" i="3"/>
  <c r="F6" i="2"/>
  <c r="R36" i="2"/>
  <c r="AR60" i="3"/>
  <c r="CZ15" i="4" a="1"/>
  <c r="CI8" i="4" a="1"/>
  <c r="G28" i="2"/>
  <c r="BW15" i="4" a="1"/>
  <c r="EE16" i="4" a="1"/>
  <c r="DT13" i="4" a="1"/>
  <c r="Q58" i="2"/>
  <c r="E30" i="3"/>
  <c r="X6" i="4" a="1"/>
  <c r="F13" i="4" a="1"/>
  <c r="CL5" i="4" a="1"/>
  <c r="T22" i="2"/>
  <c r="G22" i="3"/>
  <c r="CL9" i="4" a="1"/>
  <c r="U31" i="2"/>
  <c r="J31" i="2"/>
  <c r="Y5" i="4" a="1"/>
  <c r="EF13" i="4" a="1"/>
  <c r="DE8" i="4" a="1"/>
  <c r="G6" i="2"/>
  <c r="AR11" i="3"/>
  <c r="T16" i="4" a="1"/>
  <c r="CS15" i="4" a="1"/>
  <c r="G14" i="4" a="1"/>
  <c r="CF15" i="4" a="1"/>
  <c r="DT5" i="4" a="1"/>
  <c r="CP16" i="4" a="1"/>
  <c r="R22" i="2"/>
  <c r="AR35" i="3"/>
  <c r="DN9" i="4" a="1"/>
  <c r="DK13" i="4" a="1"/>
  <c r="AB5" i="4" a="1"/>
  <c r="L11" i="4" a="1"/>
  <c r="BZ7" i="4" a="1"/>
  <c r="EC5" i="4" a="1"/>
  <c r="N7" i="2"/>
  <c r="D15" i="3"/>
  <c r="BI13" i="4" a="1"/>
  <c r="CO9" i="4" a="1"/>
  <c r="EF5" i="4" a="1"/>
  <c r="CG7" i="4" a="1"/>
  <c r="I16" i="2"/>
  <c r="S10" i="2"/>
  <c r="F35" i="3"/>
  <c r="AH8" i="4" a="1"/>
  <c r="Y12" i="4" a="1"/>
  <c r="CW13" i="4" a="1"/>
  <c r="AM8" i="4" a="1"/>
  <c r="K8" i="2"/>
  <c r="L7" i="2"/>
  <c r="X35" i="2"/>
  <c r="H19" i="2"/>
  <c r="AQ6" i="3"/>
  <c r="CB9" i="4" a="1"/>
  <c r="T27" i="2"/>
  <c r="AR26" i="3"/>
  <c r="S28" i="2"/>
  <c r="M45" i="3"/>
  <c r="H18" i="2"/>
  <c r="F30" i="3"/>
  <c r="Q69" i="2"/>
  <c r="T19" i="2"/>
  <c r="V45" i="3"/>
  <c r="K17" i="2"/>
  <c r="C65" i="2"/>
  <c r="E39" i="3"/>
  <c r="CM6" i="4" a="1"/>
  <c r="CY8" i="4" a="1"/>
  <c r="S24" i="2"/>
  <c r="K15" i="4" a="1"/>
  <c r="DP7" i="4" a="1"/>
  <c r="DO11" i="4" a="1"/>
  <c r="S25" i="2"/>
  <c r="F12" i="4" a="1"/>
  <c r="DS6" i="4" a="1"/>
  <c r="EE6" i="4" a="1"/>
  <c r="CP6" i="4" a="1"/>
  <c r="H22" i="2"/>
  <c r="AI14" i="4" a="1"/>
  <c r="BK11" i="4" a="1"/>
  <c r="D33" i="3"/>
  <c r="F9" i="2"/>
  <c r="AK9" i="4" a="1"/>
  <c r="DP11" i="4" a="1"/>
  <c r="DK14" i="4" a="1"/>
  <c r="F28" i="2"/>
  <c r="V46" i="3"/>
  <c r="K31" i="2"/>
  <c r="H30" i="2"/>
  <c r="N32" i="2"/>
  <c r="S36" i="2"/>
  <c r="E5" i="3"/>
  <c r="E81" i="3" s="1"/>
  <c r="DQ9" i="4" a="1"/>
  <c r="P26" i="2"/>
  <c r="AH45" i="3"/>
  <c r="K24" i="2"/>
  <c r="AR8" i="3"/>
  <c r="P30" i="2"/>
  <c r="D41" i="3"/>
  <c r="G23" i="2"/>
  <c r="P35" i="2"/>
  <c r="E35" i="3"/>
  <c r="D28" i="2"/>
  <c r="X26" i="2"/>
  <c r="AG46" i="3"/>
  <c r="CE5" i="4" a="1"/>
  <c r="BB11" i="4" a="1"/>
  <c r="W19" i="2"/>
  <c r="EA5" i="4" a="1"/>
  <c r="O11" i="4" a="1"/>
  <c r="AB14" i="4" a="1"/>
  <c r="Q30" i="2"/>
  <c r="AO12" i="4" a="1"/>
  <c r="BB16" i="4" a="1"/>
  <c r="AU15" i="4" a="1"/>
  <c r="AY8" i="4" a="1"/>
  <c r="P20" i="2"/>
  <c r="AH13" i="4" a="1"/>
  <c r="DZ6" i="4" a="1"/>
  <c r="AD10" i="3"/>
  <c r="E28" i="2"/>
  <c r="CF7" i="4" a="1"/>
  <c r="CP13" i="4" a="1"/>
  <c r="CB14" i="4" a="1"/>
  <c r="X22" i="2"/>
  <c r="D9" i="3"/>
  <c r="M7" i="4" a="1"/>
  <c r="AM6" i="4" a="1"/>
  <c r="AR5" i="4" a="1"/>
  <c r="L13" i="4" a="1"/>
  <c r="CX5" i="4" a="1"/>
  <c r="D34" i="2"/>
  <c r="Q54" i="2"/>
  <c r="AK11" i="4" a="1"/>
  <c r="CX6" i="4" a="1"/>
  <c r="CM7" i="4" a="1"/>
  <c r="AA16" i="4" a="1"/>
  <c r="CR16" i="4" a="1"/>
  <c r="D16" i="4" a="1"/>
  <c r="DR9" i="4" a="1"/>
  <c r="C18" i="2"/>
  <c r="AD46" i="3"/>
  <c r="BO8" i="4" a="1"/>
  <c r="DY8" i="4" a="1"/>
  <c r="W12" i="4" a="1"/>
  <c r="BO16" i="4" a="1"/>
  <c r="L32" i="2"/>
  <c r="AM46" i="3"/>
  <c r="DM5" i="4" a="1"/>
  <c r="AC15" i="4" a="1"/>
  <c r="CA11" i="4" a="1"/>
  <c r="CI5" i="4" a="1"/>
  <c r="S14" i="4" a="1"/>
  <c r="DV14" i="4" a="1"/>
  <c r="V15" i="2"/>
  <c r="DP5" i="4" a="1"/>
  <c r="BT5" i="4" a="1"/>
  <c r="DX15" i="4" a="1"/>
  <c r="X5" i="2"/>
  <c r="X66" i="2"/>
  <c r="I13" i="2"/>
  <c r="R32" i="2"/>
  <c r="F18" i="3"/>
  <c r="BI16" i="4" a="1"/>
  <c r="R15" i="2"/>
  <c r="D18" i="3"/>
  <c r="J36" i="2"/>
  <c r="E7" i="3"/>
  <c r="L36" i="2"/>
  <c r="X7" i="2"/>
  <c r="Q6" i="2"/>
  <c r="X21" i="2"/>
  <c r="AQ45" i="3"/>
  <c r="N35" i="2"/>
  <c r="M9" i="2"/>
  <c r="M46" i="3"/>
  <c r="BU13" i="4" a="1"/>
  <c r="CQ5" i="4" a="1"/>
  <c r="E11" i="3"/>
  <c r="R14" i="4" a="1"/>
  <c r="I7" i="4" a="1"/>
  <c r="I9" i="4" a="1"/>
  <c r="X27" i="2"/>
  <c r="AG12" i="4" a="1"/>
  <c r="EG6" i="4" a="1"/>
  <c r="AV5" i="4" a="1"/>
  <c r="EC16" i="4" a="1"/>
  <c r="U16" i="2"/>
  <c r="AJ14" i="4" a="1"/>
  <c r="T12" i="4" a="1"/>
  <c r="D6" i="3"/>
  <c r="AR80" i="3"/>
  <c r="EC7" i="4" a="1"/>
  <c r="BS12" i="4" a="1"/>
  <c r="W6" i="4" a="1"/>
  <c r="P8" i="2"/>
  <c r="G8" i="3"/>
  <c r="BU8" i="4" a="1"/>
  <c r="W8" i="4" a="1"/>
  <c r="BI14" i="4" a="1"/>
  <c r="ED5" i="4" a="1"/>
  <c r="BV6" i="4" a="1"/>
  <c r="P15" i="2"/>
  <c r="N15" i="2"/>
  <c r="AM11" i="4" a="1"/>
  <c r="AE16" i="4" a="1"/>
  <c r="CR9" i="4" a="1"/>
  <c r="AA13" i="4" a="1"/>
  <c r="CP15" i="4" a="1"/>
  <c r="CJ14" i="4" a="1"/>
  <c r="T13" i="4" a="1"/>
  <c r="T6" i="2"/>
  <c r="D22" i="3"/>
  <c r="W11" i="4" a="1"/>
  <c r="CK14" i="4" a="1"/>
  <c r="CH14" i="4" a="1"/>
  <c r="BS13" i="4" a="1"/>
  <c r="Q8" i="2"/>
  <c r="D13" i="3"/>
  <c r="AJ12" i="4" a="1"/>
  <c r="CX15" i="4" a="1"/>
  <c r="BR6" i="4" a="1"/>
  <c r="X11" i="4" a="1"/>
  <c r="CL7" i="4" a="1"/>
  <c r="AO13" i="4" a="1"/>
  <c r="G21" i="3"/>
  <c r="DF16" i="4" a="1"/>
  <c r="AX14" i="4" a="1"/>
  <c r="S9" i="4" a="1"/>
  <c r="CW12" i="4" a="1"/>
  <c r="CZ6" i="4" a="1"/>
  <c r="CN7" i="4" a="1"/>
  <c r="N6" i="4" a="1"/>
  <c r="AH16" i="4" a="1"/>
  <c r="Q46" i="2"/>
  <c r="AF9" i="4" a="1"/>
  <c r="CY9" i="4" a="1"/>
  <c r="AT12" i="4" a="1"/>
  <c r="CR11" i="4" a="1"/>
  <c r="DP6" i="4" a="1"/>
  <c r="F10" i="3"/>
  <c r="BV15" i="4" a="1"/>
  <c r="EA6" i="4" a="1"/>
  <c r="BA14" i="4" a="1"/>
  <c r="AR6" i="4" a="1"/>
  <c r="BW9" i="4" a="1"/>
  <c r="T11" i="4" a="1"/>
  <c r="AY16" i="4" a="1"/>
  <c r="U6" i="4" a="1"/>
  <c r="D16" i="3"/>
  <c r="BG11" i="4" a="1"/>
  <c r="AY5" i="4" a="1"/>
  <c r="BH9" i="4" a="1"/>
  <c r="T28" i="2"/>
  <c r="X16" i="2"/>
  <c r="AI45" i="3"/>
  <c r="M27" i="2"/>
  <c r="O46" i="3"/>
  <c r="EJ16" i="4" a="1"/>
  <c r="M10" i="2"/>
  <c r="BE15" i="4" a="1"/>
  <c r="AR89" i="3"/>
  <c r="I23" i="2"/>
  <c r="AR57" i="3"/>
  <c r="F23" i="2"/>
  <c r="I14" i="2"/>
  <c r="S8" i="2"/>
  <c r="D8" i="3"/>
  <c r="N14" i="2"/>
  <c r="X29" i="2"/>
  <c r="F37" i="3"/>
  <c r="DA8" i="4" a="1"/>
  <c r="DC11" i="4" a="1"/>
  <c r="AD15" i="3"/>
  <c r="M14" i="4" a="1"/>
  <c r="DB7" i="4" a="1"/>
  <c r="CO16" i="4" a="1"/>
  <c r="V22" i="2"/>
  <c r="DF15" i="4" a="1"/>
  <c r="BP5" i="4" a="1"/>
  <c r="DR14" i="4" a="1"/>
  <c r="CL13" i="4" a="1"/>
  <c r="I7" i="2"/>
  <c r="CD5" i="4" a="1"/>
  <c r="N36" i="2"/>
  <c r="E29" i="3"/>
  <c r="H33" i="2"/>
  <c r="EI14" i="4" a="1"/>
  <c r="BK15" i="4" a="1"/>
  <c r="AN9" i="4" a="1"/>
  <c r="K9" i="2"/>
  <c r="DO5" i="4" a="1"/>
  <c r="AG15" i="4" a="1"/>
  <c r="DU11" i="4" a="1"/>
  <c r="N14" i="4" a="1"/>
  <c r="V11" i="4" a="1"/>
  <c r="DI15" i="4" a="1"/>
  <c r="H49" i="2"/>
  <c r="F25" i="3"/>
  <c r="DG12" i="4" a="1"/>
  <c r="AO11" i="4" a="1"/>
  <c r="DE16" i="4" a="1"/>
  <c r="BX12" i="4" a="1"/>
  <c r="DG9" i="4" a="1"/>
  <c r="H12" i="4" a="1"/>
  <c r="O7" i="2"/>
  <c r="Q36" i="2"/>
  <c r="AO46" i="3"/>
  <c r="DY11" i="4" a="1"/>
  <c r="BZ9" i="4" a="1"/>
  <c r="BC8" i="4" a="1"/>
  <c r="AK15" i="4" a="1"/>
  <c r="G30" i="2"/>
  <c r="AQ46" i="3"/>
  <c r="K11" i="2"/>
  <c r="CF14" i="4" a="1"/>
  <c r="BR11" i="4" a="1"/>
  <c r="DD5" i="4" a="1"/>
  <c r="DB9" i="4" a="1"/>
  <c r="CY5" i="4" a="1"/>
  <c r="BB8" i="4" a="1"/>
  <c r="V16" i="4" a="1"/>
  <c r="DD6" i="4" a="1"/>
  <c r="AA14" i="4" a="1"/>
  <c r="O5" i="4" a="1"/>
  <c r="EE7" i="4" a="1"/>
  <c r="AK12" i="4" a="1"/>
  <c r="BE13" i="4" a="1"/>
  <c r="CE16" i="4" a="1"/>
  <c r="E26" i="2"/>
  <c r="EE12" i="4" a="1"/>
  <c r="E13" i="4" a="1"/>
  <c r="AD14" i="4" a="1"/>
  <c r="DV9" i="4" a="1"/>
  <c r="AP14" i="4" a="1"/>
  <c r="AC45" i="3"/>
  <c r="K16" i="4" a="1"/>
  <c r="AC5" i="4" a="1"/>
  <c r="BD9" i="4" a="1"/>
  <c r="DJ13" i="4" a="1"/>
  <c r="EJ9" i="4" a="1"/>
  <c r="CS9" i="4" a="1"/>
  <c r="DI5" i="4" a="1"/>
  <c r="CU5" i="4" a="1"/>
  <c r="AJ45" i="3"/>
  <c r="BQ8" i="4" a="1"/>
  <c r="EK12" i="4" a="1"/>
  <c r="CA5" i="4" a="1"/>
  <c r="Q15" i="2"/>
  <c r="X34" i="2"/>
  <c r="F42" i="3"/>
  <c r="S30" i="2"/>
  <c r="E38" i="3"/>
  <c r="V21" i="2"/>
  <c r="L30" i="2"/>
  <c r="D8" i="4" a="1"/>
  <c r="T31" i="2"/>
  <c r="L34" i="2"/>
  <c r="AR93" i="3"/>
  <c r="Q78" i="2"/>
  <c r="O15" i="2"/>
  <c r="Q59" i="2"/>
  <c r="D31" i="3"/>
  <c r="X63" i="2"/>
  <c r="E25" i="3"/>
  <c r="CC11" i="4" a="1"/>
  <c r="W28" i="2"/>
  <c r="D20" i="2"/>
  <c r="BI5" i="4" a="1"/>
  <c r="BR7" i="4" a="1"/>
  <c r="F39" i="3"/>
  <c r="AP9" i="4" a="1"/>
  <c r="EC13" i="4" a="1"/>
  <c r="ED14" i="4" a="1"/>
  <c r="H5" i="4" a="1"/>
  <c r="BV5" i="4" a="1"/>
  <c r="F35" i="2"/>
  <c r="BP8" i="4" a="1"/>
  <c r="DW9" i="4" a="1"/>
  <c r="DZ12" i="4" a="1"/>
  <c r="AR7" i="4" a="1"/>
  <c r="N5" i="4" a="1"/>
  <c r="BZ12" i="4" a="1"/>
  <c r="BY9" i="4" a="1"/>
  <c r="BC13" i="4" a="1"/>
  <c r="DN16" i="4" a="1"/>
  <c r="DP8" i="4" a="1"/>
  <c r="CU8" i="4" a="1"/>
  <c r="CM9" i="4" a="1"/>
  <c r="BQ13" i="4" a="1"/>
  <c r="CO12" i="4" a="1"/>
  <c r="CU12" i="4" a="1"/>
  <c r="CW8" i="4" a="1"/>
  <c r="AA5" i="4" a="1"/>
  <c r="G95" i="3"/>
  <c r="F5" i="2"/>
  <c r="F26" i="2"/>
  <c r="BE7" i="4" a="1"/>
  <c r="AF11" i="4" a="1"/>
  <c r="D24" i="3"/>
  <c r="V12" i="4" a="1"/>
  <c r="EF8" i="4" a="1"/>
  <c r="CN14" i="4" a="1"/>
  <c r="CG5" i="4" a="1"/>
  <c r="BB13" i="4" a="1"/>
  <c r="S6" i="2"/>
  <c r="F15" i="4" a="1"/>
  <c r="AG6" i="4" a="1"/>
  <c r="DG16" i="4" a="1"/>
  <c r="Y14" i="4" a="1"/>
  <c r="DW8" i="4" a="1"/>
  <c r="EH6" i="4" a="1"/>
  <c r="CA16" i="4" a="1"/>
  <c r="AC9" i="4" a="1"/>
  <c r="DY15" i="4" a="1"/>
  <c r="H15" i="4" a="1"/>
  <c r="AF8" i="4" a="1"/>
  <c r="CC6" i="4" a="1"/>
  <c r="Q7" i="4" a="1"/>
  <c r="AQ6" i="4" a="1"/>
  <c r="AK14" i="4" a="1"/>
  <c r="AB11" i="4" a="1"/>
  <c r="AT5" i="4" a="1"/>
  <c r="Z13" i="4" a="1"/>
  <c r="CE15" i="4" a="1"/>
  <c r="DV5" i="4" a="1"/>
  <c r="DN15" i="4" a="1"/>
  <c r="DA9" i="4" a="1"/>
  <c r="CJ16" i="4" a="1"/>
  <c r="Z11" i="4" a="1"/>
  <c r="AZ5" i="4" a="1"/>
  <c r="BR16" i="4" a="1"/>
  <c r="BE5" i="4" a="1"/>
  <c r="E32" i="3"/>
  <c r="CJ11" i="4" a="1"/>
  <c r="I12" i="4" a="1"/>
  <c r="BZ16" i="4" a="1"/>
  <c r="EA12" i="4" a="1"/>
  <c r="DN11" i="4" a="1"/>
  <c r="BT16" i="4" a="1"/>
  <c r="BQ9" i="4" a="1"/>
  <c r="BX7" i="4" a="1"/>
  <c r="D7" i="3"/>
  <c r="AC6" i="4" a="1"/>
  <c r="AE13" i="4" a="1"/>
  <c r="L14" i="4" a="1"/>
  <c r="DS7" i="4" a="1"/>
  <c r="DA5" i="4" a="1"/>
  <c r="AR27" i="3"/>
  <c r="EJ13" i="4" a="1"/>
  <c r="AR16" i="3"/>
  <c r="DQ15" i="4" a="1"/>
  <c r="AQ16" i="4" a="1"/>
  <c r="EA11" i="4" a="1"/>
  <c r="DY9" i="4" a="1"/>
  <c r="DE5" i="4" a="1"/>
  <c r="EG11" i="4" a="1"/>
  <c r="DV13" i="4" a="1"/>
  <c r="DA15" i="4" a="1"/>
  <c r="DJ15" i="4" a="1"/>
  <c r="E58" i="3"/>
  <c r="G60" i="3"/>
  <c r="F84" i="3"/>
  <c r="F71" i="3"/>
  <c r="E84" i="3"/>
  <c r="F74" i="3"/>
  <c r="D76" i="3"/>
  <c r="G58" i="3"/>
  <c r="G72" i="3"/>
  <c r="G82" i="3"/>
  <c r="F82" i="3"/>
  <c r="G89" i="3"/>
  <c r="BG14" i="4" a="1"/>
  <c r="DP13" i="4" a="1"/>
  <c r="DJ7" i="4" a="1"/>
  <c r="CC9" i="4" a="1"/>
  <c r="AQ9" i="4" a="1"/>
  <c r="CX13" i="4" a="1"/>
  <c r="AO7" i="4" a="1"/>
  <c r="BI8" i="4" a="1"/>
  <c r="BW12" i="4" a="1"/>
  <c r="AX5" i="4" a="1"/>
  <c r="AA6" i="4" a="1"/>
  <c r="AI6" i="4" a="1"/>
  <c r="DU12" i="4" a="1"/>
  <c r="R15" i="4" a="1"/>
  <c r="BD6" i="4" a="1"/>
  <c r="G16" i="2"/>
  <c r="DZ11" i="4" a="1"/>
  <c r="K8" i="4" a="1"/>
  <c r="DG11" i="4" a="1"/>
  <c r="DK8" i="4" a="1"/>
  <c r="DO15" i="4" a="1"/>
  <c r="G56" i="3"/>
  <c r="E70" i="3"/>
  <c r="D72" i="3"/>
  <c r="D91" i="3"/>
  <c r="BC7" i="4" a="1"/>
  <c r="E95" i="3"/>
  <c r="D93" i="3"/>
  <c r="F70" i="3"/>
  <c r="AZ6" i="4" a="1"/>
  <c r="J14" i="4" a="1"/>
  <c r="Q8" i="4" a="1"/>
  <c r="EI15" i="4" a="1"/>
  <c r="D56" i="3"/>
  <c r="E21" i="3"/>
  <c r="F13" i="2"/>
  <c r="AN15" i="4" a="1"/>
  <c r="CZ13" i="4" a="1"/>
  <c r="BN11" i="4" a="1"/>
  <c r="CC8" i="4" a="1"/>
  <c r="E15" i="4" a="1"/>
  <c r="O7" i="4" a="1"/>
  <c r="DR8" i="4" a="1"/>
  <c r="AC16" i="4" a="1"/>
  <c r="U8" i="2"/>
  <c r="CD9" i="4" a="1"/>
  <c r="BL6" i="4" a="1"/>
  <c r="CB5" i="4" a="1"/>
  <c r="CA7" i="4" a="1"/>
  <c r="CA13" i="4" a="1"/>
  <c r="CG11" i="4" a="1"/>
  <c r="L5" i="2"/>
  <c r="BW13" i="4" a="1"/>
  <c r="BC11" i="4" a="1"/>
  <c r="CX12" i="4" a="1"/>
  <c r="Q5" i="4" a="1"/>
  <c r="DB6" i="4" a="1"/>
  <c r="BA12" i="4" a="1"/>
  <c r="DF8" i="4" a="1"/>
  <c r="AJ5" i="4" a="1"/>
  <c r="DO12" i="4" a="1"/>
  <c r="W15" i="4" a="1"/>
  <c r="AM13" i="4" a="1"/>
  <c r="H13" i="4" a="1"/>
  <c r="AI11" i="4" a="1"/>
  <c r="AS5" i="4" a="1"/>
  <c r="CV15" i="4" a="1"/>
  <c r="J11" i="4" a="1"/>
  <c r="AT7" i="4" a="1"/>
  <c r="AE11" i="4" a="1"/>
  <c r="H9" i="4" a="1"/>
  <c r="AV11" i="4" a="1"/>
  <c r="D20" i="3"/>
  <c r="EI9" i="4" a="1"/>
  <c r="BM6" i="4" a="1"/>
  <c r="BG16" i="4" a="1"/>
  <c r="AT11" i="4" a="1"/>
  <c r="DD16" i="4" a="1"/>
  <c r="EB11" i="4" a="1"/>
  <c r="AD12" i="4" a="1"/>
  <c r="DM9" i="4" a="1"/>
  <c r="EI16" i="4" a="1"/>
  <c r="EH13" i="4" a="1"/>
  <c r="CG6" i="4" a="1"/>
  <c r="AD15" i="4" a="1"/>
  <c r="BQ12" i="4" a="1"/>
  <c r="BU5" i="4" a="1"/>
  <c r="R45" i="3"/>
  <c r="AR8" i="4" a="1"/>
  <c r="CT11" i="4" a="1"/>
  <c r="Z5" i="4" a="1"/>
  <c r="EC12" i="4" a="1"/>
  <c r="DX16" i="4" a="1"/>
  <c r="DU14" i="4" a="1"/>
  <c r="AV7" i="4" a="1"/>
  <c r="DS15" i="4" a="1"/>
  <c r="CE12" i="4" a="1"/>
  <c r="AM12" i="4" a="1"/>
  <c r="BG9" i="4" a="1"/>
  <c r="D77" i="3"/>
  <c r="E63" i="3"/>
  <c r="G90" i="3"/>
  <c r="E61" i="3"/>
  <c r="D59" i="3"/>
  <c r="E62" i="3"/>
  <c r="G88" i="3"/>
  <c r="D86" i="3"/>
  <c r="G83" i="3"/>
  <c r="D85" i="3"/>
  <c r="CI11" i="4" a="1"/>
  <c r="CB16" i="4" a="1"/>
  <c r="E86" i="3"/>
  <c r="E68" i="3"/>
  <c r="F79" i="3"/>
  <c r="G7" i="4" a="1"/>
  <c r="DU7" i="4" a="1"/>
  <c r="DH6" i="4" a="1"/>
  <c r="CN6" i="4" a="1"/>
  <c r="EF9" i="4" a="1"/>
  <c r="BL11" i="4" a="1"/>
  <c r="AB8" i="4" a="1"/>
  <c r="F50" i="3"/>
  <c r="G81" i="3"/>
  <c r="F68" i="3"/>
  <c r="D75" i="3"/>
  <c r="F88" i="3"/>
  <c r="CV16" i="4" a="1"/>
  <c r="CV5" i="4" a="1"/>
  <c r="EB13" i="4" a="1"/>
  <c r="O9" i="4" a="1"/>
  <c r="CY7" i="4" a="1"/>
  <c r="DP14" i="4" a="1"/>
  <c r="CU16" i="4" a="1"/>
  <c r="BK16" i="4" a="1"/>
  <c r="U11" i="4" a="1"/>
  <c r="CZ11" i="4" a="1"/>
  <c r="CW15" i="4" a="1"/>
  <c r="F81" i="3"/>
  <c r="D66" i="3"/>
  <c r="D67" i="3"/>
  <c r="E92" i="3"/>
  <c r="E69" i="3"/>
  <c r="Q16" i="4" a="1"/>
  <c r="F60" i="3"/>
  <c r="BF11" i="4" a="1"/>
  <c r="AB7" i="4" a="1"/>
  <c r="BC6" i="4" a="1"/>
  <c r="AL9" i="4" a="1"/>
  <c r="BZ11" i="4" a="1"/>
  <c r="G5" i="4" a="1"/>
  <c r="O21" i="2"/>
  <c r="CJ7" i="4" a="1"/>
  <c r="F5" i="4" a="1"/>
  <c r="EB6" i="4" a="1"/>
  <c r="AW13" i="4" a="1"/>
  <c r="CD7" i="4" a="1"/>
  <c r="CY16" i="4" a="1"/>
  <c r="G8" i="4" a="1"/>
  <c r="Y11" i="4" a="1"/>
  <c r="J6" i="4" a="1"/>
  <c r="AL11" i="4" a="1"/>
  <c r="AW6" i="4" a="1"/>
  <c r="E71" i="3"/>
  <c r="I29" i="2"/>
  <c r="G24" i="2"/>
  <c r="F9" i="4" a="1"/>
  <c r="CZ7" i="4" a="1"/>
  <c r="EE14" i="4" a="1"/>
  <c r="CQ8" i="4" a="1"/>
  <c r="M16" i="2"/>
  <c r="AI8" i="4" a="1"/>
  <c r="CD13" i="4" a="1"/>
  <c r="DA7" i="4" a="1"/>
  <c r="M6" i="2"/>
  <c r="G6" i="4" a="1"/>
  <c r="DT15" i="4" a="1"/>
  <c r="BY14" i="4" a="1"/>
  <c r="CS11" i="4" a="1"/>
  <c r="BH11" i="4" a="1"/>
  <c r="BB7" i="4" a="1"/>
  <c r="W45" i="3"/>
  <c r="CM11" i="4" a="1"/>
  <c r="CR14" i="4" a="1"/>
  <c r="EB9" i="4" a="1"/>
  <c r="DB8" i="4" a="1"/>
  <c r="BG6" i="4" a="1"/>
  <c r="CO8" i="4" a="1"/>
  <c r="CQ9" i="4" a="1"/>
  <c r="BQ15" i="4" a="1"/>
  <c r="AX6" i="4" a="1"/>
  <c r="DU16" i="4" a="1"/>
  <c r="AR14" i="4" a="1"/>
  <c r="BS9" i="4" a="1"/>
  <c r="Q14" i="4" a="1"/>
  <c r="AS8" i="4" a="1"/>
  <c r="O12" i="4" a="1"/>
  <c r="DD14" i="4" a="1"/>
  <c r="W14" i="4" a="1"/>
  <c r="AP13" i="4" a="1"/>
  <c r="AO16" i="4" a="1"/>
  <c r="DC13" i="4" a="1"/>
  <c r="BC9" i="4" a="1"/>
  <c r="AV15" i="4" a="1"/>
  <c r="BX13" i="4" a="1"/>
  <c r="AW11" i="4" a="1"/>
  <c r="AN6" i="4" a="1"/>
  <c r="DO7" i="4" a="1"/>
  <c r="DV8" i="4" a="1"/>
  <c r="CL16" i="4" a="1"/>
  <c r="AO6" i="4" a="1"/>
  <c r="BE11" i="4" a="1"/>
  <c r="AA9" i="4" a="1"/>
  <c r="G9" i="4" a="1"/>
  <c r="AS16" i="4" a="1"/>
  <c r="DB11" i="4" a="1"/>
  <c r="BN14" i="4" a="1"/>
  <c r="BH5" i="4" a="1"/>
  <c r="BC15" i="4" a="1"/>
  <c r="BD15" i="4" a="1"/>
  <c r="DK16" i="4" a="1"/>
  <c r="CX8" i="4" a="1"/>
  <c r="CF5" i="4" a="1"/>
  <c r="DA16" i="4" a="1"/>
  <c r="BP6" i="4" a="1"/>
  <c r="DS11" i="4" a="1"/>
  <c r="N8" i="4" a="1"/>
  <c r="E76" i="3"/>
  <c r="D81" i="3"/>
  <c r="F54" i="3"/>
  <c r="F87" i="3"/>
  <c r="D73" i="3"/>
  <c r="AR15" i="4" a="1"/>
  <c r="DM7" i="4" a="1"/>
  <c r="AF16" i="4" a="1"/>
  <c r="DF5" i="4" a="1"/>
  <c r="EA7" i="4" a="1"/>
  <c r="AM7" i="4" a="1"/>
  <c r="S12" i="4" a="1"/>
  <c r="AE5" i="4" a="1"/>
  <c r="CB15" i="4" a="1"/>
  <c r="BU15" i="4" a="1"/>
  <c r="F47" i="3"/>
  <c r="D89" i="3"/>
  <c r="G84" i="3"/>
  <c r="O13" i="4" a="1"/>
  <c r="M13" i="4" a="1"/>
  <c r="BK14" i="4" a="1"/>
  <c r="F14" i="4" a="1"/>
  <c r="L31" i="2"/>
  <c r="AB15" i="4" a="1"/>
  <c r="AD13" i="4" a="1"/>
  <c r="CS6" i="4" a="1"/>
  <c r="EK5" i="4" a="1"/>
  <c r="DW14" i="4" a="1"/>
  <c r="CQ7" i="4" a="1"/>
  <c r="P13" i="4" a="1"/>
  <c r="CK16" i="4" a="1"/>
  <c r="EK15" i="4" a="1"/>
  <c r="DG15" i="4" a="1"/>
  <c r="L15" i="4" a="1"/>
  <c r="F95" i="3"/>
  <c r="G93" i="3"/>
  <c r="D70" i="3"/>
  <c r="G78" i="3"/>
  <c r="G63" i="3"/>
  <c r="AF15" i="4" a="1"/>
  <c r="F77" i="3"/>
  <c r="CO14" i="4" a="1"/>
  <c r="BK6" i="4" a="1"/>
  <c r="R13" i="4" a="1"/>
  <c r="G35" i="2"/>
  <c r="E24" i="2"/>
  <c r="AF5" i="4" a="1"/>
  <c r="V5" i="4" a="1"/>
  <c r="DF11" i="4" a="1"/>
  <c r="D71" i="3"/>
  <c r="F58" i="3"/>
  <c r="G96" i="3"/>
  <c r="AD5" i="3"/>
  <c r="E33" i="2"/>
  <c r="CS13" i="4" a="1"/>
  <c r="R16" i="2"/>
  <c r="L5" i="4" a="1"/>
  <c r="BV16" i="4" a="1"/>
  <c r="W32" i="2"/>
  <c r="BX5" i="4" a="1"/>
  <c r="R10" i="2"/>
  <c r="CP14" i="4" a="1"/>
  <c r="E10" i="3"/>
  <c r="AB16" i="4" a="1"/>
  <c r="DU15" i="4" a="1"/>
  <c r="AG11" i="4" a="1"/>
  <c r="AE14" i="4" a="1"/>
  <c r="BF8" i="4" a="1"/>
  <c r="H8" i="4" a="1"/>
  <c r="D14" i="4" a="1"/>
  <c r="P11" i="4" a="1"/>
  <c r="BQ5" i="4" a="1"/>
  <c r="U13" i="4" a="1"/>
  <c r="U12" i="4" a="1"/>
  <c r="AP5" i="4" a="1"/>
  <c r="EE5" i="4" a="1"/>
  <c r="BS15" i="4" a="1"/>
  <c r="BG13" i="4" a="1"/>
  <c r="EA13" i="4" a="1"/>
  <c r="BR15" i="4" a="1"/>
  <c r="CB6" i="4" a="1"/>
  <c r="ED12" i="4" a="1"/>
  <c r="BH12" i="4" a="1"/>
  <c r="AT16" i="4" a="1"/>
  <c r="BM12" i="4" a="1"/>
  <c r="BV12" i="4" a="1"/>
  <c r="F89" i="3"/>
  <c r="F73" i="3"/>
  <c r="G61" i="3"/>
  <c r="DC5" i="4" a="1"/>
  <c r="EG7" i="4" a="1"/>
  <c r="BI12" i="4" a="1"/>
  <c r="DI11" i="4" a="1"/>
  <c r="CF12" i="4" a="1"/>
  <c r="O16" i="4" a="1"/>
  <c r="DR15" i="4" a="1"/>
  <c r="BK5" i="4" a="1"/>
  <c r="DB15" i="4" a="1"/>
  <c r="AS12" i="4" a="1"/>
  <c r="CZ9" i="4" a="1"/>
  <c r="AP12" i="4" a="1"/>
  <c r="V7" i="4" a="1"/>
  <c r="EK7" i="4" a="1"/>
  <c r="AD67" i="3"/>
  <c r="AD55" i="3"/>
  <c r="G15" i="4" a="1"/>
  <c r="BX15" i="4" a="1"/>
  <c r="F57" i="3"/>
  <c r="G86" i="3"/>
  <c r="F94" i="3"/>
  <c r="G67" i="3"/>
  <c r="G55" i="3"/>
  <c r="F26" i="3"/>
  <c r="DZ13" i="4" a="1"/>
  <c r="CK6" i="4" a="1"/>
  <c r="AB13" i="4" a="1"/>
  <c r="I15" i="4" a="1"/>
  <c r="R46" i="3"/>
  <c r="AY6" i="4" a="1"/>
  <c r="P12" i="4" a="1"/>
  <c r="E85" i="3"/>
  <c r="D58" i="3"/>
  <c r="F86" i="3"/>
  <c r="X33" i="2"/>
  <c r="DE11" i="4" a="1"/>
  <c r="U7" i="4" a="1"/>
  <c r="AR87" i="3"/>
  <c r="BO13" i="4" a="1"/>
  <c r="AL15" i="4" a="1"/>
  <c r="N17" i="2"/>
  <c r="DQ5" i="4" a="1"/>
  <c r="K87" i="2"/>
  <c r="BH14" i="4" a="1"/>
  <c r="E17" i="3"/>
  <c r="CN13" i="4" a="1"/>
  <c r="CI9" i="4" a="1"/>
  <c r="BN9" i="4" a="1"/>
  <c r="AP6" i="4" a="1"/>
  <c r="DK11" i="4" a="1"/>
  <c r="BN5" i="4" a="1"/>
  <c r="AD62" i="3"/>
  <c r="E57" i="3"/>
  <c r="D82" i="3"/>
  <c r="G71" i="3"/>
  <c r="F65" i="3"/>
  <c r="AD83" i="3"/>
  <c r="D61" i="3"/>
  <c r="BK7" i="4" a="1"/>
  <c r="E14" i="4" a="1"/>
  <c r="DR16" i="4" a="1"/>
  <c r="J22" i="2"/>
  <c r="H32" i="2"/>
  <c r="U5" i="4" a="1"/>
  <c r="J17" i="2"/>
  <c r="CQ14" i="4" a="1"/>
  <c r="BP12" i="4" a="1"/>
  <c r="AL8" i="4" a="1"/>
  <c r="V8" i="2"/>
  <c r="DJ16" i="4" a="1"/>
  <c r="I22" i="2"/>
  <c r="DV15" i="4" a="1"/>
  <c r="AF7" i="4" a="1"/>
  <c r="EH9" i="4" a="1"/>
  <c r="J15" i="4" a="1"/>
  <c r="DX12" i="4" a="1"/>
  <c r="DH16" i="4" a="1"/>
  <c r="Q13" i="4" a="1"/>
  <c r="E5" i="4" a="1"/>
  <c r="CQ13" i="4" a="1"/>
  <c r="BM11" i="4" a="1"/>
  <c r="G16" i="4" a="1"/>
  <c r="Q27" i="2"/>
  <c r="BF14" i="4" a="1"/>
  <c r="AG13" i="4" a="1"/>
  <c r="Q6" i="4" a="1"/>
  <c r="BZ13" i="4" a="1"/>
  <c r="ED11" i="4" a="1"/>
  <c r="X9" i="4" a="1"/>
  <c r="CW11" i="4" a="1"/>
  <c r="L8" i="4" a="1"/>
  <c r="DA6" i="4" a="1"/>
  <c r="DP16" i="4" a="1"/>
  <c r="BM5" i="4" a="1"/>
  <c r="AX12" i="4" a="1"/>
  <c r="E7" i="4" a="1"/>
  <c r="G30" i="3"/>
  <c r="BD14" i="4" a="1"/>
  <c r="AV13" i="4" a="1"/>
  <c r="EF16" i="4" a="1"/>
  <c r="V15" i="4" a="1"/>
  <c r="L16" i="4" a="1"/>
  <c r="EA14" i="4" a="1"/>
  <c r="CW16" i="4" a="1"/>
  <c r="AN16" i="4" a="1"/>
  <c r="DT8" i="4" a="1"/>
  <c r="DY6" i="4" a="1"/>
  <c r="DN14" i="4" a="1"/>
  <c r="CG15" i="4" a="1"/>
  <c r="AD11" i="4" a="1"/>
  <c r="AX13" i="4" a="1"/>
  <c r="AK16" i="4" a="1"/>
  <c r="CP5" i="4" a="1"/>
  <c r="L12" i="4" a="1"/>
  <c r="CE7" i="4" a="1"/>
  <c r="X7" i="4" a="1"/>
  <c r="AX15" i="4" a="1"/>
  <c r="DF7" i="4" a="1"/>
  <c r="AH12" i="4" a="1"/>
  <c r="DW13" i="4" a="1"/>
  <c r="DH9" i="4" a="1"/>
  <c r="BQ6" i="4" a="1"/>
  <c r="EG15" i="4" a="1"/>
  <c r="DK12" i="4" a="1"/>
  <c r="BA8" i="4" a="1"/>
  <c r="AU6" i="4" a="1"/>
  <c r="CU13" i="4" a="1"/>
  <c r="F59" i="3"/>
  <c r="G91" i="3"/>
  <c r="E90" i="3"/>
  <c r="E54" i="3"/>
  <c r="F83" i="3"/>
  <c r="G97" i="3"/>
  <c r="AD71" i="3"/>
  <c r="AD89" i="3"/>
  <c r="F97" i="3"/>
  <c r="G87" i="3"/>
  <c r="AD81" i="3"/>
  <c r="AD56" i="3"/>
  <c r="D63" i="3"/>
  <c r="F72" i="3"/>
  <c r="D84" i="3"/>
  <c r="E56" i="3"/>
  <c r="G80" i="3"/>
  <c r="BF7" i="4" a="1"/>
  <c r="H6" i="4" a="1"/>
  <c r="AR49" i="3"/>
  <c r="AC14" i="4" a="1"/>
  <c r="AG16" i="4" a="1"/>
  <c r="DF6" i="4" a="1"/>
  <c r="AD18" i="3"/>
  <c r="AL13" i="4" a="1"/>
  <c r="U28" i="2"/>
  <c r="CK11" i="4" a="1"/>
  <c r="G14" i="2"/>
  <c r="DD11" i="4" a="1"/>
  <c r="S20" i="2"/>
  <c r="BN6" i="4" a="1"/>
  <c r="H11" i="4" a="1"/>
  <c r="E9" i="4" a="1"/>
  <c r="BW14" i="4" a="1"/>
  <c r="M5" i="4" a="1"/>
  <c r="DN5" i="4" a="1"/>
  <c r="DZ5" i="4" a="1"/>
  <c r="V11" i="2"/>
  <c r="DF14" i="4" a="1"/>
  <c r="BT12" i="4" a="1"/>
  <c r="AO15" i="4" a="1"/>
  <c r="BJ7" i="4" a="1"/>
  <c r="AN12" i="4" a="1"/>
  <c r="AT8" i="4" a="1"/>
  <c r="C11" i="4" a="1"/>
  <c r="CL8" i="4" a="1"/>
  <c r="CO11" i="4" a="1"/>
  <c r="DF13" i="4" a="1"/>
  <c r="AF13" i="4" a="1"/>
  <c r="DI9" i="4" a="1"/>
  <c r="Z14" i="4" a="1"/>
  <c r="S15" i="4" a="1"/>
  <c r="S7" i="4" a="1"/>
  <c r="D5" i="4" a="1"/>
  <c r="BA13" i="4" a="1"/>
  <c r="AQ13" i="4" a="1"/>
  <c r="CJ12" i="4" a="1"/>
  <c r="BT8" i="4" a="1"/>
  <c r="O14" i="4" a="1"/>
  <c r="AM9" i="4" a="1"/>
  <c r="X8" i="2"/>
  <c r="AU8" i="4" a="1"/>
  <c r="BB9" i="4" a="1"/>
  <c r="DW16" i="4" a="1"/>
  <c r="K14" i="4" a="1"/>
  <c r="BD12" i="4" a="1"/>
  <c r="EE8" i="4" a="1"/>
  <c r="CC12" i="4" a="1"/>
  <c r="Y13" i="4" a="1"/>
  <c r="CP7" i="4" a="1"/>
  <c r="P14" i="4" a="1"/>
  <c r="F7" i="4" a="1"/>
  <c r="AE7" i="4" a="1"/>
  <c r="BM9" i="4" a="1"/>
  <c r="DA13" i="4" a="1"/>
  <c r="DH7" i="4" a="1"/>
  <c r="BD8" i="4" a="1"/>
  <c r="BP13" i="4" a="1"/>
  <c r="CP11" i="4" a="1"/>
  <c r="DN13" i="4" a="1"/>
  <c r="D69" i="3"/>
  <c r="E96" i="3"/>
  <c r="G65" i="3"/>
  <c r="F76" i="3"/>
  <c r="AD13" i="3"/>
  <c r="CN12" i="4" a="1"/>
  <c r="F6" i="4" a="1"/>
  <c r="DC14" i="4" a="1"/>
  <c r="ED7" i="4" a="1"/>
  <c r="BJ13" i="4" a="1"/>
  <c r="AH5" i="4" a="1"/>
  <c r="W16" i="4" a="1"/>
  <c r="EK16" i="4" a="1"/>
  <c r="AP8" i="4" a="1"/>
  <c r="W30" i="2"/>
  <c r="BF6" i="4" a="1"/>
  <c r="DE6" i="4" a="1"/>
  <c r="F90" i="3"/>
  <c r="AD92" i="3"/>
  <c r="F75" i="3"/>
  <c r="D87" i="3"/>
  <c r="H28" i="2"/>
  <c r="EC14" i="4" a="1"/>
  <c r="BP7" i="4" a="1"/>
  <c r="W5" i="2"/>
  <c r="T14" i="2"/>
  <c r="DD12" i="4" a="1"/>
  <c r="AR40" i="3"/>
  <c r="BU14" i="4" a="1"/>
  <c r="C23" i="2"/>
  <c r="BM13" i="4" a="1"/>
  <c r="M17" i="2"/>
  <c r="AW15" i="4" a="1"/>
  <c r="P5" i="2"/>
  <c r="E8" i="4" a="1"/>
  <c r="S16" i="4" a="1"/>
  <c r="K12" i="4" a="1"/>
  <c r="CZ14" i="4" a="1"/>
  <c r="CH7" i="4" a="1"/>
  <c r="AM16" i="4" a="1"/>
  <c r="AC7" i="4" a="1"/>
  <c r="BF9" i="4" a="1"/>
  <c r="CR6" i="4" a="1"/>
  <c r="G13" i="4" a="1"/>
  <c r="EG13" i="4" a="1"/>
  <c r="AX9" i="4" a="1"/>
  <c r="W17" i="2"/>
  <c r="AS9" i="4" a="1"/>
  <c r="Y9" i="4" a="1"/>
  <c r="BS8" i="4" a="1"/>
  <c r="BA16" i="4" a="1"/>
  <c r="DU5" i="4" a="1"/>
  <c r="DY5" i="4" a="1"/>
  <c r="BU9" i="4" a="1"/>
  <c r="AN14" i="4" a="1"/>
  <c r="DQ8" i="4" a="1"/>
  <c r="BH8" i="4" a="1"/>
  <c r="E27" i="2"/>
  <c r="BT11" i="4" a="1"/>
  <c r="CA8" i="4" a="1"/>
  <c r="DV6" i="4" a="1"/>
  <c r="EK14" i="4" a="1"/>
  <c r="BO7" i="4" a="1"/>
  <c r="BX11" i="4" a="1"/>
  <c r="F33" i="3"/>
  <c r="AU9" i="4" a="1"/>
  <c r="AS14" i="4" a="1"/>
  <c r="AV12" i="4" a="1"/>
  <c r="Y8" i="4" a="1"/>
  <c r="M16" i="4" a="1"/>
  <c r="M9" i="4" a="1"/>
  <c r="BU11" i="4" a="1"/>
  <c r="EK13" i="4" a="1"/>
  <c r="DJ8" i="4" a="1"/>
  <c r="X5" i="4" a="1"/>
  <c r="P5" i="4" a="1"/>
  <c r="DI16" i="4" a="1"/>
  <c r="EC8" i="4" a="1"/>
  <c r="AT13" i="4" a="1"/>
  <c r="DY7" i="4" a="1"/>
  <c r="BY6" i="4" a="1"/>
  <c r="C12" i="4" a="1"/>
  <c r="AE8" i="4" a="1"/>
  <c r="BL5" i="4" a="1"/>
  <c r="DG6" i="4" a="1"/>
  <c r="CT16" i="4" a="1"/>
  <c r="F55" i="3"/>
  <c r="AD82" i="3"/>
  <c r="F85" i="3"/>
  <c r="F93" i="3"/>
  <c r="AD70" i="3"/>
  <c r="F92" i="3"/>
  <c r="AD73" i="3"/>
  <c r="D54" i="3"/>
  <c r="D64" i="3"/>
  <c r="D96" i="3"/>
  <c r="D55" i="3"/>
  <c r="G77" i="3"/>
  <c r="G68" i="3"/>
  <c r="F69" i="3"/>
  <c r="E67" i="3"/>
  <c r="E72" i="3"/>
  <c r="G66" i="3"/>
  <c r="E59" i="3"/>
  <c r="D97" i="3"/>
  <c r="Q19" i="2"/>
  <c r="BP14" i="4" a="1"/>
  <c r="DM15" i="4" a="1"/>
  <c r="H23" i="2"/>
  <c r="W15" i="2"/>
  <c r="CD12" i="4" a="1"/>
  <c r="BV7" i="4" a="1"/>
  <c r="CQ15" i="4" a="1"/>
  <c r="E42" i="3"/>
  <c r="BV9" i="4" a="1"/>
  <c r="BU7" i="4" a="1"/>
  <c r="CM16" i="4" a="1"/>
  <c r="DF9" i="4" a="1"/>
  <c r="CG13" i="4" a="1"/>
  <c r="AS11" i="4" a="1"/>
  <c r="AJ6" i="4" a="1"/>
  <c r="BU12" i="4" a="1"/>
  <c r="AZ9" i="4" a="1"/>
  <c r="DK15" i="4" a="1"/>
  <c r="CM5" i="4" a="1"/>
  <c r="T18" i="2"/>
  <c r="BI15" i="4" a="1"/>
  <c r="R7" i="4" a="1"/>
  <c r="DE7" i="4" a="1"/>
  <c r="L12" i="2"/>
  <c r="CA12" i="4" a="1"/>
  <c r="AE9" i="4" a="1"/>
  <c r="EB14" i="4" a="1"/>
  <c r="U46" i="3"/>
  <c r="BD16" i="4" a="1"/>
  <c r="AI9" i="4" a="1"/>
  <c r="EE13" i="4" a="1"/>
  <c r="CW5" i="4" a="1"/>
  <c r="EI6" i="4" a="1"/>
  <c r="DL7" i="4" a="1"/>
  <c r="CU11" i="4" a="1"/>
  <c r="DL11" i="4" a="1"/>
  <c r="J25" i="2"/>
  <c r="EG9" i="4" a="1"/>
  <c r="DM14" i="4" a="1"/>
  <c r="AY12" i="4" a="1"/>
  <c r="EJ15" i="4" a="1"/>
  <c r="CU15" i="4" a="1"/>
  <c r="ED15" i="4" a="1"/>
  <c r="AU16" i="4" a="1"/>
  <c r="CB8" i="4" a="1"/>
  <c r="CY14" i="4" a="1"/>
  <c r="F16" i="4" a="1"/>
  <c r="CK13" i="4" a="1"/>
  <c r="EH15" i="4" a="1"/>
  <c r="EC6" i="4" a="1"/>
  <c r="S8" i="4" a="1"/>
  <c r="N7" i="4" a="1"/>
  <c r="BW8" i="4" a="1"/>
  <c r="DU9" i="4" a="1"/>
  <c r="AY9" i="4" a="1"/>
  <c r="AR16" i="4" a="1"/>
  <c r="DK9" i="4" a="1"/>
  <c r="AC13" i="4" a="1"/>
  <c r="AL16" i="4" a="1"/>
  <c r="AN5" i="4" a="1"/>
  <c r="G70" i="3"/>
  <c r="AD87" i="3"/>
  <c r="F48" i="3"/>
  <c r="G59" i="3"/>
  <c r="P18" i="2"/>
  <c r="AR28" i="3"/>
  <c r="DI12" i="4" a="1"/>
  <c r="AX7" i="4" a="1"/>
  <c r="AF6" i="4" a="1"/>
  <c r="T14" i="4" a="1"/>
  <c r="BD7" i="4" a="1"/>
  <c r="AY15" i="4" a="1"/>
  <c r="EJ6" i="4" a="1"/>
  <c r="X30" i="2"/>
  <c r="CX9" i="4" a="1"/>
  <c r="G85" i="3"/>
  <c r="E64" i="3"/>
  <c r="E79" i="3"/>
  <c r="E74" i="3"/>
  <c r="C6" i="2"/>
  <c r="AD16" i="3"/>
  <c r="EI12" i="4" a="1"/>
  <c r="ED16" i="4" a="1"/>
  <c r="CM12" i="4" a="1"/>
  <c r="CT6" i="4" a="1"/>
  <c r="CR8" i="4" a="1"/>
  <c r="U8" i="4" a="1"/>
  <c r="F28" i="3"/>
  <c r="DT11" i="4" a="1"/>
  <c r="EE11" i="4" a="1"/>
  <c r="DW11" i="4" a="1"/>
  <c r="BT9" i="4" a="1"/>
  <c r="BB12" i="4" a="1"/>
  <c r="AQ11" i="4" a="1"/>
  <c r="CL15" i="4" a="1"/>
  <c r="AH9" i="4" a="1"/>
  <c r="EC9" i="4" a="1"/>
  <c r="BF15" i="4" a="1"/>
  <c r="DN12" i="4" a="1"/>
  <c r="CV9" i="4" a="1"/>
  <c r="CM14" i="4" a="1"/>
  <c r="EE9" i="4" a="1"/>
  <c r="DY13" i="4" a="1"/>
  <c r="AH14" i="4" a="1"/>
  <c r="BK8" i="4" a="1"/>
  <c r="DQ7" i="4" a="1"/>
  <c r="CK9" i="4" a="1"/>
  <c r="AC8" i="4" a="1"/>
  <c r="J11" i="2"/>
  <c r="AT15" i="4" a="1"/>
  <c r="BL7" i="4" a="1"/>
  <c r="AZ11" i="4" a="1"/>
  <c r="BO11" i="4" a="1"/>
  <c r="BW7" i="4" a="1"/>
  <c r="AF14" i="4" a="1"/>
  <c r="ED6" i="4" a="1"/>
  <c r="J26" i="2"/>
  <c r="EA15" i="4" a="1"/>
  <c r="J12" i="4" a="1"/>
  <c r="DD8" i="4" a="1"/>
  <c r="DV11" i="4" a="1"/>
  <c r="CJ15" i="4" a="1"/>
  <c r="AK6" i="4" a="1"/>
  <c r="DT12" i="4" a="1"/>
  <c r="CY12" i="4" a="1"/>
  <c r="F22" i="2"/>
  <c r="DP15" i="4" a="1"/>
  <c r="T15" i="4" a="1"/>
  <c r="CV11" i="4" a="1"/>
  <c r="CY11" i="4" a="1"/>
  <c r="S13" i="4" a="1"/>
  <c r="D18" i="2"/>
  <c r="BS16" i="4" a="1"/>
  <c r="D14" i="2"/>
  <c r="D15" i="4" a="1"/>
  <c r="EH8" i="4" a="1"/>
  <c r="M12" i="4" a="1"/>
  <c r="AQ14" i="4" a="1"/>
  <c r="K5" i="4" a="1"/>
  <c r="CN5" i="4" a="1"/>
  <c r="Q11" i="4" a="1"/>
  <c r="AZ16" i="4" a="1"/>
  <c r="DE9" i="4" a="1"/>
  <c r="BE14" i="4" a="1"/>
  <c r="D57" i="3"/>
  <c r="D65" i="3"/>
  <c r="AD84" i="3"/>
  <c r="F56" i="3"/>
  <c r="AD61" i="3"/>
  <c r="D88" i="3"/>
  <c r="AD96" i="3"/>
  <c r="F66" i="3"/>
  <c r="D80" i="3"/>
  <c r="E55" i="3"/>
  <c r="D68" i="3"/>
  <c r="G54" i="3"/>
  <c r="F80" i="3"/>
  <c r="E82" i="3"/>
  <c r="D62" i="3"/>
  <c r="D94" i="3"/>
  <c r="E60" i="3"/>
  <c r="D79" i="3"/>
  <c r="V13" i="2"/>
  <c r="DL15" i="4" a="1"/>
  <c r="O8" i="4" a="1"/>
  <c r="AG8" i="4" a="1"/>
  <c r="BI11" i="4" a="1"/>
  <c r="E41" i="3"/>
  <c r="EA16" i="4" a="1"/>
  <c r="DX14" i="4" a="1"/>
  <c r="CK7" i="4" a="1"/>
  <c r="E11" i="4" a="1"/>
  <c r="CL6" i="4" a="1"/>
  <c r="BS5" i="4" a="1"/>
  <c r="I13" i="4" a="1"/>
  <c r="F8" i="2"/>
  <c r="P8" i="4" a="1"/>
  <c r="Y7" i="4" a="1"/>
  <c r="C14" i="4" a="1"/>
  <c r="AM14" i="4" a="1"/>
  <c r="AJ15" i="4" a="1"/>
  <c r="BI7" i="4" a="1"/>
  <c r="V14" i="4" a="1"/>
  <c r="M8" i="4" a="1"/>
  <c r="N45" i="3"/>
  <c r="BM14" i="4" a="1"/>
  <c r="H14" i="4" a="1"/>
  <c r="R9" i="4" a="1"/>
  <c r="ED13" i="4" a="1"/>
  <c r="CK12" i="4" a="1"/>
  <c r="N22" i="2"/>
  <c r="BJ9" i="4" a="1"/>
  <c r="AR15" i="3"/>
  <c r="N13" i="4" a="1"/>
  <c r="CF8" i="4" a="1"/>
  <c r="CC5" i="4" a="1"/>
  <c r="DJ12" i="4" a="1"/>
  <c r="AA15" i="4" a="1"/>
  <c r="Q9" i="4" a="1"/>
  <c r="CS16" i="4" a="1"/>
  <c r="F63" i="3"/>
  <c r="G74" i="3"/>
  <c r="F67" i="3"/>
  <c r="AD68" i="3"/>
  <c r="AD57" i="3"/>
  <c r="D78" i="3"/>
  <c r="E91" i="3"/>
  <c r="F62" i="3"/>
  <c r="AD95" i="3"/>
  <c r="AD72" i="3"/>
  <c r="AD80" i="3"/>
  <c r="AD54" i="3"/>
  <c r="AD77" i="3"/>
  <c r="AD75" i="3"/>
  <c r="AD65" i="3"/>
  <c r="AD85" i="3"/>
  <c r="AD88" i="3"/>
  <c r="AD76" i="3"/>
  <c r="AD97" i="3"/>
  <c r="AD60" i="3"/>
  <c r="AD66" i="3"/>
  <c r="AD59" i="3"/>
  <c r="AD93" i="3"/>
  <c r="AD91" i="3"/>
  <c r="AD94" i="3"/>
  <c r="AD74" i="3"/>
  <c r="AD90" i="3"/>
  <c r="AD79" i="3"/>
  <c r="AD58" i="3"/>
  <c r="AD78" i="3"/>
  <c r="AD69" i="3"/>
  <c r="AD86" i="3"/>
  <c r="G57" i="3" l="1"/>
  <c r="E87" i="3"/>
  <c r="D83" i="3"/>
  <c r="F78" i="3"/>
  <c r="E78" i="3"/>
  <c r="D74" i="3"/>
  <c r="E97" i="3"/>
  <c r="F61" i="3"/>
  <c r="G79" i="3"/>
  <c r="E77" i="3"/>
  <c r="F91" i="3"/>
  <c r="E73" i="3"/>
  <c r="D92" i="3"/>
  <c r="G76" i="3"/>
  <c r="D60" i="3"/>
  <c r="F64" i="3"/>
  <c r="D95" i="3"/>
  <c r="E89" i="3"/>
  <c r="D90" i="3"/>
  <c r="G62" i="3"/>
  <c r="F96" i="3"/>
  <c r="G92" i="3"/>
  <c r="AD64" i="3"/>
  <c r="AD63" i="3"/>
  <c r="F49" i="3"/>
  <c r="E88" i="3"/>
  <c r="E66" i="3"/>
  <c r="G75" i="3"/>
  <c r="G94" i="3"/>
  <c r="E93" i="3"/>
  <c r="E83" i="3"/>
  <c r="G64" i="3"/>
  <c r="G69" i="3"/>
  <c r="G73" i="3"/>
  <c r="E75" i="3"/>
  <c r="E80" i="3"/>
  <c r="E65" i="3"/>
  <c r="E94" i="3"/>
  <c r="BJ156" i="1"/>
  <c r="BJ166" i="1"/>
  <c r="BK166" i="1" s="1"/>
  <c r="BJ143" i="1"/>
  <c r="BJ167" i="1"/>
  <c r="BK167" i="1" s="1"/>
  <c r="BJ150" i="1"/>
  <c r="BK150" i="1" s="1"/>
  <c r="BJ161" i="1"/>
  <c r="BK161" i="1" s="1"/>
  <c r="BJ178" i="1"/>
  <c r="BK178" i="1" s="1"/>
  <c r="BJ175" i="1"/>
  <c r="BK175" i="1" s="1"/>
  <c r="BJ146" i="1"/>
  <c r="BK146" i="1" s="1"/>
  <c r="BJ151" i="1"/>
  <c r="BK151" i="1" s="1"/>
  <c r="BJ171" i="1"/>
  <c r="BK171" i="1" s="1"/>
  <c r="BJ174" i="1"/>
  <c r="BK174" i="1" s="1"/>
  <c r="BJ164" i="1"/>
  <c r="BJ183" i="1"/>
  <c r="BJ159" i="1"/>
  <c r="BK159" i="1" s="1"/>
  <c r="BJ188" i="1"/>
  <c r="AL148" i="1"/>
  <c r="AM148" i="1" s="1"/>
  <c r="AJ166" i="1"/>
  <c r="AK166" i="1" s="1"/>
  <c r="BJ142" i="1"/>
  <c r="BK142" i="1" s="1"/>
  <c r="BJ155" i="1"/>
  <c r="AL149" i="1"/>
  <c r="AM149" i="1" s="1"/>
  <c r="BX48" i="1"/>
  <c r="HT9" i="4" s="1"/>
  <c r="U48" i="1"/>
  <c r="AJ167" i="1"/>
  <c r="AK167" i="1" s="1"/>
  <c r="AJ148" i="1"/>
  <c r="AK148" i="1" s="1"/>
  <c r="AL183" i="1"/>
  <c r="AJ155" i="1"/>
  <c r="AJ183" i="1"/>
  <c r="AL175" i="1"/>
  <c r="AM175" i="1" s="1"/>
  <c r="BJ187" i="1"/>
  <c r="BK187" i="1" s="1"/>
  <c r="AJ151" i="1"/>
  <c r="AK151" i="1" s="1"/>
  <c r="AL141" i="1"/>
  <c r="AM141" i="1" s="1"/>
  <c r="BJ170" i="1"/>
  <c r="BK170" i="1" s="1"/>
  <c r="AJ174" i="1"/>
  <c r="AK174" i="1" s="1"/>
  <c r="AJ142" i="1"/>
  <c r="AK142" i="1" s="1"/>
  <c r="C44" i="1"/>
  <c r="C49" i="1"/>
  <c r="I37" i="1"/>
  <c r="JG9" i="4" s="1"/>
  <c r="IL9" i="4" s="1"/>
  <c r="AL56" i="1"/>
  <c r="AL218" i="1" s="1"/>
  <c r="BJ44" i="1"/>
  <c r="B32" i="1"/>
  <c r="IV9" i="4" s="1"/>
  <c r="W63" i="1"/>
  <c r="BX56" i="1"/>
  <c r="O49" i="1"/>
  <c r="BJ176" i="1"/>
  <c r="BK176" i="1" s="1"/>
  <c r="IE9" i="4" s="1"/>
  <c r="HP16" i="4" s="1"/>
  <c r="I60" i="1"/>
  <c r="K39" i="1"/>
  <c r="S49" i="1"/>
  <c r="AK75" i="1"/>
  <c r="V47" i="1"/>
  <c r="G59" i="1"/>
  <c r="P46" i="1"/>
  <c r="AL156" i="1"/>
  <c r="AJ187" i="1"/>
  <c r="AK187" i="1" s="1"/>
  <c r="AJ173" i="1"/>
  <c r="AK173" i="1" s="1"/>
  <c r="AL179" i="1"/>
  <c r="AM179" i="1" s="1"/>
  <c r="BJ157" i="1"/>
  <c r="AL171" i="1"/>
  <c r="AM171" i="1" s="1"/>
  <c r="BJ169" i="1"/>
  <c r="HY8" i="4" s="1"/>
  <c r="D56" i="1"/>
  <c r="D218" i="1" s="1"/>
  <c r="IB14" i="4" s="1"/>
  <c r="IC9" i="4" s="1"/>
  <c r="V45" i="1"/>
  <c r="IA16" i="4" s="1"/>
  <c r="L45" i="1"/>
  <c r="B59" i="1"/>
  <c r="S44" i="1"/>
  <c r="AJ176" i="1"/>
  <c r="AK176" i="1" s="1"/>
  <c r="BJ179" i="1"/>
  <c r="BK179" i="1" s="1"/>
  <c r="AL150" i="1"/>
  <c r="AM150" i="1" s="1"/>
  <c r="V63" i="1"/>
  <c r="JI16" i="4" s="1"/>
  <c r="AJ156" i="1"/>
  <c r="IF9" i="4" s="1"/>
  <c r="IA9" i="4" s="1"/>
  <c r="IA21" i="4" s="1"/>
  <c r="AU101" i="1" s="1"/>
  <c r="II7" i="4" s="1"/>
  <c r="U37" i="1"/>
  <c r="F44" i="1"/>
  <c r="BJ49" i="1"/>
  <c r="HY16" i="4" s="1"/>
  <c r="BX97" i="1"/>
  <c r="AJ170" i="1"/>
  <c r="AK170" i="1" s="1"/>
  <c r="AL159" i="1"/>
  <c r="AM159" i="1" s="1"/>
  <c r="AJ149" i="1"/>
  <c r="AK149" i="1" s="1"/>
  <c r="BJ141" i="1"/>
  <c r="BK141" i="1" s="1"/>
  <c r="BJ168" i="1"/>
  <c r="BJ177" i="1"/>
  <c r="AL184" i="1"/>
  <c r="HR16" i="4" s="1"/>
  <c r="JB16" i="4" s="1"/>
  <c r="HV9" i="4" s="1"/>
  <c r="P56" i="1"/>
  <c r="P218" i="1" s="1"/>
  <c r="JH9" i="4" s="1"/>
  <c r="IZ16" i="4" s="1"/>
  <c r="I45" i="1"/>
  <c r="G69" i="1"/>
  <c r="BJ184" i="1"/>
  <c r="AL174" i="1"/>
  <c r="AM174" i="1" s="1"/>
  <c r="AJ169" i="1"/>
  <c r="BJ148" i="1"/>
  <c r="BK148" i="1" s="1"/>
  <c r="IJ9" i="4" s="1"/>
  <c r="IQ9" i="4" s="1"/>
  <c r="AK45" i="1"/>
  <c r="M45" i="1"/>
  <c r="BX176" i="1"/>
  <c r="BY176" i="1" s="1"/>
  <c r="W70" i="1"/>
  <c r="AJ143" i="1"/>
  <c r="AL71" i="1"/>
  <c r="AL142" i="1"/>
  <c r="AM142" i="1" s="1"/>
  <c r="HS16" i="4" s="1"/>
  <c r="AL177" i="1"/>
  <c r="AK37" i="1"/>
  <c r="V69" i="1"/>
  <c r="D70" i="1"/>
  <c r="AL143" i="1"/>
  <c r="F75" i="1"/>
  <c r="AL164" i="1"/>
  <c r="AM164" i="1" s="1"/>
  <c r="AM226" i="1" s="1"/>
  <c r="AJ157" i="1"/>
  <c r="AL188" i="1"/>
  <c r="AM188" i="1" s="1"/>
  <c r="AJ177" i="1"/>
  <c r="AL176" i="1"/>
  <c r="AM176" i="1" s="1"/>
  <c r="AJ168" i="1"/>
  <c r="L32" i="1"/>
  <c r="L255" i="1" s="1"/>
  <c r="HP9" i="4" s="1"/>
  <c r="H71" i="1"/>
  <c r="IR7" i="4" s="1"/>
  <c r="AL146" i="1"/>
  <c r="AM146" i="1" s="1"/>
  <c r="AJ175" i="1"/>
  <c r="AK175" i="1" s="1"/>
  <c r="AL168" i="1"/>
  <c r="AL151" i="1"/>
  <c r="AM151" i="1" s="1"/>
  <c r="AL155" i="1"/>
  <c r="AL98" i="1"/>
  <c r="AL167" i="1"/>
  <c r="AJ171" i="1"/>
  <c r="AK171" i="1" s="1"/>
  <c r="AJ164" i="1"/>
  <c r="JA9" i="4" s="1"/>
  <c r="IX16" i="4" s="1"/>
  <c r="AJ33" i="1"/>
  <c r="E48" i="1"/>
  <c r="AK46" i="1"/>
  <c r="AJ141" i="1"/>
  <c r="AK141" i="1" s="1"/>
  <c r="AL157" i="1"/>
  <c r="AJ178" i="1"/>
  <c r="AK178" i="1" s="1"/>
  <c r="AJ159" i="1"/>
  <c r="AK159" i="1" s="1"/>
  <c r="AL169" i="1"/>
  <c r="AL161" i="1"/>
  <c r="AM161" i="1" s="1"/>
  <c r="AL170" i="1"/>
  <c r="AM170" i="1" s="1"/>
  <c r="JE9" i="4" s="1"/>
  <c r="BX44" i="1"/>
  <c r="IK9" i="4" s="1"/>
  <c r="IL16" i="4" s="1"/>
  <c r="IN16" i="4" s="1"/>
  <c r="IW9" i="4" s="1"/>
  <c r="IY16" i="4" s="1"/>
  <c r="R32" i="1"/>
  <c r="R255" i="1" s="1"/>
  <c r="E75" i="1"/>
  <c r="IB9" i="4" s="1"/>
  <c r="AK60" i="1"/>
  <c r="W156" i="1"/>
  <c r="N47" i="1"/>
  <c r="P184" i="1"/>
  <c r="K63" i="1"/>
  <c r="R63" i="1"/>
  <c r="AL75" i="1"/>
  <c r="P47" i="1"/>
  <c r="JD9" i="4" s="1"/>
  <c r="J37" i="1"/>
  <c r="F63" i="1"/>
  <c r="IN9" i="4" s="1"/>
  <c r="N33" i="1"/>
  <c r="AL60" i="1"/>
  <c r="G187" i="1"/>
  <c r="G70" i="1"/>
  <c r="AK63" i="1"/>
  <c r="H33" i="1"/>
  <c r="IS16" i="4" s="1"/>
  <c r="BJ48" i="1"/>
  <c r="W71" i="1"/>
  <c r="M44" i="1"/>
  <c r="H44" i="1"/>
  <c r="E59" i="1"/>
  <c r="BX142" i="1"/>
  <c r="BY142" i="1" s="1"/>
  <c r="H59" i="1"/>
  <c r="BX177" i="1"/>
  <c r="L56" i="1"/>
  <c r="IH9" i="4" s="1"/>
  <c r="AJ44" i="1"/>
  <c r="IE16" i="4" s="1"/>
  <c r="AL37" i="1"/>
  <c r="AM46" i="1"/>
  <c r="S32" i="1"/>
  <c r="S255" i="1" s="1"/>
  <c r="IT9" i="4" s="1"/>
  <c r="M47" i="1"/>
  <c r="O47" i="1"/>
  <c r="BX183" i="1"/>
  <c r="AJ32" i="1"/>
  <c r="AJ255" i="1" s="1"/>
  <c r="W56" i="1"/>
  <c r="HQ9" i="4" s="1"/>
  <c r="AK39" i="1"/>
  <c r="M75" i="1"/>
  <c r="P32" i="1"/>
  <c r="W33" i="1"/>
  <c r="W34" i="1" s="1"/>
  <c r="X35" i="1" s="1"/>
  <c r="AJ49" i="1"/>
  <c r="Q47" i="1"/>
  <c r="AL49" i="1"/>
  <c r="Q69" i="1"/>
  <c r="H48" i="1"/>
  <c r="U47" i="1"/>
  <c r="K69" i="1"/>
  <c r="B49" i="1"/>
  <c r="IT16" i="4" s="1"/>
  <c r="IT21" i="4" s="1"/>
  <c r="BN101" i="1" s="1"/>
  <c r="HW16" i="4" s="1"/>
  <c r="P177" i="1"/>
  <c r="BJ37" i="1"/>
  <c r="IF16" i="4" s="1"/>
  <c r="P63" i="1"/>
  <c r="V46" i="1"/>
  <c r="AK70" i="1"/>
  <c r="O75" i="1"/>
  <c r="F59" i="1"/>
  <c r="O63" i="1"/>
  <c r="BX32" i="1"/>
  <c r="M69" i="1"/>
  <c r="G63" i="1"/>
  <c r="R60" i="1"/>
  <c r="J45" i="1"/>
  <c r="S46" i="1"/>
  <c r="G49" i="1"/>
  <c r="BX71" i="1"/>
  <c r="S56" i="1"/>
  <c r="G46" i="1"/>
  <c r="W75" i="1"/>
  <c r="K33" i="1"/>
  <c r="AL70" i="1"/>
  <c r="IS9" i="4" s="1"/>
  <c r="AJ48" i="1"/>
  <c r="M33" i="1"/>
  <c r="BX70" i="1"/>
  <c r="BX39" i="1"/>
  <c r="F32" i="1"/>
  <c r="F255" i="1" s="1"/>
  <c r="IR9" i="4" s="1"/>
  <c r="JG16" i="4" s="1"/>
  <c r="BX146" i="1"/>
  <c r="BY146" i="1" s="1"/>
  <c r="E32" i="1"/>
  <c r="E255" i="1" s="1"/>
  <c r="BJ47" i="1"/>
  <c r="AK47" i="1"/>
  <c r="BX75" i="1"/>
  <c r="R70" i="1"/>
  <c r="BX157" i="1"/>
  <c r="N48" i="1"/>
  <c r="S70" i="1"/>
  <c r="ID9" i="4" s="1"/>
  <c r="IG16" i="4" s="1"/>
  <c r="JB9" i="4" s="1"/>
  <c r="D49" i="1"/>
  <c r="L49" i="1"/>
  <c r="N37" i="1"/>
  <c r="BX59" i="1"/>
  <c r="J49" i="1"/>
  <c r="JC16" i="4" s="1"/>
  <c r="J56" i="1"/>
  <c r="J218" i="1" s="1"/>
  <c r="AM33" i="1"/>
  <c r="HV16" i="4" s="1"/>
  <c r="HV21" i="4" s="1"/>
  <c r="AP101" i="1" s="1"/>
  <c r="AM59" i="1"/>
  <c r="N59" i="1"/>
  <c r="O60" i="1"/>
  <c r="Q70" i="1"/>
  <c r="M46" i="1"/>
  <c r="AJ39" i="1"/>
  <c r="T33" i="1"/>
  <c r="AL63" i="1"/>
  <c r="H69" i="1"/>
  <c r="JH16" i="4" s="1"/>
  <c r="JH21" i="4" s="1"/>
  <c r="CB101" i="1" s="1"/>
  <c r="CB118" i="1" s="1"/>
  <c r="S60" i="1"/>
  <c r="G45" i="1"/>
  <c r="P37" i="1"/>
  <c r="AM44" i="1"/>
  <c r="O32" i="1"/>
  <c r="O255" i="1" s="1"/>
  <c r="II9" i="4" s="1"/>
  <c r="AL48" i="1"/>
  <c r="S63" i="1"/>
  <c r="Q46" i="1"/>
  <c r="AK38" i="1"/>
  <c r="ID16" i="4" s="1"/>
  <c r="B44" i="1"/>
  <c r="J70" i="1"/>
  <c r="N44" i="1"/>
  <c r="U59" i="1"/>
  <c r="G177" i="1"/>
  <c r="N63" i="1"/>
  <c r="AJ69" i="1"/>
  <c r="Q75" i="1"/>
  <c r="R49" i="1"/>
  <c r="E49" i="1"/>
  <c r="M60" i="1"/>
  <c r="IM16" i="4" s="1"/>
  <c r="P33" i="1"/>
  <c r="JE14" i="4" s="1"/>
  <c r="BX47" i="1"/>
  <c r="HQ16" i="4" s="1"/>
  <c r="AL32" i="1"/>
  <c r="AL255" i="1" s="1"/>
  <c r="AL38" i="1"/>
  <c r="Q48" i="1"/>
  <c r="F37" i="1"/>
  <c r="C69" i="1"/>
  <c r="G75" i="1"/>
  <c r="Q59" i="1"/>
  <c r="P44" i="1"/>
  <c r="BX168" i="1"/>
  <c r="C148" i="1"/>
  <c r="B48" i="1"/>
  <c r="E56" i="1"/>
  <c r="E218" i="1" s="1"/>
  <c r="J143" i="1"/>
  <c r="U63" i="1"/>
  <c r="G39" i="1"/>
  <c r="IZ9" i="4" s="1"/>
  <c r="IZ15" i="4" s="1"/>
  <c r="JI9" i="4" s="1"/>
  <c r="IK16" i="4" s="1"/>
  <c r="IK21" i="4" s="1"/>
  <c r="BE101" i="1" s="1"/>
  <c r="AJ75" i="1"/>
  <c r="V33" i="1"/>
  <c r="V34" i="1" s="1"/>
  <c r="V122" i="1" s="1"/>
  <c r="D146" i="1"/>
  <c r="AM49" i="1"/>
  <c r="BX178" i="1"/>
  <c r="BY178" i="1" s="1"/>
  <c r="AL47" i="1"/>
  <c r="H45" i="1"/>
  <c r="IB16" i="4" s="1"/>
  <c r="S47" i="1"/>
  <c r="G56" i="1"/>
  <c r="G218" i="1" s="1"/>
  <c r="S75" i="1"/>
  <c r="D37" i="1"/>
  <c r="D60" i="1"/>
  <c r="C32" i="1"/>
  <c r="C255" i="1" s="1"/>
  <c r="JC9" i="4" s="1"/>
  <c r="J59" i="1"/>
  <c r="HY9" i="4" s="1"/>
  <c r="IC8" i="4" s="1"/>
  <c r="E69" i="1"/>
  <c r="F49" i="1"/>
  <c r="M56" i="1"/>
  <c r="M218" i="1" s="1"/>
  <c r="HR9" i="4" s="1"/>
  <c r="O48" i="1"/>
  <c r="JE16" i="4" s="1"/>
  <c r="E44" i="1"/>
  <c r="IH16" i="4" s="1"/>
  <c r="C37" i="1"/>
  <c r="HX16" i="4" s="1"/>
  <c r="F60" i="1"/>
  <c r="R39" i="1"/>
  <c r="G60" i="1"/>
  <c r="BX170" i="1"/>
  <c r="BY170" i="1" s="1"/>
  <c r="U39" i="1"/>
  <c r="BX174" i="1"/>
  <c r="BY174" i="1" s="1"/>
  <c r="AL46" i="1"/>
  <c r="M39" i="1"/>
  <c r="V60" i="1"/>
  <c r="V276" i="1" s="1"/>
  <c r="M70" i="1"/>
  <c r="N75" i="1"/>
  <c r="IQ16" i="4" s="1"/>
  <c r="IQ21" i="4" s="1"/>
  <c r="BK101" i="1" s="1"/>
  <c r="IX9" i="4" s="1"/>
  <c r="BX69" i="1"/>
  <c r="AK71" i="1"/>
  <c r="BX188" i="1"/>
  <c r="BY188" i="1" s="1"/>
  <c r="D59" i="1"/>
  <c r="V39" i="1"/>
  <c r="P151" i="1"/>
  <c r="BJ39" i="1"/>
  <c r="K56" i="1"/>
  <c r="K218" i="1" s="1"/>
  <c r="I46" i="1"/>
  <c r="V75" i="1"/>
  <c r="W37" i="1"/>
  <c r="B33" i="1"/>
  <c r="G33" i="1"/>
  <c r="C39" i="1"/>
  <c r="I70" i="1"/>
  <c r="O56" i="1"/>
  <c r="O218" i="1" s="1"/>
  <c r="IO16" i="4" s="1"/>
  <c r="P59" i="1"/>
  <c r="V59" i="1"/>
  <c r="F47" i="1"/>
  <c r="AM38" i="1"/>
  <c r="BX167" i="1"/>
  <c r="BY167" i="1" s="1"/>
  <c r="P60" i="1"/>
  <c r="O37" i="1"/>
  <c r="N49" i="1"/>
  <c r="I71" i="1"/>
  <c r="M71" i="1"/>
  <c r="AM63" i="1"/>
  <c r="AJ70" i="1"/>
  <c r="HZ9" i="4" s="1"/>
  <c r="AM37" i="1"/>
  <c r="D45" i="1"/>
  <c r="F46" i="1"/>
  <c r="HZ16" i="4" s="1"/>
  <c r="HZ21" i="4" s="1"/>
  <c r="AT101" i="1" s="1"/>
  <c r="JD16" i="4" s="1"/>
  <c r="W39" i="1"/>
  <c r="G32" i="1"/>
  <c r="G255" i="1" s="1"/>
  <c r="N60" i="1"/>
  <c r="AL39" i="1"/>
  <c r="T47" i="1"/>
  <c r="JF16" i="4" s="1"/>
  <c r="AM47" i="1"/>
  <c r="M32" i="1"/>
  <c r="M255" i="1" s="1"/>
  <c r="C60" i="1"/>
  <c r="S71" i="1"/>
  <c r="HU16" i="4" s="1"/>
  <c r="IP16" i="4" s="1"/>
  <c r="AJ38" i="1"/>
  <c r="L48" i="1"/>
  <c r="K32" i="1"/>
  <c r="K255" i="1" s="1"/>
  <c r="T48" i="1"/>
  <c r="H46" i="1"/>
  <c r="AK59" i="1"/>
  <c r="BX156" i="1"/>
  <c r="L69" i="1"/>
  <c r="F69" i="1"/>
  <c r="Q71" i="1"/>
  <c r="R45" i="1"/>
  <c r="K59" i="1"/>
  <c r="AJ60" i="1"/>
  <c r="B37" i="1"/>
  <c r="F71" i="1"/>
  <c r="U71" i="1"/>
  <c r="W69" i="1"/>
  <c r="K47" i="1"/>
  <c r="C45" i="1"/>
  <c r="T32" i="1"/>
  <c r="T21" i="1" s="1"/>
  <c r="IZ14" i="4" s="1"/>
  <c r="AK56" i="1"/>
  <c r="AK218" i="1" s="1"/>
  <c r="J32" i="1"/>
  <c r="E60" i="1"/>
  <c r="U33" i="1"/>
  <c r="U34" i="1" s="1"/>
  <c r="U122" i="1" s="1"/>
  <c r="HX9" i="4" s="1"/>
  <c r="BX175" i="1"/>
  <c r="BY175" i="1" s="1"/>
  <c r="BX179" i="1"/>
  <c r="BY179" i="1" s="1"/>
  <c r="V56" i="1"/>
  <c r="V277" i="1" s="1"/>
  <c r="T45" i="1"/>
  <c r="AK44" i="1"/>
  <c r="BX143" i="1"/>
  <c r="BY143" i="1" s="1"/>
  <c r="L75" i="1"/>
  <c r="B56" i="1"/>
  <c r="P75" i="1"/>
  <c r="BX148" i="1"/>
  <c r="BY148" i="1" s="1"/>
  <c r="N71" i="1"/>
  <c r="O45" i="1"/>
  <c r="N56" i="1"/>
  <c r="N218" i="1" s="1"/>
  <c r="AK49" i="1"/>
  <c r="O39" i="1"/>
  <c r="P69" i="1"/>
  <c r="S48" i="1"/>
  <c r="G48" i="1"/>
  <c r="M49" i="1"/>
  <c r="B60" i="1"/>
  <c r="B69" i="1"/>
  <c r="G71" i="1"/>
  <c r="AJ59" i="1"/>
  <c r="R37" i="1"/>
  <c r="V49" i="1"/>
  <c r="F33" i="1"/>
  <c r="BX161" i="1"/>
  <c r="BY161" i="1" s="1"/>
  <c r="O46" i="1"/>
  <c r="B46" i="1"/>
  <c r="I48" i="1"/>
  <c r="E63" i="1"/>
  <c r="S59" i="1"/>
  <c r="J60" i="1"/>
  <c r="IJ16" i="4" s="1"/>
  <c r="IJ21" i="4" s="1"/>
  <c r="BD101" i="1" s="1"/>
  <c r="AM39" i="1"/>
  <c r="H75" i="1"/>
  <c r="O59" i="1"/>
  <c r="BX63" i="1"/>
  <c r="AJ63" i="1"/>
  <c r="Q45" i="1"/>
  <c r="K49" i="1"/>
  <c r="L44" i="1"/>
  <c r="C71" i="1"/>
  <c r="N69" i="1"/>
  <c r="BX184" i="1"/>
  <c r="V44" i="1"/>
  <c r="O70" i="1"/>
  <c r="H47" i="1"/>
  <c r="I39" i="1"/>
  <c r="D44" i="1"/>
  <c r="AL45" i="1"/>
  <c r="I44" i="1"/>
  <c r="U70" i="1"/>
  <c r="W44" i="1"/>
  <c r="U56" i="1"/>
  <c r="U277" i="1" s="1"/>
  <c r="BX173" i="1"/>
  <c r="BY173" i="1" s="1"/>
  <c r="E39" i="1"/>
  <c r="R69" i="1"/>
  <c r="H32" i="1"/>
  <c r="H255" i="1" s="1"/>
  <c r="I75" i="1"/>
  <c r="L70" i="1"/>
  <c r="Q63" i="1"/>
  <c r="M59" i="1"/>
  <c r="D75" i="1"/>
  <c r="JE7" i="4" s="1"/>
  <c r="IA7" i="4" s="1"/>
  <c r="O44" i="1"/>
  <c r="P179" i="1"/>
  <c r="Q56" i="1"/>
  <c r="Q218" i="1" s="1"/>
  <c r="N32" i="1"/>
  <c r="N255" i="1" s="1"/>
  <c r="P71" i="1"/>
  <c r="IG9" i="4" s="1"/>
  <c r="N46" i="1"/>
  <c r="O69" i="1"/>
  <c r="M37" i="1"/>
  <c r="AK69" i="1"/>
  <c r="H37" i="1"/>
  <c r="I69" i="1"/>
  <c r="J69" i="1"/>
  <c r="R46" i="1"/>
  <c r="T71" i="1"/>
  <c r="BJ45" i="1"/>
  <c r="C48" i="1"/>
  <c r="V71" i="1"/>
  <c r="P39" i="1"/>
  <c r="T59" i="1"/>
  <c r="HT16" i="4" s="1"/>
  <c r="HT21" i="4" s="1"/>
  <c r="AN101" i="1" s="1"/>
  <c r="BX187" i="1"/>
  <c r="BY187" i="1" s="1"/>
  <c r="BX155" i="1"/>
  <c r="B75" i="1"/>
  <c r="D71" i="1"/>
  <c r="J71" i="1"/>
  <c r="W141" i="1"/>
  <c r="S69" i="1"/>
  <c r="E70" i="1"/>
  <c r="W47" i="1"/>
  <c r="R56" i="1"/>
  <c r="R218" i="1" s="1"/>
  <c r="BJ32" i="1"/>
  <c r="AK32" i="1"/>
  <c r="AK255" i="1" s="1"/>
  <c r="B70" i="1"/>
  <c r="L59" i="1"/>
  <c r="W49" i="1"/>
  <c r="L46" i="1"/>
  <c r="M48" i="1"/>
  <c r="P45" i="1"/>
  <c r="D48" i="1"/>
  <c r="B71" i="1"/>
  <c r="R59" i="1"/>
  <c r="AM56" i="1"/>
  <c r="AM218" i="1" s="1"/>
  <c r="D33" i="1"/>
  <c r="D39" i="1"/>
  <c r="P49" i="1"/>
  <c r="AJ71" i="1"/>
  <c r="H63" i="1"/>
  <c r="IU9" i="4" s="1"/>
  <c r="IV16" i="4" s="1"/>
  <c r="BY97" i="1"/>
  <c r="U75" i="1"/>
  <c r="AM60" i="1"/>
  <c r="J47" i="1"/>
  <c r="G37" i="1"/>
  <c r="R47" i="1"/>
  <c r="T37" i="1"/>
  <c r="F45" i="1"/>
  <c r="BX49" i="1"/>
  <c r="U46" i="1"/>
  <c r="F56" i="1"/>
  <c r="C33" i="1"/>
  <c r="N45" i="1"/>
  <c r="K70" i="1"/>
  <c r="J46" i="1"/>
  <c r="D47" i="1"/>
  <c r="R48" i="1"/>
  <c r="T44" i="1"/>
  <c r="BX60" i="1"/>
  <c r="U60" i="1"/>
  <c r="U276" i="1" s="1"/>
  <c r="BX98" i="1"/>
  <c r="S33" i="1"/>
  <c r="BX166" i="1"/>
  <c r="BY166" i="1" s="1"/>
  <c r="Q32" i="1"/>
  <c r="Q255" i="1" s="1"/>
  <c r="I49" i="1"/>
  <c r="AJ45" i="1"/>
  <c r="F39" i="1"/>
  <c r="K60" i="1"/>
  <c r="L60" i="1"/>
  <c r="W48" i="1"/>
  <c r="U69" i="1"/>
  <c r="AM32" i="1"/>
  <c r="AM255" i="1" s="1"/>
  <c r="AM45" i="1"/>
  <c r="C56" i="1"/>
  <c r="C59" i="1"/>
  <c r="W45" i="1"/>
  <c r="J63" i="1"/>
  <c r="I59" i="1"/>
  <c r="T39" i="1"/>
  <c r="E71" i="1"/>
  <c r="AL33" i="1"/>
  <c r="AM48" i="1"/>
  <c r="L37" i="1"/>
  <c r="JA16" i="4" s="1"/>
  <c r="J44" i="1"/>
  <c r="E46" i="1"/>
  <c r="I33" i="1"/>
  <c r="T60" i="1"/>
  <c r="C46" i="1"/>
  <c r="H60" i="1"/>
  <c r="U49" i="1"/>
  <c r="O33" i="1"/>
  <c r="J48" i="1"/>
  <c r="T56" i="1"/>
  <c r="T218" i="1" s="1"/>
  <c r="L47" i="1"/>
  <c r="E45" i="1"/>
  <c r="S45" i="1"/>
  <c r="BX150" i="1"/>
  <c r="BY150" i="1" s="1"/>
  <c r="V70" i="1"/>
  <c r="B45" i="1"/>
  <c r="BX164" i="1"/>
  <c r="BY164" i="1" s="1"/>
  <c r="BZ226" i="1" s="1"/>
  <c r="BX159" i="1"/>
  <c r="BY159" i="1" s="1"/>
  <c r="Q49" i="1"/>
  <c r="H56" i="1"/>
  <c r="H218" i="1" s="1"/>
  <c r="AL59" i="1"/>
  <c r="K44" i="1"/>
  <c r="W60" i="1"/>
  <c r="W276" i="1" s="1"/>
  <c r="K75" i="1"/>
  <c r="F48" i="1"/>
  <c r="P48" i="1"/>
  <c r="N70" i="1"/>
  <c r="D69" i="1"/>
  <c r="BX149" i="1"/>
  <c r="BY149" i="1" s="1"/>
  <c r="K48" i="1"/>
  <c r="L33" i="1"/>
  <c r="C75" i="1"/>
  <c r="IP9" i="4" s="1"/>
  <c r="I47" i="1"/>
  <c r="T46" i="1"/>
  <c r="IU7" i="4" s="1"/>
  <c r="T75" i="1"/>
  <c r="B63" i="1"/>
  <c r="C70" i="1"/>
  <c r="S39" i="1"/>
  <c r="BJ38" i="1"/>
  <c r="BX38" i="1"/>
  <c r="L63" i="1"/>
  <c r="K45" i="1"/>
  <c r="J33" i="1"/>
  <c r="D46" i="1"/>
  <c r="G44" i="1"/>
  <c r="V37" i="1"/>
  <c r="P70" i="1"/>
  <c r="AJ46" i="1"/>
  <c r="Q177" i="1"/>
  <c r="R75" i="1"/>
  <c r="BX45" i="1"/>
  <c r="I63" i="1"/>
  <c r="BX151" i="1"/>
  <c r="BY151" i="1" s="1"/>
  <c r="L71" i="1"/>
  <c r="I32" i="1"/>
  <c r="I255" i="1" s="1"/>
  <c r="BX33" i="1"/>
  <c r="BX46" i="1"/>
  <c r="C63" i="1"/>
  <c r="D32" i="1"/>
  <c r="E33" i="1"/>
  <c r="Q39" i="1"/>
  <c r="BX169" i="1"/>
  <c r="M63" i="1"/>
  <c r="K71" i="1"/>
  <c r="R71" i="1"/>
  <c r="H70" i="1"/>
  <c r="U44" i="1"/>
  <c r="I56" i="1"/>
  <c r="I218" i="1" s="1"/>
  <c r="AL69" i="1"/>
  <c r="HU9" i="4" s="1"/>
  <c r="AK33" i="1"/>
  <c r="Q44" i="1"/>
  <c r="IQ14" i="4" s="1"/>
  <c r="B39" i="1"/>
  <c r="C47" i="1"/>
  <c r="IP8" i="4" s="1"/>
  <c r="HY15" i="4" s="1"/>
  <c r="BX37" i="1"/>
  <c r="Q33" i="1"/>
  <c r="F70" i="1"/>
  <c r="AL44" i="1"/>
  <c r="T70" i="1"/>
  <c r="V48" i="1"/>
  <c r="S37" i="1"/>
  <c r="W46" i="1"/>
  <c r="Q37" i="1"/>
  <c r="G47" i="1"/>
  <c r="N39" i="1"/>
  <c r="E183" i="1"/>
  <c r="K46" i="1"/>
  <c r="T63" i="1"/>
  <c r="U45" i="1"/>
  <c r="R33" i="1"/>
  <c r="T49" i="1"/>
  <c r="AK48" i="1"/>
  <c r="B47" i="1"/>
  <c r="K37" i="1"/>
  <c r="L39" i="1"/>
  <c r="W59" i="1"/>
  <c r="AJ47" i="1"/>
  <c r="E47" i="1"/>
  <c r="BX141" i="1"/>
  <c r="BY141" i="1" s="1"/>
  <c r="E37" i="1"/>
  <c r="J39" i="1"/>
  <c r="BX171" i="1"/>
  <c r="BY171" i="1" s="1"/>
  <c r="D63" i="1"/>
  <c r="Q60" i="1"/>
  <c r="AJ56" i="1"/>
  <c r="AJ218" i="1" s="1"/>
  <c r="AJ37" i="1"/>
  <c r="T69" i="1"/>
  <c r="BL98" i="1"/>
  <c r="J75" i="1"/>
  <c r="H49" i="1"/>
  <c r="R44" i="1"/>
  <c r="O71" i="1"/>
  <c r="H39" i="1"/>
  <c r="IS8" i="4"/>
  <c r="JE8" i="4"/>
  <c r="IO15" i="4"/>
  <c r="JG15" i="4"/>
  <c r="HR8" i="4"/>
  <c r="IN15" i="4"/>
  <c r="IN8" i="4"/>
  <c r="CM56" i="1"/>
  <c r="AB101" i="1"/>
  <c r="CQ101" i="1"/>
  <c r="AC164" i="1"/>
  <c r="CN89" i="1"/>
  <c r="CO87" i="1"/>
  <c r="IG21" i="4" l="1"/>
  <c r="BA101" i="1" s="1"/>
  <c r="IY15" i="4" s="1"/>
  <c r="L276" i="1"/>
  <c r="AJ203" i="1"/>
  <c r="IW16" i="4" s="1"/>
  <c r="IG15" i="4" s="1"/>
  <c r="IC16" i="4" s="1"/>
  <c r="G207" i="1"/>
  <c r="AJ34" i="1"/>
  <c r="CB126" i="1"/>
  <c r="CB109" i="1"/>
  <c r="V212" i="1"/>
  <c r="W212" i="1"/>
  <c r="W122" i="1"/>
  <c r="AL97" i="1"/>
  <c r="AJ204" i="1"/>
  <c r="AK204" i="1" s="1"/>
  <c r="BJ149" i="1"/>
  <c r="BK149" i="1" s="1"/>
  <c r="BJ173" i="1"/>
  <c r="BK173" i="1" s="1"/>
  <c r="AL187" i="1"/>
  <c r="AM187" i="1" s="1"/>
  <c r="AJ150" i="1"/>
  <c r="AK150" i="1" s="1"/>
  <c r="AJ188" i="1"/>
  <c r="AK188" i="1" s="1"/>
  <c r="AL173" i="1"/>
  <c r="AM173" i="1" s="1"/>
  <c r="IC21" i="4"/>
  <c r="AW101" i="1" s="1"/>
  <c r="HW9" i="4" s="1"/>
  <c r="AJ146" i="1"/>
  <c r="AK146" i="1" s="1"/>
  <c r="AL203" i="1"/>
  <c r="AM203" i="1" s="1"/>
  <c r="II16" i="4" s="1"/>
  <c r="IU16" i="4" s="1"/>
  <c r="HS9" i="4" s="1"/>
  <c r="AJ179" i="1"/>
  <c r="AK179" i="1" s="1"/>
  <c r="AL178" i="1"/>
  <c r="AM178" i="1" s="1"/>
  <c r="AJ161" i="1"/>
  <c r="AK161" i="1" s="1"/>
  <c r="IO9" i="4" s="1"/>
  <c r="IO21" i="4" s="1"/>
  <c r="BI101" i="1" s="1"/>
  <c r="AL166" i="1"/>
  <c r="AM166" i="1" s="1"/>
  <c r="AJ184" i="1"/>
  <c r="N34" i="1"/>
  <c r="N122" i="1" s="1"/>
  <c r="IY9" i="4" s="1"/>
  <c r="IE21" i="4"/>
  <c r="AY101" i="1" s="1"/>
  <c r="IM9" i="4" s="1"/>
  <c r="IM21" i="4" s="1"/>
  <c r="BG101" i="1" s="1"/>
  <c r="IF21" i="4"/>
  <c r="AZ101" i="1" s="1"/>
  <c r="JD21" i="4"/>
  <c r="BX101" i="1" s="1"/>
  <c r="B50" i="1"/>
  <c r="L34" i="1"/>
  <c r="Q207" i="1"/>
  <c r="E34" i="1"/>
  <c r="E122" i="1" s="1"/>
  <c r="HY20" i="4"/>
  <c r="AS103" i="1" s="1"/>
  <c r="AS132" i="1" s="1"/>
  <c r="H276" i="1"/>
  <c r="AL50" i="1"/>
  <c r="K276" i="1"/>
  <c r="BJ185" i="1"/>
  <c r="BK233" i="1" s="1"/>
  <c r="V35" i="1"/>
  <c r="I277" i="1"/>
  <c r="BJ158" i="1"/>
  <c r="AK34" i="1"/>
  <c r="AK40" i="1" s="1"/>
  <c r="AM152" i="1"/>
  <c r="AL144" i="1"/>
  <c r="AL116" i="1" s="1"/>
  <c r="O277" i="1"/>
  <c r="Q276" i="1"/>
  <c r="N277" i="1"/>
  <c r="E50" i="1"/>
  <c r="E51" i="1" s="1"/>
  <c r="BX185" i="1"/>
  <c r="BY233" i="1" s="1"/>
  <c r="BX158" i="1"/>
  <c r="AJ185" i="1"/>
  <c r="AK233" i="1" s="1"/>
  <c r="BK164" i="1"/>
  <c r="BL226" i="1" s="1"/>
  <c r="AK164" i="1"/>
  <c r="AL226" i="1" s="1"/>
  <c r="AJ226" i="1"/>
  <c r="AK226" i="1"/>
  <c r="IC14" i="4"/>
  <c r="HR14" i="4"/>
  <c r="HX14" i="4"/>
  <c r="IC7" i="4"/>
  <c r="JD14" i="4"/>
  <c r="JA14" i="4"/>
  <c r="K34" i="1"/>
  <c r="M34" i="1"/>
  <c r="M40" i="1" s="1"/>
  <c r="IJ8" i="4"/>
  <c r="S50" i="1"/>
  <c r="BK152" i="1"/>
  <c r="AL185" i="1"/>
  <c r="AJ158" i="1"/>
  <c r="HY14" i="4"/>
  <c r="IM7" i="4"/>
  <c r="P50" i="1"/>
  <c r="IE15" i="4"/>
  <c r="L50" i="1"/>
  <c r="HY7" i="4"/>
  <c r="HP14" i="4"/>
  <c r="AJ144" i="1"/>
  <c r="HQ15" i="4"/>
  <c r="HV7" i="4"/>
  <c r="AL207" i="1"/>
  <c r="AM207" i="1" s="1"/>
  <c r="IT14" i="4"/>
  <c r="JI15" i="4"/>
  <c r="AJ207" i="1"/>
  <c r="IM15" i="4"/>
  <c r="JB7" i="4"/>
  <c r="JE21" i="4"/>
  <c r="BY101" i="1" s="1"/>
  <c r="IL21" i="4"/>
  <c r="BF101" i="1" s="1"/>
  <c r="JE15" i="4"/>
  <c r="JE20" i="4" s="1"/>
  <c r="BY103" i="1" s="1"/>
  <c r="BY132" i="1" s="1"/>
  <c r="HP8" i="4"/>
  <c r="IA15" i="4"/>
  <c r="AL276" i="1"/>
  <c r="H34" i="1"/>
  <c r="M50" i="1"/>
  <c r="AJ50" i="1"/>
  <c r="AJ51" i="1" s="1"/>
  <c r="II14" i="4"/>
  <c r="II19" i="4" s="1"/>
  <c r="BC102" i="1" s="1"/>
  <c r="BC131" i="1" s="1"/>
  <c r="P207" i="1"/>
  <c r="HX15" i="4"/>
  <c r="IC15" i="4"/>
  <c r="IC20" i="4" s="1"/>
  <c r="AW103" i="1" s="1"/>
  <c r="AW132" i="1" s="1"/>
  <c r="HS15" i="4"/>
  <c r="O276" i="1"/>
  <c r="N50" i="1"/>
  <c r="M276" i="1"/>
  <c r="P34" i="1"/>
  <c r="P122" i="1" s="1"/>
  <c r="JE19" i="4"/>
  <c r="BY102" i="1" s="1"/>
  <c r="HQ21" i="4"/>
  <c r="AK101" i="1" s="1"/>
  <c r="BX203" i="1"/>
  <c r="BY203" i="1" s="1"/>
  <c r="JF7" i="4"/>
  <c r="IH21" i="4"/>
  <c r="BB101" i="1" s="1"/>
  <c r="IZ8" i="4"/>
  <c r="IZ20" i="4" s="1"/>
  <c r="BT103" i="1" s="1"/>
  <c r="BT132" i="1" s="1"/>
  <c r="G276" i="1"/>
  <c r="U40" i="1"/>
  <c r="IF8" i="4"/>
  <c r="IO7" i="4"/>
  <c r="G34" i="1"/>
  <c r="P276" i="1"/>
  <c r="HR7" i="4"/>
  <c r="IP14" i="4"/>
  <c r="N276" i="1"/>
  <c r="IN14" i="4"/>
  <c r="IP15" i="4"/>
  <c r="IP20" i="4" s="1"/>
  <c r="BJ103" i="1" s="1"/>
  <c r="BJ132" i="1" s="1"/>
  <c r="J276" i="1"/>
  <c r="T50" i="1"/>
  <c r="T22" i="1" s="1"/>
  <c r="T23" i="1" s="1"/>
  <c r="AK50" i="1"/>
  <c r="BJ203" i="1"/>
  <c r="BK203" i="1" s="1"/>
  <c r="IV8" i="4"/>
  <c r="IH15" i="4"/>
  <c r="AM276" i="1"/>
  <c r="BX276" i="1"/>
  <c r="IK14" i="4"/>
  <c r="JA21" i="4"/>
  <c r="BU101" i="1" s="1"/>
  <c r="O34" i="1"/>
  <c r="O122" i="1" s="1"/>
  <c r="IK15" i="4"/>
  <c r="V40" i="1"/>
  <c r="BX204" i="1"/>
  <c r="BY204" i="1" s="1"/>
  <c r="C50" i="1"/>
  <c r="K50" i="1"/>
  <c r="IN20" i="4"/>
  <c r="BH103" i="1" s="1"/>
  <c r="BH132" i="1" s="1"/>
  <c r="HT7" i="4"/>
  <c r="BX152" i="1"/>
  <c r="O50" i="1"/>
  <c r="BJ144" i="1"/>
  <c r="AL158" i="1"/>
  <c r="X212" i="1"/>
  <c r="IJ15" i="4"/>
  <c r="IB8" i="4"/>
  <c r="P255" i="1"/>
  <c r="IL14" i="4"/>
  <c r="IV7" i="4"/>
  <c r="U218" i="1"/>
  <c r="JI8" i="4"/>
  <c r="M277" i="1"/>
  <c r="JA7" i="4"/>
  <c r="HW15" i="4"/>
  <c r="IY7" i="4"/>
  <c r="BJ255" i="1"/>
  <c r="HZ7" i="4"/>
  <c r="Q50" i="1"/>
  <c r="BJ207" i="1"/>
  <c r="BK207" i="1" s="1"/>
  <c r="G50" i="1"/>
  <c r="T277" i="1"/>
  <c r="R34" i="1"/>
  <c r="AL277" i="1"/>
  <c r="D34" i="1"/>
  <c r="ID14" i="4"/>
  <c r="HT15" i="4"/>
  <c r="HZ15" i="4"/>
  <c r="BX207" i="1"/>
  <c r="BY207" i="1" s="1"/>
  <c r="J50" i="1"/>
  <c r="IV15" i="4"/>
  <c r="BJ204" i="1"/>
  <c r="BK204" i="1" s="1"/>
  <c r="BY144" i="1"/>
  <c r="HQ14" i="4"/>
  <c r="I276" i="1"/>
  <c r="H50" i="1"/>
  <c r="HW7" i="4"/>
  <c r="P277" i="1"/>
  <c r="W35" i="1"/>
  <c r="Q277" i="1"/>
  <c r="F50" i="1"/>
  <c r="BY152" i="1"/>
  <c r="IG8" i="4"/>
  <c r="IS15" i="4"/>
  <c r="IS20" i="4" s="1"/>
  <c r="BM103" i="1" s="1"/>
  <c r="BM132" i="1" s="1"/>
  <c r="IW15" i="4"/>
  <c r="JG8" i="4"/>
  <c r="IQ7" i="4"/>
  <c r="IQ19" i="4" s="1"/>
  <c r="BK102" i="1" s="1"/>
  <c r="BK131" i="1" s="1"/>
  <c r="V50" i="1"/>
  <c r="R276" i="1"/>
  <c r="T255" i="1"/>
  <c r="IM8" i="4"/>
  <c r="R50" i="1"/>
  <c r="HV8" i="4"/>
  <c r="BJ172" i="1"/>
  <c r="IU14" i="4"/>
  <c r="IU19" i="4" s="1"/>
  <c r="BO102" i="1" s="1"/>
  <c r="BO131" i="1" s="1"/>
  <c r="IT8" i="4"/>
  <c r="BY226" i="1"/>
  <c r="W40" i="1"/>
  <c r="IL15" i="4"/>
  <c r="AI220" i="1"/>
  <c r="AI222" i="1" s="1"/>
  <c r="J34" i="1"/>
  <c r="IV14" i="4"/>
  <c r="AM167" i="1"/>
  <c r="R277" i="1"/>
  <c r="V218" i="1"/>
  <c r="D255" i="1"/>
  <c r="G277" i="1"/>
  <c r="IP21" i="4"/>
  <c r="BJ101" i="1" s="1"/>
  <c r="JD7" i="4"/>
  <c r="IY8" i="4"/>
  <c r="IY20" i="4" s="1"/>
  <c r="BS103" i="1" s="1"/>
  <c r="BS132" i="1" s="1"/>
  <c r="IS7" i="4"/>
  <c r="W277" i="1"/>
  <c r="W218" i="1"/>
  <c r="JG14" i="4"/>
  <c r="JH8" i="4"/>
  <c r="AL204" i="1"/>
  <c r="AM204" i="1" s="1"/>
  <c r="IX21" i="4"/>
  <c r="BR101" i="1" s="1"/>
  <c r="IZ21" i="4"/>
  <c r="BT101" i="1" s="1"/>
  <c r="JB14" i="4"/>
  <c r="JB19" i="4" s="1"/>
  <c r="BV102" i="1" s="1"/>
  <c r="BV131" i="1" s="1"/>
  <c r="HP21" i="4"/>
  <c r="AJ101" i="1" s="1"/>
  <c r="JG21" i="4"/>
  <c r="CA101" i="1" s="1"/>
  <c r="HS8" i="4"/>
  <c r="BJ152" i="1"/>
  <c r="C277" i="1"/>
  <c r="C218" i="1"/>
  <c r="JF8" i="4"/>
  <c r="IO14" i="4"/>
  <c r="HU14" i="4"/>
  <c r="JC8" i="4"/>
  <c r="ID7" i="4"/>
  <c r="JD15" i="4"/>
  <c r="IH7" i="4"/>
  <c r="JF15" i="4"/>
  <c r="B255" i="1"/>
  <c r="B34" i="1"/>
  <c r="B40" i="1" s="1"/>
  <c r="B41" i="1" s="1"/>
  <c r="HP7" i="4"/>
  <c r="AM50" i="1"/>
  <c r="Q34" i="1"/>
  <c r="IV21" i="4"/>
  <c r="BP101" i="1" s="1"/>
  <c r="D50" i="1"/>
  <c r="W50" i="1"/>
  <c r="JC21" i="4"/>
  <c r="BW101" i="1" s="1"/>
  <c r="IU15" i="4"/>
  <c r="HS7" i="4"/>
  <c r="L277" i="1"/>
  <c r="L218" i="1"/>
  <c r="JI14" i="4"/>
  <c r="IP7" i="4"/>
  <c r="HR15" i="4"/>
  <c r="HR20" i="4" s="1"/>
  <c r="AL103" i="1" s="1"/>
  <c r="AL132" i="1" s="1"/>
  <c r="JI7" i="4"/>
  <c r="IT7" i="4"/>
  <c r="BX218" i="1"/>
  <c r="BX277" i="1"/>
  <c r="JC7" i="4"/>
  <c r="F276" i="1"/>
  <c r="U50" i="1"/>
  <c r="U22" i="1" s="1"/>
  <c r="U23" i="1" s="1"/>
  <c r="HZ14" i="4"/>
  <c r="HS14" i="4"/>
  <c r="HS19" i="4" s="1"/>
  <c r="AM102" i="1" s="1"/>
  <c r="IX8" i="4"/>
  <c r="HV15" i="4"/>
  <c r="HV20" i="4" s="1"/>
  <c r="AP103" i="1" s="1"/>
  <c r="AP132" i="1" s="1"/>
  <c r="IM14" i="4"/>
  <c r="IL8" i="4"/>
  <c r="HT14" i="4"/>
  <c r="IO8" i="4"/>
  <c r="IR15" i="4"/>
  <c r="HT8" i="4"/>
  <c r="HU21" i="4"/>
  <c r="AO101" i="1" s="1"/>
  <c r="BX144" i="1"/>
  <c r="J255" i="1"/>
  <c r="IO20" i="4"/>
  <c r="BI103" i="1" s="1"/>
  <c r="BI132" i="1" s="1"/>
  <c r="BJ180" i="1"/>
  <c r="BJ209" i="1" s="1"/>
  <c r="J277" i="1"/>
  <c r="AM34" i="1"/>
  <c r="AM40" i="1" s="1"/>
  <c r="D277" i="1"/>
  <c r="AJ40" i="1"/>
  <c r="AJ41" i="1" s="1"/>
  <c r="CM127" i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M128" i="1"/>
  <c r="CN128" i="1" s="1"/>
  <c r="CO128" i="1" s="1"/>
  <c r="CP128" i="1" s="1"/>
  <c r="CQ128" i="1" s="1"/>
  <c r="CR128" i="1" s="1"/>
  <c r="CS128" i="1" s="1"/>
  <c r="CT128" i="1" s="1"/>
  <c r="CU128" i="1" s="1"/>
  <c r="CV128" i="1" s="1"/>
  <c r="CW128" i="1" s="1"/>
  <c r="CX128" i="1" s="1"/>
  <c r="CY128" i="1" s="1"/>
  <c r="CZ128" i="1" s="1"/>
  <c r="DA128" i="1" s="1"/>
  <c r="DB128" i="1" s="1"/>
  <c r="IF14" i="4"/>
  <c r="F218" i="1"/>
  <c r="F277" i="1"/>
  <c r="IW8" i="4"/>
  <c r="IQ8" i="4"/>
  <c r="HW8" i="4"/>
  <c r="IR14" i="4"/>
  <c r="IR19" i="4" s="1"/>
  <c r="BL102" i="1" s="1"/>
  <c r="BL119" i="1" s="1"/>
  <c r="BX21" i="1"/>
  <c r="BX34" i="1"/>
  <c r="CA249" i="1" s="1"/>
  <c r="CA122" i="1"/>
  <c r="CA123" i="1" s="1"/>
  <c r="BX255" i="1"/>
  <c r="IX7" i="4"/>
  <c r="IW7" i="4"/>
  <c r="HQ8" i="4"/>
  <c r="HV14" i="4"/>
  <c r="IH8" i="4"/>
  <c r="HR21" i="4"/>
  <c r="AL101" i="1" s="1"/>
  <c r="IX14" i="4"/>
  <c r="IX19" i="4" s="1"/>
  <c r="BR102" i="1" s="1"/>
  <c r="BR131" i="1" s="1"/>
  <c r="IE7" i="4"/>
  <c r="JA15" i="4"/>
  <c r="IF7" i="4"/>
  <c r="IY14" i="4"/>
  <c r="IS21" i="4"/>
  <c r="BM101" i="1" s="1"/>
  <c r="IK8" i="4"/>
  <c r="IY21" i="4"/>
  <c r="BS101" i="1" s="1"/>
  <c r="IA14" i="4"/>
  <c r="IA19" i="4" s="1"/>
  <c r="AU102" i="1" s="1"/>
  <c r="AU131" i="1" s="1"/>
  <c r="IB7" i="4"/>
  <c r="IB19" i="4" s="1"/>
  <c r="AV102" i="1" s="1"/>
  <c r="AV131" i="1" s="1"/>
  <c r="HX7" i="4"/>
  <c r="IW21" i="4"/>
  <c r="BQ101" i="1" s="1"/>
  <c r="HU7" i="4"/>
  <c r="JF14" i="4"/>
  <c r="JF19" i="4" s="1"/>
  <c r="BZ102" i="1" s="1"/>
  <c r="BZ119" i="1" s="1"/>
  <c r="HY21" i="4"/>
  <c r="AS101" i="1" s="1"/>
  <c r="HP15" i="4"/>
  <c r="HP20" i="4" s="1"/>
  <c r="AJ103" i="1" s="1"/>
  <c r="AJ172" i="1"/>
  <c r="H277" i="1"/>
  <c r="BX172" i="1"/>
  <c r="BX206" i="1" s="1"/>
  <c r="JG20" i="4"/>
  <c r="CA103" i="1" s="1"/>
  <c r="CA120" i="1" s="1"/>
  <c r="JC14" i="4"/>
  <c r="JC19" i="4" s="1"/>
  <c r="BW102" i="1" s="1"/>
  <c r="BW131" i="1" s="1"/>
  <c r="S34" i="1"/>
  <c r="JH7" i="4"/>
  <c r="C276" i="1"/>
  <c r="IU8" i="4"/>
  <c r="HX21" i="4"/>
  <c r="AR101" i="1" s="1"/>
  <c r="IE8" i="4"/>
  <c r="IJ14" i="4"/>
  <c r="S218" i="1"/>
  <c r="S277" i="1"/>
  <c r="BX180" i="1"/>
  <c r="BX209" i="1" s="1"/>
  <c r="AJ57" i="1"/>
  <c r="K277" i="1"/>
  <c r="I34" i="1"/>
  <c r="I122" i="1" s="1"/>
  <c r="IR8" i="4"/>
  <c r="IN7" i="4"/>
  <c r="I50" i="1"/>
  <c r="JB8" i="4"/>
  <c r="JH14" i="4"/>
  <c r="HW14" i="4"/>
  <c r="II8" i="4"/>
  <c r="JA8" i="4"/>
  <c r="ID8" i="4"/>
  <c r="IK7" i="4"/>
  <c r="ID15" i="4"/>
  <c r="IQ15" i="4"/>
  <c r="JG7" i="4"/>
  <c r="IL7" i="4"/>
  <c r="IG7" i="4"/>
  <c r="JB15" i="4"/>
  <c r="IB15" i="4"/>
  <c r="HU8" i="4"/>
  <c r="IJ7" i="4"/>
  <c r="JH15" i="4"/>
  <c r="AL152" i="1"/>
  <c r="AM277" i="1"/>
  <c r="S276" i="1"/>
  <c r="C34" i="1"/>
  <c r="IG14" i="4"/>
  <c r="IG19" i="4" s="1"/>
  <c r="BA102" i="1" s="1"/>
  <c r="BA131" i="1" s="1"/>
  <c r="B276" i="1"/>
  <c r="IF15" i="4"/>
  <c r="D276" i="1"/>
  <c r="IE14" i="4"/>
  <c r="ID21" i="4"/>
  <c r="AX101" i="1" s="1"/>
  <c r="HQ7" i="4"/>
  <c r="IB21" i="4"/>
  <c r="AV101" i="1" s="1"/>
  <c r="BX50" i="1"/>
  <c r="HX8" i="4"/>
  <c r="IS14" i="4"/>
  <c r="JB21" i="4"/>
  <c r="BV101" i="1" s="1"/>
  <c r="JD8" i="4"/>
  <c r="IZ7" i="4"/>
  <c r="IZ19" i="4" s="1"/>
  <c r="BT102" i="1" s="1"/>
  <c r="BT131" i="1" s="1"/>
  <c r="IH14" i="4"/>
  <c r="T34" i="1"/>
  <c r="AM122" i="1"/>
  <c r="AM123" i="1" s="1"/>
  <c r="T276" i="1"/>
  <c r="F34" i="1"/>
  <c r="AL34" i="1"/>
  <c r="B277" i="1"/>
  <c r="AJ61" i="1"/>
  <c r="HZ8" i="4"/>
  <c r="IT15" i="4"/>
  <c r="IN21" i="4"/>
  <c r="BH101" i="1" s="1"/>
  <c r="JC15" i="4"/>
  <c r="IX15" i="4"/>
  <c r="IA8" i="4"/>
  <c r="HU15" i="4"/>
  <c r="JI21" i="4"/>
  <c r="CC101" i="1" s="1"/>
  <c r="II15" i="4"/>
  <c r="IW14" i="4"/>
  <c r="CM218" i="1"/>
  <c r="CM156" i="1"/>
  <c r="CM158" i="1" s="1"/>
  <c r="CM162" i="1" s="1"/>
  <c r="CM227" i="1" s="1"/>
  <c r="CM225" i="1" s="1"/>
  <c r="CR101" i="1"/>
  <c r="AC226" i="1"/>
  <c r="AB173" i="1"/>
  <c r="AB141" i="1"/>
  <c r="CO89" i="1"/>
  <c r="CP87" i="1"/>
  <c r="AB87" i="1" s="1"/>
  <c r="IC19" i="4" l="1"/>
  <c r="AW102" i="1" s="1"/>
  <c r="AW131" i="1" s="1"/>
  <c r="AL180" i="1"/>
  <c r="AL209" i="1" s="1"/>
  <c r="IG20" i="4"/>
  <c r="BA103" i="1" s="1"/>
  <c r="BA132" i="1" s="1"/>
  <c r="AL172" i="1"/>
  <c r="AL206" i="1" s="1"/>
  <c r="AJ152" i="1"/>
  <c r="HS20" i="4"/>
  <c r="AM103" i="1" s="1"/>
  <c r="IE20" i="4"/>
  <c r="AY103" i="1" s="1"/>
  <c r="AY132" i="1" s="1"/>
  <c r="E40" i="1"/>
  <c r="AK152" i="1"/>
  <c r="AJ180" i="1"/>
  <c r="IN19" i="4"/>
  <c r="BH102" i="1" s="1"/>
  <c r="BH131" i="1" s="1"/>
  <c r="II21" i="4"/>
  <c r="BC101" i="1" s="1"/>
  <c r="IA20" i="4"/>
  <c r="AU103" i="1" s="1"/>
  <c r="AU132" i="1" s="1"/>
  <c r="P40" i="1"/>
  <c r="BL131" i="1"/>
  <c r="BL134" i="1" s="1"/>
  <c r="IH19" i="4"/>
  <c r="BB102" i="1" s="1"/>
  <c r="BB131" i="1" s="1"/>
  <c r="L122" i="1"/>
  <c r="N40" i="1"/>
  <c r="BK158" i="1"/>
  <c r="BJ162" i="1"/>
  <c r="IW20" i="4"/>
  <c r="BQ103" i="1" s="1"/>
  <c r="BQ132" i="1" s="1"/>
  <c r="AB89" i="1"/>
  <c r="AA87" i="1"/>
  <c r="HW21" i="4"/>
  <c r="AQ101" i="1" s="1"/>
  <c r="IR16" i="4"/>
  <c r="HR19" i="4"/>
  <c r="AL102" i="1" s="1"/>
  <c r="AL131" i="1" s="1"/>
  <c r="L40" i="1"/>
  <c r="L41" i="1" s="1"/>
  <c r="JI20" i="4"/>
  <c r="CC103" i="1" s="1"/>
  <c r="CC120" i="1" s="1"/>
  <c r="IV19" i="4"/>
  <c r="BP102" i="1" s="1"/>
  <c r="BP131" i="1" s="1"/>
  <c r="IO19" i="4"/>
  <c r="BI102" i="1" s="1"/>
  <c r="BI131" i="1" s="1"/>
  <c r="HP19" i="4"/>
  <c r="AJ102" i="1" s="1"/>
  <c r="IP19" i="4"/>
  <c r="BJ102" i="1" s="1"/>
  <c r="BJ131" i="1" s="1"/>
  <c r="IT19" i="4"/>
  <c r="BN102" i="1" s="1"/>
  <c r="BN131" i="1" s="1"/>
  <c r="IM19" i="4"/>
  <c r="BG102" i="1" s="1"/>
  <c r="BG131" i="1" s="1"/>
  <c r="HQ20" i="4"/>
  <c r="AK103" i="1" s="1"/>
  <c r="HV19" i="4"/>
  <c r="AP102" i="1" s="1"/>
  <c r="AP131" i="1" s="1"/>
  <c r="IY19" i="4"/>
  <c r="BS102" i="1" s="1"/>
  <c r="BS131" i="1" s="1"/>
  <c r="HX19" i="4"/>
  <c r="AR102" i="1" s="1"/>
  <c r="AR131" i="1" s="1"/>
  <c r="IU21" i="4"/>
  <c r="BO101" i="1" s="1"/>
  <c r="HS21" i="4"/>
  <c r="AM101" i="1" s="1"/>
  <c r="JB20" i="4"/>
  <c r="BV103" i="1" s="1"/>
  <c r="BV132" i="1" s="1"/>
  <c r="IB20" i="4"/>
  <c r="AV103" i="1" s="1"/>
  <c r="AV132" i="1" s="1"/>
  <c r="IF20" i="4"/>
  <c r="AZ103" i="1" s="1"/>
  <c r="AZ132" i="1" s="1"/>
  <c r="AK51" i="1"/>
  <c r="BK226" i="1"/>
  <c r="AM273" i="1"/>
  <c r="AL153" i="1"/>
  <c r="AK36" i="1"/>
  <c r="Q35" i="1"/>
  <c r="AM51" i="1"/>
  <c r="BX192" i="1"/>
  <c r="BY158" i="1"/>
  <c r="BX162" i="1"/>
  <c r="BY57" i="1"/>
  <c r="AM158" i="1"/>
  <c r="AM162" i="1" s="1"/>
  <c r="AM57" i="1"/>
  <c r="AL162" i="1"/>
  <c r="ID19" i="4"/>
  <c r="AX102" i="1" s="1"/>
  <c r="AX131" i="1" s="1"/>
  <c r="HW20" i="4"/>
  <c r="AQ103" i="1" s="1"/>
  <c r="AQ132" i="1" s="1"/>
  <c r="IH20" i="4"/>
  <c r="BB103" i="1" s="1"/>
  <c r="BB132" i="1" s="1"/>
  <c r="HX20" i="4"/>
  <c r="AR103" i="1" s="1"/>
  <c r="AR132" i="1" s="1"/>
  <c r="AL120" i="1"/>
  <c r="G40" i="1"/>
  <c r="G41" i="1" s="1"/>
  <c r="G122" i="1"/>
  <c r="BJ116" i="1"/>
  <c r="BJ272" i="1"/>
  <c r="R122" i="1"/>
  <c r="R40" i="1"/>
  <c r="R41" i="1" s="1"/>
  <c r="R35" i="1"/>
  <c r="V51" i="1"/>
  <c r="V22" i="1"/>
  <c r="V23" i="1" s="1"/>
  <c r="IJ20" i="4"/>
  <c r="BD103" i="1" s="1"/>
  <c r="BD132" i="1" s="1"/>
  <c r="JA19" i="4"/>
  <c r="BU102" i="1" s="1"/>
  <c r="BU131" i="1" s="1"/>
  <c r="IV20" i="4"/>
  <c r="BP103" i="1" s="1"/>
  <c r="BP132" i="1" s="1"/>
  <c r="JD19" i="4"/>
  <c r="BX102" i="1" s="1"/>
  <c r="BJ153" i="1"/>
  <c r="D51" i="1"/>
  <c r="W52" i="1"/>
  <c r="HZ19" i="4"/>
  <c r="AT102" i="1" s="1"/>
  <c r="AT131" i="1" s="1"/>
  <c r="IL20" i="4"/>
  <c r="BF103" i="1" s="1"/>
  <c r="BF132" i="1" s="1"/>
  <c r="HT19" i="4"/>
  <c r="AN102" i="1" s="1"/>
  <c r="AN131" i="1" s="1"/>
  <c r="IR20" i="4"/>
  <c r="BL103" i="1" s="1"/>
  <c r="IK19" i="4"/>
  <c r="BE102" i="1" s="1"/>
  <c r="BE131" i="1" s="1"/>
  <c r="D212" i="1"/>
  <c r="HT20" i="4"/>
  <c r="AN103" i="1" s="1"/>
  <c r="AN132" i="1" s="1"/>
  <c r="AM52" i="1"/>
  <c r="IK20" i="4"/>
  <c r="BE103" i="1" s="1"/>
  <c r="BE132" i="1" s="1"/>
  <c r="BX205" i="1"/>
  <c r="IL19" i="4"/>
  <c r="BF102" i="1" s="1"/>
  <c r="BF131" i="1" s="1"/>
  <c r="IT20" i="4"/>
  <c r="BN103" i="1" s="1"/>
  <c r="BN132" i="1" s="1"/>
  <c r="K122" i="1"/>
  <c r="K35" i="1"/>
  <c r="L35" i="1"/>
  <c r="L212" i="1"/>
  <c r="K40" i="1"/>
  <c r="N212" i="1"/>
  <c r="M122" i="1"/>
  <c r="N35" i="1"/>
  <c r="M35" i="1"/>
  <c r="M212" i="1"/>
  <c r="BL230" i="1"/>
  <c r="BL273" i="1"/>
  <c r="AM233" i="1"/>
  <c r="AL192" i="1"/>
  <c r="AL272" i="1"/>
  <c r="AK57" i="1"/>
  <c r="AK158" i="1"/>
  <c r="AL57" i="1" s="1"/>
  <c r="AJ162" i="1"/>
  <c r="AJ227" i="1" s="1"/>
  <c r="AJ225" i="1" s="1"/>
  <c r="M41" i="1"/>
  <c r="H40" i="1"/>
  <c r="I212" i="1"/>
  <c r="H122" i="1"/>
  <c r="H35" i="1"/>
  <c r="H212" i="1"/>
  <c r="BY113" i="1"/>
  <c r="BY131" i="1"/>
  <c r="U41" i="1"/>
  <c r="V42" i="1"/>
  <c r="P35" i="1"/>
  <c r="O40" i="1"/>
  <c r="P212" i="1"/>
  <c r="O212" i="1"/>
  <c r="O35" i="1"/>
  <c r="V41" i="1"/>
  <c r="W42" i="1"/>
  <c r="V52" i="1"/>
  <c r="BY61" i="1"/>
  <c r="BX133" i="1"/>
  <c r="BZ231" i="1"/>
  <c r="BY116" i="1"/>
  <c r="BY120" i="1" s="1"/>
  <c r="BZ230" i="1"/>
  <c r="BZ229" i="1" s="1"/>
  <c r="BY273" i="1"/>
  <c r="BJ181" i="1"/>
  <c r="BJ206" i="1"/>
  <c r="X42" i="1"/>
  <c r="W41" i="1"/>
  <c r="J40" i="1"/>
  <c r="J41" i="1" s="1"/>
  <c r="J122" i="1"/>
  <c r="HY19" i="4"/>
  <c r="AS102" i="1" s="1"/>
  <c r="AS131" i="1" s="1"/>
  <c r="IM20" i="4"/>
  <c r="BG103" i="1" s="1"/>
  <c r="BG132" i="1" s="1"/>
  <c r="JI19" i="4"/>
  <c r="CC102" i="1" s="1"/>
  <c r="CC131" i="1" s="1"/>
  <c r="IF19" i="4"/>
  <c r="AZ102" i="1" s="1"/>
  <c r="AZ131" i="1" s="1"/>
  <c r="HW19" i="4"/>
  <c r="AQ102" i="1" s="1"/>
  <c r="AQ131" i="1" s="1"/>
  <c r="JH20" i="4"/>
  <c r="CB103" i="1" s="1"/>
  <c r="IE19" i="4"/>
  <c r="AY102" i="1" s="1"/>
  <c r="AY131" i="1" s="1"/>
  <c r="T35" i="1"/>
  <c r="JC20" i="4"/>
  <c r="BW103" i="1" s="1"/>
  <c r="BW132" i="1" s="1"/>
  <c r="R212" i="1"/>
  <c r="Q212" i="1"/>
  <c r="BX116" i="1"/>
  <c r="BX118" i="1" s="1"/>
  <c r="BX272" i="1"/>
  <c r="S212" i="1"/>
  <c r="S35" i="1"/>
  <c r="G35" i="1"/>
  <c r="G212" i="1"/>
  <c r="F35" i="1"/>
  <c r="AL40" i="1"/>
  <c r="AL36" i="1"/>
  <c r="AM249" i="1"/>
  <c r="AL273" i="1"/>
  <c r="AJ230" i="1"/>
  <c r="BZ131" i="1"/>
  <c r="BZ134" i="1" s="1"/>
  <c r="AJ192" i="1"/>
  <c r="AK61" i="1" s="1"/>
  <c r="BX153" i="1"/>
  <c r="BZ113" i="1"/>
  <c r="CA132" i="1"/>
  <c r="AM230" i="1"/>
  <c r="BY231" i="1"/>
  <c r="AL181" i="1"/>
  <c r="AL230" i="1"/>
  <c r="HZ20" i="4"/>
  <c r="AT103" i="1" s="1"/>
  <c r="AT132" i="1" s="1"/>
  <c r="AJ181" i="1"/>
  <c r="BX208" i="1"/>
  <c r="CA128" i="1"/>
  <c r="IU20" i="4"/>
  <c r="BO103" i="1" s="1"/>
  <c r="BO132" i="1" s="1"/>
  <c r="BY153" i="1"/>
  <c r="BY230" i="1"/>
  <c r="AJ206" i="1"/>
  <c r="AJ52" i="1"/>
  <c r="C40" i="1"/>
  <c r="BZ273" i="1"/>
  <c r="BZ275" i="1" s="1"/>
  <c r="AJ220" i="1"/>
  <c r="D35" i="1"/>
  <c r="T122" i="1"/>
  <c r="BJ208" i="1"/>
  <c r="HU20" i="4"/>
  <c r="AO103" i="1" s="1"/>
  <c r="AO132" i="1" s="1"/>
  <c r="T212" i="1"/>
  <c r="HQ19" i="4"/>
  <c r="AK102" i="1" s="1"/>
  <c r="E212" i="1"/>
  <c r="E35" i="1"/>
  <c r="D40" i="1"/>
  <c r="AK43" i="1"/>
  <c r="AM127" i="1"/>
  <c r="IX20" i="4"/>
  <c r="BR103" i="1" s="1"/>
  <c r="BR132" i="1" s="1"/>
  <c r="S122" i="1"/>
  <c r="S40" i="1"/>
  <c r="Q40" i="1"/>
  <c r="Q122" i="1"/>
  <c r="HU19" i="4"/>
  <c r="AO102" i="1" s="1"/>
  <c r="AO131" i="1" s="1"/>
  <c r="BX181" i="1"/>
  <c r="C35" i="1"/>
  <c r="U35" i="1"/>
  <c r="T40" i="1"/>
  <c r="JG19" i="4"/>
  <c r="CA102" i="1" s="1"/>
  <c r="B52" i="1"/>
  <c r="B53" i="1" s="1"/>
  <c r="AL51" i="1"/>
  <c r="B51" i="1"/>
  <c r="AM131" i="1"/>
  <c r="BK273" i="1"/>
  <c r="J212" i="1"/>
  <c r="JH19" i="4"/>
  <c r="CB102" i="1" s="1"/>
  <c r="JF20" i="4"/>
  <c r="BZ103" i="1" s="1"/>
  <c r="BK230" i="1"/>
  <c r="BJ192" i="1"/>
  <c r="BJ133" i="1" s="1"/>
  <c r="BJ135" i="1" s="1"/>
  <c r="IJ19" i="4"/>
  <c r="BD102" i="1" s="1"/>
  <c r="BD131" i="1" s="1"/>
  <c r="CA118" i="1"/>
  <c r="CA126" i="1"/>
  <c r="C212" i="1"/>
  <c r="IS19" i="4"/>
  <c r="BM102" i="1" s="1"/>
  <c r="BM131" i="1" s="1"/>
  <c r="BY36" i="1"/>
  <c r="CB35" i="1"/>
  <c r="CC212" i="1"/>
  <c r="BX40" i="1"/>
  <c r="JD20" i="4"/>
  <c r="BX103" i="1" s="1"/>
  <c r="K212" i="1"/>
  <c r="C51" i="1"/>
  <c r="II20" i="4"/>
  <c r="BC103" i="1" s="1"/>
  <c r="BC132" i="1" s="1"/>
  <c r="IQ20" i="4"/>
  <c r="BK103" i="1" s="1"/>
  <c r="BK132" i="1" s="1"/>
  <c r="JA20" i="4"/>
  <c r="BU103" i="1" s="1"/>
  <c r="BU132" i="1" s="1"/>
  <c r="CB26" i="1"/>
  <c r="I40" i="1"/>
  <c r="IW19" i="4"/>
  <c r="BQ102" i="1" s="1"/>
  <c r="BQ131" i="1" s="1"/>
  <c r="J35" i="1"/>
  <c r="BX210" i="1"/>
  <c r="CB213" i="1" s="1"/>
  <c r="I35" i="1"/>
  <c r="U212" i="1"/>
  <c r="CC109" i="1"/>
  <c r="CC126" i="1"/>
  <c r="CC118" i="1"/>
  <c r="F40" i="1"/>
  <c r="F122" i="1"/>
  <c r="F212" i="1"/>
  <c r="BX22" i="1"/>
  <c r="CB27" i="1" s="1"/>
  <c r="BX51" i="1"/>
  <c r="ID20" i="4"/>
  <c r="AX103" i="1" s="1"/>
  <c r="AX132" i="1" s="1"/>
  <c r="AM36" i="1"/>
  <c r="W22" i="1"/>
  <c r="W51" i="1"/>
  <c r="AK41" i="1"/>
  <c r="AK52" i="1"/>
  <c r="AK53" i="1" s="1"/>
  <c r="AM41" i="1"/>
  <c r="AL118" i="1"/>
  <c r="CN56" i="1"/>
  <c r="CS101" i="1"/>
  <c r="AB187" i="1"/>
  <c r="CP89" i="1"/>
  <c r="CQ87" i="1"/>
  <c r="AC141" i="1"/>
  <c r="AC173" i="1"/>
  <c r="CB249" i="1"/>
  <c r="BQ1" i="1"/>
  <c r="BR1" i="1" s="1"/>
  <c r="BS1" i="1" s="1"/>
  <c r="BT1" i="1" s="1"/>
  <c r="AM132" i="1" l="1"/>
  <c r="AM128" i="1"/>
  <c r="AK230" i="1"/>
  <c r="AJ153" i="1"/>
  <c r="AL208" i="1"/>
  <c r="P42" i="1"/>
  <c r="E41" i="1"/>
  <c r="E52" i="1"/>
  <c r="E53" i="1" s="1"/>
  <c r="AL205" i="1"/>
  <c r="AL210" i="1"/>
  <c r="AJ221" i="1"/>
  <c r="AJ209" i="1"/>
  <c r="BJ270" i="1"/>
  <c r="M42" i="1"/>
  <c r="Q42" i="1"/>
  <c r="N41" i="1"/>
  <c r="P41" i="1"/>
  <c r="N42" i="1"/>
  <c r="BL57" i="1"/>
  <c r="BK162" i="1"/>
  <c r="BL227" i="1" s="1"/>
  <c r="BL225" i="1" s="1"/>
  <c r="Z87" i="1"/>
  <c r="AA89" i="1"/>
  <c r="AL43" i="1"/>
  <c r="IR21" i="4"/>
  <c r="BL101" i="1" s="1"/>
  <c r="BL118" i="1" s="1"/>
  <c r="JF9" i="4"/>
  <c r="JF21" i="4" s="1"/>
  <c r="BZ101" i="1" s="1"/>
  <c r="BZ118" i="1" s="1"/>
  <c r="AM126" i="1"/>
  <c r="CC111" i="1"/>
  <c r="CC132" i="1"/>
  <c r="CC128" i="1"/>
  <c r="BY118" i="1"/>
  <c r="I42" i="1"/>
  <c r="AK162" i="1"/>
  <c r="AL119" i="1"/>
  <c r="AJ189" i="1"/>
  <c r="AJ190" i="1" s="1"/>
  <c r="V27" i="1"/>
  <c r="BZ57" i="1"/>
  <c r="BY162" i="1"/>
  <c r="BZ227" i="1" s="1"/>
  <c r="BZ225" i="1" s="1"/>
  <c r="BY229" i="1"/>
  <c r="BY119" i="1"/>
  <c r="BX189" i="1"/>
  <c r="BX190" i="1" s="1"/>
  <c r="BX270" i="1"/>
  <c r="AL189" i="1"/>
  <c r="AL190" i="1" s="1"/>
  <c r="AM227" i="1"/>
  <c r="AM225" i="1" s="1"/>
  <c r="AL270" i="1"/>
  <c r="BJ118" i="1"/>
  <c r="BJ119" i="1"/>
  <c r="BJ120" i="1"/>
  <c r="H41" i="1"/>
  <c r="H42" i="1"/>
  <c r="V58" i="1"/>
  <c r="V62" i="1" s="1"/>
  <c r="V256" i="1"/>
  <c r="V257" i="1" s="1"/>
  <c r="V53" i="1"/>
  <c r="V136" i="1"/>
  <c r="BJ210" i="1"/>
  <c r="BJ205" i="1"/>
  <c r="CB128" i="1"/>
  <c r="CB132" i="1"/>
  <c r="CB135" i="1" s="1"/>
  <c r="CB138" i="1" s="1"/>
  <c r="CB111" i="1"/>
  <c r="CB120" i="1"/>
  <c r="AL41" i="1"/>
  <c r="AL52" i="1"/>
  <c r="AM274" i="1" s="1"/>
  <c r="AM275" i="1" s="1"/>
  <c r="AM43" i="1"/>
  <c r="O42" i="1"/>
  <c r="O41" i="1"/>
  <c r="BX113" i="1"/>
  <c r="BX131" i="1"/>
  <c r="BX134" i="1" s="1"/>
  <c r="BX119" i="1"/>
  <c r="X54" i="1"/>
  <c r="W136" i="1"/>
  <c r="W53" i="1"/>
  <c r="X274" i="1"/>
  <c r="W274" i="1"/>
  <c r="W54" i="1"/>
  <c r="W58" i="1"/>
  <c r="W62" i="1" s="1"/>
  <c r="W256" i="1"/>
  <c r="W257" i="1" s="1"/>
  <c r="BL120" i="1"/>
  <c r="BL132" i="1"/>
  <c r="BL135" i="1" s="1"/>
  <c r="AM53" i="1"/>
  <c r="AM58" i="1"/>
  <c r="AM62" i="1" s="1"/>
  <c r="AM256" i="1"/>
  <c r="AM257" i="1" s="1"/>
  <c r="K42" i="1"/>
  <c r="K41" i="1"/>
  <c r="L42" i="1"/>
  <c r="AL133" i="1"/>
  <c r="AM61" i="1"/>
  <c r="CC127" i="1"/>
  <c r="CC110" i="1"/>
  <c r="CF114" i="1" s="1"/>
  <c r="CC119" i="1"/>
  <c r="BJ134" i="1"/>
  <c r="B136" i="1"/>
  <c r="D41" i="1"/>
  <c r="E42" i="1"/>
  <c r="D42" i="1"/>
  <c r="C52" i="1"/>
  <c r="C42" i="1"/>
  <c r="D52" i="1"/>
  <c r="C41" i="1"/>
  <c r="AJ256" i="1"/>
  <c r="AJ257" i="1" s="1"/>
  <c r="AJ53" i="1"/>
  <c r="AJ58" i="1"/>
  <c r="AJ62" i="1" s="1"/>
  <c r="BZ120" i="1"/>
  <c r="BZ132" i="1"/>
  <c r="BZ135" i="1" s="1"/>
  <c r="F41" i="1"/>
  <c r="F42" i="1"/>
  <c r="G42" i="1"/>
  <c r="AK55" i="1"/>
  <c r="BX23" i="1"/>
  <c r="Q41" i="1"/>
  <c r="R42" i="1"/>
  <c r="S41" i="1"/>
  <c r="T42" i="1"/>
  <c r="W23" i="1"/>
  <c r="W27" i="1"/>
  <c r="X27" i="1"/>
  <c r="CB110" i="1"/>
  <c r="CB127" i="1"/>
  <c r="CB119" i="1"/>
  <c r="CB131" i="1"/>
  <c r="CB134" i="1" s="1"/>
  <c r="CB137" i="1" s="1"/>
  <c r="J42" i="1"/>
  <c r="I41" i="1"/>
  <c r="BX132" i="1"/>
  <c r="BX135" i="1" s="1"/>
  <c r="BX120" i="1"/>
  <c r="U42" i="1"/>
  <c r="T41" i="1"/>
  <c r="CB42" i="1"/>
  <c r="BX41" i="1"/>
  <c r="BY43" i="1"/>
  <c r="BX52" i="1"/>
  <c r="CA119" i="1"/>
  <c r="CA127" i="1"/>
  <c r="CA131" i="1"/>
  <c r="S42" i="1"/>
  <c r="AK256" i="1"/>
  <c r="AK257" i="1" s="1"/>
  <c r="AK58" i="1"/>
  <c r="AK62" i="1" s="1"/>
  <c r="AK64" i="1" s="1"/>
  <c r="CN156" i="1"/>
  <c r="CN158" i="1" s="1"/>
  <c r="CO56" i="1" s="1"/>
  <c r="CT101" i="1"/>
  <c r="AB161" i="1"/>
  <c r="AD173" i="1"/>
  <c r="AE173" i="1"/>
  <c r="AD141" i="1"/>
  <c r="AE141" i="1"/>
  <c r="CQ89" i="1"/>
  <c r="CR87" i="1"/>
  <c r="AC187" i="1"/>
  <c r="BU1" i="1"/>
  <c r="Q51" i="1"/>
  <c r="P51" i="1"/>
  <c r="O51" i="1"/>
  <c r="I51" i="1"/>
  <c r="H51" i="1"/>
  <c r="G51" i="1"/>
  <c r="U51" i="1"/>
  <c r="T51" i="1"/>
  <c r="S51" i="1"/>
  <c r="R51" i="1"/>
  <c r="N51" i="1"/>
  <c r="M51" i="1"/>
  <c r="L51" i="1"/>
  <c r="K51" i="1"/>
  <c r="J51" i="1"/>
  <c r="F51" i="1"/>
  <c r="AJ222" i="1" l="1"/>
  <c r="Z89" i="1"/>
  <c r="Y87" i="1"/>
  <c r="AA90" i="1"/>
  <c r="AA116" i="1"/>
  <c r="AA123" i="1"/>
  <c r="AA131" i="1"/>
  <c r="AA134" i="1" s="1"/>
  <c r="AA137" i="1" s="1"/>
  <c r="AA132" i="1"/>
  <c r="AA135" i="1" s="1"/>
  <c r="AA138" i="1" s="1"/>
  <c r="AK227" i="1"/>
  <c r="AK225" i="1" s="1"/>
  <c r="AL227" i="1"/>
  <c r="AL225" i="1" s="1"/>
  <c r="AL135" i="1"/>
  <c r="AL134" i="1"/>
  <c r="AM250" i="1"/>
  <c r="AM55" i="1"/>
  <c r="BY227" i="1"/>
  <c r="BY225" i="1" s="1"/>
  <c r="V64" i="1"/>
  <c r="V65" i="1"/>
  <c r="AL58" i="1"/>
  <c r="AL62" i="1" s="1"/>
  <c r="AL53" i="1"/>
  <c r="AL256" i="1"/>
  <c r="AL257" i="1" s="1"/>
  <c r="CE114" i="1"/>
  <c r="AL55" i="1"/>
  <c r="AL274" i="1"/>
  <c r="AL275" i="1" s="1"/>
  <c r="AM136" i="1"/>
  <c r="W65" i="1"/>
  <c r="W64" i="1"/>
  <c r="AM65" i="1"/>
  <c r="AM66" i="1" s="1"/>
  <c r="AM269" i="1" s="1"/>
  <c r="AM64" i="1"/>
  <c r="D256" i="1"/>
  <c r="D257" i="1" s="1"/>
  <c r="D53" i="1"/>
  <c r="D58" i="1"/>
  <c r="D62" i="1" s="1"/>
  <c r="D65" i="1" s="1"/>
  <c r="AJ65" i="1"/>
  <c r="AJ64" i="1"/>
  <c r="D54" i="1"/>
  <c r="E54" i="1"/>
  <c r="D136" i="1"/>
  <c r="D274" i="1"/>
  <c r="C274" i="1"/>
  <c r="C53" i="1"/>
  <c r="C54" i="1"/>
  <c r="BY55" i="1"/>
  <c r="BX53" i="1"/>
  <c r="BX58" i="1"/>
  <c r="CB54" i="1"/>
  <c r="CA136" i="1"/>
  <c r="BX256" i="1"/>
  <c r="BX257" i="1" s="1"/>
  <c r="BY274" i="1"/>
  <c r="BY275" i="1" s="1"/>
  <c r="AK65" i="1"/>
  <c r="D66" i="1"/>
  <c r="CO218" i="1"/>
  <c r="CO156" i="1"/>
  <c r="CN162" i="1"/>
  <c r="CN218" i="1"/>
  <c r="AC101" i="1"/>
  <c r="CU101" i="1"/>
  <c r="AD187" i="1"/>
  <c r="AE187" i="1"/>
  <c r="AD164" i="1"/>
  <c r="CR89" i="1"/>
  <c r="CS87" i="1"/>
  <c r="AC161" i="1"/>
  <c r="BV1" i="1"/>
  <c r="BW1" i="1" s="1"/>
  <c r="BX1" i="1" s="1"/>
  <c r="B256" i="1"/>
  <c r="B257" i="1" s="1"/>
  <c r="BL256" i="1"/>
  <c r="BL257" i="1" s="1"/>
  <c r="G52" i="1"/>
  <c r="O52" i="1"/>
  <c r="H52" i="1"/>
  <c r="P52" i="1"/>
  <c r="I52" i="1"/>
  <c r="Q52" i="1"/>
  <c r="J52" i="1"/>
  <c r="R52" i="1"/>
  <c r="K52" i="1"/>
  <c r="S52" i="1"/>
  <c r="L52" i="1"/>
  <c r="T52" i="1"/>
  <c r="M52" i="1"/>
  <c r="U52" i="1"/>
  <c r="F52" i="1"/>
  <c r="F274" i="1" s="1"/>
  <c r="N52" i="1"/>
  <c r="D64" i="1" l="1"/>
  <c r="D258" i="1"/>
  <c r="Z90" i="1"/>
  <c r="Z116" i="1"/>
  <c r="Z131" i="1"/>
  <c r="Z134" i="1" s="1"/>
  <c r="Z137" i="1" s="1"/>
  <c r="Z123" i="1"/>
  <c r="Z132" i="1"/>
  <c r="Z135" i="1" s="1"/>
  <c r="Z138" i="1" s="1"/>
  <c r="Y89" i="1"/>
  <c r="X87" i="1"/>
  <c r="AA93" i="1"/>
  <c r="AA92" i="1"/>
  <c r="AA118" i="1"/>
  <c r="AA119" i="1"/>
  <c r="AA120" i="1"/>
  <c r="AA128" i="1"/>
  <c r="AA127" i="1"/>
  <c r="AA126" i="1"/>
  <c r="D72" i="1"/>
  <c r="AM258" i="1"/>
  <c r="W67" i="1"/>
  <c r="V72" i="1"/>
  <c r="V66" i="1"/>
  <c r="V269" i="1" s="1"/>
  <c r="AL64" i="1"/>
  <c r="AL65" i="1"/>
  <c r="AL68" i="1" s="1"/>
  <c r="X67" i="1"/>
  <c r="W66" i="1"/>
  <c r="W269" i="1" s="1"/>
  <c r="W258" i="1"/>
  <c r="W72" i="1"/>
  <c r="W76" i="1" s="1"/>
  <c r="AK68" i="1"/>
  <c r="AJ66" i="1"/>
  <c r="AJ72" i="1"/>
  <c r="AJ258" i="1"/>
  <c r="AK72" i="1"/>
  <c r="AK143" i="1" s="1"/>
  <c r="AK144" i="1" s="1"/>
  <c r="AK153" i="1" s="1"/>
  <c r="CA79" i="1"/>
  <c r="BX62" i="1"/>
  <c r="AK66" i="1"/>
  <c r="AK258" i="1"/>
  <c r="T274" i="1"/>
  <c r="P274" i="1"/>
  <c r="M274" i="1"/>
  <c r="R274" i="1"/>
  <c r="I274" i="1"/>
  <c r="K274" i="1"/>
  <c r="G274" i="1"/>
  <c r="H274" i="1"/>
  <c r="L274" i="1"/>
  <c r="S274" i="1"/>
  <c r="O274" i="1"/>
  <c r="J274" i="1"/>
  <c r="N274" i="1"/>
  <c r="U274" i="1"/>
  <c r="V274" i="1"/>
  <c r="Q274" i="1"/>
  <c r="R136" i="1"/>
  <c r="S54" i="1"/>
  <c r="T136" i="1"/>
  <c r="U54" i="1"/>
  <c r="U136" i="1"/>
  <c r="V54" i="1"/>
  <c r="P136" i="1"/>
  <c r="Q54" i="1"/>
  <c r="Q136" i="1"/>
  <c r="R54" i="1"/>
  <c r="I136" i="1"/>
  <c r="J54" i="1"/>
  <c r="S136" i="1"/>
  <c r="T54" i="1"/>
  <c r="H136" i="1"/>
  <c r="I54" i="1"/>
  <c r="E136" i="1"/>
  <c r="F54" i="1"/>
  <c r="L136" i="1"/>
  <c r="M54" i="1"/>
  <c r="O136" i="1"/>
  <c r="P54" i="1"/>
  <c r="N136" i="1"/>
  <c r="O54" i="1"/>
  <c r="K136" i="1"/>
  <c r="L54" i="1"/>
  <c r="F136" i="1"/>
  <c r="G54" i="1"/>
  <c r="G136" i="1"/>
  <c r="H54" i="1"/>
  <c r="M136" i="1"/>
  <c r="N54" i="1"/>
  <c r="J136" i="1"/>
  <c r="K54" i="1"/>
  <c r="CN227" i="1"/>
  <c r="CN225" i="1" s="1"/>
  <c r="CO158" i="1"/>
  <c r="CV101" i="1"/>
  <c r="AD226" i="1"/>
  <c r="AB166" i="1"/>
  <c r="AE161" i="1"/>
  <c r="AD161" i="1"/>
  <c r="CT87" i="1"/>
  <c r="AC87" i="1" s="1"/>
  <c r="AC89" i="1" s="1"/>
  <c r="CS89" i="1"/>
  <c r="C136" i="1"/>
  <c r="BY1" i="1"/>
  <c r="L53" i="1"/>
  <c r="N53" i="1"/>
  <c r="F53" i="1"/>
  <c r="O53" i="1"/>
  <c r="U58" i="1"/>
  <c r="U62" i="1" s="1"/>
  <c r="U53" i="1"/>
  <c r="G53" i="1"/>
  <c r="S53" i="1"/>
  <c r="M53" i="1"/>
  <c r="R53" i="1"/>
  <c r="J53" i="1"/>
  <c r="I53" i="1"/>
  <c r="P53" i="1"/>
  <c r="H53" i="1"/>
  <c r="K53" i="1"/>
  <c r="T53" i="1"/>
  <c r="Q53" i="1"/>
  <c r="T256" i="1"/>
  <c r="T257" i="1" s="1"/>
  <c r="Q256" i="1"/>
  <c r="Q257" i="1" s="1"/>
  <c r="K256" i="1"/>
  <c r="K257" i="1" s="1"/>
  <c r="O256" i="1"/>
  <c r="O257" i="1" s="1"/>
  <c r="U256" i="1"/>
  <c r="U257" i="1" s="1"/>
  <c r="L256" i="1"/>
  <c r="L257" i="1" s="1"/>
  <c r="C256" i="1"/>
  <c r="C257" i="1" s="1"/>
  <c r="I256" i="1"/>
  <c r="I257" i="1" s="1"/>
  <c r="G256" i="1"/>
  <c r="G257" i="1" s="1"/>
  <c r="R256" i="1"/>
  <c r="R257" i="1" s="1"/>
  <c r="P256" i="1"/>
  <c r="P257" i="1" s="1"/>
  <c r="F256" i="1"/>
  <c r="F257" i="1" s="1"/>
  <c r="M256" i="1"/>
  <c r="M257" i="1" s="1"/>
  <c r="N256" i="1"/>
  <c r="N257" i="1" s="1"/>
  <c r="E256" i="1"/>
  <c r="E257" i="1" s="1"/>
  <c r="S256" i="1"/>
  <c r="S257" i="1" s="1"/>
  <c r="J256" i="1"/>
  <c r="J257" i="1" s="1"/>
  <c r="H256" i="1"/>
  <c r="H257" i="1" s="1"/>
  <c r="B58" i="1"/>
  <c r="L58" i="1"/>
  <c r="Q58" i="1"/>
  <c r="T58" i="1"/>
  <c r="N58" i="1"/>
  <c r="S58" i="1"/>
  <c r="F58" i="1"/>
  <c r="K58" i="1"/>
  <c r="H58" i="1"/>
  <c r="I58" i="1"/>
  <c r="P58" i="1"/>
  <c r="C58" i="1"/>
  <c r="O58" i="1"/>
  <c r="R58" i="1"/>
  <c r="M58" i="1"/>
  <c r="G58" i="1"/>
  <c r="E58" i="1"/>
  <c r="J58" i="1"/>
  <c r="AM251" i="1" l="1"/>
  <c r="D217" i="1"/>
  <c r="D219" i="1" s="1"/>
  <c r="D76" i="1"/>
  <c r="Z93" i="1"/>
  <c r="Z92" i="1"/>
  <c r="Z119" i="1"/>
  <c r="Z118" i="1"/>
  <c r="Z120" i="1"/>
  <c r="Z127" i="1"/>
  <c r="Z126" i="1"/>
  <c r="Z128" i="1"/>
  <c r="Y90" i="1"/>
  <c r="Y123" i="1"/>
  <c r="Y116" i="1"/>
  <c r="Y131" i="1"/>
  <c r="Y134" i="1" s="1"/>
  <c r="Y137" i="1" s="1"/>
  <c r="Y132" i="1"/>
  <c r="Y135" i="1" s="1"/>
  <c r="Y138" i="1" s="1"/>
  <c r="X89" i="1"/>
  <c r="W87" i="1"/>
  <c r="V87" i="1" s="1"/>
  <c r="U87" i="1" s="1"/>
  <c r="T87" i="1" s="1"/>
  <c r="S87" i="1" s="1"/>
  <c r="R87" i="1" s="1"/>
  <c r="Q87" i="1" s="1"/>
  <c r="P87" i="1" s="1"/>
  <c r="O87" i="1" s="1"/>
  <c r="N87" i="1" s="1"/>
  <c r="M87" i="1" s="1"/>
  <c r="L87" i="1" s="1"/>
  <c r="K87" i="1" s="1"/>
  <c r="J87" i="1" s="1"/>
  <c r="I87" i="1" s="1"/>
  <c r="H87" i="1" s="1"/>
  <c r="G87" i="1" s="1"/>
  <c r="F87" i="1" s="1"/>
  <c r="E87" i="1" s="1"/>
  <c r="AA110" i="1"/>
  <c r="AA111" i="1"/>
  <c r="AA109" i="1"/>
  <c r="AK76" i="1"/>
  <c r="AK90" i="1"/>
  <c r="AL66" i="1"/>
  <c r="AL269" i="1" s="1"/>
  <c r="AL72" i="1"/>
  <c r="AM68" i="1"/>
  <c r="AL258" i="1"/>
  <c r="AK217" i="1"/>
  <c r="AK219" i="1" s="1"/>
  <c r="AJ76" i="1"/>
  <c r="AJ217" i="1"/>
  <c r="AJ219" i="1" s="1"/>
  <c r="AJ223" i="1" s="1"/>
  <c r="AJ237" i="1" s="1"/>
  <c r="AJ90" i="1"/>
  <c r="AJ231" i="1"/>
  <c r="AJ229" i="1" s="1"/>
  <c r="BX64" i="1"/>
  <c r="BX65" i="1"/>
  <c r="AK231" i="1"/>
  <c r="AK229" i="1" s="1"/>
  <c r="AL231" i="1"/>
  <c r="AL229" i="1" s="1"/>
  <c r="BK188" i="1"/>
  <c r="BM188" i="1"/>
  <c r="CO162" i="1"/>
  <c r="CP56" i="1"/>
  <c r="CW101" i="1"/>
  <c r="AE164" i="1"/>
  <c r="AE226" i="1" s="1"/>
  <c r="CT89" i="1"/>
  <c r="CU87" i="1"/>
  <c r="BZ1" i="1"/>
  <c r="U65" i="1"/>
  <c r="V67" i="1" s="1"/>
  <c r="U64" i="1"/>
  <c r="P62" i="1"/>
  <c r="P65" i="1" s="1"/>
  <c r="R62" i="1"/>
  <c r="R65" i="1" s="1"/>
  <c r="E62" i="1"/>
  <c r="S62" i="1"/>
  <c r="S64" i="1" s="1"/>
  <c r="G62" i="1"/>
  <c r="G65" i="1" s="1"/>
  <c r="K62" i="1"/>
  <c r="K65" i="1" s="1"/>
  <c r="B62" i="1"/>
  <c r="O62" i="1"/>
  <c r="O65" i="1" s="1"/>
  <c r="H62" i="1"/>
  <c r="H65" i="1" s="1"/>
  <c r="N62" i="1"/>
  <c r="N65" i="1" s="1"/>
  <c r="L62" i="1"/>
  <c r="L64" i="1" s="1"/>
  <c r="C62" i="1"/>
  <c r="M62" i="1"/>
  <c r="M64" i="1" s="1"/>
  <c r="T62" i="1"/>
  <c r="T65" i="1" s="1"/>
  <c r="F62" i="1"/>
  <c r="F64" i="1" s="1"/>
  <c r="J62" i="1"/>
  <c r="J64" i="1" s="1"/>
  <c r="I62" i="1"/>
  <c r="I64" i="1" s="1"/>
  <c r="Q62" i="1"/>
  <c r="Q65" i="1" s="1"/>
  <c r="V258" i="1"/>
  <c r="Z111" i="1" l="1"/>
  <c r="Z109" i="1"/>
  <c r="Z110" i="1"/>
  <c r="AA94" i="1"/>
  <c r="Y92" i="1"/>
  <c r="Y93" i="1"/>
  <c r="Y127" i="1"/>
  <c r="Y126" i="1"/>
  <c r="Y128" i="1"/>
  <c r="Y119" i="1"/>
  <c r="Y120" i="1"/>
  <c r="Y118" i="1"/>
  <c r="X132" i="1"/>
  <c r="X135" i="1" s="1"/>
  <c r="X138" i="1" s="1"/>
  <c r="X116" i="1"/>
  <c r="X131" i="1"/>
  <c r="X134" i="1" s="1"/>
  <c r="X137" i="1" s="1"/>
  <c r="X90" i="1"/>
  <c r="X123" i="1"/>
  <c r="AJ234" i="1"/>
  <c r="AJ235" i="1" s="1"/>
  <c r="AL90" i="1"/>
  <c r="AL76" i="1"/>
  <c r="AL217" i="1"/>
  <c r="AL219" i="1" s="1"/>
  <c r="CB67" i="1"/>
  <c r="BX258" i="1"/>
  <c r="BX72" i="1"/>
  <c r="BX66" i="1"/>
  <c r="BX269" i="1" s="1"/>
  <c r="BY68" i="1"/>
  <c r="R67" i="1"/>
  <c r="U67" i="1"/>
  <c r="O67" i="1"/>
  <c r="AB56" i="1"/>
  <c r="B65" i="1"/>
  <c r="B64" i="1"/>
  <c r="C65" i="1"/>
  <c r="C64" i="1"/>
  <c r="E65" i="1"/>
  <c r="E72" i="1" s="1"/>
  <c r="E64" i="1"/>
  <c r="P67" i="1"/>
  <c r="H67" i="1"/>
  <c r="Q67" i="1"/>
  <c r="BJ189" i="1"/>
  <c r="BJ190" i="1" s="1"/>
  <c r="BL189" i="1"/>
  <c r="BL190" i="1" s="1"/>
  <c r="CP218" i="1"/>
  <c r="CP156" i="1"/>
  <c r="CO227" i="1"/>
  <c r="CO225" i="1" s="1"/>
  <c r="CX101" i="1"/>
  <c r="CV87" i="1"/>
  <c r="CU89" i="1"/>
  <c r="CA1" i="1"/>
  <c r="CB1" i="1" s="1"/>
  <c r="O64" i="1"/>
  <c r="BL258" i="1"/>
  <c r="S65" i="1"/>
  <c r="U66" i="1"/>
  <c r="U269" i="1" s="1"/>
  <c r="P66" i="1"/>
  <c r="P269" i="1" s="1"/>
  <c r="Q72" i="1"/>
  <c r="Q66" i="1"/>
  <c r="Q269" i="1" s="1"/>
  <c r="L65" i="1"/>
  <c r="P64" i="1"/>
  <c r="H66" i="1"/>
  <c r="H269" i="1" s="1"/>
  <c r="G66" i="1"/>
  <c r="G269" i="1" s="1"/>
  <c r="U72" i="1"/>
  <c r="N66" i="1"/>
  <c r="N269" i="1" s="1"/>
  <c r="R66" i="1"/>
  <c r="R269" i="1" s="1"/>
  <c r="K66" i="1"/>
  <c r="K269" i="1" s="1"/>
  <c r="O72" i="1"/>
  <c r="O66" i="1"/>
  <c r="O269" i="1" s="1"/>
  <c r="T72" i="1"/>
  <c r="T66" i="1"/>
  <c r="T269" i="1" s="1"/>
  <c r="R64" i="1"/>
  <c r="K64" i="1"/>
  <c r="N64" i="1"/>
  <c r="G64" i="1"/>
  <c r="H64" i="1"/>
  <c r="J65" i="1"/>
  <c r="K67" i="1" s="1"/>
  <c r="M65" i="1"/>
  <c r="N67" i="1" s="1"/>
  <c r="T64" i="1"/>
  <c r="F65" i="1"/>
  <c r="G67" i="1" s="1"/>
  <c r="I65" i="1"/>
  <c r="I67" i="1" s="1"/>
  <c r="O258" i="1"/>
  <c r="Q64" i="1"/>
  <c r="P258" i="1"/>
  <c r="P72" i="1"/>
  <c r="K258" i="1"/>
  <c r="K72" i="1"/>
  <c r="H258" i="1"/>
  <c r="H72" i="1"/>
  <c r="R72" i="1"/>
  <c r="N72" i="1"/>
  <c r="G72" i="1"/>
  <c r="G258" i="1"/>
  <c r="R258" i="1"/>
  <c r="N258" i="1"/>
  <c r="Q258" i="1"/>
  <c r="U258" i="1"/>
  <c r="T258" i="1"/>
  <c r="V76" i="1"/>
  <c r="V217" i="1"/>
  <c r="V219" i="1" s="1"/>
  <c r="Y111" i="1" l="1"/>
  <c r="Y110" i="1"/>
  <c r="Y109" i="1"/>
  <c r="X120" i="1"/>
  <c r="X118" i="1"/>
  <c r="X119" i="1"/>
  <c r="X92" i="1"/>
  <c r="X93" i="1"/>
  <c r="X127" i="1"/>
  <c r="X126" i="1"/>
  <c r="X128" i="1"/>
  <c r="Z94" i="1"/>
  <c r="CA78" i="1"/>
  <c r="BX90" i="1"/>
  <c r="CA93" i="1" s="1"/>
  <c r="BX217" i="1"/>
  <c r="BX219" i="1" s="1"/>
  <c r="BX76" i="1"/>
  <c r="E258" i="1"/>
  <c r="AB218" i="1"/>
  <c r="E66" i="1"/>
  <c r="E269" i="1" s="1"/>
  <c r="E67" i="1"/>
  <c r="D67" i="1"/>
  <c r="C66" i="1"/>
  <c r="B66" i="1"/>
  <c r="C67" i="1"/>
  <c r="F67" i="1"/>
  <c r="M67" i="1"/>
  <c r="S66" i="1"/>
  <c r="S269" i="1" s="1"/>
  <c r="T67" i="1"/>
  <c r="L67" i="1"/>
  <c r="J67" i="1"/>
  <c r="S67" i="1"/>
  <c r="I89" i="1"/>
  <c r="I123" i="1" s="1"/>
  <c r="Q89" i="1"/>
  <c r="Q123" i="1" s="1"/>
  <c r="U89" i="1"/>
  <c r="U123" i="1" s="1"/>
  <c r="F89" i="1"/>
  <c r="F123" i="1" s="1"/>
  <c r="R89" i="1"/>
  <c r="R123" i="1" s="1"/>
  <c r="J89" i="1"/>
  <c r="N89" i="1"/>
  <c r="N90" i="1" s="1"/>
  <c r="N93" i="1" s="1"/>
  <c r="T89" i="1"/>
  <c r="E89" i="1"/>
  <c r="E123" i="1" s="1"/>
  <c r="H89" i="1"/>
  <c r="H123" i="1" s="1"/>
  <c r="S89" i="1"/>
  <c r="V89" i="1"/>
  <c r="V123" i="1" s="1"/>
  <c r="P89" i="1"/>
  <c r="G89" i="1"/>
  <c r="G90" i="1" s="1"/>
  <c r="G93" i="1" s="1"/>
  <c r="L89" i="1"/>
  <c r="K89" i="1"/>
  <c r="AB156" i="1"/>
  <c r="AB158" i="1" s="1"/>
  <c r="AB57" i="1" s="1"/>
  <c r="CP158" i="1"/>
  <c r="AD101" i="1"/>
  <c r="CY101" i="1"/>
  <c r="CV89" i="1"/>
  <c r="CW87" i="1"/>
  <c r="CC1" i="1"/>
  <c r="K76" i="1"/>
  <c r="G76" i="1"/>
  <c r="E76" i="1"/>
  <c r="S72" i="1"/>
  <c r="S258" i="1"/>
  <c r="L258" i="1"/>
  <c r="L72" i="1"/>
  <c r="O217" i="1"/>
  <c r="O219" i="1" s="1"/>
  <c r="O76" i="1"/>
  <c r="B258" i="1"/>
  <c r="B72" i="1"/>
  <c r="M72" i="1"/>
  <c r="M66" i="1"/>
  <c r="M269" i="1" s="1"/>
  <c r="C258" i="1"/>
  <c r="I72" i="1"/>
  <c r="I66" i="1"/>
  <c r="I269" i="1" s="1"/>
  <c r="J72" i="1"/>
  <c r="J66" i="1"/>
  <c r="J269" i="1" s="1"/>
  <c r="F72" i="1"/>
  <c r="F66" i="1"/>
  <c r="F269" i="1" s="1"/>
  <c r="L66" i="1"/>
  <c r="L269" i="1" s="1"/>
  <c r="J258" i="1"/>
  <c r="E217" i="1"/>
  <c r="E219" i="1" s="1"/>
  <c r="R217" i="1"/>
  <c r="R219" i="1" s="1"/>
  <c r="M258" i="1"/>
  <c r="R76" i="1"/>
  <c r="I258" i="1"/>
  <c r="H76" i="1"/>
  <c r="H217" i="1"/>
  <c r="H219" i="1" s="1"/>
  <c r="F258" i="1"/>
  <c r="C72" i="1"/>
  <c r="N217" i="1"/>
  <c r="N219" i="1" s="1"/>
  <c r="N76" i="1"/>
  <c r="G217" i="1"/>
  <c r="G219" i="1" s="1"/>
  <c r="P76" i="1"/>
  <c r="K217" i="1"/>
  <c r="K219" i="1" s="1"/>
  <c r="P217" i="1"/>
  <c r="P219" i="1" s="1"/>
  <c r="U76" i="1"/>
  <c r="U217" i="1"/>
  <c r="U219" i="1" s="1"/>
  <c r="Q76" i="1"/>
  <c r="Q217" i="1"/>
  <c r="Q219" i="1" s="1"/>
  <c r="T76" i="1"/>
  <c r="T217" i="1"/>
  <c r="T219" i="1" s="1"/>
  <c r="X110" i="1" l="1"/>
  <c r="X109" i="1"/>
  <c r="X111" i="1"/>
  <c r="Y94" i="1"/>
  <c r="BW113" i="1"/>
  <c r="CE94" i="1"/>
  <c r="CA110" i="1"/>
  <c r="CD114" i="1" s="1"/>
  <c r="CA109" i="1"/>
  <c r="CA111" i="1"/>
  <c r="R90" i="1"/>
  <c r="R93" i="1" s="1"/>
  <c r="K123" i="1"/>
  <c r="L123" i="1"/>
  <c r="T123" i="1"/>
  <c r="P123" i="1"/>
  <c r="G123" i="1"/>
  <c r="S123" i="1"/>
  <c r="J123" i="1"/>
  <c r="N123" i="1"/>
  <c r="H90" i="1"/>
  <c r="U90" i="1"/>
  <c r="U93" i="1" s="1"/>
  <c r="V90" i="1"/>
  <c r="E90" i="1"/>
  <c r="Q90" i="1"/>
  <c r="T90" i="1"/>
  <c r="T93" i="1" s="1"/>
  <c r="M89" i="1"/>
  <c r="M90" i="1" s="1"/>
  <c r="M93" i="1" s="1"/>
  <c r="O89" i="1"/>
  <c r="O123" i="1" s="1"/>
  <c r="W89" i="1"/>
  <c r="W123" i="1" s="1"/>
  <c r="K90" i="1"/>
  <c r="P90" i="1"/>
  <c r="P93" i="1" s="1"/>
  <c r="CP162" i="1"/>
  <c r="CP227" i="1" s="1"/>
  <c r="CP225" i="1" s="1"/>
  <c r="CQ56" i="1"/>
  <c r="CZ101" i="1"/>
  <c r="AC166" i="1"/>
  <c r="CX87" i="1"/>
  <c r="AD87" i="1" s="1"/>
  <c r="AD89" i="1" s="1"/>
  <c r="CW89" i="1"/>
  <c r="CD1" i="1"/>
  <c r="CE1" i="1" s="1"/>
  <c r="CF1" i="1" s="1"/>
  <c r="CG1" i="1" s="1"/>
  <c r="CH1" i="1" s="1"/>
  <c r="CI1" i="1" s="1"/>
  <c r="CJ1" i="1" s="1"/>
  <c r="CK1" i="1" s="1"/>
  <c r="L217" i="1"/>
  <c r="L219" i="1" s="1"/>
  <c r="J217" i="1"/>
  <c r="J219" i="1" s="1"/>
  <c r="J90" i="1"/>
  <c r="J93" i="1" s="1"/>
  <c r="M217" i="1"/>
  <c r="M219" i="1" s="1"/>
  <c r="B76" i="1"/>
  <c r="F76" i="1"/>
  <c r="F90" i="1"/>
  <c r="F93" i="1" s="1"/>
  <c r="I76" i="1"/>
  <c r="I90" i="1"/>
  <c r="C76" i="1"/>
  <c r="L76" i="1"/>
  <c r="L90" i="1"/>
  <c r="S90" i="1"/>
  <c r="S76" i="1"/>
  <c r="J76" i="1"/>
  <c r="S217" i="1"/>
  <c r="S219" i="1" s="1"/>
  <c r="M76" i="1"/>
  <c r="I217" i="1"/>
  <c r="I219" i="1" s="1"/>
  <c r="F217" i="1"/>
  <c r="F219" i="1" s="1"/>
  <c r="C217" i="1"/>
  <c r="C219" i="1" s="1"/>
  <c r="K93" i="1" l="1"/>
  <c r="Q93" i="1"/>
  <c r="U94" i="1"/>
  <c r="M123" i="1"/>
  <c r="H93" i="1"/>
  <c r="E93" i="1"/>
  <c r="V93" i="1"/>
  <c r="O90" i="1"/>
  <c r="W90" i="1"/>
  <c r="CQ218" i="1"/>
  <c r="CQ156" i="1"/>
  <c r="DA101" i="1"/>
  <c r="CX89" i="1"/>
  <c r="CY87" i="1"/>
  <c r="AB148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N94" i="1"/>
  <c r="G94" i="1"/>
  <c r="S93" i="1"/>
  <c r="I93" i="1"/>
  <c r="J94" i="1" s="1"/>
  <c r="L93" i="1"/>
  <c r="D51" i="2"/>
  <c r="L87" i="2"/>
  <c r="H78" i="2"/>
  <c r="O71" i="2"/>
  <c r="H81" i="2"/>
  <c r="O72" i="2"/>
  <c r="X67" i="2"/>
  <c r="O93" i="2"/>
  <c r="F98" i="2"/>
  <c r="G79" i="2"/>
  <c r="AP93" i="3"/>
  <c r="W28" i="3"/>
  <c r="T33" i="3"/>
  <c r="P22" i="3"/>
  <c r="AC6" i="3"/>
  <c r="AQ14" i="3"/>
  <c r="U26" i="3"/>
  <c r="G75" i="2"/>
  <c r="N56" i="2"/>
  <c r="I65" i="2"/>
  <c r="U48" i="2"/>
  <c r="N41" i="2"/>
  <c r="J106" i="2"/>
  <c r="H98" i="2"/>
  <c r="M107" i="2"/>
  <c r="Q111" i="2"/>
  <c r="L61" i="2"/>
  <c r="AB89" i="3"/>
  <c r="AO33" i="3"/>
  <c r="N39" i="3"/>
  <c r="C22" i="3"/>
  <c r="AO32" i="3"/>
  <c r="AN24" i="3"/>
  <c r="Z23" i="3"/>
  <c r="C20" i="3"/>
  <c r="N16" i="3"/>
  <c r="Z17" i="3"/>
  <c r="I64" i="2"/>
  <c r="I48" i="2"/>
  <c r="I60" i="2"/>
  <c r="V78" i="2"/>
  <c r="E94" i="2"/>
  <c r="H73" i="2"/>
  <c r="L73" i="2"/>
  <c r="N75" i="2"/>
  <c r="W64" i="2"/>
  <c r="G69" i="2"/>
  <c r="AP47" i="3"/>
  <c r="AN31" i="3"/>
  <c r="AH15" i="3"/>
  <c r="P20" i="3"/>
  <c r="AP15" i="3"/>
  <c r="W27" i="3"/>
  <c r="AM23" i="3"/>
  <c r="AC12" i="3"/>
  <c r="M88" i="2"/>
  <c r="Q108" i="2"/>
  <c r="H74" i="2"/>
  <c r="O57" i="2"/>
  <c r="N82" i="2"/>
  <c r="M60" i="2"/>
  <c r="R93" i="2"/>
  <c r="N86" i="2"/>
  <c r="C40" i="2"/>
  <c r="P56" i="2"/>
  <c r="AB78" i="3"/>
  <c r="T24" i="3"/>
  <c r="H13" i="3"/>
  <c r="O41" i="3"/>
  <c r="C34" i="3"/>
  <c r="V7" i="3"/>
  <c r="M37" i="3"/>
  <c r="J40" i="3"/>
  <c r="S22" i="3"/>
  <c r="AD23" i="3"/>
  <c r="K20" i="3"/>
  <c r="Q83" i="2"/>
  <c r="C94" i="2"/>
  <c r="K61" i="2"/>
  <c r="M54" i="2"/>
  <c r="W99" i="2"/>
  <c r="W109" i="2"/>
  <c r="M41" i="2"/>
  <c r="F107" i="2"/>
  <c r="C83" i="2"/>
  <c r="P74" i="2"/>
  <c r="R60" i="2"/>
  <c r="AC18" i="3"/>
  <c r="R69" i="2"/>
  <c r="E76" i="2"/>
  <c r="P59" i="2"/>
  <c r="E65" i="2"/>
  <c r="X44" i="2"/>
  <c r="J99" i="2"/>
  <c r="W51" i="2"/>
  <c r="O112" i="2"/>
  <c r="C44" i="2"/>
  <c r="U107" i="2"/>
  <c r="AP48" i="3"/>
  <c r="O29" i="3"/>
  <c r="AP36" i="3"/>
  <c r="O42" i="3"/>
  <c r="C30" i="3"/>
  <c r="I42" i="3"/>
  <c r="AJ28" i="3"/>
  <c r="K91" i="2"/>
  <c r="M96" i="2"/>
  <c r="W43" i="2"/>
  <c r="W84" i="2"/>
  <c r="O85" i="2"/>
  <c r="E66" i="2"/>
  <c r="Q41" i="2"/>
  <c r="P89" i="2"/>
  <c r="W76" i="2"/>
  <c r="R99" i="2"/>
  <c r="C48" i="3"/>
  <c r="I38" i="3"/>
  <c r="S35" i="3"/>
  <c r="C32" i="3"/>
  <c r="AO34" i="3"/>
  <c r="AB13" i="3"/>
  <c r="AB27" i="3"/>
  <c r="O32" i="3"/>
  <c r="AM19" i="3"/>
  <c r="AJ21" i="3"/>
  <c r="T73" i="2"/>
  <c r="W65" i="2"/>
  <c r="C73" i="2"/>
  <c r="L59" i="2"/>
  <c r="D49" i="2"/>
  <c r="U50" i="2"/>
  <c r="Q112" i="2"/>
  <c r="V82" i="2"/>
  <c r="V91" i="2"/>
  <c r="I79" i="2"/>
  <c r="AP74" i="3"/>
  <c r="H5" i="3"/>
  <c r="T34" i="3"/>
  <c r="V29" i="3"/>
  <c r="AH35" i="3"/>
  <c r="N29" i="3"/>
  <c r="L9" i="3"/>
  <c r="R34" i="3"/>
  <c r="U54" i="2"/>
  <c r="R53" i="2"/>
  <c r="I91" i="2"/>
  <c r="E43" i="2"/>
  <c r="P81" i="2"/>
  <c r="T79" i="2"/>
  <c r="N74" i="2"/>
  <c r="P53" i="2"/>
  <c r="O52" i="2"/>
  <c r="Q73" i="2"/>
  <c r="AP83" i="3"/>
  <c r="AE10" i="3"/>
  <c r="AD20" i="3"/>
  <c r="L31" i="3"/>
  <c r="AC25" i="3"/>
  <c r="X13" i="3"/>
  <c r="J32" i="3"/>
  <c r="Y14" i="3"/>
  <c r="V35" i="3"/>
  <c r="O33" i="3"/>
  <c r="W21" i="3"/>
  <c r="P104" i="2"/>
  <c r="D111" i="2"/>
  <c r="G45" i="2"/>
  <c r="K80" i="2"/>
  <c r="N104" i="2"/>
  <c r="K109" i="2"/>
  <c r="G68" i="2"/>
  <c r="M83" i="2"/>
  <c r="X91" i="2"/>
  <c r="U70" i="2"/>
  <c r="F88" i="2"/>
  <c r="AK5" i="3"/>
  <c r="O17" i="3"/>
  <c r="AH7" i="3"/>
  <c r="P73" i="2"/>
  <c r="S51" i="2"/>
  <c r="W90" i="2"/>
  <c r="F52" i="2"/>
  <c r="V110" i="2"/>
  <c r="E55" i="2"/>
  <c r="T87" i="2"/>
  <c r="O64" i="2"/>
  <c r="G74" i="2"/>
  <c r="G51" i="2"/>
  <c r="AP80" i="3"/>
  <c r="N51" i="2"/>
  <c r="U105" i="2"/>
  <c r="T67" i="2"/>
  <c r="J55" i="2"/>
  <c r="R91" i="2"/>
  <c r="V89" i="2"/>
  <c r="S71" i="2"/>
  <c r="N106" i="2"/>
  <c r="K78" i="2"/>
  <c r="G76" i="2"/>
  <c r="AB55" i="3"/>
  <c r="AO39" i="3"/>
  <c r="AQ18" i="3"/>
  <c r="AP8" i="3"/>
  <c r="H42" i="3"/>
  <c r="AQ22" i="3"/>
  <c r="K10" i="3"/>
  <c r="P37" i="3"/>
  <c r="G71" i="2"/>
  <c r="J46" i="2"/>
  <c r="O82" i="2"/>
  <c r="T66" i="2"/>
  <c r="R63" i="2"/>
  <c r="R112" i="2"/>
  <c r="E83" i="2"/>
  <c r="L99" i="2"/>
  <c r="O67" i="2"/>
  <c r="X81" i="2"/>
  <c r="AP76" i="3"/>
  <c r="U72" i="2"/>
  <c r="S91" i="2"/>
  <c r="Q65" i="2"/>
  <c r="L92" i="2"/>
  <c r="L91" i="2"/>
  <c r="I96" i="2"/>
  <c r="G95" i="2"/>
  <c r="F44" i="2"/>
  <c r="N42" i="2"/>
  <c r="V59" i="2"/>
  <c r="I44" i="2"/>
  <c r="AB79" i="3"/>
  <c r="AL27" i="3"/>
  <c r="X14" i="3"/>
  <c r="AQ36" i="3"/>
  <c r="Q5" i="3"/>
  <c r="AB33" i="3"/>
  <c r="AB25" i="3"/>
  <c r="S87" i="2"/>
  <c r="F110" i="2"/>
  <c r="Q104" i="2"/>
  <c r="O43" i="2"/>
  <c r="I90" i="2"/>
  <c r="P40" i="2"/>
  <c r="V84" i="2"/>
  <c r="D77" i="2"/>
  <c r="T61" i="2"/>
  <c r="L46" i="2"/>
  <c r="AP88" i="3"/>
  <c r="S16" i="3"/>
  <c r="K36" i="3"/>
  <c r="M22" i="3"/>
  <c r="M7" i="3"/>
  <c r="AC16" i="3"/>
  <c r="Y33" i="3"/>
  <c r="T37" i="3"/>
  <c r="AJ19" i="3"/>
  <c r="H83" i="2"/>
  <c r="F84" i="2"/>
  <c r="M80" i="2"/>
  <c r="L68" i="2"/>
  <c r="N48" i="2"/>
  <c r="J110" i="2"/>
  <c r="F90" i="2"/>
  <c r="F91" i="2"/>
  <c r="M90" i="2"/>
  <c r="H57" i="2"/>
  <c r="S95" i="2"/>
  <c r="AP72" i="3"/>
  <c r="AJ25" i="3"/>
  <c r="Y34" i="3"/>
  <c r="N35" i="3"/>
  <c r="AI23" i="3"/>
  <c r="Y7" i="3"/>
  <c r="AO28" i="3"/>
  <c r="Q24" i="3"/>
  <c r="X71" i="2"/>
  <c r="H113" i="2"/>
  <c r="P79" i="2"/>
  <c r="S73" i="2"/>
  <c r="D97" i="2"/>
  <c r="C99" i="2"/>
  <c r="N111" i="2"/>
  <c r="D95" i="2"/>
  <c r="H58" i="2"/>
  <c r="Q51" i="2"/>
  <c r="AB50" i="3"/>
  <c r="Y17" i="3"/>
  <c r="AI21" i="3"/>
  <c r="I13" i="3"/>
  <c r="O6" i="3"/>
  <c r="AO23" i="3"/>
  <c r="AQ24" i="3"/>
  <c r="AP42" i="3"/>
  <c r="V28" i="3"/>
  <c r="AE22" i="3"/>
  <c r="H11" i="3"/>
  <c r="P85" i="2"/>
  <c r="S40" i="2"/>
  <c r="L82" i="2"/>
  <c r="E70" i="2"/>
  <c r="O58" i="2"/>
  <c r="V111" i="2"/>
  <c r="N62" i="2"/>
  <c r="M58" i="2"/>
  <c r="P58" i="2"/>
  <c r="Q44" i="2"/>
  <c r="AB88" i="3"/>
  <c r="AM32" i="3"/>
  <c r="AO20" i="3"/>
  <c r="K113" i="2"/>
  <c r="S67" i="2"/>
  <c r="Q40" i="2"/>
  <c r="H65" i="2"/>
  <c r="Q77" i="2"/>
  <c r="L110" i="2"/>
  <c r="L58" i="2"/>
  <c r="U60" i="2"/>
  <c r="X61" i="2"/>
  <c r="O88" i="2"/>
  <c r="N61" i="2"/>
  <c r="AP89" i="3"/>
  <c r="J109" i="2"/>
  <c r="G107" i="2"/>
  <c r="M105" i="2"/>
  <c r="X90" i="2"/>
  <c r="E41" i="2"/>
  <c r="U67" i="2"/>
  <c r="V99" i="2"/>
  <c r="N69" i="2"/>
  <c r="Q98" i="2"/>
  <c r="O66" i="2"/>
  <c r="AB92" i="3"/>
  <c r="Z10" i="3"/>
  <c r="Q31" i="3"/>
  <c r="C25" i="3"/>
  <c r="C33" i="3"/>
  <c r="T11" i="3"/>
  <c r="AO9" i="3"/>
  <c r="E82" i="2"/>
  <c r="Q85" i="2"/>
  <c r="T97" i="2"/>
  <c r="R48" i="2"/>
  <c r="P70" i="2"/>
  <c r="K105" i="2"/>
  <c r="I86" i="2"/>
  <c r="J42" i="2"/>
  <c r="T56" i="2"/>
  <c r="I69" i="2"/>
  <c r="P45" i="2"/>
  <c r="AB64" i="3"/>
  <c r="S109" i="2"/>
  <c r="W68" i="2"/>
  <c r="R72" i="2"/>
  <c r="AP68" i="3"/>
  <c r="Z11" i="3"/>
  <c r="L23" i="3"/>
  <c r="AH34" i="3"/>
  <c r="AM35" i="3"/>
  <c r="AB32" i="3"/>
  <c r="V20" i="3"/>
  <c r="AL19" i="3"/>
  <c r="AG35" i="3"/>
  <c r="AG14" i="3"/>
  <c r="R86" i="2"/>
  <c r="C42" i="2"/>
  <c r="H62" i="2"/>
  <c r="AB61" i="3"/>
  <c r="X35" i="3"/>
  <c r="C42" i="3"/>
  <c r="AK39" i="3"/>
  <c r="AN42" i="3"/>
  <c r="AQ34" i="3"/>
  <c r="AK15" i="3"/>
  <c r="O37" i="3"/>
  <c r="AM18" i="3"/>
  <c r="X65" i="2"/>
  <c r="M86" i="2"/>
  <c r="J87" i="2"/>
  <c r="F97" i="2"/>
  <c r="L33" i="3"/>
  <c r="AQ9" i="3"/>
  <c r="AB35" i="3"/>
  <c r="V21" i="3"/>
  <c r="C31" i="3"/>
  <c r="AQ17" i="3"/>
  <c r="Z39" i="3"/>
  <c r="M110" i="2"/>
  <c r="E67" i="2"/>
  <c r="J69" i="2"/>
  <c r="C47" i="3"/>
  <c r="AC22" i="3"/>
  <c r="AN17" i="3"/>
  <c r="AN5" i="3"/>
  <c r="R12" i="3"/>
  <c r="M62" i="2"/>
  <c r="T95" i="2"/>
  <c r="J79" i="2"/>
  <c r="C78" i="2"/>
  <c r="AN22" i="3"/>
  <c r="H40" i="3"/>
  <c r="E48" i="3"/>
  <c r="I33" i="3"/>
  <c r="AG12" i="3"/>
  <c r="K9" i="3"/>
  <c r="O77" i="2"/>
  <c r="U68" i="2"/>
  <c r="K51" i="2"/>
  <c r="C51" i="2"/>
  <c r="J15" i="3"/>
  <c r="T98" i="2"/>
  <c r="F78" i="2"/>
  <c r="X64" i="2"/>
  <c r="Q52" i="2"/>
  <c r="V86" i="2"/>
  <c r="R82" i="2"/>
  <c r="C86" i="2"/>
  <c r="U46" i="2"/>
  <c r="F85" i="2"/>
  <c r="R97" i="2"/>
  <c r="AB75" i="3"/>
  <c r="AB19" i="3"/>
  <c r="AP37" i="3"/>
  <c r="S11" i="3"/>
  <c r="W16" i="3"/>
  <c r="AE6" i="3"/>
  <c r="AI18" i="3"/>
  <c r="H66" i="2"/>
  <c r="V64" i="2"/>
  <c r="J83" i="2"/>
  <c r="M61" i="2"/>
  <c r="F76" i="2"/>
  <c r="I50" i="2"/>
  <c r="I112" i="2"/>
  <c r="E44" i="2"/>
  <c r="K85" i="2"/>
  <c r="C79" i="2"/>
  <c r="AP61" i="3"/>
  <c r="AG42" i="3"/>
  <c r="X28" i="3"/>
  <c r="AN27" i="3"/>
  <c r="R26" i="3"/>
  <c r="AP22" i="3"/>
  <c r="AD30" i="3"/>
  <c r="AN21" i="3"/>
  <c r="AK26" i="3"/>
  <c r="U52" i="2"/>
  <c r="M65" i="2"/>
  <c r="V87" i="2"/>
  <c r="Q97" i="2"/>
  <c r="N59" i="2"/>
  <c r="T104" i="2"/>
  <c r="L76" i="2"/>
  <c r="G104" i="2"/>
  <c r="N109" i="2"/>
  <c r="V44" i="2"/>
  <c r="N57" i="2"/>
  <c r="AP60" i="3"/>
  <c r="AP41" i="3"/>
  <c r="AK17" i="3"/>
  <c r="N21" i="3"/>
  <c r="K21" i="3"/>
  <c r="W41" i="3"/>
  <c r="AJ18" i="3"/>
  <c r="V26" i="3"/>
  <c r="T92" i="2"/>
  <c r="O107" i="2"/>
  <c r="S60" i="2"/>
  <c r="U71" i="2"/>
  <c r="M44" i="2"/>
  <c r="F86" i="2"/>
  <c r="T47" i="2"/>
  <c r="F64" i="2"/>
  <c r="W86" i="2"/>
  <c r="H109" i="2"/>
  <c r="AP92" i="3"/>
  <c r="AH33" i="3"/>
  <c r="W29" i="3"/>
  <c r="AI5" i="3"/>
  <c r="R28" i="3"/>
  <c r="K24" i="3"/>
  <c r="J23" i="3"/>
  <c r="AJ35" i="3"/>
  <c r="O31" i="3"/>
  <c r="W14" i="3"/>
  <c r="X10" i="3"/>
  <c r="K107" i="2"/>
  <c r="J112" i="2"/>
  <c r="D83" i="2"/>
  <c r="L72" i="2"/>
  <c r="K60" i="2"/>
  <c r="K70" i="2"/>
  <c r="D46" i="2"/>
  <c r="G63" i="2"/>
  <c r="G80" i="2"/>
  <c r="T70" i="2"/>
  <c r="AB80" i="3"/>
  <c r="J41" i="3"/>
  <c r="Q35" i="3"/>
  <c r="Q43" i="2"/>
  <c r="C88" i="2"/>
  <c r="F80" i="2"/>
  <c r="Q96" i="2"/>
  <c r="R61" i="2"/>
  <c r="H87" i="2"/>
  <c r="X95" i="2"/>
  <c r="N95" i="2"/>
  <c r="K69" i="2"/>
  <c r="X86" i="2"/>
  <c r="M108" i="2"/>
  <c r="AB85" i="3"/>
  <c r="L85" i="2"/>
  <c r="J56" i="2"/>
  <c r="V40" i="2"/>
  <c r="J75" i="2"/>
  <c r="W95" i="2"/>
  <c r="C55" i="2"/>
  <c r="C106" i="2"/>
  <c r="M79" i="2"/>
  <c r="V77" i="2"/>
  <c r="G62" i="2"/>
  <c r="AP79" i="3"/>
  <c r="V8" i="3"/>
  <c r="AH42" i="3"/>
  <c r="M9" i="3"/>
  <c r="AI31" i="3"/>
  <c r="AP17" i="3"/>
  <c r="M8" i="3"/>
  <c r="O113" i="2"/>
  <c r="G109" i="2"/>
  <c r="I85" i="2"/>
  <c r="P42" i="2"/>
  <c r="S79" i="2"/>
  <c r="P62" i="2"/>
  <c r="S97" i="2"/>
  <c r="W41" i="2"/>
  <c r="T71" i="2"/>
  <c r="X104" i="2"/>
  <c r="S64" i="2"/>
  <c r="AB95" i="3"/>
  <c r="K94" i="2"/>
  <c r="T80" i="2"/>
  <c r="M72" i="2"/>
  <c r="AP59" i="3"/>
  <c r="AO21" i="3"/>
  <c r="AJ8" i="3"/>
  <c r="AQ30" i="3"/>
  <c r="AN11" i="3"/>
  <c r="R19" i="3"/>
  <c r="AO26" i="3"/>
  <c r="AP38" i="3"/>
  <c r="S111" i="2"/>
  <c r="V10" i="3"/>
  <c r="P46" i="2"/>
  <c r="M78" i="2"/>
  <c r="V93" i="2"/>
  <c r="AP71" i="3"/>
  <c r="V41" i="3"/>
  <c r="U28" i="3"/>
  <c r="AO16" i="3"/>
  <c r="M28" i="3"/>
  <c r="K28" i="3"/>
  <c r="C26" i="3"/>
  <c r="L11" i="3"/>
  <c r="C16" i="3"/>
  <c r="U84" i="2"/>
  <c r="W59" i="2"/>
  <c r="J97" i="2"/>
  <c r="AB81" i="3"/>
  <c r="V12" i="3"/>
  <c r="S27" i="3"/>
  <c r="Q14" i="3"/>
  <c r="AD42" i="3"/>
  <c r="AM31" i="3"/>
  <c r="U13" i="3"/>
  <c r="Z16" i="3"/>
  <c r="K76" i="2"/>
  <c r="X113" i="2"/>
  <c r="U59" i="2"/>
  <c r="AB86" i="3"/>
  <c r="M23" i="3"/>
  <c r="R14" i="3"/>
  <c r="Z7" i="3"/>
  <c r="AC41" i="3"/>
  <c r="P50" i="2"/>
  <c r="T50" i="2"/>
  <c r="F51" i="2"/>
  <c r="F77" i="2"/>
  <c r="L63" i="2"/>
  <c r="J72" i="2"/>
  <c r="I52" i="2"/>
  <c r="V52" i="2"/>
  <c r="I84" i="2"/>
  <c r="R49" i="2"/>
  <c r="U95" i="2"/>
  <c r="M70" i="2"/>
  <c r="U86" i="2"/>
  <c r="H76" i="2"/>
  <c r="AB82" i="3"/>
  <c r="AC39" i="3"/>
  <c r="W34" i="3"/>
  <c r="T30" i="3"/>
  <c r="K19" i="3"/>
  <c r="AO41" i="3"/>
  <c r="I24" i="3"/>
  <c r="I94" i="2"/>
  <c r="K97" i="2"/>
  <c r="W97" i="2"/>
  <c r="X60" i="2"/>
  <c r="L47" i="2"/>
  <c r="M52" i="2"/>
  <c r="M73" i="2"/>
  <c r="T60" i="2"/>
  <c r="C80" i="2"/>
  <c r="K106" i="2"/>
  <c r="AB63" i="3"/>
  <c r="P10" i="3"/>
  <c r="W19" i="3"/>
  <c r="AI10" i="3"/>
  <c r="AQ19" i="3"/>
  <c r="M30" i="3"/>
  <c r="J20" i="3"/>
  <c r="V22" i="3"/>
  <c r="U38" i="3"/>
  <c r="Q113" i="2"/>
  <c r="S82" i="2"/>
  <c r="V88" i="2"/>
  <c r="E49" i="2"/>
  <c r="V51" i="2"/>
  <c r="S55" i="2"/>
  <c r="O45" i="2"/>
  <c r="P61" i="2"/>
  <c r="K65" i="2"/>
  <c r="M64" i="2"/>
  <c r="V83" i="2"/>
  <c r="C21" i="3"/>
  <c r="Q27" i="3"/>
  <c r="M36" i="3"/>
  <c r="AQ32" i="3"/>
  <c r="AO31" i="3"/>
  <c r="AO38" i="3"/>
  <c r="AK35" i="3"/>
  <c r="AA29" i="3"/>
  <c r="D93" i="2"/>
  <c r="J41" i="2"/>
  <c r="O40" i="2"/>
  <c r="Q99" i="2"/>
  <c r="X47" i="2"/>
  <c r="F60" i="2"/>
  <c r="O51" i="2"/>
  <c r="L66" i="2"/>
  <c r="Q50" i="2"/>
  <c r="F81" i="2"/>
  <c r="AP54" i="3"/>
  <c r="X12" i="3"/>
  <c r="AN12" i="3"/>
  <c r="AM5" i="3"/>
  <c r="AH40" i="3"/>
  <c r="X29" i="3"/>
  <c r="X32" i="3"/>
  <c r="AO35" i="3"/>
  <c r="O12" i="3"/>
  <c r="Q17" i="3"/>
  <c r="X15" i="3"/>
  <c r="H91" i="2"/>
  <c r="G106" i="2"/>
  <c r="D98" i="2"/>
  <c r="H53" i="2"/>
  <c r="V113" i="2"/>
  <c r="K98" i="2"/>
  <c r="M112" i="2"/>
  <c r="K92" i="2"/>
  <c r="M63" i="2"/>
  <c r="J98" i="2"/>
  <c r="AB93" i="3"/>
  <c r="Y40" i="3"/>
  <c r="AI30" i="3"/>
  <c r="U49" i="2"/>
  <c r="E53" i="2"/>
  <c r="S96" i="2"/>
  <c r="V43" i="2"/>
  <c r="S112" i="2"/>
  <c r="M69" i="2"/>
  <c r="K53" i="2"/>
  <c r="F54" i="2"/>
  <c r="H47" i="2"/>
  <c r="K41" i="2"/>
  <c r="X85" i="2"/>
  <c r="Z30" i="3"/>
  <c r="R90" i="2"/>
  <c r="W63" i="2"/>
  <c r="M76" i="2"/>
  <c r="F87" i="2"/>
  <c r="P98" i="2"/>
  <c r="S49" i="2"/>
  <c r="E98" i="2"/>
  <c r="N113" i="2"/>
  <c r="T109" i="2"/>
  <c r="O50" i="2"/>
  <c r="AB62" i="3"/>
  <c r="L25" i="3"/>
  <c r="AP30" i="3"/>
  <c r="AK24" i="3"/>
  <c r="N32" i="3"/>
  <c r="I18" i="3"/>
  <c r="U25" i="3"/>
  <c r="U66" i="2"/>
  <c r="N97" i="2"/>
  <c r="Q63" i="2"/>
  <c r="Q91" i="2"/>
  <c r="O106" i="2"/>
  <c r="L94" i="2"/>
  <c r="D96" i="2"/>
  <c r="V56" i="2"/>
  <c r="O104" i="2"/>
  <c r="G94" i="2"/>
  <c r="K111" i="2"/>
  <c r="P32" i="3"/>
  <c r="O74" i="2"/>
  <c r="L77" i="2"/>
  <c r="V98" i="2"/>
  <c r="C70" i="2"/>
  <c r="F104" i="2"/>
  <c r="S70" i="2"/>
  <c r="U58" i="2"/>
  <c r="C64" i="2"/>
  <c r="G91" i="2"/>
  <c r="P44" i="2"/>
  <c r="E59" i="2"/>
  <c r="L106" i="2"/>
  <c r="R50" i="2"/>
  <c r="AP50" i="3"/>
  <c r="S12" i="3"/>
  <c r="S42" i="3"/>
  <c r="AJ23" i="3"/>
  <c r="AG38" i="3"/>
  <c r="N8" i="3"/>
  <c r="AD47" i="3"/>
  <c r="F73" i="2"/>
  <c r="O75" i="2"/>
  <c r="D92" i="2"/>
  <c r="I62" i="2"/>
  <c r="L71" i="2"/>
  <c r="C109" i="2"/>
  <c r="H96" i="2"/>
  <c r="S75" i="2"/>
  <c r="G85" i="2"/>
  <c r="X54" i="2"/>
  <c r="AP95" i="3"/>
  <c r="I23" i="3"/>
  <c r="N5" i="3"/>
  <c r="Q29" i="3"/>
  <c r="G50" i="3"/>
  <c r="AD48" i="3"/>
  <c r="H23" i="3"/>
  <c r="T9" i="3"/>
  <c r="AI13" i="3"/>
  <c r="H43" i="2"/>
  <c r="N68" i="2"/>
  <c r="U97" i="2"/>
  <c r="F83" i="2"/>
  <c r="V58" i="2"/>
  <c r="L89" i="2"/>
  <c r="E57" i="2"/>
  <c r="O80" i="2"/>
  <c r="K55" i="2"/>
  <c r="I93" i="2"/>
  <c r="L109" i="2"/>
  <c r="AP12" i="3"/>
  <c r="E47" i="3"/>
  <c r="AA17" i="3"/>
  <c r="J8" i="3"/>
  <c r="R42" i="3"/>
  <c r="N28" i="3"/>
  <c r="W42" i="3"/>
  <c r="T111" i="2"/>
  <c r="V85" i="2"/>
  <c r="L90" i="2"/>
  <c r="G44" i="2"/>
  <c r="H86" i="2"/>
  <c r="U45" i="2"/>
  <c r="C57" i="2"/>
  <c r="C105" i="2"/>
  <c r="W82" i="2"/>
  <c r="K56" i="2"/>
  <c r="I74" i="2"/>
  <c r="H48" i="2"/>
  <c r="V61" i="2"/>
  <c r="L43" i="2"/>
  <c r="I72" i="2"/>
  <c r="O46" i="2"/>
  <c r="X55" i="2"/>
  <c r="E74" i="2"/>
  <c r="N71" i="2"/>
  <c r="M111" i="2"/>
  <c r="AP64" i="3"/>
  <c r="H28" i="3"/>
  <c r="R15" i="3"/>
  <c r="Y28" i="3"/>
  <c r="L22" i="3"/>
  <c r="Z26" i="3"/>
  <c r="V57" i="2"/>
  <c r="J66" i="2"/>
  <c r="Q84" i="2"/>
  <c r="L70" i="2"/>
  <c r="F74" i="2"/>
  <c r="P80" i="2"/>
  <c r="K110" i="2"/>
  <c r="I46" i="2"/>
  <c r="J86" i="2"/>
  <c r="E73" i="2"/>
  <c r="C95" i="2"/>
  <c r="AB67" i="3"/>
  <c r="AE24" i="3"/>
  <c r="U41" i="3"/>
  <c r="V33" i="3"/>
  <c r="AG23" i="3"/>
  <c r="Z36" i="3"/>
  <c r="AN38" i="3"/>
  <c r="Y35" i="3"/>
  <c r="R5" i="3"/>
  <c r="U98" i="2"/>
  <c r="M55" i="2"/>
  <c r="I54" i="2"/>
  <c r="I109" i="2"/>
  <c r="K47" i="2"/>
  <c r="R75" i="2"/>
  <c r="X88" i="2"/>
  <c r="V104" i="2"/>
  <c r="V109" i="2"/>
  <c r="R65" i="2"/>
  <c r="U51" i="2"/>
  <c r="V16" i="3"/>
  <c r="N40" i="3"/>
  <c r="L5" i="3"/>
  <c r="AL10" i="3"/>
  <c r="Z31" i="3"/>
  <c r="C39" i="3"/>
  <c r="AM7" i="3"/>
  <c r="J54" i="2"/>
  <c r="X106" i="2"/>
  <c r="I41" i="2"/>
  <c r="D88" i="2"/>
  <c r="R57" i="2"/>
  <c r="G57" i="2"/>
  <c r="U73" i="2"/>
  <c r="R70" i="2"/>
  <c r="I111" i="2"/>
  <c r="P57" i="2"/>
  <c r="W112" i="2"/>
  <c r="AP69" i="3"/>
  <c r="AI16" i="3"/>
  <c r="AG28" i="3"/>
  <c r="AL22" i="3"/>
  <c r="V27" i="3"/>
  <c r="V11" i="3"/>
  <c r="Z20" i="3"/>
  <c r="AQ31" i="3"/>
  <c r="H8" i="3"/>
  <c r="T5" i="3"/>
  <c r="O35" i="3"/>
  <c r="G40" i="2"/>
  <c r="P65" i="2"/>
  <c r="E61" i="2"/>
  <c r="S78" i="2"/>
  <c r="D52" i="2"/>
  <c r="F48" i="2"/>
  <c r="N53" i="2"/>
  <c r="U69" i="2"/>
  <c r="J96" i="2"/>
  <c r="H93" i="2"/>
  <c r="AP81" i="3"/>
  <c r="AK37" i="3"/>
  <c r="X36" i="3"/>
  <c r="H51" i="2"/>
  <c r="G41" i="2"/>
  <c r="F47" i="2"/>
  <c r="C48" i="2"/>
  <c r="U41" i="2"/>
  <c r="O42" i="2"/>
  <c r="J108" i="2"/>
  <c r="K66" i="2"/>
  <c r="O92" i="2"/>
  <c r="U93" i="2"/>
  <c r="P110" i="2"/>
  <c r="O62" i="2"/>
  <c r="H34" i="3"/>
  <c r="AA34" i="3"/>
  <c r="H27" i="3"/>
  <c r="I15" i="3"/>
  <c r="AE33" i="3"/>
  <c r="S21" i="3"/>
  <c r="N87" i="2"/>
  <c r="R41" i="2"/>
  <c r="U76" i="2"/>
  <c r="R92" i="2"/>
  <c r="S81" i="2"/>
  <c r="N89" i="2"/>
  <c r="N94" i="2"/>
  <c r="X58" i="2"/>
  <c r="C75" i="2"/>
  <c r="D106" i="2"/>
  <c r="C108" i="2"/>
  <c r="AB76" i="3"/>
  <c r="K38" i="3"/>
  <c r="Y39" i="3"/>
  <c r="AO24" i="3"/>
  <c r="AB24" i="3"/>
  <c r="AJ32" i="3"/>
  <c r="AL29" i="3"/>
  <c r="AE35" i="3"/>
  <c r="Z14" i="3"/>
  <c r="P105" i="2"/>
  <c r="L107" i="2"/>
  <c r="T51" i="2"/>
  <c r="X40" i="2"/>
  <c r="T85" i="2"/>
  <c r="Q48" i="2"/>
  <c r="Q105" i="2"/>
  <c r="W58" i="2"/>
  <c r="C97" i="2"/>
  <c r="S58" i="2"/>
  <c r="V95" i="2"/>
  <c r="AJ17" i="3"/>
  <c r="AM25" i="3"/>
  <c r="J25" i="3"/>
  <c r="AC19" i="3"/>
  <c r="U33" i="3"/>
  <c r="AE28" i="3"/>
  <c r="AH26" i="3"/>
  <c r="V42" i="2"/>
  <c r="O73" i="2"/>
  <c r="L88" i="2"/>
  <c r="G97" i="2"/>
  <c r="P72" i="2"/>
  <c r="S105" i="2"/>
  <c r="S48" i="2"/>
  <c r="D55" i="2"/>
  <c r="D58" i="2"/>
  <c r="G42" i="2"/>
  <c r="F82" i="2"/>
  <c r="R29" i="3"/>
  <c r="X7" i="3"/>
  <c r="AJ16" i="3"/>
  <c r="W7" i="3"/>
  <c r="AG30" i="3"/>
  <c r="AQ42" i="3"/>
  <c r="AE36" i="3"/>
  <c r="R31" i="3"/>
  <c r="AM6" i="3"/>
  <c r="AO22" i="3"/>
  <c r="AA40" i="3"/>
  <c r="U42" i="2"/>
  <c r="V96" i="2"/>
  <c r="P71" i="2"/>
  <c r="W47" i="2"/>
  <c r="X82" i="2"/>
  <c r="W55" i="2"/>
  <c r="E68" i="2"/>
  <c r="C77" i="2"/>
  <c r="I105" i="2"/>
  <c r="K64" i="2"/>
  <c r="AP85" i="3"/>
  <c r="M34" i="3"/>
  <c r="P13" i="3"/>
  <c r="P51" i="2"/>
  <c r="X94" i="2"/>
  <c r="J53" i="2"/>
  <c r="Q49" i="2"/>
  <c r="Q70" i="2"/>
  <c r="L74" i="2"/>
  <c r="V50" i="2"/>
  <c r="K96" i="2"/>
  <c r="S110" i="2"/>
  <c r="D94" i="2"/>
  <c r="C63" i="2"/>
  <c r="E109" i="2"/>
  <c r="E110" i="2"/>
  <c r="S77" i="2"/>
  <c r="Q87" i="2"/>
  <c r="G84" i="2"/>
  <c r="X72" i="2"/>
  <c r="O96" i="2"/>
  <c r="J105" i="2"/>
  <c r="R71" i="2"/>
  <c r="S90" i="2"/>
  <c r="I73" i="2"/>
  <c r="AB84" i="3"/>
  <c r="AE9" i="3"/>
  <c r="AL31" i="3"/>
  <c r="AE19" i="3"/>
  <c r="C24" i="3"/>
  <c r="K6" i="3"/>
  <c r="P15" i="3"/>
  <c r="P83" i="2"/>
  <c r="C41" i="2"/>
  <c r="C67" i="2"/>
  <c r="U53" i="2"/>
  <c r="J94" i="2"/>
  <c r="X96" i="2"/>
  <c r="X42" i="2"/>
  <c r="M43" i="2"/>
  <c r="J77" i="2"/>
  <c r="T58" i="2"/>
  <c r="AB83" i="3"/>
  <c r="G36" i="3"/>
  <c r="C58" i="2"/>
  <c r="Q88" i="2"/>
  <c r="D67" i="2"/>
  <c r="AL41" i="3"/>
  <c r="J62" i="2"/>
  <c r="F53" i="2"/>
  <c r="N93" i="2"/>
  <c r="J104" i="2"/>
  <c r="C76" i="2"/>
  <c r="U88" i="2"/>
  <c r="E111" i="2"/>
  <c r="V41" i="2"/>
  <c r="E40" i="2"/>
  <c r="O70" i="2"/>
  <c r="F67" i="2"/>
  <c r="AN8" i="3"/>
  <c r="J12" i="3"/>
  <c r="Y25" i="3"/>
  <c r="AP14" i="3"/>
  <c r="C9" i="3"/>
  <c r="X21" i="3"/>
  <c r="Q45" i="2"/>
  <c r="N85" i="2"/>
  <c r="I71" i="2"/>
  <c r="S61" i="2"/>
  <c r="P54" i="2"/>
  <c r="M77" i="2"/>
  <c r="I59" i="2"/>
  <c r="H92" i="2"/>
  <c r="Q80" i="2"/>
  <c r="J88" i="2"/>
  <c r="X68" i="2"/>
  <c r="AM33" i="3"/>
  <c r="AB41" i="3"/>
  <c r="AB22" i="3"/>
  <c r="AP26" i="3"/>
  <c r="H25" i="3"/>
  <c r="Y36" i="3"/>
  <c r="L42" i="3"/>
  <c r="AQ5" i="3"/>
  <c r="AG9" i="3"/>
  <c r="I57" i="2"/>
  <c r="H75" i="2"/>
  <c r="D48" i="2"/>
  <c r="T72" i="2"/>
  <c r="W72" i="2"/>
  <c r="W85" i="2"/>
  <c r="S76" i="2"/>
  <c r="C68" i="2"/>
  <c r="D73" i="2"/>
  <c r="N46" i="2"/>
  <c r="AP84" i="3"/>
  <c r="AP25" i="3"/>
  <c r="I16" i="3"/>
  <c r="AC37" i="3"/>
  <c r="Z24" i="3"/>
  <c r="AA5" i="3"/>
  <c r="AJ12" i="3"/>
  <c r="J6" i="3"/>
  <c r="F55" i="2"/>
  <c r="G90" i="2"/>
  <c r="P109" i="2"/>
  <c r="C84" i="2"/>
  <c r="D81" i="2"/>
  <c r="T46" i="2"/>
  <c r="G93" i="2"/>
  <c r="J113" i="2"/>
  <c r="V70" i="2"/>
  <c r="F59" i="2"/>
  <c r="M42" i="2"/>
  <c r="T8" i="3"/>
  <c r="I9" i="3"/>
  <c r="AG15" i="3"/>
  <c r="L30" i="3"/>
  <c r="AP31" i="3"/>
  <c r="AL38" i="3"/>
  <c r="Y8" i="3"/>
  <c r="P28" i="3"/>
  <c r="T15" i="3"/>
  <c r="AP32" i="3"/>
  <c r="M106" i="2"/>
  <c r="J107" i="2"/>
  <c r="O76" i="2"/>
  <c r="N107" i="2"/>
  <c r="C98" i="2"/>
  <c r="R77" i="2"/>
  <c r="H72" i="2"/>
  <c r="V63" i="2"/>
  <c r="M75" i="2"/>
  <c r="U110" i="2"/>
  <c r="H59" i="2"/>
  <c r="AP77" i="3"/>
  <c r="C7" i="3"/>
  <c r="AI9" i="3"/>
  <c r="V60" i="2"/>
  <c r="E63" i="2"/>
  <c r="C85" i="2"/>
  <c r="L55" i="2"/>
  <c r="Q95" i="2"/>
  <c r="S68" i="2"/>
  <c r="E108" i="2"/>
  <c r="U112" i="2"/>
  <c r="V53" i="2"/>
  <c r="G78" i="2"/>
  <c r="AP56" i="3"/>
  <c r="J92" i="2"/>
  <c r="R44" i="2"/>
  <c r="G73" i="2"/>
  <c r="R79" i="2"/>
  <c r="W62" i="2"/>
  <c r="U47" i="2"/>
  <c r="S107" i="2"/>
  <c r="T83" i="2"/>
  <c r="F56" i="2"/>
  <c r="D68" i="2"/>
  <c r="T63" i="2"/>
  <c r="W5" i="3"/>
  <c r="M29" i="3"/>
  <c r="AM40" i="3"/>
  <c r="R6" i="3"/>
  <c r="AC17" i="3"/>
  <c r="X22" i="3"/>
  <c r="AO12" i="3"/>
  <c r="T76" i="2"/>
  <c r="D90" i="2"/>
  <c r="G92" i="2"/>
  <c r="U92" i="2"/>
  <c r="P41" i="2"/>
  <c r="R98" i="2"/>
  <c r="J68" i="2"/>
  <c r="X105" i="2"/>
  <c r="V46" i="2"/>
  <c r="G64" i="2"/>
  <c r="AB73" i="3"/>
  <c r="AP10" i="3"/>
  <c r="D63" i="2"/>
  <c r="E71" i="2"/>
  <c r="U43" i="2"/>
  <c r="R36" i="3"/>
  <c r="P113" i="2"/>
  <c r="P94" i="2"/>
  <c r="M50" i="2"/>
  <c r="J59" i="2"/>
  <c r="R88" i="2"/>
  <c r="W94" i="2"/>
  <c r="I97" i="2"/>
  <c r="V112" i="2"/>
  <c r="S52" i="2"/>
  <c r="L42" i="2"/>
  <c r="H55" i="2"/>
  <c r="AI12" i="3"/>
  <c r="AP19" i="3"/>
  <c r="AN20" i="3"/>
  <c r="Q19" i="3"/>
  <c r="AJ34" i="3"/>
  <c r="AH32" i="3"/>
  <c r="W50" i="2"/>
  <c r="W91" i="2"/>
  <c r="O89" i="2"/>
  <c r="F94" i="2"/>
  <c r="P106" i="2"/>
  <c r="H94" i="2"/>
  <c r="N73" i="2"/>
  <c r="N83" i="2"/>
  <c r="M74" i="2"/>
  <c r="X80" i="2"/>
  <c r="D42" i="2"/>
  <c r="H17" i="3"/>
  <c r="H14" i="3"/>
  <c r="Z12" i="3"/>
  <c r="AK11" i="3"/>
  <c r="T10" i="3"/>
  <c r="R37" i="3"/>
  <c r="AD36" i="3"/>
  <c r="L40" i="3"/>
  <c r="AM15" i="3"/>
  <c r="O69" i="2"/>
  <c r="I68" i="2"/>
  <c r="G113" i="2"/>
  <c r="E47" i="2"/>
  <c r="R108" i="2"/>
  <c r="M49" i="2"/>
  <c r="R47" i="2"/>
  <c r="D64" i="2"/>
  <c r="D43" i="2"/>
  <c r="N44" i="2"/>
  <c r="AP66" i="3"/>
  <c r="W26" i="3"/>
  <c r="AE25" i="3"/>
  <c r="AL9" i="3"/>
  <c r="L16" i="3"/>
  <c r="O30" i="3"/>
  <c r="C6" i="3"/>
  <c r="R27" i="3"/>
  <c r="L54" i="2"/>
  <c r="D89" i="2"/>
  <c r="N65" i="2"/>
  <c r="T53" i="2"/>
  <c r="S46" i="2"/>
  <c r="W49" i="2"/>
  <c r="L53" i="2"/>
  <c r="G59" i="2"/>
  <c r="G54" i="2"/>
  <c r="J60" i="2"/>
  <c r="S98" i="2"/>
  <c r="L32" i="3"/>
  <c r="AN9" i="3"/>
  <c r="AB37" i="3"/>
  <c r="R17" i="3"/>
  <c r="AK36" i="3"/>
  <c r="P40" i="3"/>
  <c r="AG31" i="3"/>
  <c r="C13" i="3"/>
  <c r="W30" i="3"/>
  <c r="AI33" i="3"/>
  <c r="I89" i="2"/>
  <c r="L75" i="2"/>
  <c r="X49" i="2"/>
  <c r="W113" i="2"/>
  <c r="X46" i="2"/>
  <c r="Q106" i="2"/>
  <c r="V76" i="2"/>
  <c r="Q75" i="2"/>
  <c r="D59" i="2"/>
  <c r="P52" i="2"/>
  <c r="D107" i="2"/>
  <c r="AP73" i="3"/>
  <c r="AH13" i="3"/>
  <c r="AK27" i="3"/>
  <c r="E75" i="2"/>
  <c r="D66" i="2"/>
  <c r="Q109" i="2"/>
  <c r="S89" i="2"/>
  <c r="D105" i="2"/>
  <c r="J91" i="2"/>
  <c r="S45" i="2"/>
  <c r="S41" i="2"/>
  <c r="H80" i="2"/>
  <c r="W79" i="2"/>
  <c r="AP86" i="3"/>
  <c r="V106" i="2"/>
  <c r="T64" i="2"/>
  <c r="J78" i="2"/>
  <c r="T99" i="2"/>
  <c r="P111" i="2"/>
  <c r="E92" i="2"/>
  <c r="J76" i="2"/>
  <c r="E50" i="2"/>
  <c r="H67" i="2"/>
  <c r="R104" i="2"/>
  <c r="L40" i="2"/>
  <c r="J36" i="3"/>
  <c r="AD28" i="3"/>
  <c r="M39" i="3"/>
  <c r="AM9" i="3"/>
  <c r="AM24" i="3"/>
  <c r="P95" i="2"/>
  <c r="T113" i="2"/>
  <c r="F65" i="2"/>
  <c r="P97" i="2"/>
  <c r="F92" i="2"/>
  <c r="H50" i="2"/>
  <c r="V69" i="2"/>
  <c r="C54" i="2"/>
  <c r="T91" i="2"/>
  <c r="J45" i="2"/>
  <c r="L83" i="2"/>
  <c r="U21" i="3"/>
  <c r="Z25" i="3"/>
  <c r="M32" i="3"/>
  <c r="Z9" i="3"/>
  <c r="AI32" i="3"/>
  <c r="AM29" i="3"/>
  <c r="T59" i="2"/>
  <c r="R52" i="2"/>
  <c r="F63" i="2"/>
  <c r="Q71" i="2"/>
  <c r="T54" i="2"/>
  <c r="V48" i="2"/>
  <c r="M98" i="2"/>
  <c r="J64" i="2"/>
  <c r="O111" i="2"/>
  <c r="S42" i="2"/>
  <c r="C91" i="2"/>
  <c r="Z19" i="3"/>
  <c r="AI11" i="3"/>
  <c r="AA36" i="3"/>
  <c r="AN6" i="3"/>
  <c r="K15" i="3"/>
  <c r="L27" i="3"/>
  <c r="J5" i="3"/>
  <c r="AA18" i="3"/>
  <c r="T27" i="3"/>
  <c r="P96" i="2"/>
  <c r="C50" i="2"/>
  <c r="F96" i="2"/>
  <c r="I70" i="2"/>
  <c r="W81" i="2"/>
  <c r="I63" i="2"/>
  <c r="Q64" i="2"/>
  <c r="J85" i="2"/>
  <c r="P49" i="2"/>
  <c r="D113" i="2"/>
  <c r="AP90" i="3"/>
  <c r="AQ29" i="3"/>
  <c r="Q33" i="3"/>
  <c r="AE11" i="3"/>
  <c r="AJ20" i="3"/>
  <c r="D50" i="3"/>
  <c r="H15" i="3"/>
  <c r="W23" i="3"/>
  <c r="G43" i="2"/>
  <c r="R46" i="2"/>
  <c r="D65" i="2"/>
  <c r="J52" i="2"/>
  <c r="R66" i="2"/>
  <c r="D84" i="2"/>
  <c r="Q90" i="2"/>
  <c r="V66" i="2"/>
  <c r="X43" i="2"/>
  <c r="C61" i="2"/>
  <c r="C87" i="2"/>
  <c r="R18" i="3"/>
  <c r="AE21" i="3"/>
  <c r="P8" i="3"/>
  <c r="AP28" i="3"/>
  <c r="AL15" i="3"/>
  <c r="P17" i="3"/>
  <c r="AM34" i="3"/>
  <c r="AG41" i="3"/>
  <c r="AH18" i="3"/>
  <c r="AH8" i="3"/>
  <c r="O56" i="2"/>
  <c r="D61" i="2"/>
  <c r="G58" i="2"/>
  <c r="S99" i="2"/>
  <c r="G61" i="2"/>
  <c r="L111" i="2"/>
  <c r="D74" i="2"/>
  <c r="O99" i="2"/>
  <c r="P86" i="2"/>
  <c r="N54" i="2"/>
  <c r="L105" i="2"/>
  <c r="S7" i="3"/>
  <c r="C38" i="3"/>
  <c r="L6" i="3"/>
  <c r="G72" i="2"/>
  <c r="K86" i="2"/>
  <c r="H82" i="2"/>
  <c r="K44" i="2"/>
  <c r="K99" i="2"/>
  <c r="I53" i="2"/>
  <c r="J74" i="2"/>
  <c r="T89" i="2"/>
  <c r="T93" i="2"/>
  <c r="I58" i="2"/>
  <c r="AB90" i="3"/>
  <c r="R67" i="2"/>
  <c r="T77" i="2"/>
  <c r="U82" i="2"/>
  <c r="G81" i="2"/>
  <c r="G82" i="2"/>
  <c r="K42" i="2"/>
  <c r="W69" i="2"/>
  <c r="R76" i="2"/>
  <c r="F58" i="2"/>
  <c r="E112" i="2"/>
  <c r="X45" i="2"/>
  <c r="AN33" i="3"/>
  <c r="S33" i="3"/>
  <c r="AD38" i="3"/>
  <c r="Q38" i="3"/>
  <c r="AA32" i="3"/>
  <c r="AG34" i="3"/>
  <c r="L17" i="3"/>
  <c r="P76" i="2"/>
  <c r="V49" i="2"/>
  <c r="M92" i="2"/>
  <c r="S53" i="2"/>
  <c r="T94" i="2"/>
  <c r="W54" i="2"/>
  <c r="L79" i="2"/>
  <c r="M84" i="2"/>
  <c r="C107" i="2"/>
  <c r="Q110" i="2"/>
  <c r="V9" i="3"/>
  <c r="V54" i="2"/>
  <c r="N7" i="3"/>
  <c r="W96" i="2"/>
  <c r="R38" i="3"/>
  <c r="U79" i="2"/>
  <c r="C82" i="2"/>
  <c r="Z34" i="3"/>
  <c r="S85" i="2"/>
  <c r="V90" i="2"/>
  <c r="K57" i="2"/>
  <c r="H107" i="2"/>
  <c r="O81" i="2"/>
  <c r="U94" i="2"/>
  <c r="S65" i="2"/>
  <c r="AB20" i="3"/>
  <c r="C8" i="3"/>
  <c r="AQ26" i="3"/>
  <c r="C46" i="2"/>
  <c r="F49" i="2"/>
  <c r="J111" i="2"/>
  <c r="G86" i="2"/>
  <c r="AH23" i="3"/>
  <c r="N90" i="2"/>
  <c r="I40" i="2"/>
  <c r="AH36" i="3"/>
  <c r="AM20" i="3"/>
  <c r="AK14" i="3"/>
  <c r="N17" i="3"/>
  <c r="V19" i="3"/>
  <c r="AC24" i="3"/>
  <c r="W9" i="3"/>
  <c r="P90" i="2"/>
  <c r="G89" i="2"/>
  <c r="E107" i="2"/>
  <c r="K13" i="3"/>
  <c r="AD32" i="3"/>
  <c r="Q9" i="3"/>
  <c r="T20" i="3"/>
  <c r="AC40" i="3"/>
  <c r="N25" i="3"/>
  <c r="N20" i="3"/>
  <c r="I95" i="2"/>
  <c r="T90" i="2"/>
  <c r="D71" i="2"/>
  <c r="C49" i="3"/>
  <c r="AH14" i="3"/>
  <c r="L36" i="3"/>
  <c r="AQ25" i="3"/>
  <c r="AL13" i="3"/>
  <c r="Z28" i="3"/>
  <c r="Q62" i="2"/>
  <c r="C71" i="2"/>
  <c r="U77" i="2"/>
  <c r="AB68" i="3"/>
  <c r="G35" i="3"/>
  <c r="AH29" i="3"/>
  <c r="Y15" i="3"/>
  <c r="AL14" i="3"/>
  <c r="I104" i="2"/>
  <c r="R113" i="2"/>
  <c r="E77" i="2"/>
  <c r="P25" i="3"/>
  <c r="L28" i="3"/>
  <c r="AA33" i="3"/>
  <c r="X37" i="3"/>
  <c r="V36" i="3"/>
  <c r="M40" i="2"/>
  <c r="X98" i="2"/>
  <c r="E54" i="2"/>
  <c r="AB71" i="3"/>
  <c r="I30" i="3"/>
  <c r="U74" i="2"/>
  <c r="Q68" i="2"/>
  <c r="J70" i="2"/>
  <c r="J81" i="2"/>
  <c r="X24" i="3"/>
  <c r="E72" i="2"/>
  <c r="O94" i="2"/>
  <c r="O20" i="3"/>
  <c r="L49" i="2"/>
  <c r="C92" i="2"/>
  <c r="AP70" i="3"/>
  <c r="T21" i="3"/>
  <c r="T55" i="2"/>
  <c r="K81" i="2"/>
  <c r="AQ8" i="3"/>
  <c r="L52" i="2"/>
  <c r="Q81" i="2"/>
  <c r="V108" i="2"/>
  <c r="H104" i="2"/>
  <c r="R110" i="2"/>
  <c r="P108" i="2"/>
  <c r="T105" i="2"/>
  <c r="K29" i="3"/>
  <c r="I40" i="3"/>
  <c r="V55" i="2"/>
  <c r="V72" i="2"/>
  <c r="C47" i="2"/>
  <c r="E93" i="2"/>
  <c r="E48" i="2"/>
  <c r="M71" i="2"/>
  <c r="W107" i="2"/>
  <c r="K63" i="2"/>
  <c r="AK29" i="3"/>
  <c r="E50" i="3"/>
  <c r="AN10" i="3"/>
  <c r="O40" i="3"/>
  <c r="AP21" i="3"/>
  <c r="AG11" i="3"/>
  <c r="AE30" i="3"/>
  <c r="U104" i="2"/>
  <c r="D110" i="2"/>
  <c r="K71" i="2"/>
  <c r="N26" i="3"/>
  <c r="AN25" i="3"/>
  <c r="Y37" i="3"/>
  <c r="AL18" i="3"/>
  <c r="X41" i="3"/>
  <c r="AD31" i="3"/>
  <c r="W36" i="3"/>
  <c r="E90" i="2"/>
  <c r="R81" i="2"/>
  <c r="E88" i="2"/>
  <c r="AI6" i="3"/>
  <c r="G40" i="3"/>
  <c r="AH41" i="3"/>
  <c r="K14" i="3"/>
  <c r="Y10" i="3"/>
  <c r="J7" i="3"/>
  <c r="T45" i="2"/>
  <c r="J47" i="2"/>
  <c r="I43" i="2"/>
  <c r="AG39" i="3"/>
  <c r="AH37" i="3"/>
  <c r="AE5" i="3"/>
  <c r="AP27" i="3"/>
  <c r="Y41" i="3"/>
  <c r="C96" i="2"/>
  <c r="S72" i="2"/>
  <c r="G83" i="2"/>
  <c r="M15" i="3"/>
  <c r="AL39" i="3"/>
  <c r="AA14" i="3"/>
  <c r="K12" i="3"/>
  <c r="K37" i="3"/>
  <c r="L86" i="2"/>
  <c r="X62" i="2"/>
  <c r="G50" i="2"/>
  <c r="N24" i="3"/>
  <c r="V30" i="3"/>
  <c r="X73" i="2"/>
  <c r="O105" i="2"/>
  <c r="L96" i="2"/>
  <c r="L97" i="2"/>
  <c r="AJ41" i="3"/>
  <c r="C15" i="3"/>
  <c r="R10" i="3"/>
  <c r="U29" i="3"/>
  <c r="AM36" i="3"/>
  <c r="W8" i="3"/>
  <c r="V80" i="2"/>
  <c r="O44" i="2"/>
  <c r="U91" i="2"/>
  <c r="F111" i="2"/>
  <c r="G88" i="2"/>
  <c r="O109" i="2"/>
  <c r="T32" i="3"/>
  <c r="AC8" i="3"/>
  <c r="H108" i="2"/>
  <c r="R42" i="2"/>
  <c r="AB29" i="3"/>
  <c r="R96" i="2"/>
  <c r="S57" i="2"/>
  <c r="AB70" i="3"/>
  <c r="AD25" i="3"/>
  <c r="I67" i="2"/>
  <c r="X52" i="2"/>
  <c r="C19" i="3"/>
  <c r="N78" i="2"/>
  <c r="C45" i="2"/>
  <c r="R94" i="2"/>
  <c r="O48" i="2"/>
  <c r="K45" i="2"/>
  <c r="D87" i="2"/>
  <c r="M67" i="2"/>
  <c r="N34" i="3"/>
  <c r="AN19" i="3"/>
  <c r="S80" i="2"/>
  <c r="K108" i="2"/>
  <c r="O90" i="2"/>
  <c r="M95" i="2"/>
  <c r="P77" i="2"/>
  <c r="P55" i="2"/>
  <c r="O86" i="2"/>
  <c r="O47" i="2"/>
  <c r="AA31" i="3"/>
  <c r="AA41" i="3"/>
  <c r="W38" i="3"/>
  <c r="AD22" i="3"/>
  <c r="Z33" i="3"/>
  <c r="AD39" i="3"/>
  <c r="AH28" i="3"/>
  <c r="D80" i="2"/>
  <c r="M45" i="2"/>
  <c r="S113" i="2"/>
  <c r="R25" i="3"/>
  <c r="H36" i="3"/>
  <c r="AG36" i="3"/>
  <c r="AI39" i="3"/>
  <c r="AN41" i="3"/>
  <c r="O19" i="3"/>
  <c r="AE41" i="3"/>
  <c r="D109" i="2"/>
  <c r="E104" i="2"/>
  <c r="V81" i="2"/>
  <c r="AJ31" i="3"/>
  <c r="AP16" i="3"/>
  <c r="AP18" i="3"/>
  <c r="N31" i="3"/>
  <c r="T29" i="3"/>
  <c r="V38" i="3"/>
  <c r="M48" i="2"/>
  <c r="H70" i="2"/>
  <c r="O65" i="2"/>
  <c r="AK31" i="3"/>
  <c r="AO14" i="3"/>
  <c r="G39" i="3"/>
  <c r="R11" i="3"/>
  <c r="V39" i="3"/>
  <c r="C53" i="2"/>
  <c r="L98" i="2"/>
  <c r="AP96" i="3"/>
  <c r="I39" i="3"/>
  <c r="T26" i="3"/>
  <c r="AE17" i="3"/>
  <c r="U7" i="3"/>
  <c r="H39" i="3"/>
  <c r="X59" i="2"/>
  <c r="V73" i="2"/>
  <c r="O53" i="2"/>
  <c r="T17" i="3"/>
  <c r="AK42" i="3"/>
  <c r="V107" i="2"/>
  <c r="H41" i="2"/>
  <c r="X56" i="2"/>
  <c r="AB59" i="3"/>
  <c r="AE34" i="3"/>
  <c r="H45" i="2"/>
  <c r="P75" i="2"/>
  <c r="O26" i="3"/>
  <c r="C110" i="2"/>
  <c r="M97" i="2"/>
  <c r="AL20" i="3"/>
  <c r="Z32" i="3"/>
  <c r="O49" i="2"/>
  <c r="N49" i="2"/>
  <c r="O18" i="3"/>
  <c r="Q67" i="2"/>
  <c r="T81" i="2"/>
  <c r="R68" i="2"/>
  <c r="P91" i="2"/>
  <c r="G48" i="2"/>
  <c r="T82" i="2"/>
  <c r="J67" i="2"/>
  <c r="U24" i="3"/>
  <c r="N30" i="3"/>
  <c r="U44" i="2"/>
  <c r="M46" i="2"/>
  <c r="W42" i="2"/>
  <c r="F79" i="2"/>
  <c r="X112" i="2"/>
  <c r="J61" i="2"/>
  <c r="W80" i="2"/>
  <c r="AB49" i="3"/>
  <c r="R40" i="3"/>
  <c r="AK7" i="3"/>
  <c r="X17" i="3"/>
  <c r="G34" i="3"/>
  <c r="AH39" i="3"/>
  <c r="AN30" i="3"/>
  <c r="AB36" i="3"/>
  <c r="F50" i="2"/>
  <c r="P47" i="2"/>
  <c r="S59" i="2"/>
  <c r="AJ22" i="3"/>
  <c r="S40" i="3"/>
  <c r="AL21" i="3"/>
  <c r="K11" i="3"/>
  <c r="AB9" i="3"/>
  <c r="AJ13" i="3"/>
  <c r="R39" i="3"/>
  <c r="O95" i="2"/>
  <c r="S92" i="2"/>
  <c r="H42" i="2"/>
  <c r="S31" i="3"/>
  <c r="AK30" i="3"/>
  <c r="I10" i="3"/>
  <c r="AL24" i="3"/>
  <c r="T42" i="3"/>
  <c r="X25" i="3"/>
  <c r="E46" i="2"/>
  <c r="M99" i="2"/>
  <c r="N79" i="2"/>
  <c r="AD50" i="3"/>
  <c r="J18" i="3"/>
  <c r="AI42" i="3"/>
  <c r="AK23" i="3"/>
  <c r="T108" i="2"/>
  <c r="U96" i="2"/>
  <c r="X76" i="2"/>
  <c r="AB96" i="3"/>
  <c r="AB23" i="3"/>
  <c r="AO25" i="3"/>
  <c r="H16" i="3"/>
  <c r="X39" i="3"/>
  <c r="AK16" i="3"/>
  <c r="C81" i="2"/>
  <c r="N105" i="2"/>
  <c r="K40" i="2"/>
  <c r="R24" i="3"/>
  <c r="O36" i="3"/>
  <c r="N84" i="2"/>
  <c r="F109" i="2"/>
  <c r="E56" i="2"/>
  <c r="AP58" i="3"/>
  <c r="AM21" i="3"/>
  <c r="T16" i="3"/>
  <c r="AA11" i="3"/>
  <c r="M42" i="3"/>
  <c r="K32" i="3"/>
  <c r="K5" i="3"/>
  <c r="W44" i="2"/>
  <c r="N99" i="2"/>
  <c r="S94" i="2"/>
  <c r="C69" i="2"/>
  <c r="O55" i="2"/>
  <c r="AB77" i="3"/>
  <c r="H6" i="3"/>
  <c r="Y31" i="3"/>
  <c r="U23" i="3"/>
  <c r="K30" i="3"/>
  <c r="AE13" i="3"/>
  <c r="Q10" i="3"/>
  <c r="L65" i="2"/>
  <c r="M35" i="3"/>
  <c r="AN40" i="3"/>
  <c r="X6" i="3"/>
  <c r="AD29" i="3"/>
  <c r="AC32" i="3"/>
  <c r="T40" i="2"/>
  <c r="AE7" i="3"/>
  <c r="X8" i="3"/>
  <c r="N41" i="3"/>
  <c r="AN23" i="3"/>
  <c r="O87" i="2"/>
  <c r="H79" i="2"/>
  <c r="AE42" i="3"/>
  <c r="AG40" i="3"/>
  <c r="G105" i="2"/>
  <c r="AL5" i="3"/>
  <c r="G66" i="2"/>
  <c r="L95" i="2"/>
  <c r="Z8" i="3"/>
  <c r="AB8" i="3"/>
  <c r="AA22" i="3"/>
  <c r="L24" i="3"/>
  <c r="AA27" i="3"/>
  <c r="J16" i="3"/>
  <c r="X87" i="2"/>
  <c r="P11" i="3"/>
  <c r="N43" i="2"/>
  <c r="C49" i="2"/>
  <c r="R32" i="3"/>
  <c r="Q13" i="3"/>
  <c r="M68" i="2"/>
  <c r="Z37" i="3"/>
  <c r="AJ9" i="3"/>
  <c r="H18" i="3"/>
  <c r="AH30" i="3"/>
  <c r="I11" i="3"/>
  <c r="L81" i="2"/>
  <c r="N92" i="2"/>
  <c r="T19" i="3"/>
  <c r="C93" i="2"/>
  <c r="K95" i="2"/>
  <c r="AP29" i="3"/>
  <c r="K77" i="2"/>
  <c r="S93" i="2"/>
  <c r="AB40" i="3"/>
  <c r="Q26" i="3"/>
  <c r="AB6" i="3"/>
  <c r="P30" i="3"/>
  <c r="I8" i="3"/>
  <c r="AA21" i="3"/>
  <c r="J95" i="2"/>
  <c r="AL30" i="3"/>
  <c r="AB60" i="3"/>
  <c r="Q92" i="2"/>
  <c r="AL26" i="3"/>
  <c r="K58" i="2"/>
  <c r="I92" i="2"/>
  <c r="AE32" i="3"/>
  <c r="L12" i="3"/>
  <c r="P67" i="2"/>
  <c r="T112" i="2"/>
  <c r="H40" i="2"/>
  <c r="D57" i="2"/>
  <c r="L57" i="2"/>
  <c r="T49" i="2"/>
  <c r="S44" i="2"/>
  <c r="O83" i="2"/>
  <c r="D112" i="2"/>
  <c r="U65" i="2"/>
  <c r="H24" i="3"/>
  <c r="AN29" i="3"/>
  <c r="U99" i="2"/>
  <c r="L48" i="2"/>
  <c r="Q82" i="2"/>
  <c r="I87" i="2"/>
  <c r="L67" i="2"/>
  <c r="J43" i="2"/>
  <c r="J73" i="2"/>
  <c r="I22" i="3"/>
  <c r="L20" i="3"/>
  <c r="T12" i="3"/>
  <c r="S29" i="3"/>
  <c r="I17" i="3"/>
  <c r="AK8" i="3"/>
  <c r="AL36" i="3"/>
  <c r="AE37" i="3"/>
  <c r="I78" i="2"/>
  <c r="R51" i="2"/>
  <c r="Q60" i="2"/>
  <c r="V24" i="3"/>
  <c r="T28" i="3"/>
  <c r="P29" i="3"/>
  <c r="J39" i="3"/>
  <c r="AG22" i="3"/>
  <c r="AE29" i="3"/>
  <c r="AO18" i="3"/>
  <c r="O84" i="2"/>
  <c r="L69" i="2"/>
  <c r="G49" i="2"/>
  <c r="P34" i="3"/>
  <c r="AN7" i="3"/>
  <c r="J13" i="3"/>
  <c r="D48" i="3"/>
  <c r="AE16" i="3"/>
  <c r="L39" i="3"/>
  <c r="E84" i="2"/>
  <c r="S108" i="2"/>
  <c r="X111" i="2"/>
  <c r="W22" i="3"/>
  <c r="W24" i="3"/>
  <c r="P19" i="3"/>
  <c r="H29" i="3"/>
  <c r="I98" i="2"/>
  <c r="U81" i="2"/>
  <c r="H69" i="2"/>
  <c r="AP67" i="3"/>
  <c r="AG7" i="3"/>
  <c r="H32" i="3"/>
  <c r="AL6" i="3"/>
  <c r="AJ42" i="3"/>
  <c r="K8" i="3"/>
  <c r="K50" i="2"/>
  <c r="K88" i="2"/>
  <c r="Q107" i="2"/>
  <c r="AE14" i="3"/>
  <c r="C4" i="3"/>
  <c r="J50" i="2"/>
  <c r="D76" i="2"/>
  <c r="D104" i="2"/>
  <c r="AP49" i="3"/>
  <c r="U31" i="3"/>
  <c r="Y30" i="3"/>
  <c r="AM37" i="3"/>
  <c r="AK32" i="3"/>
  <c r="M16" i="3"/>
  <c r="AD41" i="3"/>
  <c r="C74" i="2"/>
  <c r="K89" i="2"/>
  <c r="E86" i="2"/>
  <c r="U62" i="2"/>
  <c r="D60" i="2"/>
  <c r="AP87" i="3"/>
  <c r="AB34" i="3"/>
  <c r="AE8" i="3"/>
  <c r="M12" i="3"/>
  <c r="Q37" i="3"/>
  <c r="I32" i="3"/>
  <c r="AH6" i="3"/>
  <c r="M85" i="2"/>
  <c r="I28" i="3"/>
  <c r="AL25" i="3"/>
  <c r="T13" i="3"/>
  <c r="I51" i="2"/>
  <c r="N22" i="3"/>
  <c r="D79" i="2"/>
  <c r="P27" i="3"/>
  <c r="AJ10" i="3"/>
  <c r="AA35" i="3"/>
  <c r="P21" i="3"/>
  <c r="O5" i="3"/>
  <c r="F43" i="2"/>
  <c r="U37" i="3"/>
  <c r="N18" i="3"/>
  <c r="G41" i="3"/>
  <c r="R62" i="2"/>
  <c r="Q61" i="2"/>
  <c r="F99" i="2"/>
  <c r="S32" i="3"/>
  <c r="V17" i="3"/>
  <c r="K16" i="3"/>
  <c r="AH16" i="3"/>
  <c r="N10" i="3"/>
  <c r="AC14" i="3"/>
  <c r="I5" i="3"/>
  <c r="AN28" i="3"/>
  <c r="J35" i="3"/>
  <c r="AM26" i="3"/>
  <c r="O41" i="2"/>
  <c r="T22" i="3"/>
  <c r="H30" i="3"/>
  <c r="I21" i="3"/>
  <c r="C90" i="2"/>
  <c r="AD19" i="3"/>
  <c r="AM8" i="3"/>
  <c r="AL35" i="3"/>
  <c r="G47" i="2"/>
  <c r="O23" i="3"/>
  <c r="S50" i="2"/>
  <c r="J28" i="3"/>
  <c r="AB94" i="3"/>
  <c r="V92" i="2"/>
  <c r="AG17" i="3"/>
  <c r="AQ35" i="3"/>
  <c r="W71" i="2"/>
  <c r="F66" i="2"/>
  <c r="N60" i="2"/>
  <c r="E60" i="2"/>
  <c r="O59" i="2"/>
  <c r="U108" i="2"/>
  <c r="H64" i="2"/>
  <c r="X79" i="2"/>
  <c r="J44" i="2"/>
  <c r="AB65" i="3"/>
  <c r="S34" i="3"/>
  <c r="AL7" i="3"/>
  <c r="U80" i="2"/>
  <c r="S43" i="2"/>
  <c r="D86" i="2"/>
  <c r="G87" i="2"/>
  <c r="M59" i="2"/>
  <c r="W98" i="2"/>
  <c r="H71" i="2"/>
  <c r="AQ13" i="3"/>
  <c r="AI38" i="3"/>
  <c r="AE38" i="3"/>
  <c r="Y5" i="3"/>
  <c r="U8" i="3"/>
  <c r="Y27" i="3"/>
  <c r="AC28" i="3"/>
  <c r="C29" i="3"/>
  <c r="T69" i="2"/>
  <c r="L45" i="2"/>
  <c r="T52" i="2"/>
  <c r="AA25" i="3"/>
  <c r="AP9" i="3"/>
  <c r="AL12" i="3"/>
  <c r="AP24" i="3"/>
  <c r="AK18" i="3"/>
  <c r="P23" i="3"/>
  <c r="Q21" i="3"/>
  <c r="O68" i="2"/>
  <c r="P99" i="2"/>
  <c r="T86" i="2"/>
  <c r="AK12" i="3"/>
  <c r="AN34" i="3"/>
  <c r="AI22" i="3"/>
  <c r="N23" i="3"/>
  <c r="I31" i="3"/>
  <c r="J29" i="3"/>
  <c r="T88" i="2"/>
  <c r="E99" i="2"/>
  <c r="E113" i="2"/>
  <c r="AI24" i="3"/>
  <c r="AB30" i="3"/>
  <c r="W13" i="3"/>
  <c r="P36" i="3"/>
  <c r="S106" i="2"/>
  <c r="I66" i="2"/>
  <c r="C52" i="2"/>
  <c r="L19" i="3"/>
  <c r="AN35" i="3"/>
  <c r="Y24" i="3"/>
  <c r="I20" i="3"/>
  <c r="AC11" i="3"/>
  <c r="L41" i="3"/>
  <c r="S74" i="2"/>
  <c r="I61" i="2"/>
  <c r="N91" i="2"/>
  <c r="AM14" i="3"/>
  <c r="V5" i="3"/>
  <c r="X50" i="2"/>
  <c r="S84" i="2"/>
  <c r="S83" i="2"/>
  <c r="AJ38" i="3"/>
  <c r="AC36" i="3"/>
  <c r="AH10" i="3"/>
  <c r="AP39" i="3"/>
  <c r="Z5" i="3"/>
  <c r="O13" i="3"/>
  <c r="AO27" i="3"/>
  <c r="W92" i="2"/>
  <c r="I55" i="2"/>
  <c r="X70" i="2"/>
  <c r="W105" i="2"/>
  <c r="Q42" i="2"/>
  <c r="AB74" i="3"/>
  <c r="Y18" i="3"/>
  <c r="H35" i="3"/>
  <c r="Z40" i="3"/>
  <c r="O14" i="3"/>
  <c r="S10" i="3"/>
  <c r="H22" i="3"/>
  <c r="D85" i="2"/>
  <c r="N14" i="3"/>
  <c r="Y26" i="3"/>
  <c r="AN14" i="3"/>
  <c r="M10" i="3"/>
  <c r="H84" i="2"/>
  <c r="X77" i="2"/>
  <c r="G37" i="3"/>
  <c r="H52" i="2"/>
  <c r="O34" i="3"/>
  <c r="U30" i="3"/>
  <c r="C43" i="2"/>
  <c r="AB38" i="3"/>
  <c r="AE26" i="3"/>
  <c r="L113" i="2"/>
  <c r="F62" i="2"/>
  <c r="M66" i="2"/>
  <c r="W77" i="2"/>
  <c r="T106" i="2"/>
  <c r="N98" i="2"/>
  <c r="X75" i="2"/>
  <c r="E58" i="2"/>
  <c r="E91" i="2"/>
  <c r="AB58" i="3"/>
  <c r="M20" i="3"/>
  <c r="AD21" i="3"/>
  <c r="P66" i="2"/>
  <c r="I77" i="2"/>
  <c r="W111" i="2"/>
  <c r="E80" i="2"/>
  <c r="F93" i="2"/>
  <c r="D53" i="2"/>
  <c r="O60" i="2"/>
  <c r="AD35" i="3"/>
  <c r="J27" i="3"/>
  <c r="N42" i="3"/>
  <c r="Q42" i="3"/>
  <c r="P14" i="3"/>
  <c r="AO42" i="3"/>
  <c r="L15" i="3"/>
  <c r="W20" i="3"/>
  <c r="V75" i="2"/>
  <c r="Q93" i="2"/>
  <c r="J90" i="2"/>
  <c r="N19" i="3"/>
  <c r="J38" i="3"/>
  <c r="M27" i="3"/>
  <c r="AK38" i="3"/>
  <c r="AO36" i="3"/>
  <c r="Q28" i="3"/>
  <c r="AI29" i="3"/>
  <c r="K49" i="2"/>
  <c r="T68" i="2"/>
  <c r="O91" i="2"/>
  <c r="Z15" i="3"/>
  <c r="M26" i="3"/>
  <c r="R41" i="3"/>
  <c r="AN36" i="3"/>
  <c r="C18" i="3"/>
  <c r="Q6" i="3"/>
  <c r="T84" i="2"/>
  <c r="F68" i="2"/>
  <c r="E97" i="2"/>
  <c r="X27" i="3"/>
  <c r="L14" i="3"/>
  <c r="R9" i="3"/>
  <c r="U16" i="3"/>
  <c r="X83" i="2"/>
  <c r="N72" i="2"/>
  <c r="U106" i="2"/>
  <c r="M17" i="3"/>
  <c r="R30" i="3"/>
  <c r="W31" i="3"/>
  <c r="AH19" i="3"/>
  <c r="M19" i="3"/>
  <c r="K26" i="3"/>
  <c r="P68" i="2"/>
  <c r="N40" i="2"/>
  <c r="S47" i="2"/>
  <c r="AA42" i="3"/>
  <c r="E106" i="2"/>
  <c r="H112" i="2"/>
  <c r="E89" i="2"/>
  <c r="X53" i="2"/>
  <c r="Q34" i="3"/>
  <c r="AN37" i="3"/>
  <c r="AQ21" i="3"/>
  <c r="AQ15" i="3"/>
  <c r="N96" i="2"/>
  <c r="C12" i="3"/>
  <c r="O97" i="2"/>
  <c r="G108" i="2"/>
  <c r="AM11" i="3"/>
  <c r="J84" i="2"/>
  <c r="AM12" i="3"/>
  <c r="AE27" i="3"/>
  <c r="R58" i="2"/>
  <c r="E96" i="2"/>
  <c r="T44" i="2"/>
  <c r="U56" i="2"/>
  <c r="E105" i="2"/>
  <c r="X84" i="2"/>
  <c r="D70" i="2"/>
  <c r="H46" i="2"/>
  <c r="I45" i="2"/>
  <c r="AB56" i="3"/>
  <c r="AH11" i="3"/>
  <c r="AD40" i="3"/>
  <c r="N45" i="2"/>
  <c r="W88" i="2"/>
  <c r="S88" i="2"/>
  <c r="P60" i="2"/>
  <c r="AB48" i="3"/>
  <c r="O78" i="2"/>
  <c r="L64" i="2"/>
  <c r="I19" i="3"/>
  <c r="P18" i="3"/>
  <c r="AO17" i="3"/>
  <c r="AL32" i="3"/>
  <c r="S14" i="3"/>
  <c r="AI17" i="3"/>
  <c r="Q12" i="3"/>
  <c r="AB16" i="3"/>
  <c r="N58" i="2"/>
  <c r="D91" i="2"/>
  <c r="C66" i="2"/>
  <c r="AA8" i="3"/>
  <c r="L26" i="3"/>
  <c r="D69" i="2"/>
  <c r="J17" i="3"/>
  <c r="X74" i="2"/>
  <c r="M87" i="2"/>
  <c r="O8" i="3"/>
  <c r="K68" i="2"/>
  <c r="C17" i="3"/>
  <c r="AH20" i="3"/>
  <c r="N76" i="2"/>
  <c r="AP65" i="3"/>
  <c r="G46" i="2"/>
  <c r="M113" i="2"/>
  <c r="L104" i="2"/>
  <c r="L78" i="2"/>
  <c r="R78" i="2"/>
  <c r="E81" i="2"/>
  <c r="X48" i="2"/>
  <c r="AB69" i="3"/>
  <c r="AA6" i="3"/>
  <c r="U9" i="3"/>
  <c r="F108" i="2"/>
  <c r="F42" i="2"/>
  <c r="H56" i="2"/>
  <c r="Q86" i="2"/>
  <c r="AP55" i="3"/>
  <c r="T65" i="2"/>
  <c r="J48" i="2"/>
  <c r="I36" i="3"/>
  <c r="AC7" i="3"/>
  <c r="AC26" i="3"/>
  <c r="K27" i="3"/>
  <c r="AG25" i="3"/>
  <c r="AJ27" i="3"/>
  <c r="U5" i="3"/>
  <c r="V37" i="3"/>
  <c r="E64" i="2"/>
  <c r="L108" i="2"/>
  <c r="H77" i="2"/>
  <c r="W40" i="3"/>
  <c r="S38" i="3"/>
  <c r="AL40" i="3"/>
  <c r="AG16" i="3"/>
  <c r="T6" i="3"/>
  <c r="AB91" i="3"/>
  <c r="AI14" i="3"/>
  <c r="D108" i="2"/>
  <c r="G110" i="2"/>
  <c r="T57" i="2"/>
  <c r="AM22" i="3"/>
  <c r="U22" i="3"/>
  <c r="AB14" i="3"/>
  <c r="X23" i="3"/>
  <c r="K41" i="3"/>
  <c r="J33" i="3"/>
  <c r="D50" i="2"/>
  <c r="U83" i="2"/>
  <c r="E87" i="2"/>
  <c r="V31" i="3"/>
  <c r="O24" i="3"/>
  <c r="U34" i="3"/>
  <c r="C56" i="2"/>
  <c r="E62" i="2"/>
  <c r="H44" i="2"/>
  <c r="I81" i="2"/>
  <c r="S36" i="3"/>
  <c r="T41" i="3"/>
  <c r="AK13" i="3"/>
  <c r="AJ39" i="3"/>
  <c r="C36" i="3"/>
  <c r="M41" i="3"/>
  <c r="K62" i="2"/>
  <c r="V71" i="2"/>
  <c r="D40" i="2"/>
  <c r="W6" i="3"/>
  <c r="W48" i="2"/>
  <c r="Q66" i="2"/>
  <c r="V94" i="2"/>
  <c r="X97" i="2"/>
  <c r="P5" i="3"/>
  <c r="O16" i="3"/>
  <c r="L38" i="3"/>
  <c r="Q15" i="3"/>
  <c r="Q20" i="3"/>
  <c r="X20" i="3"/>
  <c r="L112" i="2"/>
  <c r="U87" i="2"/>
  <c r="R45" i="2"/>
  <c r="N112" i="2"/>
  <c r="U63" i="2"/>
  <c r="H63" i="2"/>
  <c r="N15" i="3"/>
  <c r="V18" i="3"/>
  <c r="W11" i="3"/>
  <c r="AD26" i="3"/>
  <c r="Y42" i="3"/>
  <c r="S28" i="3"/>
  <c r="P84" i="2"/>
  <c r="T75" i="2"/>
  <c r="H21" i="3"/>
  <c r="W25" i="3"/>
  <c r="AC21" i="3"/>
  <c r="K72" i="2"/>
  <c r="AG26" i="3"/>
  <c r="V97" i="2"/>
  <c r="J21" i="3"/>
  <c r="X19" i="3"/>
  <c r="AJ5" i="3"/>
  <c r="AJ24" i="3"/>
  <c r="N47" i="2"/>
  <c r="AB72" i="3"/>
  <c r="Y23" i="3"/>
  <c r="X18" i="3"/>
  <c r="AK9" i="3"/>
  <c r="S37" i="3"/>
  <c r="R33" i="3"/>
  <c r="N52" i="2"/>
  <c r="R20" i="3"/>
  <c r="AD49" i="3"/>
  <c r="AO40" i="3"/>
  <c r="AB12" i="3"/>
  <c r="T48" i="2"/>
  <c r="AG33" i="3"/>
  <c r="O63" i="2"/>
  <c r="S15" i="3"/>
  <c r="AG24" i="3"/>
  <c r="Q72" i="2"/>
  <c r="G48" i="3"/>
  <c r="F105" i="2"/>
  <c r="K40" i="3"/>
  <c r="X9" i="3"/>
  <c r="F113" i="2"/>
  <c r="L93" i="2"/>
  <c r="T41" i="2"/>
  <c r="S54" i="2"/>
  <c r="AI27" i="3"/>
  <c r="U20" i="3"/>
  <c r="AH9" i="3"/>
  <c r="H9" i="3"/>
  <c r="K35" i="3"/>
  <c r="Y22" i="3"/>
  <c r="Z27" i="3"/>
  <c r="P31" i="3"/>
  <c r="AQ23" i="3"/>
  <c r="O54" i="2"/>
  <c r="I27" i="3"/>
  <c r="R84" i="2"/>
  <c r="V40" i="3"/>
  <c r="P48" i="2"/>
  <c r="U11" i="3"/>
  <c r="T42" i="2"/>
  <c r="P41" i="3"/>
  <c r="AA13" i="3"/>
  <c r="D56" i="2"/>
  <c r="AG32" i="3"/>
  <c r="AP40" i="3"/>
  <c r="E69" i="2"/>
  <c r="K93" i="2"/>
  <c r="W56" i="2"/>
  <c r="AP62" i="3"/>
  <c r="H105" i="2"/>
  <c r="H37" i="3"/>
  <c r="E42" i="2"/>
  <c r="X57" i="2"/>
  <c r="AC33" i="3"/>
  <c r="W110" i="2"/>
  <c r="X38" i="3"/>
  <c r="V15" i="3"/>
  <c r="T107" i="2"/>
  <c r="O22" i="3"/>
  <c r="G77" i="2"/>
  <c r="R85" i="2"/>
  <c r="W78" i="2"/>
  <c r="AP57" i="3"/>
  <c r="W57" i="2"/>
  <c r="V105" i="2"/>
  <c r="H68" i="2"/>
  <c r="AM16" i="3"/>
  <c r="AL16" i="3"/>
  <c r="U14" i="3"/>
  <c r="H110" i="2"/>
  <c r="F106" i="2"/>
  <c r="N108" i="2"/>
  <c r="K46" i="2"/>
  <c r="AP63" i="3"/>
  <c r="L51" i="2"/>
  <c r="K112" i="2"/>
  <c r="J37" i="3"/>
  <c r="O11" i="3"/>
  <c r="AH25" i="3"/>
  <c r="AC35" i="3"/>
  <c r="Q18" i="3"/>
  <c r="T36" i="3"/>
  <c r="AO15" i="3"/>
  <c r="C35" i="3"/>
  <c r="K104" i="2"/>
  <c r="H89" i="2"/>
  <c r="G60" i="2"/>
  <c r="Y11" i="3"/>
  <c r="AL42" i="3"/>
  <c r="Z13" i="3"/>
  <c r="N11" i="3"/>
  <c r="AI26" i="3"/>
  <c r="W18" i="3"/>
  <c r="Q11" i="3"/>
  <c r="M82" i="2"/>
  <c r="W89" i="2"/>
  <c r="R40" i="2"/>
  <c r="L8" i="3"/>
  <c r="AI28" i="3"/>
  <c r="N6" i="3"/>
  <c r="AO5" i="3"/>
  <c r="U17" i="3"/>
  <c r="AB17" i="3"/>
  <c r="J65" i="2"/>
  <c r="Q94" i="2"/>
  <c r="N70" i="2"/>
  <c r="Y13" i="3"/>
  <c r="AI19" i="3"/>
  <c r="AN16" i="3"/>
  <c r="O28" i="3"/>
  <c r="T78" i="2"/>
  <c r="E85" i="2"/>
  <c r="T74" i="2"/>
  <c r="I37" i="3"/>
  <c r="AG10" i="3"/>
  <c r="AA23" i="3"/>
  <c r="Z18" i="3"/>
  <c r="AA15" i="3"/>
  <c r="J14" i="3"/>
  <c r="G99" i="2"/>
  <c r="V62" i="2"/>
  <c r="N110" i="2"/>
  <c r="AK34" i="3"/>
  <c r="S69" i="2"/>
  <c r="F71" i="2"/>
  <c r="X51" i="2"/>
  <c r="K73" i="2"/>
  <c r="W33" i="3"/>
  <c r="Y19" i="3"/>
  <c r="W10" i="3"/>
  <c r="AI25" i="3"/>
  <c r="H31" i="3"/>
  <c r="AE12" i="3"/>
  <c r="K74" i="2"/>
  <c r="E51" i="2"/>
  <c r="V67" i="2"/>
  <c r="F46" i="2"/>
  <c r="W61" i="2"/>
  <c r="G67" i="2"/>
  <c r="AD37" i="3"/>
  <c r="AB11" i="3"/>
  <c r="AQ41" i="3"/>
  <c r="AB7" i="3"/>
  <c r="T18" i="3"/>
  <c r="AA38" i="3"/>
  <c r="Q53" i="2"/>
  <c r="R89" i="2"/>
  <c r="AB10" i="3"/>
  <c r="K7" i="3"/>
  <c r="AJ37" i="3"/>
  <c r="U113" i="2"/>
  <c r="AK41" i="3"/>
  <c r="S26" i="3"/>
  <c r="AQ12" i="3"/>
  <c r="AM27" i="3"/>
  <c r="M81" i="2"/>
  <c r="E95" i="2"/>
  <c r="AI40" i="3"/>
  <c r="I42" i="2"/>
  <c r="U78" i="2"/>
  <c r="AO29" i="3"/>
  <c r="G96" i="2"/>
  <c r="Y29" i="3"/>
  <c r="U85" i="2"/>
  <c r="P78" i="2"/>
  <c r="P39" i="3"/>
  <c r="P112" i="2"/>
  <c r="U6" i="3"/>
  <c r="AC20" i="3"/>
  <c r="D82" i="2"/>
  <c r="S104" i="2"/>
  <c r="X110" i="2"/>
  <c r="M51" i="2"/>
  <c r="AQ39" i="3"/>
  <c r="AI34" i="3"/>
  <c r="Q30" i="3"/>
  <c r="N80" i="2"/>
  <c r="G111" i="2"/>
  <c r="AA12" i="3"/>
  <c r="D44" i="2"/>
  <c r="G49" i="3"/>
  <c r="R59" i="2"/>
  <c r="T14" i="3"/>
  <c r="K75" i="2"/>
  <c r="I99" i="2"/>
  <c r="AO7" i="3"/>
  <c r="K79" i="2"/>
  <c r="G112" i="2"/>
  <c r="H61" i="2"/>
  <c r="AL33" i="3"/>
  <c r="R106" i="2"/>
  <c r="H111" i="2"/>
  <c r="J51" i="2"/>
  <c r="AK21" i="3"/>
  <c r="AJ36" i="3"/>
  <c r="Z21" i="3"/>
  <c r="J93" i="2"/>
  <c r="R87" i="2"/>
  <c r="K48" i="2"/>
  <c r="W104" i="2"/>
  <c r="C37" i="3"/>
  <c r="W87" i="2"/>
  <c r="D41" i="2"/>
  <c r="AH24" i="3"/>
  <c r="AC9" i="3"/>
  <c r="U35" i="3"/>
  <c r="R8" i="3"/>
  <c r="Q39" i="3"/>
  <c r="J26" i="3"/>
  <c r="C27" i="3"/>
  <c r="I49" i="2"/>
  <c r="R56" i="2"/>
  <c r="U61" i="2"/>
  <c r="AB97" i="3"/>
  <c r="J42" i="3"/>
  <c r="AC23" i="3"/>
  <c r="L13" i="3"/>
  <c r="M24" i="3"/>
  <c r="S13" i="3"/>
  <c r="AC42" i="3"/>
  <c r="J11" i="3"/>
  <c r="X108" i="2"/>
  <c r="L56" i="2"/>
  <c r="AP78" i="3"/>
  <c r="T35" i="3"/>
  <c r="AQ33" i="3"/>
  <c r="Z42" i="3"/>
  <c r="AC15" i="3"/>
  <c r="V45" i="2"/>
  <c r="AO8" i="3"/>
  <c r="J80" i="2"/>
  <c r="K84" i="2"/>
  <c r="U40" i="2"/>
  <c r="AJ30" i="3"/>
  <c r="L18" i="3"/>
  <c r="AI7" i="3"/>
  <c r="AC13" i="3"/>
  <c r="D62" i="2"/>
  <c r="C60" i="2"/>
  <c r="H97" i="2"/>
  <c r="M11" i="3"/>
  <c r="J71" i="2"/>
  <c r="AK25" i="3"/>
  <c r="AA26" i="3"/>
  <c r="AQ38" i="3"/>
  <c r="R95" i="2"/>
  <c r="AA19" i="3"/>
  <c r="V25" i="3"/>
  <c r="Q7" i="3"/>
  <c r="O27" i="3"/>
  <c r="N55" i="2"/>
  <c r="AK10" i="3"/>
  <c r="U42" i="3"/>
  <c r="E79" i="2"/>
  <c r="W93" i="2"/>
  <c r="U89" i="2"/>
  <c r="AJ33" i="3"/>
  <c r="AQ40" i="3"/>
  <c r="AH5" i="3"/>
  <c r="G65" i="2"/>
  <c r="AB57" i="3"/>
  <c r="N27" i="3"/>
  <c r="AH21" i="3"/>
  <c r="F61" i="2"/>
  <c r="N13" i="3"/>
  <c r="P64" i="2"/>
  <c r="L84" i="2"/>
  <c r="K23" i="3"/>
  <c r="O7" i="3"/>
  <c r="H20" i="3"/>
  <c r="W83" i="2"/>
  <c r="R23" i="3"/>
  <c r="X34" i="3"/>
  <c r="W40" i="2"/>
  <c r="J89" i="2"/>
  <c r="Y21" i="3"/>
  <c r="V65" i="2"/>
  <c r="M38" i="3"/>
  <c r="X107" i="2"/>
  <c r="AH38" i="3"/>
  <c r="M25" i="3"/>
  <c r="O10" i="3"/>
  <c r="F70" i="2"/>
  <c r="I56" i="2"/>
  <c r="Z41" i="3"/>
  <c r="O9" i="3"/>
  <c r="V47" i="2"/>
  <c r="X30" i="3"/>
  <c r="W53" i="2"/>
  <c r="AI20" i="3"/>
  <c r="M47" i="2"/>
  <c r="R22" i="3"/>
  <c r="K17" i="3"/>
  <c r="J30" i="3"/>
  <c r="N64" i="2"/>
  <c r="H33" i="3"/>
  <c r="X11" i="3"/>
  <c r="V74" i="2"/>
  <c r="N88" i="2"/>
  <c r="U75" i="2"/>
  <c r="X31" i="3"/>
  <c r="R80" i="2"/>
  <c r="AM13" i="3"/>
  <c r="S6" i="3"/>
  <c r="O98" i="2"/>
  <c r="L62" i="2"/>
  <c r="AG37" i="3"/>
  <c r="K39" i="3"/>
  <c r="W37" i="3"/>
  <c r="T25" i="3"/>
  <c r="AJ15" i="3"/>
  <c r="AJ29" i="3"/>
  <c r="U10" i="3"/>
  <c r="AJ40" i="3"/>
  <c r="J19" i="3"/>
  <c r="W15" i="3"/>
  <c r="L10" i="3"/>
  <c r="X69" i="2"/>
  <c r="AL34" i="3"/>
  <c r="K54" i="2"/>
  <c r="L60" i="2"/>
  <c r="L41" i="2"/>
  <c r="AO11" i="3"/>
  <c r="M40" i="3"/>
  <c r="W12" i="3"/>
  <c r="S86" i="2"/>
  <c r="AE39" i="3"/>
  <c r="S24" i="3"/>
  <c r="N50" i="2"/>
  <c r="F40" i="2"/>
  <c r="Z6" i="3"/>
  <c r="S19" i="3"/>
  <c r="J22" i="3"/>
  <c r="H85" i="2"/>
  <c r="M57" i="2"/>
  <c r="C104" i="2"/>
  <c r="AN32" i="3"/>
  <c r="U36" i="3"/>
  <c r="V42" i="3"/>
  <c r="D78" i="2"/>
  <c r="I26" i="3"/>
  <c r="AO37" i="3"/>
  <c r="Z35" i="3"/>
  <c r="G56" i="2"/>
  <c r="AH27" i="3"/>
  <c r="C89" i="2"/>
  <c r="I14" i="3"/>
  <c r="P24" i="3"/>
  <c r="AH22" i="3"/>
  <c r="M89" i="2"/>
  <c r="AP34" i="3"/>
  <c r="X5" i="3"/>
  <c r="AP97" i="3"/>
  <c r="AB87" i="3"/>
  <c r="AE20" i="3"/>
  <c r="S30" i="3"/>
  <c r="O79" i="2"/>
  <c r="C14" i="3"/>
  <c r="AB66" i="3"/>
  <c r="AQ10" i="3"/>
  <c r="AC10" i="3"/>
  <c r="J57" i="2"/>
  <c r="O21" i="3"/>
  <c r="V13" i="3"/>
  <c r="D75" i="2"/>
  <c r="G42" i="3"/>
  <c r="D49" i="3"/>
  <c r="V34" i="3"/>
  <c r="S17" i="3"/>
  <c r="N37" i="3"/>
  <c r="Y9" i="3"/>
  <c r="U57" i="2"/>
  <c r="Q47" i="2"/>
  <c r="AC5" i="3"/>
  <c r="N12" i="3"/>
  <c r="W52" i="2"/>
  <c r="M94" i="2"/>
  <c r="O110" i="2"/>
  <c r="P33" i="3"/>
  <c r="AL11" i="3"/>
  <c r="P35" i="3"/>
  <c r="W66" i="2"/>
  <c r="W108" i="2"/>
  <c r="H10" i="3"/>
  <c r="K90" i="2"/>
  <c r="I108" i="2"/>
  <c r="U15" i="3"/>
  <c r="P42" i="3"/>
  <c r="L21" i="3"/>
  <c r="R64" i="2"/>
  <c r="T43" i="2"/>
  <c r="W45" i="2"/>
  <c r="C41" i="3"/>
  <c r="S39" i="3"/>
  <c r="L34" i="3"/>
  <c r="AN13" i="3"/>
  <c r="R73" i="2"/>
  <c r="O25" i="3"/>
  <c r="S25" i="3"/>
  <c r="W106" i="2"/>
  <c r="M18" i="3"/>
  <c r="AP94" i="3"/>
  <c r="AM41" i="3"/>
  <c r="AB21" i="3"/>
  <c r="N9" i="3"/>
  <c r="AN39" i="3"/>
  <c r="S41" i="3"/>
  <c r="R83" i="2"/>
  <c r="I47" i="2"/>
  <c r="U12" i="3"/>
  <c r="Q16" i="3"/>
  <c r="S20" i="3"/>
  <c r="AB31" i="3"/>
  <c r="AA28" i="3"/>
  <c r="AG8" i="3"/>
  <c r="I110" i="2"/>
  <c r="P107" i="2"/>
  <c r="AL37" i="3"/>
  <c r="AB26" i="3"/>
  <c r="X89" i="2"/>
  <c r="P63" i="2"/>
  <c r="Q41" i="3"/>
  <c r="F57" i="2"/>
  <c r="M93" i="2"/>
  <c r="U19" i="3"/>
  <c r="I12" i="3"/>
  <c r="AA39" i="3"/>
  <c r="G52" i="2"/>
  <c r="I113" i="2"/>
  <c r="X78" i="2"/>
  <c r="J34" i="3"/>
  <c r="U39" i="3"/>
  <c r="AO19" i="3"/>
  <c r="M104" i="2"/>
  <c r="AG21" i="3"/>
  <c r="AM30" i="3"/>
  <c r="Y32" i="3"/>
  <c r="H41" i="3"/>
  <c r="M14" i="3"/>
  <c r="H19" i="3"/>
  <c r="I76" i="2"/>
  <c r="AM17" i="3"/>
  <c r="X16" i="3"/>
  <c r="C10" i="3"/>
  <c r="F45" i="2"/>
  <c r="AN18" i="3"/>
  <c r="AC38" i="3"/>
  <c r="I88" i="2"/>
  <c r="G53" i="2"/>
  <c r="AL8" i="3"/>
  <c r="L80" i="2"/>
  <c r="R13" i="3"/>
  <c r="E49" i="3"/>
  <c r="T40" i="3"/>
  <c r="K25" i="3"/>
  <c r="K22" i="3"/>
  <c r="AK40" i="3"/>
  <c r="K42" i="3"/>
  <c r="AB47" i="3"/>
  <c r="K83" i="2"/>
  <c r="AP91" i="3"/>
  <c r="T110" i="2"/>
  <c r="N33" i="3"/>
  <c r="W32" i="3"/>
  <c r="AA9" i="3"/>
  <c r="AC27" i="3"/>
  <c r="Q32" i="3"/>
  <c r="R35" i="3"/>
  <c r="P93" i="2"/>
  <c r="S63" i="2"/>
  <c r="V79" i="2"/>
  <c r="M33" i="3"/>
  <c r="Q40" i="3"/>
  <c r="P26" i="3"/>
  <c r="V32" i="3"/>
  <c r="Q22" i="3"/>
  <c r="C23" i="3"/>
  <c r="AE40" i="3"/>
  <c r="K18" i="3"/>
  <c r="P88" i="2"/>
  <c r="H90" i="2"/>
  <c r="O38" i="3"/>
  <c r="J31" i="3"/>
  <c r="AP35" i="3"/>
  <c r="J40" i="2"/>
  <c r="AC34" i="3"/>
  <c r="V6" i="3"/>
  <c r="AP33" i="3"/>
  <c r="Q23" i="3"/>
  <c r="AO30" i="3"/>
  <c r="W60" i="2"/>
  <c r="AL23" i="3"/>
  <c r="AP82" i="3"/>
  <c r="C62" i="2"/>
  <c r="AG13" i="3"/>
  <c r="AA7" i="3"/>
  <c r="I75" i="2"/>
  <c r="X99" i="2"/>
  <c r="X33" i="3"/>
  <c r="R105" i="2"/>
  <c r="I83" i="2"/>
  <c r="M13" i="3"/>
  <c r="AG19" i="3"/>
  <c r="AH12" i="3"/>
  <c r="P82" i="2"/>
  <c r="N81" i="2"/>
  <c r="G55" i="2"/>
  <c r="AK22" i="3"/>
  <c r="AK33" i="3"/>
  <c r="P12" i="3"/>
  <c r="M91" i="2"/>
  <c r="P16" i="3"/>
  <c r="R21" i="3"/>
  <c r="AP20" i="3"/>
  <c r="AD24" i="3"/>
  <c r="AK28" i="3"/>
  <c r="N38" i="3"/>
  <c r="H95" i="2"/>
  <c r="AI37" i="3"/>
  <c r="S9" i="3"/>
  <c r="T31" i="3"/>
  <c r="P92" i="2"/>
  <c r="I107" i="2"/>
  <c r="AA37" i="3"/>
  <c r="O61" i="2"/>
  <c r="J49" i="2"/>
  <c r="D45" i="2"/>
  <c r="U64" i="2"/>
  <c r="U18" i="3"/>
  <c r="AC29" i="3"/>
  <c r="AN26" i="3"/>
  <c r="T23" i="3"/>
  <c r="W75" i="2"/>
  <c r="V68" i="2"/>
  <c r="AB54" i="3"/>
  <c r="O15" i="3"/>
  <c r="Q76" i="2"/>
  <c r="O108" i="2"/>
  <c r="AE15" i="3"/>
  <c r="G33" i="3"/>
  <c r="E78" i="2"/>
  <c r="J63" i="2"/>
  <c r="AK6" i="3"/>
  <c r="D54" i="2"/>
  <c r="K82" i="2"/>
  <c r="AJ14" i="3"/>
  <c r="AG20" i="3"/>
  <c r="AM42" i="3"/>
  <c r="P43" i="2"/>
  <c r="J82" i="2"/>
  <c r="S66" i="2"/>
  <c r="P6" i="3"/>
  <c r="U27" i="3"/>
  <c r="AN15" i="3"/>
  <c r="I106" i="2"/>
  <c r="AG18" i="3"/>
  <c r="U40" i="3"/>
  <c r="R107" i="2"/>
  <c r="AH17" i="3"/>
  <c r="V23" i="3"/>
  <c r="N77" i="2"/>
  <c r="U55" i="2"/>
  <c r="X26" i="3"/>
  <c r="K52" i="2"/>
  <c r="AI8" i="3"/>
  <c r="S5" i="3"/>
  <c r="J58" i="2"/>
  <c r="AG29" i="3"/>
  <c r="AQ20" i="3"/>
  <c r="I82" i="2"/>
  <c r="I25" i="3"/>
  <c r="P7" i="3"/>
  <c r="L50" i="2"/>
  <c r="L35" i="3"/>
  <c r="F95" i="2"/>
  <c r="AJ6" i="3"/>
  <c r="T62" i="2"/>
  <c r="H88" i="2"/>
  <c r="L29" i="3"/>
  <c r="M6" i="3"/>
  <c r="F41" i="2"/>
  <c r="AJ7" i="3"/>
  <c r="AA30" i="3"/>
  <c r="N67" i="2"/>
  <c r="D47" i="3"/>
  <c r="T96" i="2"/>
  <c r="K67" i="2"/>
  <c r="I41" i="3"/>
  <c r="AC30" i="3"/>
  <c r="I80" i="2"/>
  <c r="R43" i="2"/>
  <c r="R74" i="2"/>
  <c r="O39" i="3"/>
  <c r="AB42" i="3"/>
  <c r="AM10" i="3"/>
  <c r="AK19" i="3"/>
  <c r="D72" i="2"/>
  <c r="I6" i="3"/>
  <c r="Z29" i="3"/>
  <c r="AK20" i="3"/>
  <c r="Y16" i="3"/>
  <c r="V14" i="3"/>
  <c r="Y20" i="3"/>
  <c r="X109" i="2"/>
  <c r="U32" i="3"/>
  <c r="J9" i="3"/>
  <c r="AB28" i="3"/>
  <c r="AM39" i="3"/>
  <c r="AP23" i="3"/>
  <c r="AA24" i="3"/>
  <c r="AA10" i="3"/>
  <c r="W35" i="3"/>
  <c r="S8" i="3"/>
  <c r="AI41" i="3"/>
  <c r="D99" i="2"/>
  <c r="M31" i="3"/>
  <c r="Z38" i="3"/>
  <c r="M56" i="2"/>
  <c r="M53" i="2"/>
  <c r="AM28" i="3"/>
  <c r="G70" i="2"/>
  <c r="S23" i="3"/>
  <c r="AG27" i="3"/>
  <c r="C72" i="2"/>
  <c r="W67" i="2"/>
  <c r="I29" i="3"/>
  <c r="G38" i="3"/>
  <c r="N66" i="2"/>
  <c r="R16" i="3"/>
  <c r="AE18" i="3"/>
  <c r="Q36" i="3"/>
  <c r="G47" i="3"/>
  <c r="F69" i="2"/>
  <c r="Q79" i="2"/>
  <c r="N36" i="3"/>
  <c r="J24" i="3"/>
  <c r="Q89" i="2"/>
  <c r="H106" i="2"/>
  <c r="U111" i="2"/>
  <c r="AH31" i="3"/>
  <c r="AJ11" i="3"/>
  <c r="AD27" i="3"/>
  <c r="Q25" i="3"/>
  <c r="F112" i="2"/>
  <c r="W17" i="3"/>
  <c r="H26" i="3"/>
  <c r="Q8" i="3"/>
  <c r="I7" i="3"/>
  <c r="P9" i="3"/>
  <c r="T7" i="3"/>
  <c r="AE31" i="3"/>
  <c r="Z22" i="3"/>
  <c r="AA16" i="3"/>
  <c r="AG5" i="3"/>
  <c r="G32" i="3"/>
  <c r="AO10" i="3"/>
  <c r="W73" i="2"/>
  <c r="AQ16" i="3"/>
  <c r="M5" i="3"/>
  <c r="N63" i="2"/>
  <c r="AP13" i="3"/>
  <c r="R55" i="2"/>
  <c r="AP11" i="3"/>
  <c r="Q74" i="2"/>
  <c r="AJ26" i="3"/>
  <c r="AL28" i="3"/>
  <c r="T39" i="3"/>
  <c r="AG6" i="3"/>
  <c r="P38" i="3"/>
  <c r="R7" i="3"/>
  <c r="J10" i="3"/>
  <c r="Y38" i="3"/>
  <c r="AI36" i="3"/>
  <c r="L44" i="2"/>
  <c r="AO13" i="3"/>
  <c r="S56" i="2"/>
  <c r="H60" i="2"/>
  <c r="H7" i="3"/>
  <c r="AA20" i="3"/>
  <c r="AE23" i="3"/>
  <c r="M21" i="3"/>
  <c r="C11" i="3"/>
  <c r="W39" i="3"/>
  <c r="AB18" i="3"/>
  <c r="H12" i="3"/>
  <c r="X40" i="3"/>
  <c r="AL17" i="3"/>
  <c r="AI35" i="3"/>
  <c r="U109" i="2"/>
  <c r="AQ7" i="3"/>
  <c r="C40" i="3"/>
  <c r="L37" i="3"/>
  <c r="K33" i="3"/>
  <c r="AP75" i="3"/>
  <c r="U90" i="2"/>
  <c r="I35" i="3"/>
  <c r="K34" i="3"/>
  <c r="X93" i="2"/>
  <c r="G98" i="2"/>
  <c r="R111" i="2"/>
  <c r="H38" i="3"/>
  <c r="I34" i="3"/>
  <c r="L7" i="3"/>
  <c r="AB15" i="3"/>
  <c r="M109" i="2"/>
  <c r="K31" i="3"/>
  <c r="AQ11" i="3"/>
  <c r="R109" i="2"/>
  <c r="AC31" i="3"/>
  <c r="AM38" i="3"/>
  <c r="T38" i="3"/>
  <c r="Y6" i="3"/>
  <c r="Y12" i="3"/>
  <c r="C28" i="3"/>
  <c r="AQ27" i="3"/>
  <c r="F72" i="2"/>
  <c r="AI15" i="3"/>
  <c r="AQ37" i="3"/>
  <c r="S18" i="3"/>
  <c r="AD33" i="3"/>
  <c r="P87" i="2"/>
  <c r="X42" i="3"/>
  <c r="E52" i="2"/>
  <c r="AQ28" i="3"/>
  <c r="AD34" i="3"/>
  <c r="H49" i="3"/>
  <c r="Y70" i="3"/>
  <c r="AE81" i="3"/>
  <c r="AO93" i="3"/>
  <c r="T92" i="3"/>
  <c r="L49" i="3"/>
  <c r="V62" i="3"/>
  <c r="N49" i="3"/>
  <c r="X47" i="3"/>
  <c r="J47" i="3"/>
  <c r="AG60" i="3"/>
  <c r="K61" i="3"/>
  <c r="AA64" i="3"/>
  <c r="P89" i="3"/>
  <c r="AQ84" i="3"/>
  <c r="X82" i="3"/>
  <c r="H71" i="3"/>
  <c r="AE95" i="3"/>
  <c r="AL78" i="3"/>
  <c r="N90" i="3"/>
  <c r="AA94" i="3"/>
  <c r="AK79" i="3"/>
  <c r="R94" i="3"/>
  <c r="Q57" i="3"/>
  <c r="AK81" i="3"/>
  <c r="Z60" i="3"/>
  <c r="AQ77" i="3"/>
  <c r="AG79" i="3"/>
  <c r="Q85" i="3"/>
  <c r="AJ56" i="3"/>
  <c r="M84" i="3"/>
  <c r="T70" i="3"/>
  <c r="L83" i="3"/>
  <c r="AH83" i="3"/>
  <c r="AG75" i="3"/>
  <c r="M49" i="3"/>
  <c r="AG69" i="3"/>
  <c r="Q77" i="3"/>
  <c r="R59" i="3"/>
  <c r="AA75" i="3"/>
  <c r="N95" i="3"/>
  <c r="P75" i="3"/>
  <c r="AK71" i="3"/>
  <c r="AL88" i="3"/>
  <c r="AK83" i="3"/>
  <c r="K48" i="3"/>
  <c r="AK75" i="3"/>
  <c r="T74" i="3"/>
  <c r="K66" i="3"/>
  <c r="I71" i="3"/>
  <c r="I92" i="3"/>
  <c r="P60" i="3"/>
  <c r="AG88" i="3"/>
  <c r="AK67" i="3"/>
  <c r="Z67" i="3"/>
  <c r="AN93" i="3"/>
  <c r="AE71" i="3"/>
  <c r="N55" i="3"/>
  <c r="W92" i="3"/>
  <c r="T50" i="3"/>
  <c r="J49" i="3"/>
  <c r="R68" i="3"/>
  <c r="Q49" i="3"/>
  <c r="L59" i="3"/>
  <c r="W59" i="3"/>
  <c r="X89" i="3"/>
  <c r="N48" i="3"/>
  <c r="AI94" i="3"/>
  <c r="S70" i="3"/>
  <c r="AK65" i="3"/>
  <c r="AN96" i="3"/>
  <c r="Q76" i="3"/>
  <c r="H77" i="3"/>
  <c r="AA58" i="3"/>
  <c r="I68" i="3"/>
  <c r="AE74" i="3"/>
  <c r="M93" i="3"/>
  <c r="S82" i="3"/>
  <c r="L57" i="3"/>
  <c r="M82" i="3"/>
  <c r="T78" i="3"/>
  <c r="Q80" i="3"/>
  <c r="T65" i="3"/>
  <c r="P88" i="3"/>
  <c r="AA63" i="3"/>
  <c r="AI75" i="3"/>
  <c r="AG90" i="3"/>
  <c r="J60" i="3"/>
  <c r="Q89" i="3"/>
  <c r="P55" i="3"/>
  <c r="AH66" i="3"/>
  <c r="AE58" i="3"/>
  <c r="AE85" i="3"/>
  <c r="J77" i="3"/>
  <c r="AQ66" i="3"/>
  <c r="AJ54" i="3"/>
  <c r="L56" i="3"/>
  <c r="AJ76" i="3"/>
  <c r="O86" i="3"/>
  <c r="AC66" i="3"/>
  <c r="AC71" i="3"/>
  <c r="AE69" i="3"/>
  <c r="R83" i="3"/>
  <c r="AN67" i="3"/>
  <c r="H67" i="3"/>
  <c r="AI80" i="3"/>
  <c r="AL83" i="3"/>
  <c r="H61" i="3"/>
  <c r="J57" i="3"/>
  <c r="AN92" i="3"/>
  <c r="AC61" i="3"/>
  <c r="H57" i="3"/>
  <c r="L90" i="3"/>
  <c r="AK69" i="3"/>
  <c r="AQ78" i="3"/>
  <c r="AQ91" i="3"/>
  <c r="X60" i="3"/>
  <c r="T93" i="3"/>
  <c r="AJ95" i="3"/>
  <c r="V67" i="3"/>
  <c r="AI70" i="3"/>
  <c r="AN54" i="3"/>
  <c r="AN80" i="3"/>
  <c r="AL74" i="3"/>
  <c r="R72" i="3"/>
  <c r="X87" i="3"/>
  <c r="AI89" i="3"/>
  <c r="T55" i="3"/>
  <c r="AC94" i="3"/>
  <c r="AJ87" i="3"/>
  <c r="V60" i="3"/>
  <c r="V83" i="3"/>
  <c r="I60" i="3"/>
  <c r="Q96" i="3"/>
  <c r="AG92" i="3"/>
  <c r="P57" i="3"/>
  <c r="Q91" i="3"/>
  <c r="AG48" i="3"/>
  <c r="AQ49" i="3"/>
  <c r="AM73" i="3"/>
  <c r="AI73" i="3"/>
  <c r="AK82" i="3"/>
  <c r="AK70" i="3"/>
  <c r="L48" i="3"/>
  <c r="AI59" i="3"/>
  <c r="P71" i="3"/>
  <c r="Y78" i="3"/>
  <c r="AG57" i="3"/>
  <c r="J72" i="3"/>
  <c r="R88" i="3"/>
  <c r="T48" i="3"/>
  <c r="AK62" i="3"/>
  <c r="R69" i="3"/>
  <c r="Q83" i="3"/>
  <c r="K95" i="3"/>
  <c r="X59" i="3"/>
  <c r="AE91" i="3"/>
  <c r="AG76" i="3"/>
  <c r="R61" i="3"/>
  <c r="N79" i="3"/>
  <c r="AC72" i="3"/>
  <c r="T77" i="3"/>
  <c r="AE60" i="3"/>
  <c r="AK88" i="3"/>
  <c r="AI84" i="3"/>
  <c r="N71" i="3"/>
  <c r="Z64" i="3"/>
  <c r="AK93" i="3"/>
  <c r="H84" i="3"/>
  <c r="AO62" i="3"/>
  <c r="K91" i="3"/>
  <c r="L62" i="3"/>
  <c r="S63" i="3"/>
  <c r="M91" i="3"/>
  <c r="T94" i="3"/>
  <c r="AA82" i="3"/>
  <c r="M54" i="3"/>
  <c r="AC58" i="3"/>
  <c r="Z56" i="3"/>
  <c r="R47" i="3"/>
  <c r="P84" i="3"/>
  <c r="R97" i="3"/>
  <c r="S75" i="3"/>
  <c r="AQ95" i="3"/>
  <c r="J74" i="3"/>
  <c r="O84" i="3"/>
  <c r="AE49" i="3"/>
  <c r="AH73" i="3"/>
  <c r="H80" i="3"/>
  <c r="V87" i="3"/>
  <c r="V72" i="3"/>
  <c r="Z48" i="3"/>
  <c r="M88" i="3"/>
  <c r="Z63" i="3"/>
  <c r="AN94" i="3"/>
  <c r="AI57" i="3"/>
  <c r="T61" i="3"/>
  <c r="S48" i="3"/>
  <c r="W85" i="3"/>
  <c r="N92" i="3"/>
  <c r="X62" i="3"/>
  <c r="AK94" i="3"/>
  <c r="J76" i="3"/>
  <c r="O71" i="3"/>
  <c r="Y90" i="3"/>
  <c r="AA95" i="3"/>
  <c r="AK85" i="3"/>
  <c r="W76" i="3"/>
  <c r="AI67" i="3"/>
  <c r="Z95" i="3"/>
  <c r="AL71" i="3"/>
  <c r="AO55" i="3"/>
  <c r="R85" i="3"/>
  <c r="J95" i="3"/>
  <c r="N50" i="3"/>
  <c r="L94" i="3"/>
  <c r="AI58" i="3"/>
  <c r="AQ97" i="3"/>
  <c r="AH74" i="3"/>
  <c r="P96" i="3"/>
  <c r="N68" i="3"/>
  <c r="K85" i="3"/>
  <c r="AQ93" i="3"/>
  <c r="L95" i="3"/>
  <c r="V61" i="3"/>
  <c r="AI95" i="3"/>
  <c r="T58" i="3"/>
  <c r="Z77" i="3"/>
  <c r="S88" i="3"/>
  <c r="AL95" i="3"/>
  <c r="AQ54" i="3"/>
  <c r="Q95" i="3"/>
  <c r="AQ72" i="3"/>
  <c r="AK97" i="3"/>
  <c r="W82" i="3"/>
  <c r="AN91" i="3"/>
  <c r="AG80" i="3"/>
  <c r="R50" i="3"/>
  <c r="N54" i="3"/>
  <c r="AA91" i="3"/>
  <c r="AC97" i="3"/>
  <c r="H86" i="3"/>
  <c r="AG54" i="3"/>
  <c r="AH88" i="3"/>
  <c r="Q78" i="3"/>
  <c r="J96" i="3"/>
  <c r="AA49" i="3"/>
  <c r="V59" i="3"/>
  <c r="M75" i="3"/>
  <c r="Z92" i="3"/>
  <c r="I64" i="3"/>
  <c r="AG64" i="3"/>
  <c r="AK63" i="3"/>
  <c r="J61" i="3"/>
  <c r="T56" i="3"/>
  <c r="I95" i="3"/>
  <c r="AI65" i="3"/>
  <c r="AN85" i="3"/>
  <c r="AM85" i="3"/>
  <c r="AL81" i="3"/>
  <c r="AJ71" i="3"/>
  <c r="Q56" i="3"/>
  <c r="AL92" i="3"/>
  <c r="AJ86" i="3"/>
  <c r="Q67" i="3"/>
  <c r="AI81" i="3"/>
  <c r="AN95" i="3"/>
  <c r="I96" i="3"/>
  <c r="P95" i="3"/>
  <c r="AM87" i="3"/>
  <c r="AN86" i="3"/>
  <c r="Y86" i="3"/>
  <c r="AI92" i="3"/>
  <c r="K73" i="3"/>
  <c r="M63" i="3"/>
  <c r="V89" i="3"/>
  <c r="T81" i="3"/>
  <c r="Z71" i="3"/>
  <c r="H75" i="3"/>
  <c r="Z69" i="3"/>
  <c r="AC77" i="3"/>
  <c r="AE88" i="3"/>
  <c r="N73" i="3"/>
  <c r="X77" i="3"/>
  <c r="W83" i="3"/>
  <c r="J65" i="3"/>
  <c r="AN97" i="3"/>
  <c r="AK77" i="3"/>
  <c r="O66" i="3"/>
  <c r="M48" i="3"/>
  <c r="H69" i="3"/>
  <c r="Y47" i="3"/>
  <c r="K55" i="3"/>
  <c r="AA85" i="3"/>
  <c r="Q73" i="3"/>
  <c r="X83" i="3"/>
  <c r="W50" i="3"/>
  <c r="AA97" i="3"/>
  <c r="AK49" i="3"/>
  <c r="AA72" i="3"/>
  <c r="AQ73" i="3"/>
  <c r="M78" i="3"/>
  <c r="AE97" i="3"/>
  <c r="AH60" i="3"/>
  <c r="L69" i="3"/>
  <c r="N91" i="3"/>
  <c r="AI88" i="3"/>
  <c r="AA86" i="3"/>
  <c r="AA83" i="3"/>
  <c r="AH50" i="3"/>
  <c r="N66" i="3"/>
  <c r="W74" i="3"/>
  <c r="N84" i="3"/>
  <c r="J90" i="3"/>
  <c r="AG49" i="3"/>
  <c r="J73" i="3"/>
  <c r="AO80" i="3"/>
  <c r="AJ81" i="3"/>
  <c r="AL79" i="3"/>
  <c r="S84" i="3"/>
  <c r="AG55" i="3"/>
  <c r="AA87" i="3"/>
  <c r="Z72" i="3"/>
  <c r="L55" i="3"/>
  <c r="AI77" i="3"/>
  <c r="Q64" i="3"/>
  <c r="S65" i="3"/>
  <c r="R78" i="3"/>
  <c r="P61" i="3"/>
  <c r="AI76" i="3"/>
  <c r="AI66" i="3"/>
  <c r="AC62" i="3"/>
  <c r="AG74" i="3"/>
  <c r="J64" i="3"/>
  <c r="X75" i="3"/>
  <c r="Z70" i="3"/>
  <c r="M57" i="3"/>
  <c r="AG84" i="3"/>
  <c r="I75" i="3"/>
  <c r="X54" i="3"/>
  <c r="I55" i="3"/>
  <c r="AQ81" i="3"/>
  <c r="Q90" i="3"/>
  <c r="AQ48" i="3"/>
  <c r="AG95" i="3"/>
  <c r="I87" i="3"/>
  <c r="R54" i="3"/>
  <c r="AG83" i="3"/>
  <c r="W47" i="3"/>
  <c r="M89" i="3"/>
  <c r="O77" i="3"/>
  <c r="T95" i="3"/>
  <c r="M59" i="3"/>
  <c r="Q71" i="3"/>
  <c r="H79" i="3"/>
  <c r="AM56" i="3"/>
  <c r="AC78" i="3"/>
  <c r="W69" i="3"/>
  <c r="AL84" i="3"/>
  <c r="O93" i="3"/>
  <c r="AN68" i="3"/>
  <c r="AO47" i="3"/>
  <c r="AQ83" i="3"/>
  <c r="P83" i="3"/>
  <c r="AE77" i="3"/>
  <c r="H54" i="3"/>
  <c r="AM59" i="3"/>
  <c r="Y54" i="3"/>
  <c r="AN69" i="3"/>
  <c r="AG66" i="3"/>
  <c r="AA73" i="3"/>
  <c r="AQ87" i="3"/>
  <c r="T60" i="3"/>
  <c r="N69" i="3"/>
  <c r="Z74" i="3"/>
  <c r="AQ67" i="3"/>
  <c r="M65" i="3"/>
  <c r="AK55" i="3"/>
  <c r="AN50" i="3"/>
  <c r="Y66" i="3"/>
  <c r="M86" i="3"/>
  <c r="AH67" i="3"/>
  <c r="AG72" i="3"/>
  <c r="AG96" i="3"/>
  <c r="T64" i="3"/>
  <c r="AL97" i="3"/>
  <c r="M87" i="3"/>
  <c r="V55" i="3"/>
  <c r="Z87" i="3"/>
  <c r="AC50" i="3"/>
  <c r="W93" i="3"/>
  <c r="L74" i="3"/>
  <c r="AA62" i="3"/>
  <c r="H56" i="3"/>
  <c r="J91" i="3"/>
  <c r="H82" i="3"/>
  <c r="X67" i="3"/>
  <c r="AG65" i="3"/>
  <c r="AL76" i="3"/>
  <c r="AL72" i="3"/>
  <c r="AK73" i="3"/>
  <c r="V94" i="3"/>
  <c r="J85" i="3"/>
  <c r="AO71" i="3"/>
  <c r="Q68" i="3"/>
  <c r="S76" i="3"/>
  <c r="Q88" i="3"/>
  <c r="O64" i="3"/>
  <c r="N85" i="3"/>
  <c r="Q81" i="3"/>
  <c r="V85" i="3"/>
  <c r="H72" i="3"/>
  <c r="T96" i="3"/>
  <c r="I62" i="3"/>
  <c r="K47" i="3"/>
  <c r="V84" i="3"/>
  <c r="AN90" i="3"/>
  <c r="I66" i="3"/>
  <c r="W96" i="3"/>
  <c r="W89" i="3"/>
  <c r="N64" i="3"/>
  <c r="AQ92" i="3"/>
  <c r="W61" i="3"/>
  <c r="AG94" i="3"/>
  <c r="AK96" i="3"/>
  <c r="AG47" i="3"/>
  <c r="AH58" i="3"/>
  <c r="H47" i="3"/>
  <c r="Y61" i="3"/>
  <c r="AM91" i="3"/>
  <c r="I84" i="3"/>
  <c r="P58" i="3"/>
  <c r="AO68" i="3"/>
  <c r="AH87" i="3"/>
  <c r="Q75" i="3"/>
  <c r="I93" i="3"/>
  <c r="AN78" i="3"/>
  <c r="AM90" i="3"/>
  <c r="Q86" i="3"/>
  <c r="R84" i="3"/>
  <c r="W84" i="3"/>
  <c r="AL64" i="3"/>
  <c r="AH71" i="3"/>
  <c r="W80" i="3"/>
  <c r="T47" i="3"/>
  <c r="Y88" i="3"/>
  <c r="AN84" i="3"/>
  <c r="K54" i="3"/>
  <c r="X65" i="3"/>
  <c r="O69" i="3"/>
  <c r="Z79" i="3"/>
  <c r="K71" i="3"/>
  <c r="AI78" i="3"/>
  <c r="J88" i="3"/>
  <c r="AN71" i="3"/>
  <c r="N96" i="3"/>
  <c r="V88" i="3"/>
  <c r="AI96" i="3"/>
  <c r="W56" i="3"/>
  <c r="AK89" i="3"/>
  <c r="V69" i="3"/>
  <c r="Q55" i="3"/>
  <c r="V57" i="3"/>
  <c r="W64" i="3"/>
  <c r="N82" i="3"/>
  <c r="AN73" i="3"/>
  <c r="Y97" i="3"/>
  <c r="W49" i="3"/>
  <c r="AN47" i="3"/>
  <c r="AK91" i="3"/>
  <c r="L61" i="3"/>
  <c r="AQ96" i="3"/>
  <c r="O91" i="3"/>
  <c r="W88" i="3"/>
  <c r="AO69" i="3"/>
  <c r="T90" i="3"/>
  <c r="L67" i="3"/>
  <c r="I79" i="3"/>
  <c r="AN65" i="3"/>
  <c r="AG87" i="3"/>
  <c r="M58" i="3"/>
  <c r="AN81" i="3"/>
  <c r="S61" i="3"/>
  <c r="Z59" i="3"/>
  <c r="AH62" i="3"/>
  <c r="I70" i="3"/>
  <c r="P92" i="3"/>
  <c r="AC55" i="3"/>
  <c r="AC95" i="3"/>
  <c r="W60" i="3"/>
  <c r="AQ90" i="3"/>
  <c r="AH89" i="3"/>
  <c r="K70" i="3"/>
  <c r="P86" i="3"/>
  <c r="S97" i="3"/>
  <c r="Q54" i="3"/>
  <c r="AK87" i="3"/>
  <c r="T88" i="3"/>
  <c r="L85" i="3"/>
  <c r="AK47" i="3"/>
  <c r="AH47" i="3"/>
  <c r="AA67" i="3"/>
  <c r="AN64" i="3"/>
  <c r="T67" i="3"/>
  <c r="AQ71" i="3"/>
  <c r="Q82" i="3"/>
  <c r="AL60" i="3"/>
  <c r="T62" i="3"/>
  <c r="L75" i="3"/>
  <c r="W71" i="3"/>
  <c r="J55" i="3"/>
  <c r="X66" i="3"/>
  <c r="AC89" i="3"/>
  <c r="M81" i="3"/>
  <c r="M96" i="3"/>
  <c r="H58" i="3"/>
  <c r="S87" i="3"/>
  <c r="I48" i="3"/>
  <c r="AI97" i="3"/>
  <c r="AO82" i="3"/>
  <c r="Y87" i="3"/>
  <c r="L78" i="3"/>
  <c r="H60" i="3"/>
  <c r="AI64" i="3"/>
  <c r="Z49" i="3"/>
  <c r="Y80" i="3"/>
  <c r="AN76" i="3"/>
  <c r="AA55" i="3"/>
  <c r="AC73" i="3"/>
  <c r="Z55" i="3"/>
  <c r="J83" i="3"/>
  <c r="W67" i="3"/>
  <c r="AQ70" i="3"/>
  <c r="V77" i="3"/>
  <c r="AE54" i="3"/>
  <c r="V50" i="3"/>
  <c r="P73" i="3"/>
  <c r="AA76" i="3"/>
  <c r="Z89" i="3"/>
  <c r="Y60" i="3"/>
  <c r="J97" i="3"/>
  <c r="AG70" i="3"/>
  <c r="W79" i="3"/>
  <c r="H55" i="3"/>
  <c r="Y94" i="3"/>
  <c r="Z82" i="3"/>
  <c r="AG82" i="3"/>
  <c r="L64" i="3"/>
  <c r="J56" i="3"/>
  <c r="S59" i="3"/>
  <c r="O83" i="3"/>
  <c r="AH61" i="3"/>
  <c r="AE90" i="3"/>
  <c r="H70" i="3"/>
  <c r="AJ61" i="3"/>
  <c r="H76" i="3"/>
  <c r="AJ66" i="3"/>
  <c r="L82" i="3"/>
  <c r="AN83" i="3"/>
  <c r="AL69" i="3"/>
  <c r="I54" i="3"/>
  <c r="Z58" i="3"/>
  <c r="I49" i="3"/>
  <c r="AJ69" i="3"/>
  <c r="AK56" i="3"/>
  <c r="V97" i="3"/>
  <c r="AI49" i="3"/>
  <c r="AO95" i="3"/>
  <c r="AJ72" i="3"/>
  <c r="Y64" i="3"/>
  <c r="AJ67" i="3"/>
  <c r="Y89" i="3"/>
  <c r="AG71" i="3"/>
  <c r="M66" i="3"/>
  <c r="R48" i="3"/>
  <c r="AQ62" i="3"/>
  <c r="AL70" i="3"/>
  <c r="AI62" i="3"/>
  <c r="AC64" i="3"/>
  <c r="AQ94" i="3"/>
  <c r="AH55" i="3"/>
  <c r="K79" i="3"/>
  <c r="AG58" i="3"/>
  <c r="Q61" i="3"/>
  <c r="S93" i="3"/>
  <c r="X86" i="3"/>
  <c r="T75" i="3"/>
  <c r="Q97" i="3"/>
  <c r="Y91" i="3"/>
  <c r="J70" i="3"/>
  <c r="M47" i="3"/>
  <c r="K59" i="3"/>
  <c r="AQ55" i="3"/>
  <c r="S86" i="3"/>
  <c r="I72" i="3"/>
  <c r="S56" i="3"/>
  <c r="AG97" i="3"/>
  <c r="Y57" i="3"/>
  <c r="AK76" i="3"/>
  <c r="J62" i="3"/>
  <c r="AG89" i="3"/>
  <c r="O68" i="3"/>
  <c r="AE80" i="3"/>
  <c r="V95" i="3"/>
  <c r="H78" i="3"/>
  <c r="AJ84" i="3"/>
  <c r="AL73" i="3"/>
  <c r="S77" i="3"/>
  <c r="X95" i="3"/>
  <c r="S80" i="3"/>
  <c r="AI55" i="3"/>
  <c r="H64" i="3"/>
  <c r="N47" i="3"/>
  <c r="AN74" i="3"/>
  <c r="R89" i="3"/>
  <c r="M71" i="3"/>
  <c r="Z78" i="3"/>
  <c r="AA71" i="3"/>
  <c r="L89" i="3"/>
  <c r="R60" i="3"/>
  <c r="AG50" i="3"/>
  <c r="T87" i="3"/>
  <c r="T86" i="3"/>
  <c r="AH86" i="3"/>
  <c r="AN87" i="3"/>
  <c r="AE57" i="3"/>
  <c r="M70" i="3"/>
  <c r="L72" i="3"/>
  <c r="AG68" i="3"/>
  <c r="R63" i="3"/>
  <c r="AA61" i="3"/>
  <c r="W54" i="3"/>
  <c r="Y59" i="3"/>
  <c r="H63" i="3"/>
  <c r="J87" i="3"/>
  <c r="Q69" i="3"/>
  <c r="Q50" i="3"/>
  <c r="AH65" i="3"/>
  <c r="AA77" i="3"/>
  <c r="AH75" i="3"/>
  <c r="AJ68" i="3"/>
  <c r="J63" i="3"/>
  <c r="Q87" i="3"/>
  <c r="Q72" i="3"/>
  <c r="T68" i="3"/>
  <c r="O81" i="3"/>
  <c r="S66" i="3"/>
  <c r="J89" i="3"/>
  <c r="Z91" i="3"/>
  <c r="H97" i="3"/>
  <c r="AE84" i="3"/>
  <c r="AG73" i="3"/>
  <c r="AJ97" i="3"/>
  <c r="L47" i="3"/>
  <c r="S49" i="3"/>
  <c r="N57" i="3"/>
  <c r="P48" i="3"/>
  <c r="H94" i="3"/>
  <c r="AL59" i="3"/>
  <c r="J58" i="3"/>
  <c r="Y71" i="3"/>
  <c r="K88" i="3"/>
  <c r="AL80" i="3"/>
  <c r="AE78" i="3"/>
  <c r="J68" i="3"/>
  <c r="AN70" i="3"/>
  <c r="Z88" i="3"/>
  <c r="P78" i="3"/>
  <c r="Q63" i="3"/>
  <c r="R96" i="3"/>
  <c r="AQ63" i="3"/>
  <c r="N74" i="3"/>
  <c r="AI82" i="3"/>
  <c r="AK78" i="3"/>
  <c r="AE64" i="3"/>
  <c r="AL56" i="3"/>
  <c r="AN79" i="3"/>
  <c r="AL67" i="3"/>
  <c r="AK66" i="3"/>
  <c r="AI72" i="3"/>
  <c r="AK90" i="3"/>
  <c r="Y72" i="3"/>
  <c r="Z50" i="3"/>
  <c r="AA96" i="3"/>
  <c r="R75" i="3"/>
  <c r="S64" i="3"/>
  <c r="AO60" i="3"/>
  <c r="Q66" i="3"/>
  <c r="AN58" i="3"/>
  <c r="Z61" i="3"/>
  <c r="AH92" i="3"/>
  <c r="Y68" i="3"/>
  <c r="AJ96" i="3"/>
  <c r="N65" i="3"/>
  <c r="L80" i="3"/>
  <c r="K87" i="3"/>
  <c r="AN56" i="3"/>
  <c r="V92" i="3"/>
  <c r="R79" i="3"/>
  <c r="R55" i="3"/>
  <c r="T84" i="3"/>
  <c r="Y67" i="3"/>
  <c r="AG67" i="3"/>
  <c r="P97" i="3"/>
  <c r="AI86" i="3"/>
  <c r="X85" i="3"/>
  <c r="AQ79" i="3"/>
  <c r="AQ65" i="3"/>
  <c r="AQ74" i="3"/>
  <c r="V73" i="3"/>
  <c r="I82" i="3"/>
  <c r="AO87" i="3"/>
  <c r="S92" i="3"/>
  <c r="L70" i="3"/>
  <c r="AG93" i="3"/>
  <c r="AQ86" i="3"/>
  <c r="X78" i="3"/>
  <c r="L81" i="3"/>
  <c r="T72" i="3"/>
  <c r="AQ69" i="3"/>
  <c r="L54" i="3"/>
  <c r="M77" i="3"/>
  <c r="AL54" i="3"/>
  <c r="X92" i="3"/>
  <c r="Z84" i="3"/>
  <c r="AA57" i="3"/>
  <c r="AO65" i="3"/>
  <c r="S57" i="3"/>
  <c r="AG63" i="3"/>
  <c r="P90" i="3"/>
  <c r="AK64" i="3"/>
  <c r="AE94" i="3"/>
  <c r="AJ49" i="3"/>
  <c r="Z90" i="3"/>
  <c r="AO70" i="3"/>
  <c r="X74" i="3"/>
  <c r="S67" i="3"/>
  <c r="AC80" i="3"/>
  <c r="X91" i="3"/>
  <c r="AN57" i="3"/>
  <c r="V81" i="3"/>
  <c r="K74" i="3"/>
  <c r="W72" i="3"/>
  <c r="M97" i="3"/>
  <c r="AC84" i="3"/>
  <c r="I59" i="3"/>
  <c r="R56" i="3"/>
  <c r="Q59" i="3"/>
  <c r="AH85" i="3"/>
  <c r="I90" i="3"/>
  <c r="AK84" i="3"/>
  <c r="AQ89" i="3"/>
  <c r="AJ62" i="3"/>
  <c r="R57" i="3"/>
  <c r="AJ94" i="3"/>
  <c r="AI60" i="3"/>
  <c r="AQ56" i="3"/>
  <c r="K97" i="3"/>
  <c r="L50" i="3"/>
  <c r="K84" i="3"/>
  <c r="V74" i="3"/>
  <c r="AI48" i="3"/>
  <c r="S50" i="3"/>
  <c r="K57" i="3"/>
  <c r="AO85" i="3"/>
  <c r="W86" i="3"/>
  <c r="AE79" i="3"/>
  <c r="AL93" i="3"/>
  <c r="K62" i="3"/>
  <c r="H85" i="3"/>
  <c r="N56" i="3"/>
  <c r="AJ75" i="3"/>
  <c r="AI71" i="3"/>
  <c r="AO78" i="3"/>
  <c r="AJ58" i="3"/>
  <c r="Q58" i="3"/>
  <c r="W48" i="3"/>
  <c r="J69" i="3"/>
  <c r="AK60" i="3"/>
  <c r="Z47" i="3"/>
  <c r="Y56" i="3"/>
  <c r="AN63" i="3"/>
  <c r="J79" i="3"/>
  <c r="T69" i="3"/>
  <c r="AC63" i="3"/>
  <c r="AI50" i="3"/>
  <c r="AC81" i="3"/>
  <c r="T76" i="3"/>
  <c r="R66" i="3"/>
  <c r="AN62" i="3"/>
  <c r="AN77" i="3"/>
  <c r="AA92" i="3"/>
  <c r="Z68" i="3"/>
  <c r="AL89" i="3"/>
  <c r="AQ82" i="3"/>
  <c r="I78" i="3"/>
  <c r="AL94" i="3"/>
  <c r="P67" i="3"/>
  <c r="V71" i="3"/>
  <c r="K93" i="3"/>
  <c r="S79" i="3"/>
  <c r="K58" i="3"/>
  <c r="J92" i="3"/>
  <c r="J93" i="3"/>
  <c r="V65" i="3"/>
  <c r="W90" i="3"/>
  <c r="AL62" i="3"/>
  <c r="Q70" i="3"/>
  <c r="V78" i="3"/>
  <c r="L87" i="3"/>
  <c r="AA65" i="3"/>
  <c r="X93" i="3"/>
  <c r="AC54" i="3"/>
  <c r="V75" i="3"/>
  <c r="S47" i="3"/>
  <c r="AN75" i="3"/>
  <c r="AC83" i="3"/>
  <c r="AN82" i="3"/>
  <c r="N61" i="3"/>
  <c r="AN72" i="3"/>
  <c r="O62" i="3"/>
  <c r="AA81" i="3"/>
  <c r="AC79" i="3"/>
  <c r="O90" i="3"/>
  <c r="Y63" i="3"/>
  <c r="L60" i="3"/>
  <c r="AE70" i="3"/>
  <c r="L97" i="3"/>
  <c r="I69" i="3"/>
  <c r="AI79" i="3"/>
  <c r="AH63" i="3"/>
  <c r="N75" i="3"/>
  <c r="W70" i="3"/>
  <c r="Z83" i="3"/>
  <c r="O72" i="3"/>
  <c r="M79" i="3"/>
  <c r="Q65" i="3"/>
  <c r="S62" i="3"/>
  <c r="AL55" i="3"/>
  <c r="AO66" i="3"/>
  <c r="AA80" i="3"/>
  <c r="AK61" i="3"/>
  <c r="M83" i="3"/>
  <c r="AA66" i="3"/>
  <c r="W73" i="3"/>
  <c r="AC74" i="3"/>
  <c r="L77" i="3"/>
  <c r="AG81" i="3"/>
  <c r="AQ47" i="3"/>
  <c r="AI93" i="3"/>
  <c r="X73" i="3"/>
  <c r="Y49" i="3"/>
  <c r="K67" i="3"/>
  <c r="AE48" i="3"/>
  <c r="AJ77" i="3"/>
  <c r="W91" i="3"/>
  <c r="AL75" i="3"/>
  <c r="AA90" i="3"/>
  <c r="AE62" i="3"/>
  <c r="R93" i="3"/>
  <c r="O61" i="3"/>
  <c r="T83" i="3"/>
  <c r="O88" i="3"/>
  <c r="V80" i="3"/>
  <c r="J54" i="3"/>
  <c r="Y95" i="3"/>
  <c r="AA68" i="3"/>
  <c r="T66" i="3"/>
  <c r="H88" i="3"/>
  <c r="W87" i="3"/>
  <c r="AQ59" i="3"/>
  <c r="T79" i="3"/>
  <c r="AC90" i="3"/>
  <c r="Q84" i="3"/>
  <c r="AN61" i="3"/>
  <c r="H59" i="3"/>
  <c r="T82" i="3"/>
  <c r="K76" i="3"/>
  <c r="AQ68" i="3"/>
  <c r="AO97" i="3"/>
  <c r="N67" i="3"/>
  <c r="H68" i="3"/>
  <c r="T63" i="3"/>
  <c r="I97" i="3"/>
  <c r="I76" i="3"/>
  <c r="AO64" i="3"/>
  <c r="I67" i="3"/>
  <c r="AK92" i="3"/>
  <c r="R65" i="3"/>
  <c r="AA84" i="3"/>
  <c r="I83" i="3"/>
  <c r="M95" i="3"/>
  <c r="S73" i="3"/>
  <c r="AA88" i="3"/>
  <c r="AE68" i="3"/>
  <c r="AO84" i="3"/>
  <c r="L93" i="3"/>
  <c r="M72" i="3"/>
  <c r="Y83" i="3"/>
  <c r="H81" i="3"/>
  <c r="AK48" i="3"/>
  <c r="T54" i="3"/>
  <c r="AK95" i="3"/>
  <c r="AJ57" i="3"/>
  <c r="R86" i="3"/>
  <c r="H73" i="3"/>
  <c r="AG59" i="3"/>
  <c r="R82" i="3"/>
  <c r="AI61" i="3"/>
  <c r="P85" i="3"/>
  <c r="AH59" i="3"/>
  <c r="AK80" i="3"/>
  <c r="H65" i="3"/>
  <c r="H93" i="3"/>
  <c r="M64" i="3"/>
  <c r="Y84" i="3"/>
  <c r="AE56" i="3"/>
  <c r="S58" i="3"/>
  <c r="P66" i="3"/>
  <c r="H91" i="3"/>
  <c r="AO76" i="3"/>
  <c r="L76" i="3"/>
  <c r="Y74" i="3"/>
  <c r="I77" i="3"/>
  <c r="AO89" i="3"/>
  <c r="N97" i="3"/>
  <c r="M94" i="3"/>
  <c r="AN48" i="3"/>
  <c r="L58" i="3"/>
  <c r="AG91" i="3"/>
  <c r="M69" i="3"/>
  <c r="P69" i="3"/>
  <c r="AC86" i="3"/>
  <c r="Y79" i="3"/>
  <c r="I86" i="3"/>
  <c r="W65" i="3"/>
  <c r="Z65" i="3"/>
  <c r="N86" i="3"/>
  <c r="AI56" i="3"/>
  <c r="P47" i="3"/>
  <c r="K78" i="3"/>
  <c r="Q74" i="3"/>
  <c r="L79" i="3"/>
  <c r="P87" i="3"/>
  <c r="X90" i="3"/>
  <c r="K77" i="3"/>
  <c r="X84" i="3"/>
  <c r="P70" i="3"/>
  <c r="K69" i="3"/>
  <c r="AG77" i="3"/>
  <c r="AO48" i="3"/>
  <c r="X71" i="3"/>
  <c r="AE82" i="3"/>
  <c r="AJ91" i="3"/>
  <c r="AO56" i="3"/>
  <c r="AH80" i="3"/>
  <c r="P91" i="3"/>
  <c r="AL58" i="3"/>
  <c r="Z94" i="3"/>
  <c r="L63" i="3"/>
  <c r="AH69" i="3"/>
  <c r="H90" i="3"/>
  <c r="N70" i="3"/>
  <c r="Y92" i="3"/>
  <c r="AJ55" i="3"/>
  <c r="AO83" i="3"/>
  <c r="L65" i="3"/>
  <c r="AQ64" i="3"/>
  <c r="O79" i="3"/>
  <c r="AL49" i="3"/>
  <c r="V93" i="3"/>
  <c r="R76" i="3"/>
  <c r="M85" i="3"/>
  <c r="AI91" i="3"/>
  <c r="I73" i="3"/>
  <c r="N60" i="3"/>
  <c r="AE72" i="3"/>
  <c r="V90" i="3"/>
  <c r="M67" i="3"/>
  <c r="AJ85" i="3"/>
  <c r="Q48" i="3"/>
  <c r="H66" i="3"/>
  <c r="AO74" i="3"/>
  <c r="L91" i="3"/>
  <c r="AE63" i="3"/>
  <c r="X48" i="3"/>
  <c r="H87" i="3"/>
  <c r="O85" i="3"/>
  <c r="H62" i="3"/>
  <c r="P68" i="3"/>
  <c r="AK57" i="3"/>
  <c r="AA50" i="3"/>
  <c r="AQ76" i="3"/>
  <c r="R92" i="3"/>
  <c r="M68" i="3"/>
  <c r="M55" i="3"/>
  <c r="Z66" i="3"/>
  <c r="P82" i="3"/>
  <c r="N58" i="3"/>
  <c r="AK50" i="3"/>
  <c r="AN49" i="3"/>
  <c r="AA69" i="3"/>
  <c r="AE87" i="3"/>
  <c r="AI74" i="3"/>
  <c r="S94" i="3"/>
  <c r="AK58" i="3"/>
  <c r="H95" i="3"/>
  <c r="Z80" i="3"/>
  <c r="Y76" i="3"/>
  <c r="O60" i="3"/>
  <c r="N83" i="3"/>
  <c r="X57" i="3"/>
  <c r="Q62" i="3"/>
  <c r="AC91" i="3"/>
  <c r="AC47" i="3"/>
  <c r="X96" i="3"/>
  <c r="H83" i="3"/>
  <c r="I61" i="3"/>
  <c r="X64" i="3"/>
  <c r="N77" i="3"/>
  <c r="Q47" i="3"/>
  <c r="O96" i="3"/>
  <c r="W55" i="3"/>
  <c r="AQ88" i="3"/>
  <c r="AL91" i="3"/>
  <c r="M62" i="3"/>
  <c r="Q79" i="3"/>
  <c r="V91" i="3"/>
  <c r="V68" i="3"/>
  <c r="V58" i="3"/>
  <c r="W95" i="3"/>
  <c r="AE76" i="3"/>
  <c r="AN60" i="3"/>
  <c r="Y96" i="3"/>
  <c r="AG56" i="3"/>
  <c r="P50" i="3"/>
  <c r="AJ47" i="3"/>
  <c r="X94" i="3"/>
  <c r="AH49" i="3"/>
  <c r="Q94" i="3"/>
  <c r="V47" i="3"/>
  <c r="O95" i="3"/>
  <c r="J66" i="3"/>
  <c r="AI90" i="3"/>
  <c r="AG86" i="3"/>
  <c r="AL85" i="3"/>
  <c r="P94" i="3"/>
  <c r="AE96" i="3"/>
  <c r="R90" i="3"/>
  <c r="P54" i="3"/>
  <c r="M74" i="3"/>
  <c r="AQ85" i="3"/>
  <c r="AA70" i="3"/>
  <c r="Z85" i="3"/>
  <c r="L88" i="3"/>
  <c r="AA56" i="3"/>
  <c r="R49" i="3"/>
  <c r="AI63" i="3"/>
  <c r="AO49" i="3"/>
  <c r="X56" i="3"/>
  <c r="AH70" i="3"/>
  <c r="AJ82" i="3"/>
  <c r="O48" i="3"/>
  <c r="AH84" i="3"/>
  <c r="V76" i="3"/>
  <c r="X61" i="3"/>
  <c r="S71" i="3"/>
  <c r="AI83" i="3"/>
  <c r="AI54" i="3"/>
  <c r="AK68" i="3"/>
  <c r="AL66" i="3"/>
  <c r="O70" i="3"/>
  <c r="AJ70" i="3"/>
  <c r="AJ65" i="3"/>
  <c r="AN88" i="3"/>
  <c r="AQ58" i="3"/>
  <c r="AA74" i="3"/>
  <c r="W63" i="3"/>
  <c r="AI87" i="3"/>
  <c r="AH79" i="3"/>
  <c r="T91" i="3"/>
  <c r="R62" i="3"/>
  <c r="K90" i="3"/>
  <c r="R81" i="3"/>
  <c r="Y50" i="3"/>
  <c r="AG85" i="3"/>
  <c r="V96" i="3"/>
  <c r="O59" i="3"/>
  <c r="AG62" i="3"/>
  <c r="M80" i="3"/>
  <c r="K96" i="3"/>
  <c r="N76" i="3"/>
  <c r="AA60" i="3"/>
  <c r="J81" i="3"/>
  <c r="N93" i="3"/>
  <c r="O63" i="3"/>
  <c r="AN66" i="3"/>
  <c r="K92" i="3"/>
  <c r="K82" i="3"/>
  <c r="S55" i="3"/>
  <c r="M50" i="3"/>
  <c r="AI85" i="3"/>
  <c r="AH91" i="3"/>
  <c r="V70" i="3"/>
  <c r="J94" i="3"/>
  <c r="AE83" i="3"/>
  <c r="H92" i="3"/>
  <c r="O57" i="3"/>
  <c r="W66" i="3"/>
  <c r="AC57" i="3"/>
  <c r="J75" i="3"/>
  <c r="AN89" i="3"/>
  <c r="AC92" i="3"/>
  <c r="AI47" i="3"/>
  <c r="AG61" i="3"/>
  <c r="J84" i="3"/>
  <c r="K83" i="3"/>
  <c r="AK74" i="3"/>
  <c r="L66" i="3"/>
  <c r="I81" i="3"/>
  <c r="Q60" i="3"/>
  <c r="S95" i="3"/>
  <c r="AA89" i="3"/>
  <c r="AA48" i="3"/>
  <c r="J78" i="3"/>
  <c r="N87" i="3"/>
  <c r="AO59" i="3"/>
  <c r="K68" i="3"/>
  <c r="V86" i="3"/>
  <c r="H74" i="3"/>
  <c r="M76" i="3"/>
  <c r="AN55" i="3"/>
  <c r="P74" i="3"/>
  <c r="I58" i="3"/>
  <c r="W81" i="3"/>
  <c r="R80" i="3"/>
  <c r="AQ75" i="3"/>
  <c r="I91" i="3"/>
  <c r="I65" i="3"/>
  <c r="AO50" i="3"/>
  <c r="M73" i="3"/>
  <c r="L86" i="3"/>
  <c r="I88" i="3"/>
  <c r="Y73" i="3"/>
  <c r="L71" i="3"/>
  <c r="AK54" i="3"/>
  <c r="W97" i="3"/>
  <c r="AL48" i="3"/>
  <c r="AC85" i="3"/>
  <c r="R73" i="3"/>
  <c r="V63" i="3"/>
  <c r="O94" i="3"/>
  <c r="AI68" i="3"/>
  <c r="Q93" i="3"/>
  <c r="AJ92" i="3"/>
  <c r="S68" i="3"/>
  <c r="Q92" i="3"/>
  <c r="P80" i="3"/>
  <c r="X58" i="3"/>
  <c r="O74" i="3"/>
  <c r="H50" i="3"/>
  <c r="M60" i="3"/>
  <c r="T71" i="3"/>
  <c r="N88" i="3"/>
  <c r="AI69" i="3"/>
  <c r="AK72" i="3"/>
  <c r="AO57" i="3"/>
  <c r="AC49" i="3"/>
  <c r="R77" i="3"/>
  <c r="H48" i="3"/>
  <c r="K56" i="3"/>
  <c r="AC60" i="3"/>
  <c r="AL82" i="3"/>
  <c r="AC96" i="3"/>
  <c r="AJ90" i="3"/>
  <c r="P65" i="3"/>
  <c r="AN59" i="3"/>
  <c r="AK86" i="3"/>
  <c r="AG78" i="3"/>
  <c r="M61" i="3"/>
  <c r="I57" i="3"/>
  <c r="M56" i="3"/>
  <c r="H89" i="3"/>
  <c r="S96" i="3"/>
  <c r="W75" i="3"/>
  <c r="Z96" i="3"/>
  <c r="T59" i="3"/>
  <c r="W94" i="3"/>
  <c r="H96" i="3"/>
  <c r="J59" i="3"/>
  <c r="P81" i="3"/>
  <c r="M90" i="3"/>
  <c r="J50" i="3"/>
  <c r="T80" i="3"/>
  <c r="L68" i="3"/>
  <c r="AH57" i="3"/>
  <c r="T85" i="3"/>
  <c r="AO96" i="3"/>
  <c r="K60" i="3"/>
  <c r="O97" i="3"/>
  <c r="AL87" i="3"/>
  <c r="M92" i="3"/>
  <c r="AO63" i="3"/>
  <c r="AK59" i="3"/>
  <c r="AA59" i="3"/>
  <c r="AO90" i="3" l="1"/>
  <c r="AE50" i="3"/>
  <c r="AE66" i="3"/>
  <c r="T57" i="3"/>
  <c r="I89" i="3"/>
  <c r="L92" i="3"/>
  <c r="W57" i="3"/>
  <c r="J86" i="3"/>
  <c r="AM76" i="3"/>
  <c r="X88" i="3"/>
  <c r="AQ61" i="3"/>
  <c r="AO61" i="3"/>
  <c r="X70" i="3"/>
  <c r="AA79" i="3"/>
  <c r="R71" i="3"/>
  <c r="O80" i="3"/>
  <c r="S89" i="3"/>
  <c r="AJ78" i="3"/>
  <c r="W78" i="3"/>
  <c r="N80" i="3"/>
  <c r="AA93" i="3"/>
  <c r="L73" i="3"/>
  <c r="J67" i="3"/>
  <c r="AC59" i="3"/>
  <c r="N81" i="3"/>
  <c r="S90" i="3"/>
  <c r="AM84" i="3"/>
  <c r="AC68" i="3"/>
  <c r="I56" i="3"/>
  <c r="R91" i="3"/>
  <c r="P64" i="3"/>
  <c r="R95" i="3"/>
  <c r="Y65" i="3"/>
  <c r="S74" i="3"/>
  <c r="AH93" i="3"/>
  <c r="AO86" i="3"/>
  <c r="AA47" i="3"/>
  <c r="AJ59" i="3"/>
  <c r="AE93" i="3"/>
  <c r="AL57" i="3"/>
  <c r="W62" i="3"/>
  <c r="X76" i="3"/>
  <c r="Z57" i="3"/>
  <c r="X97" i="3"/>
  <c r="AL50" i="3"/>
  <c r="Y48" i="3"/>
  <c r="W68" i="3"/>
  <c r="AO75" i="3"/>
  <c r="N59" i="3"/>
  <c r="AE65" i="3"/>
  <c r="X68" i="3"/>
  <c r="AQ80" i="3"/>
  <c r="AE86" i="3"/>
  <c r="R67" i="3"/>
  <c r="AE89" i="3"/>
  <c r="Y62" i="3"/>
  <c r="I50" i="3"/>
  <c r="AA54" i="3"/>
  <c r="W77" i="3"/>
  <c r="AC93" i="3"/>
  <c r="L96" i="3"/>
  <c r="J71" i="3"/>
  <c r="O87" i="3"/>
  <c r="X81" i="3"/>
  <c r="K86" i="3"/>
  <c r="AQ57" i="3"/>
  <c r="AE73" i="3"/>
  <c r="X50" i="3"/>
  <c r="AC75" i="3"/>
  <c r="L84" i="3"/>
  <c r="AC48" i="3"/>
  <c r="AO58" i="3"/>
  <c r="J48" i="3"/>
  <c r="AO73" i="3"/>
  <c r="K75" i="3"/>
  <c r="N89" i="3"/>
  <c r="AH64" i="3"/>
  <c r="O50" i="3"/>
  <c r="AA78" i="3"/>
  <c r="W58" i="3"/>
  <c r="N94" i="3"/>
  <c r="Y85" i="3"/>
  <c r="Y75" i="3"/>
  <c r="AO77" i="3"/>
  <c r="T97" i="3"/>
  <c r="R87" i="3"/>
  <c r="N62" i="3"/>
  <c r="S91" i="3"/>
  <c r="N63" i="3"/>
  <c r="R64" i="3"/>
  <c r="AH97" i="3"/>
  <c r="K89" i="3"/>
  <c r="AM89" i="3"/>
  <c r="T49" i="3"/>
  <c r="Y82" i="3"/>
  <c r="V64" i="3"/>
  <c r="X63" i="3"/>
  <c r="K94" i="3"/>
  <c r="I74" i="3"/>
  <c r="O47" i="3"/>
  <c r="J82" i="3"/>
  <c r="K64" i="3"/>
  <c r="Z76" i="3"/>
  <c r="AH81" i="3"/>
  <c r="I47" i="3"/>
  <c r="R58" i="3"/>
  <c r="AC88" i="3"/>
  <c r="O73" i="3"/>
  <c r="AE59" i="3"/>
  <c r="O82" i="3"/>
  <c r="Z75" i="3"/>
  <c r="O75" i="3"/>
  <c r="AH78" i="3"/>
  <c r="V79" i="3"/>
  <c r="R74" i="3"/>
  <c r="AH76" i="3"/>
  <c r="Z73" i="3"/>
  <c r="AJ89" i="3"/>
  <c r="K49" i="3"/>
  <c r="AQ60" i="3"/>
  <c r="AJ50" i="3"/>
  <c r="P56" i="3"/>
  <c r="T73" i="3"/>
  <c r="AH90" i="3"/>
  <c r="J80" i="3"/>
  <c r="Y69" i="3"/>
  <c r="AL86" i="3"/>
  <c r="V56" i="3"/>
  <c r="X80" i="3"/>
  <c r="Z62" i="3"/>
  <c r="T89" i="3"/>
  <c r="N72" i="3"/>
  <c r="AQ50" i="3"/>
  <c r="N78" i="3"/>
  <c r="AJ83" i="3"/>
  <c r="X55" i="3"/>
  <c r="V82" i="3"/>
  <c r="O67" i="3"/>
  <c r="AE92" i="3"/>
  <c r="P93" i="3"/>
  <c r="AO79" i="3"/>
  <c r="O56" i="3"/>
  <c r="AM77" i="3"/>
  <c r="O65" i="3"/>
  <c r="V54" i="3"/>
  <c r="O78" i="3"/>
  <c r="P63" i="3"/>
  <c r="K65" i="3"/>
  <c r="I80" i="3"/>
  <c r="S69" i="3"/>
  <c r="S83" i="3"/>
  <c r="X49" i="3"/>
  <c r="AM64" i="3"/>
  <c r="K80" i="3"/>
  <c r="K81" i="3"/>
  <c r="AO91" i="3"/>
  <c r="K50" i="3"/>
  <c r="I85" i="3"/>
  <c r="I63" i="3"/>
  <c r="O89" i="3"/>
  <c r="Y81" i="3"/>
  <c r="Y77" i="3"/>
  <c r="O58" i="3"/>
  <c r="AC76" i="3"/>
  <c r="Z93" i="3"/>
  <c r="AJ60" i="3"/>
  <c r="AH94" i="3"/>
  <c r="AE67" i="3"/>
  <c r="AJ48" i="3"/>
  <c r="AC69" i="3"/>
  <c r="AE47" i="3"/>
  <c r="Z54" i="3"/>
  <c r="Z97" i="3"/>
  <c r="O55" i="3"/>
  <c r="S72" i="3"/>
  <c r="S85" i="3"/>
  <c r="P72" i="3"/>
  <c r="AE61" i="3"/>
  <c r="AM57" i="3"/>
  <c r="AL68" i="3"/>
  <c r="X72" i="3"/>
  <c r="O92" i="3"/>
  <c r="I94" i="3"/>
  <c r="AJ63" i="3"/>
  <c r="AO54" i="3"/>
  <c r="AL65" i="3"/>
  <c r="O54" i="3"/>
  <c r="AE75" i="3"/>
  <c r="K63" i="3"/>
  <c r="P76" i="3"/>
  <c r="Y93" i="3"/>
  <c r="AL90" i="3"/>
  <c r="AC65" i="3"/>
  <c r="V66" i="3"/>
  <c r="AE55" i="3"/>
  <c r="V49" i="3"/>
  <c r="V48" i="3"/>
  <c r="AO94" i="3"/>
  <c r="S81" i="3"/>
  <c r="AJ93" i="3"/>
  <c r="S78" i="3"/>
  <c r="Y55" i="3"/>
  <c r="AL63" i="3"/>
  <c r="AM66" i="3"/>
  <c r="AH96" i="3"/>
  <c r="O76" i="3"/>
  <c r="AL96" i="3"/>
  <c r="Z86" i="3"/>
  <c r="AM63" i="3"/>
  <c r="AL47" i="3"/>
  <c r="AL77" i="3"/>
  <c r="AH77" i="3"/>
  <c r="K72" i="3"/>
  <c r="AL61" i="3"/>
  <c r="P49" i="3"/>
  <c r="O49" i="3"/>
  <c r="S54" i="3"/>
  <c r="AH82" i="3"/>
  <c r="P77" i="3"/>
  <c r="AC67" i="3"/>
  <c r="P79" i="3"/>
  <c r="AC87" i="3"/>
  <c r="AH56" i="3"/>
  <c r="AC70" i="3"/>
  <c r="AJ80" i="3"/>
  <c r="AM70" i="3"/>
  <c r="AH54" i="3"/>
  <c r="AJ88" i="3"/>
  <c r="P62" i="3"/>
  <c r="AO88" i="3"/>
  <c r="AH48" i="3"/>
  <c r="AJ73" i="3"/>
  <c r="AJ64" i="3"/>
  <c r="AJ74" i="3"/>
  <c r="AO72" i="3"/>
  <c r="AC82" i="3"/>
  <c r="AO67" i="3"/>
  <c r="X69" i="3"/>
  <c r="P59" i="3"/>
  <c r="AO81" i="3"/>
  <c r="AO92" i="3"/>
  <c r="AJ79" i="3"/>
  <c r="AM75" i="3"/>
  <c r="S60" i="3"/>
  <c r="AH68" i="3"/>
  <c r="X79" i="3"/>
  <c r="AH95" i="3"/>
  <c r="AM47" i="3"/>
  <c r="AM83" i="3"/>
  <c r="AM74" i="3"/>
  <c r="AM92" i="3"/>
  <c r="AM97" i="3"/>
  <c r="AM65" i="3"/>
  <c r="AM67" i="3"/>
  <c r="AM62" i="3"/>
  <c r="AM81" i="3"/>
  <c r="AM72" i="3"/>
  <c r="AM58" i="3"/>
  <c r="AM96" i="3"/>
  <c r="AM60" i="3"/>
  <c r="AM68" i="3"/>
  <c r="AM54" i="3"/>
  <c r="AM61" i="3"/>
  <c r="AM93" i="3"/>
  <c r="AM69" i="3"/>
  <c r="AM50" i="3"/>
  <c r="AM48" i="3"/>
  <c r="AM86" i="3"/>
  <c r="AM95" i="3"/>
  <c r="AM79" i="3"/>
  <c r="AM88" i="3"/>
  <c r="AM82" i="3"/>
  <c r="AM55" i="3"/>
  <c r="AM80" i="3"/>
  <c r="AM94" i="3"/>
  <c r="AM49" i="3"/>
  <c r="AM78" i="3"/>
  <c r="AM71" i="3"/>
  <c r="Z81" i="3"/>
  <c r="R70" i="3"/>
  <c r="AC56" i="3"/>
  <c r="Y58" i="3"/>
  <c r="AH72" i="3"/>
  <c r="U65" i="3"/>
  <c r="U56" i="3"/>
  <c r="U83" i="3"/>
  <c r="U97" i="3"/>
  <c r="U91" i="3"/>
  <c r="U78" i="3"/>
  <c r="U95" i="3"/>
  <c r="U64" i="3"/>
  <c r="U50" i="3"/>
  <c r="U92" i="3"/>
  <c r="U61" i="3"/>
  <c r="U82" i="3"/>
  <c r="U86" i="3"/>
  <c r="U74" i="3"/>
  <c r="U67" i="3"/>
  <c r="U85" i="3"/>
  <c r="U96" i="3"/>
  <c r="U55" i="3"/>
  <c r="U49" i="3"/>
  <c r="U69" i="3"/>
  <c r="U54" i="3"/>
  <c r="U84" i="3"/>
  <c r="U59" i="3"/>
  <c r="U57" i="3"/>
  <c r="U89" i="3"/>
  <c r="U71" i="3"/>
  <c r="U77" i="3"/>
  <c r="U62" i="3"/>
  <c r="U88" i="3"/>
  <c r="U87" i="3"/>
  <c r="U76" i="3"/>
  <c r="U73" i="3"/>
  <c r="U68" i="3"/>
  <c r="U47" i="3"/>
  <c r="U81" i="3"/>
  <c r="U48" i="3"/>
  <c r="U79" i="3"/>
  <c r="U80" i="3"/>
  <c r="U94" i="3"/>
  <c r="U90" i="3"/>
  <c r="U72" i="3"/>
  <c r="U63" i="3"/>
  <c r="U70" i="3"/>
  <c r="U66" i="3"/>
  <c r="U58" i="3"/>
  <c r="U60" i="3"/>
  <c r="U75" i="3"/>
  <c r="U93" i="3"/>
  <c r="BJ69" i="1"/>
  <c r="BW56" i="1"/>
  <c r="BW218" i="1" s="1"/>
  <c r="D175" i="1"/>
  <c r="BD75" i="1"/>
  <c r="O150" i="1"/>
  <c r="O178" i="1" s="1"/>
  <c r="AY49" i="1"/>
  <c r="BO48" i="1"/>
  <c r="E166" i="1"/>
  <c r="AI56" i="1"/>
  <c r="AI218" i="1" s="1"/>
  <c r="BE38" i="1"/>
  <c r="BE32" i="1"/>
  <c r="BE255" i="1" s="1"/>
  <c r="BW39" i="1"/>
  <c r="BH48" i="1"/>
  <c r="AO69" i="1"/>
  <c r="W196" i="1"/>
  <c r="AQ69" i="1"/>
  <c r="AO70" i="1"/>
  <c r="BO70" i="1"/>
  <c r="BR45" i="1"/>
  <c r="AN38" i="1"/>
  <c r="BH49" i="1"/>
  <c r="AI39" i="1"/>
  <c r="AS46" i="1"/>
  <c r="BK59" i="1"/>
  <c r="BG33" i="1"/>
  <c r="R151" i="1"/>
  <c r="AP37" i="1"/>
  <c r="BM32" i="1"/>
  <c r="BR56" i="1"/>
  <c r="BR218" i="1" s="1"/>
  <c r="BP71" i="1"/>
  <c r="BV39" i="1"/>
  <c r="M156" i="1"/>
  <c r="BW44" i="1"/>
  <c r="V167" i="1"/>
  <c r="BU37" i="1"/>
  <c r="AM71" i="1"/>
  <c r="BG44" i="1"/>
  <c r="AN71" i="1"/>
  <c r="BC45" i="1"/>
  <c r="E97" i="1"/>
  <c r="AW60" i="1"/>
  <c r="BP39" i="1"/>
  <c r="G101" i="1"/>
  <c r="P170" i="1"/>
  <c r="BK49" i="1"/>
  <c r="AX44" i="1"/>
  <c r="AO63" i="1"/>
  <c r="V161" i="1"/>
  <c r="B166" i="1"/>
  <c r="AY59" i="1"/>
  <c r="BS56" i="1"/>
  <c r="BS218" i="1" s="1"/>
  <c r="L151" i="1"/>
  <c r="BC70" i="1"/>
  <c r="BG37" i="1"/>
  <c r="BV59" i="1"/>
  <c r="BH56" i="1"/>
  <c r="BH218" i="1" s="1"/>
  <c r="BE33" i="1"/>
  <c r="BB47" i="1"/>
  <c r="BE44" i="1"/>
  <c r="BQ33" i="1"/>
  <c r="BF63" i="1"/>
  <c r="AO32" i="1"/>
  <c r="C166" i="1"/>
  <c r="BS37" i="1"/>
  <c r="BH75" i="1"/>
  <c r="Q143" i="1"/>
  <c r="H171" i="1"/>
  <c r="J161" i="1"/>
  <c r="M161" i="1"/>
  <c r="E141" i="1"/>
  <c r="AS32" i="1"/>
  <c r="AS255" i="1" s="1"/>
  <c r="AR63" i="1"/>
  <c r="BP32" i="1"/>
  <c r="E195" i="1"/>
  <c r="AR70" i="1"/>
  <c r="K173" i="1"/>
  <c r="AO60" i="1"/>
  <c r="BW33" i="1"/>
  <c r="BM63" i="1"/>
  <c r="J175" i="1"/>
  <c r="BD71" i="1"/>
  <c r="M169" i="1"/>
  <c r="M204" i="1" s="1"/>
  <c r="BB59" i="1"/>
  <c r="BN45" i="1"/>
  <c r="Q102" i="1"/>
  <c r="BM49" i="1"/>
  <c r="H101" i="1"/>
  <c r="H126" i="1" s="1"/>
  <c r="BT48" i="1"/>
  <c r="AV32" i="1"/>
  <c r="AV255" i="1" s="1"/>
  <c r="O143" i="1"/>
  <c r="BS75" i="1"/>
  <c r="BM33" i="1"/>
  <c r="BP47" i="1"/>
  <c r="C177" i="1"/>
  <c r="C207" i="1" s="1"/>
  <c r="BQ32" i="1"/>
  <c r="BQ21" i="1" s="1"/>
  <c r="I156" i="1"/>
  <c r="D184" i="1"/>
  <c r="BK48" i="1"/>
  <c r="N103" i="1"/>
  <c r="P168" i="1"/>
  <c r="P203" i="1" s="1"/>
  <c r="AU48" i="1"/>
  <c r="U160" i="1"/>
  <c r="V183" i="1"/>
  <c r="V185" i="1" s="1"/>
  <c r="W233" i="1" s="1"/>
  <c r="AZ59" i="1"/>
  <c r="BT71" i="1"/>
  <c r="BI63" i="1"/>
  <c r="BA49" i="1"/>
  <c r="T157" i="1"/>
  <c r="C146" i="1"/>
  <c r="I187" i="1"/>
  <c r="H102" i="1"/>
  <c r="H113" i="1" s="1"/>
  <c r="G195" i="1"/>
  <c r="BQ56" i="1"/>
  <c r="BQ218" i="1" s="1"/>
  <c r="BV33" i="1"/>
  <c r="AX46" i="1"/>
  <c r="AV44" i="1"/>
  <c r="AV38" i="1"/>
  <c r="BN38" i="1"/>
  <c r="H188" i="1"/>
  <c r="H183" i="1"/>
  <c r="B155" i="1"/>
  <c r="BV169" i="1"/>
  <c r="BR59" i="1"/>
  <c r="AW59" i="1"/>
  <c r="BB32" i="1"/>
  <c r="BI69" i="1"/>
  <c r="BV70" i="1"/>
  <c r="AQ49" i="1"/>
  <c r="AI59" i="1"/>
  <c r="AV71" i="1"/>
  <c r="U170" i="1"/>
  <c r="R156" i="1"/>
  <c r="O196" i="1"/>
  <c r="AX70" i="1"/>
  <c r="S91" i="1"/>
  <c r="S92" i="1" s="1"/>
  <c r="BV178" i="1"/>
  <c r="BW178" i="1" s="1"/>
  <c r="J188" i="1"/>
  <c r="AQ75" i="1"/>
  <c r="AQ60" i="1"/>
  <c r="AK97" i="1"/>
  <c r="K171" i="1"/>
  <c r="BT49" i="1"/>
  <c r="E146" i="1"/>
  <c r="AI37" i="1"/>
  <c r="BD44" i="1"/>
  <c r="BS45" i="1"/>
  <c r="H168" i="1"/>
  <c r="H203" i="1" s="1"/>
  <c r="AS47" i="1"/>
  <c r="BM46" i="1"/>
  <c r="AP69" i="1"/>
  <c r="W184" i="1"/>
  <c r="H98" i="1"/>
  <c r="F175" i="1"/>
  <c r="AO38" i="1"/>
  <c r="L196" i="1"/>
  <c r="E179" i="1"/>
  <c r="O156" i="1"/>
  <c r="BH71" i="1"/>
  <c r="O102" i="1"/>
  <c r="H91" i="1"/>
  <c r="H92" i="1" s="1"/>
  <c r="BG56" i="1"/>
  <c r="BG218" i="1" s="1"/>
  <c r="AY33" i="1"/>
  <c r="AW44" i="1"/>
  <c r="BA38" i="1"/>
  <c r="H148" i="1"/>
  <c r="Q188" i="1"/>
  <c r="BH46" i="1"/>
  <c r="AS49" i="1"/>
  <c r="V101" i="1"/>
  <c r="V126" i="1" s="1"/>
  <c r="AY60" i="1"/>
  <c r="AU60" i="1"/>
  <c r="Q167" i="1"/>
  <c r="AR69" i="1"/>
  <c r="V146" i="1"/>
  <c r="S143" i="1"/>
  <c r="Q157" i="1"/>
  <c r="AR46" i="1"/>
  <c r="AV75" i="1"/>
  <c r="BA48" i="1"/>
  <c r="H103" i="1"/>
  <c r="H132" i="1" s="1"/>
  <c r="AN37" i="1"/>
  <c r="V103" i="1"/>
  <c r="AV70" i="1"/>
  <c r="BR39" i="1"/>
  <c r="N91" i="1"/>
  <c r="N92" i="1" s="1"/>
  <c r="V175" i="1"/>
  <c r="AT38" i="1"/>
  <c r="P148" i="1"/>
  <c r="T179" i="1"/>
  <c r="AY45" i="1"/>
  <c r="BB69" i="1"/>
  <c r="AJ97" i="1"/>
  <c r="AM75" i="1"/>
  <c r="C183" i="1"/>
  <c r="AU46" i="1"/>
  <c r="I179" i="1"/>
  <c r="BI37" i="1"/>
  <c r="BW37" i="1"/>
  <c r="BH175" i="1"/>
  <c r="BI175" i="1" s="1"/>
  <c r="AI47" i="1"/>
  <c r="N170" i="1"/>
  <c r="BK33" i="1"/>
  <c r="BH176" i="1"/>
  <c r="BI176" i="1" s="1"/>
  <c r="BV69" i="1"/>
  <c r="AO47" i="1"/>
  <c r="F151" i="1"/>
  <c r="BF70" i="1"/>
  <c r="AO71" i="1"/>
  <c r="C184" i="1"/>
  <c r="BB75" i="1"/>
  <c r="B87" i="1"/>
  <c r="L179" i="1"/>
  <c r="G194" i="1"/>
  <c r="BF32" i="1"/>
  <c r="BF255" i="1" s="1"/>
  <c r="M173" i="1"/>
  <c r="R159" i="1"/>
  <c r="R155" i="1" s="1"/>
  <c r="BC38" i="1"/>
  <c r="BU39" i="1"/>
  <c r="K141" i="1"/>
  <c r="J177" i="1"/>
  <c r="J207" i="1" s="1"/>
  <c r="BR69" i="1"/>
  <c r="AR37" i="1"/>
  <c r="BC48" i="1"/>
  <c r="BA37" i="1"/>
  <c r="BP63" i="1"/>
  <c r="BP48" i="1"/>
  <c r="AZ60" i="1"/>
  <c r="AY32" i="1"/>
  <c r="AY255" i="1" s="1"/>
  <c r="Q171" i="1"/>
  <c r="T183" i="1"/>
  <c r="BD39" i="1"/>
  <c r="M157" i="1"/>
  <c r="AQ45" i="1"/>
  <c r="L148" i="1"/>
  <c r="BO33" i="1"/>
  <c r="U148" i="1"/>
  <c r="H151" i="1"/>
  <c r="AU37" i="1"/>
  <c r="AS60" i="1"/>
  <c r="W102" i="1"/>
  <c r="W127" i="1" s="1"/>
  <c r="BE46" i="1"/>
  <c r="BD69" i="1"/>
  <c r="AX59" i="1"/>
  <c r="V188" i="1"/>
  <c r="AN33" i="1"/>
  <c r="AQ59" i="1"/>
  <c r="O157" i="1"/>
  <c r="BN46" i="1"/>
  <c r="BH142" i="1"/>
  <c r="BI142" i="1" s="1"/>
  <c r="V196" i="1"/>
  <c r="D170" i="1"/>
  <c r="BA75" i="1"/>
  <c r="BQ37" i="1"/>
  <c r="BB60" i="1"/>
  <c r="Q195" i="1"/>
  <c r="BG71" i="1"/>
  <c r="BQ60" i="1"/>
  <c r="I164" i="1"/>
  <c r="AS39" i="1"/>
  <c r="C155" i="1"/>
  <c r="AR49" i="1"/>
  <c r="I171" i="1"/>
  <c r="BU32" i="1"/>
  <c r="BU21" i="1" s="1"/>
  <c r="U146" i="1"/>
  <c r="BI48" i="1"/>
  <c r="BF75" i="1"/>
  <c r="AZ70" i="1"/>
  <c r="BV166" i="1"/>
  <c r="K151" i="1"/>
  <c r="W103" i="1"/>
  <c r="AP39" i="1"/>
  <c r="BI75" i="1"/>
  <c r="BI59" i="1"/>
  <c r="AP75" i="1"/>
  <c r="Q151" i="1"/>
  <c r="H187" i="1"/>
  <c r="AP71" i="1"/>
  <c r="BA70" i="1"/>
  <c r="C141" i="1"/>
  <c r="V150" i="1"/>
  <c r="V178" i="1" s="1"/>
  <c r="J149" i="1"/>
  <c r="Q150" i="1"/>
  <c r="Q178" i="1" s="1"/>
  <c r="I196" i="1"/>
  <c r="BF46" i="1"/>
  <c r="BQ46" i="1"/>
  <c r="I174" i="1"/>
  <c r="Q101" i="1"/>
  <c r="Q126" i="1" s="1"/>
  <c r="F97" i="1"/>
  <c r="J170" i="1"/>
  <c r="J183" i="1"/>
  <c r="AZ47" i="1"/>
  <c r="AM97" i="1"/>
  <c r="BG38" i="1"/>
  <c r="M171" i="1"/>
  <c r="BO69" i="1"/>
  <c r="L174" i="1"/>
  <c r="W91" i="1"/>
  <c r="BI33" i="1"/>
  <c r="BA32" i="1"/>
  <c r="BA255" i="1" s="1"/>
  <c r="O97" i="1"/>
  <c r="O184" i="1"/>
  <c r="T194" i="1"/>
  <c r="BE63" i="1"/>
  <c r="BU63" i="1"/>
  <c r="T184" i="1"/>
  <c r="H142" i="1"/>
  <c r="D195" i="1"/>
  <c r="BW38" i="1"/>
  <c r="AY71" i="1"/>
  <c r="T98" i="1"/>
  <c r="BH37" i="1"/>
  <c r="AZ49" i="1"/>
  <c r="BH39" i="1"/>
  <c r="F161" i="1"/>
  <c r="U161" i="1"/>
  <c r="D174" i="1"/>
  <c r="BK38" i="1"/>
  <c r="BO60" i="1"/>
  <c r="BC37" i="1"/>
  <c r="J167" i="1"/>
  <c r="W174" i="1"/>
  <c r="E164" i="1"/>
  <c r="BQ69" i="1"/>
  <c r="M91" i="1"/>
  <c r="M92" i="1" s="1"/>
  <c r="AP47" i="1"/>
  <c r="BG48" i="1"/>
  <c r="BF49" i="1"/>
  <c r="BG59" i="1"/>
  <c r="BM37" i="1"/>
  <c r="D194" i="1"/>
  <c r="S184" i="1"/>
  <c r="AU56" i="1"/>
  <c r="BT44" i="1"/>
  <c r="BH45" i="1"/>
  <c r="BA45" i="1"/>
  <c r="AT32" i="1"/>
  <c r="AT255" i="1" s="1"/>
  <c r="BO56" i="1"/>
  <c r="AW39" i="1"/>
  <c r="BC49" i="1"/>
  <c r="BO71" i="1"/>
  <c r="AT39" i="1"/>
  <c r="BR75" i="1"/>
  <c r="BE39" i="1"/>
  <c r="AI70" i="1"/>
  <c r="BU48" i="1"/>
  <c r="AW49" i="1"/>
  <c r="BI70" i="1"/>
  <c r="BN60" i="1"/>
  <c r="BN276" i="1" s="1"/>
  <c r="AU39" i="1"/>
  <c r="J97" i="1"/>
  <c r="K174" i="1"/>
  <c r="BV149" i="1"/>
  <c r="BW149" i="1" s="1"/>
  <c r="M103" i="1"/>
  <c r="E101" i="1"/>
  <c r="G91" i="1"/>
  <c r="G92" i="1" s="1"/>
  <c r="BA47" i="1"/>
  <c r="BR44" i="1"/>
  <c r="BS44" i="1"/>
  <c r="G160" i="1"/>
  <c r="V179" i="1"/>
  <c r="BV142" i="1"/>
  <c r="BW142" i="1" s="1"/>
  <c r="V184" i="1"/>
  <c r="Q194" i="1"/>
  <c r="F169" i="1"/>
  <c r="F204" i="1" s="1"/>
  <c r="S102" i="1"/>
  <c r="BB48" i="1"/>
  <c r="V91" i="1"/>
  <c r="V92" i="1" s="1"/>
  <c r="W179" i="1"/>
  <c r="D142" i="1"/>
  <c r="BV148" i="1"/>
  <c r="BW148" i="1" s="1"/>
  <c r="V151" i="1"/>
  <c r="J196" i="1"/>
  <c r="C151" i="1"/>
  <c r="S142" i="1"/>
  <c r="BA39" i="1"/>
  <c r="O149" i="1"/>
  <c r="N177" i="1"/>
  <c r="N207" i="1" s="1"/>
  <c r="BW59" i="1"/>
  <c r="AQ70" i="1"/>
  <c r="BA33" i="1"/>
  <c r="R177" i="1"/>
  <c r="R207" i="1" s="1"/>
  <c r="S141" i="1"/>
  <c r="K196" i="1"/>
  <c r="E98" i="1"/>
  <c r="P166" i="1"/>
  <c r="AY48" i="1"/>
  <c r="N156" i="1"/>
  <c r="S149" i="1"/>
  <c r="BH38" i="1"/>
  <c r="BJ97" i="1"/>
  <c r="AX33" i="1"/>
  <c r="M175" i="1"/>
  <c r="BD49" i="1"/>
  <c r="BE59" i="1"/>
  <c r="BH159" i="1"/>
  <c r="BI159" i="1" s="1"/>
  <c r="M148" i="1"/>
  <c r="AP46" i="1"/>
  <c r="BM71" i="1"/>
  <c r="J166" i="1"/>
  <c r="BI46" i="1"/>
  <c r="BC60" i="1"/>
  <c r="AN46" i="1"/>
  <c r="S183" i="1"/>
  <c r="AY56" i="1"/>
  <c r="AY218" i="1" s="1"/>
  <c r="BE75" i="1"/>
  <c r="BJ71" i="1"/>
  <c r="BC39" i="1"/>
  <c r="BB49" i="1"/>
  <c r="AT48" i="1"/>
  <c r="G156" i="1"/>
  <c r="T156" i="1"/>
  <c r="M97" i="1"/>
  <c r="Q146" i="1"/>
  <c r="T150" i="1"/>
  <c r="T178" i="1" s="1"/>
  <c r="K97" i="1"/>
  <c r="BD33" i="1"/>
  <c r="AW33" i="1"/>
  <c r="AW48" i="1"/>
  <c r="AU44" i="1"/>
  <c r="V149" i="1"/>
  <c r="BC32" i="1"/>
  <c r="U164" i="1"/>
  <c r="D155" i="1"/>
  <c r="B151" i="1"/>
  <c r="BA69" i="1"/>
  <c r="D150" i="1"/>
  <c r="D178" i="1" s="1"/>
  <c r="T188" i="1"/>
  <c r="C173" i="1"/>
  <c r="BD59" i="1"/>
  <c r="BH47" i="1"/>
  <c r="S179" i="1"/>
  <c r="F91" i="1"/>
  <c r="F92" i="1" s="1"/>
  <c r="C103" i="1"/>
  <c r="BO47" i="1"/>
  <c r="BH178" i="1"/>
  <c r="BI178" i="1" s="1"/>
  <c r="AZ32" i="1"/>
  <c r="BM44" i="1"/>
  <c r="G169" i="1"/>
  <c r="G204" i="1" s="1"/>
  <c r="K103" i="1"/>
  <c r="K111" i="1" s="1"/>
  <c r="D157" i="1"/>
  <c r="BM60" i="1"/>
  <c r="BI71" i="1"/>
  <c r="I149" i="1"/>
  <c r="P159" i="1"/>
  <c r="P155" i="1" s="1"/>
  <c r="G151" i="1"/>
  <c r="E142" i="1"/>
  <c r="E103" i="1"/>
  <c r="E111" i="1" s="1"/>
  <c r="BG32" i="1"/>
  <c r="BG255" i="1" s="1"/>
  <c r="BH156" i="1"/>
  <c r="W149" i="1"/>
  <c r="Q184" i="1"/>
  <c r="K184" i="1"/>
  <c r="L98" i="1"/>
  <c r="BV174" i="1"/>
  <c r="BW174" i="1" s="1"/>
  <c r="M168" i="1"/>
  <c r="M203" i="1" s="1"/>
  <c r="BN33" i="1"/>
  <c r="AI45" i="1"/>
  <c r="J160" i="1"/>
  <c r="L150" i="1"/>
  <c r="L178" i="1" s="1"/>
  <c r="AP45" i="1"/>
  <c r="AR71" i="1"/>
  <c r="BH44" i="1"/>
  <c r="AW38" i="1"/>
  <c r="BO45" i="1"/>
  <c r="AY47" i="1"/>
  <c r="BU45" i="1"/>
  <c r="AV49" i="1"/>
  <c r="K157" i="1"/>
  <c r="N184" i="1"/>
  <c r="M146" i="1"/>
  <c r="BN39" i="1"/>
  <c r="BH141" i="1"/>
  <c r="BI141" i="1" s="1"/>
  <c r="H146" i="1"/>
  <c r="D88" i="1"/>
  <c r="T151" i="1"/>
  <c r="BS38" i="1"/>
  <c r="BS39" i="1"/>
  <c r="F103" i="1"/>
  <c r="F111" i="1" s="1"/>
  <c r="AI38" i="1"/>
  <c r="BW48" i="1"/>
  <c r="BW46" i="1"/>
  <c r="AW69" i="1"/>
  <c r="G97" i="1"/>
  <c r="D101" i="1"/>
  <c r="BG75" i="1"/>
  <c r="R148" i="1"/>
  <c r="O160" i="1"/>
  <c r="AQ71" i="1"/>
  <c r="AS45" i="1"/>
  <c r="T101" i="1"/>
  <c r="T109" i="1" s="1"/>
  <c r="M166" i="1"/>
  <c r="W188" i="1"/>
  <c r="BA44" i="1"/>
  <c r="AR47" i="1"/>
  <c r="E160" i="1"/>
  <c r="AW32" i="1"/>
  <c r="AW276" i="1" s="1"/>
  <c r="AI49" i="1"/>
  <c r="AS71" i="1"/>
  <c r="BF48" i="1"/>
  <c r="S160" i="1"/>
  <c r="J187" i="1"/>
  <c r="BO63" i="1"/>
  <c r="AW56" i="1"/>
  <c r="AW218" i="1" s="1"/>
  <c r="P196" i="1"/>
  <c r="U183" i="1"/>
  <c r="BC33" i="1"/>
  <c r="AR48" i="1"/>
  <c r="BU75" i="1"/>
  <c r="AV47" i="1"/>
  <c r="AW75" i="1"/>
  <c r="AT75" i="1"/>
  <c r="BJ70" i="1"/>
  <c r="E196" i="1"/>
  <c r="D171" i="1"/>
  <c r="H169" i="1"/>
  <c r="H204" i="1" s="1"/>
  <c r="BJ46" i="1"/>
  <c r="BJ50" i="1" s="1"/>
  <c r="AS33" i="1"/>
  <c r="BH143" i="1"/>
  <c r="W183" i="1"/>
  <c r="S101" i="1"/>
  <c r="S126" i="1" s="1"/>
  <c r="V169" i="1"/>
  <c r="V204" i="1" s="1"/>
  <c r="K98" i="1"/>
  <c r="BK71" i="1"/>
  <c r="B143" i="1"/>
  <c r="AU69" i="1"/>
  <c r="G175" i="1"/>
  <c r="W169" i="1"/>
  <c r="AS37" i="1"/>
  <c r="BT47" i="1"/>
  <c r="BE71" i="1"/>
  <c r="AT47" i="1"/>
  <c r="C194" i="1"/>
  <c r="AY37" i="1"/>
  <c r="AU47" i="1"/>
  <c r="AN70" i="1"/>
  <c r="BE49" i="1"/>
  <c r="BH161" i="1"/>
  <c r="BI161" i="1" s="1"/>
  <c r="P142" i="1"/>
  <c r="BN37" i="1"/>
  <c r="R188" i="1"/>
  <c r="W173" i="1"/>
  <c r="BS47" i="1"/>
  <c r="BI39" i="1"/>
  <c r="AO33" i="1"/>
  <c r="BT70" i="1"/>
  <c r="B175" i="1"/>
  <c r="R101" i="1"/>
  <c r="D98" i="1"/>
  <c r="AP63" i="1"/>
  <c r="AT59" i="1"/>
  <c r="BT69" i="1"/>
  <c r="BQ38" i="1"/>
  <c r="S159" i="1"/>
  <c r="S155" i="1" s="1"/>
  <c r="N160" i="1"/>
  <c r="AW46" i="1"/>
  <c r="AV59" i="1"/>
  <c r="BQ49" i="1"/>
  <c r="BR38" i="1"/>
  <c r="BG60" i="1"/>
  <c r="BG276" i="1" s="1"/>
  <c r="S175" i="1"/>
  <c r="K146" i="1"/>
  <c r="AI63" i="1"/>
  <c r="BI56" i="1"/>
  <c r="G164" i="1"/>
  <c r="F150" i="1"/>
  <c r="F178" i="1" s="1"/>
  <c r="C159" i="1"/>
  <c r="R143" i="1"/>
  <c r="T171" i="1"/>
  <c r="AY69" i="1"/>
  <c r="BH174" i="1"/>
  <c r="BI174" i="1" s="1"/>
  <c r="W170" i="1"/>
  <c r="G157" i="1"/>
  <c r="T103" i="1"/>
  <c r="V164" i="1"/>
  <c r="BW70" i="1"/>
  <c r="BM45" i="1"/>
  <c r="AP56" i="1"/>
  <c r="AP218" i="1" s="1"/>
  <c r="R173" i="1"/>
  <c r="AU59" i="1"/>
  <c r="F148" i="1"/>
  <c r="BR70" i="1"/>
  <c r="AO46" i="1"/>
  <c r="N141" i="1"/>
  <c r="BS71" i="1"/>
  <c r="AP70" i="1"/>
  <c r="BT56" i="1"/>
  <c r="BT218" i="1" s="1"/>
  <c r="BI47" i="1"/>
  <c r="AT37" i="1"/>
  <c r="BN44" i="1"/>
  <c r="AQ44" i="1"/>
  <c r="BB45" i="1"/>
  <c r="AT49" i="1"/>
  <c r="E143" i="1"/>
  <c r="AV46" i="1"/>
  <c r="BG70" i="1"/>
  <c r="BP37" i="1"/>
  <c r="C170" i="1"/>
  <c r="H174" i="1"/>
  <c r="BR60" i="1"/>
  <c r="AO56" i="1"/>
  <c r="L194" i="1"/>
  <c r="BN32" i="1"/>
  <c r="AS38" i="1"/>
  <c r="BH69" i="1"/>
  <c r="BV176" i="1"/>
  <c r="BW176" i="1" s="1"/>
  <c r="D159" i="1"/>
  <c r="AS44" i="1"/>
  <c r="BV97" i="1"/>
  <c r="C87" i="1"/>
  <c r="C168" i="1"/>
  <c r="C203" i="1" s="1"/>
  <c r="I173" i="1"/>
  <c r="BK47" i="1"/>
  <c r="P102" i="1"/>
  <c r="J150" i="1"/>
  <c r="J178" i="1" s="1"/>
  <c r="J173" i="1"/>
  <c r="BP75" i="1"/>
  <c r="BR32" i="1"/>
  <c r="BR255" i="1" s="1"/>
  <c r="AN63" i="1"/>
  <c r="R103" i="1"/>
  <c r="BK44" i="1"/>
  <c r="AV69" i="1"/>
  <c r="F187" i="1"/>
  <c r="BU49" i="1"/>
  <c r="BK63" i="1"/>
  <c r="AV63" i="1"/>
  <c r="AZ56" i="1"/>
  <c r="Q174" i="1"/>
  <c r="H184" i="1"/>
  <c r="AO45" i="1"/>
  <c r="AY63" i="1"/>
  <c r="AZ38" i="1"/>
  <c r="AR33" i="1"/>
  <c r="I167" i="1"/>
  <c r="I143" i="1"/>
  <c r="K161" i="1"/>
  <c r="H150" i="1"/>
  <c r="H178" i="1" s="1"/>
  <c r="K149" i="1"/>
  <c r="BT63" i="1"/>
  <c r="C97" i="1"/>
  <c r="N188" i="1"/>
  <c r="S187" i="1"/>
  <c r="K179" i="1"/>
  <c r="C179" i="1"/>
  <c r="S97" i="1"/>
  <c r="O161" i="1"/>
  <c r="AR38" i="1"/>
  <c r="BR71" i="1"/>
  <c r="BH146" i="1"/>
  <c r="BI146" i="1" s="1"/>
  <c r="I195" i="1"/>
  <c r="BG46" i="1"/>
  <c r="BH32" i="1"/>
  <c r="AW71" i="1"/>
  <c r="R196" i="1"/>
  <c r="J169" i="1"/>
  <c r="J204" i="1" s="1"/>
  <c r="BV63" i="1"/>
  <c r="J195" i="1"/>
  <c r="B196" i="1"/>
  <c r="AO39" i="1"/>
  <c r="AN49" i="1"/>
  <c r="L160" i="1"/>
  <c r="B187" i="1"/>
  <c r="M143" i="1"/>
  <c r="AV39" i="1"/>
  <c r="W150" i="1"/>
  <c r="W178" i="1" s="1"/>
  <c r="AP44" i="1"/>
  <c r="K195" i="1"/>
  <c r="BK75" i="1"/>
  <c r="G170" i="1"/>
  <c r="N150" i="1"/>
  <c r="N178" i="1" s="1"/>
  <c r="BT59" i="1"/>
  <c r="BJ63" i="1"/>
  <c r="BD32" i="1"/>
  <c r="AS70" i="1"/>
  <c r="AW37" i="1"/>
  <c r="BA59" i="1"/>
  <c r="AN32" i="1"/>
  <c r="BH164" i="1"/>
  <c r="AS75" i="1"/>
  <c r="BG39" i="1"/>
  <c r="AZ44" i="1"/>
  <c r="BS46" i="1"/>
  <c r="BV143" i="1"/>
  <c r="D151" i="1"/>
  <c r="BQ44" i="1"/>
  <c r="AN44" i="1"/>
  <c r="BU60" i="1"/>
  <c r="BH59" i="1"/>
  <c r="BH187" i="1"/>
  <c r="BI187" i="1" s="1"/>
  <c r="W168" i="1"/>
  <c r="S103" i="1"/>
  <c r="BQ59" i="1"/>
  <c r="BO75" i="1"/>
  <c r="AP49" i="1"/>
  <c r="BJ98" i="1"/>
  <c r="M170" i="1"/>
  <c r="BD60" i="1"/>
  <c r="BD276" i="1" s="1"/>
  <c r="AZ75" i="1"/>
  <c r="AO37" i="1"/>
  <c r="G142" i="1"/>
  <c r="N195" i="1"/>
  <c r="AQ39" i="1"/>
  <c r="BR46" i="1"/>
  <c r="O148" i="1"/>
  <c r="E173" i="1"/>
  <c r="AM69" i="1"/>
  <c r="BD45" i="1"/>
  <c r="BH97" i="1"/>
  <c r="V171" i="1"/>
  <c r="W97" i="1"/>
  <c r="E170" i="1"/>
  <c r="V142" i="1"/>
  <c r="I161" i="1"/>
  <c r="F149" i="1"/>
  <c r="Q160" i="1"/>
  <c r="P161" i="1"/>
  <c r="AU49" i="1"/>
  <c r="M187" i="1"/>
  <c r="N187" i="1"/>
  <c r="BR33" i="1"/>
  <c r="BR34" i="1" s="1"/>
  <c r="B91" i="1"/>
  <c r="AU71" i="1"/>
  <c r="O183" i="1"/>
  <c r="G146" i="1"/>
  <c r="BK69" i="1"/>
  <c r="W151" i="1"/>
  <c r="G141" i="1"/>
  <c r="U102" i="1"/>
  <c r="BQ75" i="1"/>
  <c r="AZ45" i="1"/>
  <c r="U167" i="1"/>
  <c r="BK45" i="1"/>
  <c r="AZ71" i="1"/>
  <c r="BV187" i="1"/>
  <c r="BW187" i="1" s="1"/>
  <c r="AX39" i="1"/>
  <c r="BU47" i="1"/>
  <c r="L149" i="1"/>
  <c r="AZ63" i="1"/>
  <c r="BV49" i="1"/>
  <c r="BV44" i="1"/>
  <c r="D87" i="1"/>
  <c r="AX60" i="1"/>
  <c r="R98" i="1"/>
  <c r="L146" i="1"/>
  <c r="C171" i="1"/>
  <c r="BN56" i="1"/>
  <c r="N148" i="1"/>
  <c r="N159" i="1"/>
  <c r="N155" i="1" s="1"/>
  <c r="O169" i="1"/>
  <c r="O204" i="1" s="1"/>
  <c r="L195" i="1"/>
  <c r="J103" i="1"/>
  <c r="R171" i="1"/>
  <c r="AT69" i="1"/>
  <c r="L161" i="1"/>
  <c r="C150" i="1"/>
  <c r="C178" i="1" s="1"/>
  <c r="J146" i="1"/>
  <c r="N149" i="1"/>
  <c r="B146" i="1"/>
  <c r="M184" i="1"/>
  <c r="W175" i="1"/>
  <c r="H161" i="1"/>
  <c r="BJ60" i="1"/>
  <c r="BJ276" i="1" s="1"/>
  <c r="BH157" i="1"/>
  <c r="R179" i="1"/>
  <c r="BH63" i="1"/>
  <c r="Q142" i="1"/>
  <c r="G103" i="1"/>
  <c r="U171" i="1"/>
  <c r="BA63" i="1"/>
  <c r="AX37" i="1"/>
  <c r="AI48" i="1"/>
  <c r="W167" i="1"/>
  <c r="F173" i="1"/>
  <c r="K159" i="1"/>
  <c r="K155" i="1" s="1"/>
  <c r="AQ38" i="1"/>
  <c r="BG47" i="1"/>
  <c r="AS48" i="1"/>
  <c r="F188" i="1"/>
  <c r="R166" i="1"/>
  <c r="H143" i="1"/>
  <c r="I148" i="1"/>
  <c r="S146" i="1"/>
  <c r="BE37" i="1"/>
  <c r="AQ47" i="1"/>
  <c r="BO32" i="1"/>
  <c r="BR49" i="1"/>
  <c r="BT60" i="1"/>
  <c r="AT71" i="1"/>
  <c r="J164" i="1"/>
  <c r="C91" i="1"/>
  <c r="BM39" i="1"/>
  <c r="BV46" i="1"/>
  <c r="BT37" i="1"/>
  <c r="AK98" i="1"/>
  <c r="BQ63" i="1"/>
  <c r="J156" i="1"/>
  <c r="V102" i="1"/>
  <c r="L164" i="1"/>
  <c r="D149" i="1"/>
  <c r="D196" i="1"/>
  <c r="B148" i="1"/>
  <c r="U166" i="1"/>
  <c r="AQ63" i="1"/>
  <c r="O103" i="1"/>
  <c r="O128" i="1" s="1"/>
  <c r="Q91" i="1"/>
  <c r="Q92" i="1" s="1"/>
  <c r="U103" i="1"/>
  <c r="K175" i="1"/>
  <c r="BW32" i="1"/>
  <c r="AZ46" i="1"/>
  <c r="BV157" i="1"/>
  <c r="K187" i="1"/>
  <c r="AU33" i="1"/>
  <c r="D166" i="1"/>
  <c r="P160" i="1"/>
  <c r="D177" i="1"/>
  <c r="D207" i="1" s="1"/>
  <c r="AR56" i="1"/>
  <c r="AR218" i="1" s="1"/>
  <c r="AV60" i="1"/>
  <c r="D169" i="1"/>
  <c r="D204" i="1" s="1"/>
  <c r="Q98" i="1"/>
  <c r="BR47" i="1"/>
  <c r="BE48" i="1"/>
  <c r="BN63" i="1"/>
  <c r="AM70" i="1"/>
  <c r="BH155" i="1"/>
  <c r="T169" i="1"/>
  <c r="T204" i="1" s="1"/>
  <c r="B164" i="1"/>
  <c r="BF56" i="1"/>
  <c r="BF218" i="1" s="1"/>
  <c r="BW60" i="1"/>
  <c r="BN47" i="1"/>
  <c r="AI97" i="1"/>
  <c r="C164" i="1"/>
  <c r="H195" i="1"/>
  <c r="AT33" i="1"/>
  <c r="AT60" i="1"/>
  <c r="AZ33" i="1"/>
  <c r="D102" i="1"/>
  <c r="D113" i="1" s="1"/>
  <c r="AT45" i="1"/>
  <c r="BQ47" i="1"/>
  <c r="BS33" i="1"/>
  <c r="BN59" i="1"/>
  <c r="F159" i="1"/>
  <c r="F155" i="1" s="1"/>
  <c r="E187" i="1"/>
  <c r="BW71" i="1"/>
  <c r="BH33" i="1"/>
  <c r="G102" i="1"/>
  <c r="G113" i="1" s="1"/>
  <c r="J179" i="1"/>
  <c r="R194" i="1"/>
  <c r="BF69" i="1"/>
  <c r="T170" i="1"/>
  <c r="U177" i="1"/>
  <c r="U207" i="1" s="1"/>
  <c r="P91" i="1"/>
  <c r="P92" i="1" s="1"/>
  <c r="B102" i="1"/>
  <c r="K170" i="1"/>
  <c r="V177" i="1"/>
  <c r="V207" i="1" s="1"/>
  <c r="U187" i="1"/>
  <c r="O168" i="1"/>
  <c r="O203" i="1" s="1"/>
  <c r="AR45" i="1"/>
  <c r="BM69" i="1"/>
  <c r="W146" i="1"/>
  <c r="D97" i="1"/>
  <c r="Q168" i="1"/>
  <c r="Q203" i="1" s="1"/>
  <c r="J142" i="1"/>
  <c r="S169" i="1"/>
  <c r="S204" i="1" s="1"/>
  <c r="Q161" i="1"/>
  <c r="BH150" i="1"/>
  <c r="BI150" i="1" s="1"/>
  <c r="S196" i="1"/>
  <c r="J159" i="1"/>
  <c r="J155" i="1" s="1"/>
  <c r="F166" i="1"/>
  <c r="AR32" i="1"/>
  <c r="AR255" i="1" s="1"/>
  <c r="M177" i="1"/>
  <c r="M207" i="1" s="1"/>
  <c r="O159" i="1"/>
  <c r="O155" i="1" s="1"/>
  <c r="N151" i="1"/>
  <c r="BN49" i="1"/>
  <c r="BS69" i="1"/>
  <c r="AV45" i="1"/>
  <c r="BR48" i="1"/>
  <c r="BV56" i="1"/>
  <c r="BV218" i="1" s="1"/>
  <c r="BK46" i="1"/>
  <c r="AX49" i="1"/>
  <c r="B150" i="1"/>
  <c r="B178" i="1" s="1"/>
  <c r="W143" i="1"/>
  <c r="I175" i="1"/>
  <c r="F143" i="1"/>
  <c r="BC59" i="1"/>
  <c r="AN48" i="1"/>
  <c r="AJ98" i="1"/>
  <c r="BP33" i="1"/>
  <c r="BP34" i="1" s="1"/>
  <c r="BK39" i="1"/>
  <c r="BW63" i="1"/>
  <c r="BV150" i="1"/>
  <c r="BW150" i="1" s="1"/>
  <c r="C98" i="1"/>
  <c r="O187" i="1"/>
  <c r="I194" i="1"/>
  <c r="P157" i="1"/>
  <c r="H156" i="1"/>
  <c r="B173" i="1"/>
  <c r="BG49" i="1"/>
  <c r="AQ48" i="1"/>
  <c r="BT32" i="1"/>
  <c r="BT21" i="1" s="1"/>
  <c r="BX26" i="1" s="1"/>
  <c r="BO39" i="1"/>
  <c r="R142" i="1"/>
  <c r="I157" i="1"/>
  <c r="U149" i="1"/>
  <c r="S177" i="1"/>
  <c r="S207" i="1" s="1"/>
  <c r="P164" i="1"/>
  <c r="E156" i="1"/>
  <c r="Q175" i="1"/>
  <c r="BS63" i="1"/>
  <c r="BF60" i="1"/>
  <c r="BA46" i="1"/>
  <c r="K188" i="1"/>
  <c r="I146" i="1"/>
  <c r="B177" i="1"/>
  <c r="B207" i="1" s="1"/>
  <c r="G173" i="1"/>
  <c r="S98" i="1"/>
  <c r="O195" i="1"/>
  <c r="BJ56" i="1"/>
  <c r="BJ218" i="1" s="1"/>
  <c r="G161" i="1"/>
  <c r="D173" i="1"/>
  <c r="I168" i="1"/>
  <c r="I203" i="1" s="1"/>
  <c r="I184" i="1"/>
  <c r="S157" i="1"/>
  <c r="U101" i="1"/>
  <c r="V170" i="1"/>
  <c r="G171" i="1"/>
  <c r="R141" i="1"/>
  <c r="R146" i="1"/>
  <c r="C88" i="1"/>
  <c r="D183" i="1"/>
  <c r="D185" i="1" s="1"/>
  <c r="C102" i="1"/>
  <c r="O175" i="1"/>
  <c r="P183" i="1"/>
  <c r="P185" i="1" s="1"/>
  <c r="Q233" i="1" s="1"/>
  <c r="U168" i="1"/>
  <c r="U203" i="1" s="1"/>
  <c r="P101" i="1"/>
  <c r="V98" i="1"/>
  <c r="W187" i="1"/>
  <c r="K183" i="1"/>
  <c r="K185" i="1" s="1"/>
  <c r="AX45" i="1"/>
  <c r="F177" i="1"/>
  <c r="F207" i="1" s="1"/>
  <c r="V187" i="1"/>
  <c r="K177" i="1"/>
  <c r="K207" i="1" s="1"/>
  <c r="AI32" i="1"/>
  <c r="AI209" i="1" s="1"/>
  <c r="AR44" i="1"/>
  <c r="BK60" i="1"/>
  <c r="BC71" i="1"/>
  <c r="BV175" i="1"/>
  <c r="BW175" i="1" s="1"/>
  <c r="C143" i="1"/>
  <c r="C157" i="1"/>
  <c r="Q148" i="1"/>
  <c r="L187" i="1"/>
  <c r="Q103" i="1"/>
  <c r="D148" i="1"/>
  <c r="F98" i="1"/>
  <c r="H160" i="1"/>
  <c r="BS48" i="1"/>
  <c r="AZ37" i="1"/>
  <c r="BQ39" i="1"/>
  <c r="BF38" i="1"/>
  <c r="AN47" i="1"/>
  <c r="AN45" i="1"/>
  <c r="C142" i="1"/>
  <c r="W171" i="1"/>
  <c r="M188" i="1"/>
  <c r="M167" i="1"/>
  <c r="O101" i="1"/>
  <c r="O126" i="1" s="1"/>
  <c r="V173" i="1"/>
  <c r="BP69" i="1"/>
  <c r="BT33" i="1"/>
  <c r="BT34" i="1" s="1"/>
  <c r="BO38" i="1"/>
  <c r="K142" i="1"/>
  <c r="R175" i="1"/>
  <c r="U97" i="1"/>
  <c r="L173" i="1"/>
  <c r="O98" i="1"/>
  <c r="T143" i="1"/>
  <c r="D164" i="1"/>
  <c r="D226" i="1" s="1"/>
  <c r="C156" i="1"/>
  <c r="BV37" i="1"/>
  <c r="F157" i="1"/>
  <c r="I160" i="1"/>
  <c r="O141" i="1"/>
  <c r="S168" i="1"/>
  <c r="S203" i="1" s="1"/>
  <c r="BU38" i="1"/>
  <c r="BI45" i="1"/>
  <c r="AX32" i="1"/>
  <c r="AS63" i="1"/>
  <c r="S156" i="1"/>
  <c r="C160" i="1"/>
  <c r="E151" i="1"/>
  <c r="S188" i="1"/>
  <c r="R102" i="1"/>
  <c r="R113" i="1" s="1"/>
  <c r="T148" i="1"/>
  <c r="Q170" i="1"/>
  <c r="F167" i="1"/>
  <c r="BV141" i="1"/>
  <c r="BW141" i="1" s="1"/>
  <c r="F184" i="1"/>
  <c r="T97" i="1"/>
  <c r="D103" i="1"/>
  <c r="R160" i="1"/>
  <c r="P195" i="1"/>
  <c r="B194" i="1"/>
  <c r="D156" i="1"/>
  <c r="BV164" i="1"/>
  <c r="BW164" i="1" s="1"/>
  <c r="BX226" i="1" s="1"/>
  <c r="T91" i="1"/>
  <c r="T92" i="1" s="1"/>
  <c r="L183" i="1"/>
  <c r="U156" i="1"/>
  <c r="G166" i="1"/>
  <c r="Q169" i="1"/>
  <c r="Q204" i="1" s="1"/>
  <c r="M102" i="1"/>
  <c r="M113" i="1" s="1"/>
  <c r="N168" i="1"/>
  <c r="N203" i="1" s="1"/>
  <c r="I102" i="1"/>
  <c r="L101" i="1"/>
  <c r="L126" i="1" s="1"/>
  <c r="AZ48" i="1"/>
  <c r="AV56" i="1"/>
  <c r="BM48" i="1"/>
  <c r="L142" i="1"/>
  <c r="I98" i="1"/>
  <c r="F196" i="1"/>
  <c r="AP32" i="1"/>
  <c r="BP38" i="1"/>
  <c r="AO44" i="1"/>
  <c r="BV60" i="1"/>
  <c r="BV170" i="1"/>
  <c r="BW170" i="1" s="1"/>
  <c r="C167" i="1"/>
  <c r="B160" i="1"/>
  <c r="R168" i="1"/>
  <c r="R203" i="1" s="1"/>
  <c r="V194" i="1"/>
  <c r="V166" i="1"/>
  <c r="S166" i="1"/>
  <c r="C149" i="1"/>
  <c r="G183" i="1"/>
  <c r="H179" i="1"/>
  <c r="AR75" i="1"/>
  <c r="AN60" i="1"/>
  <c r="BV71" i="1"/>
  <c r="W160" i="1"/>
  <c r="P171" i="1"/>
  <c r="L169" i="1"/>
  <c r="L204" i="1" s="1"/>
  <c r="O177" i="1"/>
  <c r="O207" i="1" s="1"/>
  <c r="H164" i="1"/>
  <c r="I226" i="1" s="1"/>
  <c r="M194" i="1"/>
  <c r="P146" i="1"/>
  <c r="BD46" i="1"/>
  <c r="BV47" i="1"/>
  <c r="BE60" i="1"/>
  <c r="AP38" i="1"/>
  <c r="E161" i="1"/>
  <c r="U141" i="1"/>
  <c r="B168" i="1"/>
  <c r="B203" i="1" s="1"/>
  <c r="M196" i="1"/>
  <c r="C161" i="1"/>
  <c r="BH184" i="1"/>
  <c r="I169" i="1"/>
  <c r="I204" i="1" s="1"/>
  <c r="L143" i="1"/>
  <c r="W142" i="1"/>
  <c r="B161" i="1"/>
  <c r="B141" i="1"/>
  <c r="O188" i="1"/>
  <c r="AV48" i="1"/>
  <c r="AQ32" i="1"/>
  <c r="BH170" i="1"/>
  <c r="BI170" i="1" s="1"/>
  <c r="H167" i="1"/>
  <c r="Q164" i="1"/>
  <c r="W166" i="1"/>
  <c r="P150" i="1"/>
  <c r="P178" i="1" s="1"/>
  <c r="R169" i="1"/>
  <c r="R204" i="1" s="1"/>
  <c r="D91" i="1"/>
  <c r="B156" i="1"/>
  <c r="R91" i="1"/>
  <c r="R92" i="1" s="1"/>
  <c r="U173" i="1"/>
  <c r="P187" i="1"/>
  <c r="O174" i="1"/>
  <c r="AS69" i="1"/>
  <c r="BV171" i="1"/>
  <c r="BW171" i="1" s="1"/>
  <c r="J157" i="1"/>
  <c r="B169" i="1"/>
  <c r="B204" i="1" s="1"/>
  <c r="D160" i="1"/>
  <c r="V148" i="1"/>
  <c r="O164" i="1"/>
  <c r="T142" i="1"/>
  <c r="BS32" i="1"/>
  <c r="BS21" i="1" s="1"/>
  <c r="BW75" i="1"/>
  <c r="BP44" i="1"/>
  <c r="AX63" i="1"/>
  <c r="F142" i="1"/>
  <c r="R149" i="1"/>
  <c r="O166" i="1"/>
  <c r="N167" i="1"/>
  <c r="U142" i="1"/>
  <c r="BN71" i="1"/>
  <c r="BK56" i="1"/>
  <c r="AP60" i="1"/>
  <c r="AP276" i="1" s="1"/>
  <c r="BS60" i="1"/>
  <c r="BP45" i="1"/>
  <c r="U195" i="1"/>
  <c r="P149" i="1"/>
  <c r="S194" i="1"/>
  <c r="S174" i="1"/>
  <c r="K102" i="1"/>
  <c r="BF47" i="1"/>
  <c r="BK70" i="1"/>
  <c r="BR63" i="1"/>
  <c r="B103" i="1"/>
  <c r="C101" i="1"/>
  <c r="B183" i="1"/>
  <c r="T168" i="1"/>
  <c r="T203" i="1" s="1"/>
  <c r="Q141" i="1"/>
  <c r="M150" i="1"/>
  <c r="M178" i="1" s="1"/>
  <c r="AY46" i="1"/>
  <c r="AO48" i="1"/>
  <c r="BG69" i="1"/>
  <c r="AN69" i="1"/>
  <c r="O91" i="1"/>
  <c r="O92" i="1" s="1"/>
  <c r="T196" i="1"/>
  <c r="I103" i="1"/>
  <c r="N142" i="1"/>
  <c r="T141" i="1"/>
  <c r="B149" i="1"/>
  <c r="E148" i="1"/>
  <c r="F141" i="1"/>
  <c r="F144" i="1" s="1"/>
  <c r="G174" i="1"/>
  <c r="BV168" i="1"/>
  <c r="G196" i="1"/>
  <c r="E149" i="1"/>
  <c r="C175" i="1"/>
  <c r="R184" i="1"/>
  <c r="AU70" i="1"/>
  <c r="BF33" i="1"/>
  <c r="BB39" i="1"/>
  <c r="BM56" i="1"/>
  <c r="BO44" i="1"/>
  <c r="BV156" i="1"/>
  <c r="V97" i="1"/>
  <c r="O179" i="1"/>
  <c r="T167" i="1"/>
  <c r="F179" i="1"/>
  <c r="Q179" i="1"/>
  <c r="H141" i="1"/>
  <c r="W101" i="1"/>
  <c r="W126" i="1" s="1"/>
  <c r="I177" i="1"/>
  <c r="I207" i="1" s="1"/>
  <c r="BR37" i="1"/>
  <c r="BB44" i="1"/>
  <c r="T174" i="1"/>
  <c r="Q183" i="1"/>
  <c r="J148" i="1"/>
  <c r="H177" i="1"/>
  <c r="H207" i="1" s="1"/>
  <c r="BE70" i="1"/>
  <c r="BM59" i="1"/>
  <c r="B195" i="1"/>
  <c r="D167" i="1"/>
  <c r="I159" i="1"/>
  <c r="I155" i="1" s="1"/>
  <c r="J91" i="1"/>
  <c r="J92" i="1" s="1"/>
  <c r="O171" i="1"/>
  <c r="U179" i="1"/>
  <c r="BF71" i="1"/>
  <c r="BE56" i="1"/>
  <c r="BE218" i="1" s="1"/>
  <c r="AX48" i="1"/>
  <c r="AN56" i="1"/>
  <c r="BV173" i="1"/>
  <c r="BW173" i="1" s="1"/>
  <c r="M164" i="1"/>
  <c r="H166" i="1"/>
  <c r="K143" i="1"/>
  <c r="G149" i="1"/>
  <c r="J151" i="1"/>
  <c r="B88" i="1"/>
  <c r="B179" i="1"/>
  <c r="T146" i="1"/>
  <c r="G159" i="1"/>
  <c r="G155" i="1" s="1"/>
  <c r="U194" i="1"/>
  <c r="BC75" i="1"/>
  <c r="AT56" i="1"/>
  <c r="AT218" i="1" s="1"/>
  <c r="AX75" i="1"/>
  <c r="BG45" i="1"/>
  <c r="BV38" i="1"/>
  <c r="H196" i="1"/>
  <c r="N171" i="1"/>
  <c r="D179" i="1"/>
  <c r="E188" i="1"/>
  <c r="M160" i="1"/>
  <c r="G143" i="1"/>
  <c r="AN59" i="1"/>
  <c r="AM98" i="1"/>
  <c r="AW63" i="1"/>
  <c r="AO59" i="1"/>
  <c r="BV188" i="1"/>
  <c r="BW188" i="1" s="1"/>
  <c r="W177" i="1"/>
  <c r="F194" i="1"/>
  <c r="R183" i="1"/>
  <c r="K164" i="1"/>
  <c r="N183" i="1"/>
  <c r="E167" i="1"/>
  <c r="BP59" i="1"/>
  <c r="AY75" i="1"/>
  <c r="AY38" i="1"/>
  <c r="BV98" i="1"/>
  <c r="Q173" i="1"/>
  <c r="K101" i="1"/>
  <c r="K126" i="1" s="1"/>
  <c r="B157" i="1"/>
  <c r="K169" i="1"/>
  <c r="K204" i="1" s="1"/>
  <c r="U151" i="1"/>
  <c r="N101" i="1"/>
  <c r="N109" i="1" s="1"/>
  <c r="P156" i="1"/>
  <c r="BA60" i="1"/>
  <c r="AO49" i="1"/>
  <c r="AR60" i="1"/>
  <c r="BH148" i="1"/>
  <c r="BI148" i="1" s="1"/>
  <c r="N173" i="1"/>
  <c r="M98" i="1"/>
  <c r="R187" i="1"/>
  <c r="E150" i="1"/>
  <c r="E178" i="1" s="1"/>
  <c r="L168" i="1"/>
  <c r="L203" i="1" s="1"/>
  <c r="V156" i="1"/>
  <c r="W194" i="1"/>
  <c r="J141" i="1"/>
  <c r="G148" i="1"/>
  <c r="E177" i="1"/>
  <c r="E207" i="1" s="1"/>
  <c r="R97" i="1"/>
  <c r="U143" i="1"/>
  <c r="T187" i="1"/>
  <c r="L156" i="1"/>
  <c r="L97" i="1"/>
  <c r="U98" i="1"/>
  <c r="F101" i="1"/>
  <c r="F109" i="1" s="1"/>
  <c r="BD48" i="1"/>
  <c r="AW45" i="1"/>
  <c r="AU38" i="1"/>
  <c r="BU70" i="1"/>
  <c r="BD63" i="1"/>
  <c r="BT38" i="1"/>
  <c r="BD38" i="1"/>
  <c r="P173" i="1"/>
  <c r="N174" i="1"/>
  <c r="W148" i="1"/>
  <c r="I141" i="1"/>
  <c r="C196" i="1"/>
  <c r="BG63" i="1"/>
  <c r="BQ70" i="1"/>
  <c r="AI46" i="1"/>
  <c r="U188" i="1"/>
  <c r="L157" i="1"/>
  <c r="N146" i="1"/>
  <c r="U174" i="1"/>
  <c r="D187" i="1"/>
  <c r="P98" i="1"/>
  <c r="AP33" i="1"/>
  <c r="BO37" i="1"/>
  <c r="AV37" i="1"/>
  <c r="BH149" i="1"/>
  <c r="BI149" i="1" s="1"/>
  <c r="J101" i="1"/>
  <c r="J126" i="1" s="1"/>
  <c r="B171" i="1"/>
  <c r="L167" i="1"/>
  <c r="L175" i="1"/>
  <c r="K148" i="1"/>
  <c r="BC69" i="1"/>
  <c r="BH169" i="1"/>
  <c r="G168" i="1"/>
  <c r="G203" i="1" s="1"/>
  <c r="T159" i="1"/>
  <c r="T155" i="1" s="1"/>
  <c r="T195" i="1"/>
  <c r="Q187" i="1"/>
  <c r="U175" i="1"/>
  <c r="H175" i="1"/>
  <c r="I166" i="1"/>
  <c r="K156" i="1"/>
  <c r="E169" i="1"/>
  <c r="E204" i="1" s="1"/>
  <c r="E174" i="1"/>
  <c r="S173" i="1"/>
  <c r="O173" i="1"/>
  <c r="AX47" i="1"/>
  <c r="AS59" i="1"/>
  <c r="W98" i="1"/>
  <c r="J168" i="1"/>
  <c r="J203" i="1" s="1"/>
  <c r="BF44" i="1"/>
  <c r="BJ75" i="1"/>
  <c r="AW47" i="1"/>
  <c r="BB38" i="1"/>
  <c r="BH168" i="1"/>
  <c r="AI44" i="1"/>
  <c r="AR39" i="1"/>
  <c r="AI71" i="1"/>
  <c r="AQ56" i="1"/>
  <c r="AQ218" i="1" s="1"/>
  <c r="AS56" i="1"/>
  <c r="AS218" i="1" s="1"/>
  <c r="BU44" i="1"/>
  <c r="BA56" i="1"/>
  <c r="U196" i="1"/>
  <c r="L184" i="1"/>
  <c r="BB37" i="1"/>
  <c r="BU71" i="1"/>
  <c r="BT39" i="1"/>
  <c r="BU46" i="1"/>
  <c r="L166" i="1"/>
  <c r="S171" i="1"/>
  <c r="BH188" i="1"/>
  <c r="BI188" i="1" s="1"/>
  <c r="R157" i="1"/>
  <c r="S164" i="1"/>
  <c r="V141" i="1"/>
  <c r="R170" i="1"/>
  <c r="O142" i="1"/>
  <c r="H194" i="1"/>
  <c r="N98" i="1"/>
  <c r="BV45" i="1"/>
  <c r="BN75" i="1"/>
  <c r="BV167" i="1"/>
  <c r="BW167" i="1" s="1"/>
  <c r="U169" i="1"/>
  <c r="U204" i="1" s="1"/>
  <c r="L170" i="1"/>
  <c r="B101" i="1"/>
  <c r="V195" i="1"/>
  <c r="I183" i="1"/>
  <c r="I151" i="1"/>
  <c r="K194" i="1"/>
  <c r="BH171" i="1"/>
  <c r="BI171" i="1" s="1"/>
  <c r="L103" i="1"/>
  <c r="W159" i="1"/>
  <c r="W155" i="1" s="1"/>
  <c r="M195" i="1"/>
  <c r="W195" i="1"/>
  <c r="G150" i="1"/>
  <c r="G178" i="1" s="1"/>
  <c r="E171" i="1"/>
  <c r="P143" i="1"/>
  <c r="AW70" i="1"/>
  <c r="BH183" i="1"/>
  <c r="F171" i="1"/>
  <c r="F156" i="1"/>
  <c r="K166" i="1"/>
  <c r="C188" i="1"/>
  <c r="I97" i="1"/>
  <c r="J102" i="1"/>
  <c r="BD37" i="1"/>
  <c r="BC47" i="1"/>
  <c r="BP70" i="1"/>
  <c r="AP59" i="1"/>
  <c r="AX56" i="1"/>
  <c r="AX218" i="1" s="1"/>
  <c r="BC63" i="1"/>
  <c r="BV179" i="1"/>
  <c r="BW179" i="1" s="1"/>
  <c r="V159" i="1"/>
  <c r="V155" i="1" s="1"/>
  <c r="E157" i="1"/>
  <c r="S148" i="1"/>
  <c r="E159" i="1"/>
  <c r="E155" i="1" s="1"/>
  <c r="E158" i="1" s="1"/>
  <c r="T164" i="1"/>
  <c r="U226" i="1" s="1"/>
  <c r="N102" i="1"/>
  <c r="N131" i="1" s="1"/>
  <c r="BB71" i="1"/>
  <c r="BP49" i="1"/>
  <c r="AQ46" i="1"/>
  <c r="AT46" i="1"/>
  <c r="BQ45" i="1"/>
  <c r="BV146" i="1"/>
  <c r="BW146" i="1" s="1"/>
  <c r="M179" i="1"/>
  <c r="K168" i="1"/>
  <c r="K203" i="1" s="1"/>
  <c r="U150" i="1"/>
  <c r="U178" i="1" s="1"/>
  <c r="T175" i="1"/>
  <c r="BQ71" i="1"/>
  <c r="BT46" i="1"/>
  <c r="AX71" i="1"/>
  <c r="BD56" i="1"/>
  <c r="BD218" i="1" s="1"/>
  <c r="BM75" i="1"/>
  <c r="B170" i="1"/>
  <c r="J194" i="1"/>
  <c r="H97" i="1"/>
  <c r="H173" i="1"/>
  <c r="E168" i="1"/>
  <c r="E203" i="1" s="1"/>
  <c r="I188" i="1"/>
  <c r="U157" i="1"/>
  <c r="BO49" i="1"/>
  <c r="BK32" i="1"/>
  <c r="BC44" i="1"/>
  <c r="AY39" i="1"/>
  <c r="E194" i="1"/>
  <c r="E197" i="1" s="1"/>
  <c r="B159" i="1"/>
  <c r="U159" i="1"/>
  <c r="U155" i="1" s="1"/>
  <c r="P175" i="1"/>
  <c r="W157" i="1"/>
  <c r="W158" i="1" s="1"/>
  <c r="E184" i="1"/>
  <c r="E185" i="1" s="1"/>
  <c r="F233" i="1" s="1"/>
  <c r="AP48" i="1"/>
  <c r="B174" i="1"/>
  <c r="J174" i="1"/>
  <c r="T160" i="1"/>
  <c r="N169" i="1"/>
  <c r="N204" i="1" s="1"/>
  <c r="BM38" i="1"/>
  <c r="B184" i="1"/>
  <c r="I170" i="1"/>
  <c r="S195" i="1"/>
  <c r="AX38" i="1"/>
  <c r="BT45" i="1"/>
  <c r="D161" i="1"/>
  <c r="L91" i="1"/>
  <c r="L92" i="1" s="1"/>
  <c r="BW45" i="1"/>
  <c r="BB46" i="1"/>
  <c r="BH70" i="1"/>
  <c r="I150" i="1"/>
  <c r="I178" i="1" s="1"/>
  <c r="L159" i="1"/>
  <c r="L155" i="1" s="1"/>
  <c r="BS49" i="1"/>
  <c r="BQ48" i="1"/>
  <c r="BW69" i="1"/>
  <c r="BT75" i="1"/>
  <c r="AI75" i="1"/>
  <c r="BD70" i="1"/>
  <c r="B142" i="1"/>
  <c r="Q159" i="1"/>
  <c r="Q155" i="1" s="1"/>
  <c r="BM47" i="1"/>
  <c r="BM70" i="1"/>
  <c r="BB33" i="1"/>
  <c r="BB34" i="1" s="1"/>
  <c r="BS70" i="1"/>
  <c r="BN69" i="1"/>
  <c r="AR59" i="1"/>
  <c r="BF39" i="1"/>
  <c r="BV155" i="1"/>
  <c r="Q166" i="1"/>
  <c r="V160" i="1"/>
  <c r="BH173" i="1"/>
  <c r="BI173" i="1" s="1"/>
  <c r="O146" i="1"/>
  <c r="S151" i="1"/>
  <c r="I142" i="1"/>
  <c r="H159" i="1"/>
  <c r="H155" i="1" s="1"/>
  <c r="Q149" i="1"/>
  <c r="P194" i="1"/>
  <c r="AZ39" i="1"/>
  <c r="AI60" i="1"/>
  <c r="AI61" i="1" s="1"/>
  <c r="BF37" i="1"/>
  <c r="BH179" i="1"/>
  <c r="BI179" i="1" s="1"/>
  <c r="T161" i="1"/>
  <c r="D141" i="1"/>
  <c r="F102" i="1"/>
  <c r="BV177" i="1"/>
  <c r="K91" i="1"/>
  <c r="K92" i="1" s="1"/>
  <c r="P169" i="1"/>
  <c r="P204" i="1" s="1"/>
  <c r="R161" i="1"/>
  <c r="J98" i="1"/>
  <c r="BU33" i="1"/>
  <c r="BH151" i="1"/>
  <c r="BI151" i="1" s="1"/>
  <c r="O194" i="1"/>
  <c r="AN39" i="1"/>
  <c r="BB56" i="1"/>
  <c r="BV75" i="1"/>
  <c r="BU59" i="1"/>
  <c r="AU32" i="1"/>
  <c r="BO46" i="1"/>
  <c r="BE45" i="1"/>
  <c r="BH98" i="1"/>
  <c r="P174" i="1"/>
  <c r="C195" i="1"/>
  <c r="R167" i="1"/>
  <c r="O170" i="1"/>
  <c r="G98" i="1"/>
  <c r="W164" i="1"/>
  <c r="X226" i="1" s="1"/>
  <c r="BU56" i="1"/>
  <c r="BU218" i="1" s="1"/>
  <c r="BO59" i="1"/>
  <c r="AT70" i="1"/>
  <c r="BE69" i="1"/>
  <c r="BP60" i="1"/>
  <c r="BP276" i="1" s="1"/>
  <c r="BV159" i="1"/>
  <c r="BW159" i="1" s="1"/>
  <c r="R195" i="1"/>
  <c r="G179" i="1"/>
  <c r="I91" i="1"/>
  <c r="I92" i="1" s="1"/>
  <c r="M149" i="1"/>
  <c r="K160" i="1"/>
  <c r="L171" i="1"/>
  <c r="G188" i="1"/>
  <c r="BI44" i="1"/>
  <c r="AY44" i="1"/>
  <c r="BV151" i="1"/>
  <c r="BW151" i="1" s="1"/>
  <c r="C169" i="1"/>
  <c r="C204" i="1" s="1"/>
  <c r="N143" i="1"/>
  <c r="E91" i="1"/>
  <c r="E92" i="1" s="1"/>
  <c r="R150" i="1"/>
  <c r="R178" i="1" s="1"/>
  <c r="BH60" i="1"/>
  <c r="BD47" i="1"/>
  <c r="BH167" i="1"/>
  <c r="BI167" i="1" s="1"/>
  <c r="M142" i="1"/>
  <c r="F195" i="1"/>
  <c r="T166" i="1"/>
  <c r="N161" i="1"/>
  <c r="D188" i="1"/>
  <c r="Q97" i="1"/>
  <c r="Q156" i="1"/>
  <c r="F164" i="1"/>
  <c r="G226" i="1" s="1"/>
  <c r="AQ37" i="1"/>
  <c r="AN75" i="1"/>
  <c r="BV32" i="1"/>
  <c r="BV21" i="1" s="1"/>
  <c r="BW49" i="1"/>
  <c r="F168" i="1"/>
  <c r="F203" i="1" s="1"/>
  <c r="J184" i="1"/>
  <c r="M101" i="1"/>
  <c r="R164" i="1"/>
  <c r="S161" i="1"/>
  <c r="M174" i="1"/>
  <c r="BV183" i="1"/>
  <c r="F174" i="1"/>
  <c r="N157" i="1"/>
  <c r="S150" i="1"/>
  <c r="S178" i="1" s="1"/>
  <c r="U91" i="1"/>
  <c r="U92" i="1" s="1"/>
  <c r="E175" i="1"/>
  <c r="R174" i="1"/>
  <c r="O167" i="1"/>
  <c r="AU45" i="1"/>
  <c r="L188" i="1"/>
  <c r="F160" i="1"/>
  <c r="J171" i="1"/>
  <c r="F146" i="1"/>
  <c r="BC46" i="1"/>
  <c r="BC50" i="1" s="1"/>
  <c r="BB70" i="1"/>
  <c r="BE47" i="1"/>
  <c r="BI60" i="1"/>
  <c r="BJ33" i="1"/>
  <c r="BJ34" i="1" s="1"/>
  <c r="BJ40" i="1" s="1"/>
  <c r="BJ41" i="1" s="1"/>
  <c r="BK37" i="1"/>
  <c r="BV184" i="1"/>
  <c r="P167" i="1"/>
  <c r="N175" i="1"/>
  <c r="S170" i="1"/>
  <c r="D143" i="1"/>
  <c r="T177" i="1"/>
  <c r="T207" i="1" s="1"/>
  <c r="AX69" i="1"/>
  <c r="AT63" i="1"/>
  <c r="BN70" i="1"/>
  <c r="BB63" i="1"/>
  <c r="AZ69" i="1"/>
  <c r="BV161" i="1"/>
  <c r="BW161" i="1" s="1"/>
  <c r="H170" i="1"/>
  <c r="P97" i="1"/>
  <c r="T173" i="1"/>
  <c r="C187" i="1"/>
  <c r="B167" i="1"/>
  <c r="S167" i="1"/>
  <c r="BP46" i="1"/>
  <c r="BU69" i="1"/>
  <c r="AY70" i="1"/>
  <c r="V168" i="1"/>
  <c r="V203" i="1" s="1"/>
  <c r="P141" i="1"/>
  <c r="N194" i="1"/>
  <c r="V143" i="1"/>
  <c r="BP56" i="1"/>
  <c r="AO75" i="1"/>
  <c r="AU75" i="1"/>
  <c r="AU63" i="1"/>
  <c r="T102" i="1"/>
  <c r="T131" i="1" s="1"/>
  <c r="N97" i="1"/>
  <c r="V174" i="1"/>
  <c r="D168" i="1"/>
  <c r="D203" i="1" s="1"/>
  <c r="BI49" i="1"/>
  <c r="B188" i="1"/>
  <c r="E102" i="1"/>
  <c r="L141" i="1"/>
  <c r="L177" i="1"/>
  <c r="L207" i="1" s="1"/>
  <c r="P188" i="1"/>
  <c r="AQ33" i="1"/>
  <c r="BJ59" i="1"/>
  <c r="AI69" i="1"/>
  <c r="BH166" i="1"/>
  <c r="BI166" i="1" s="1"/>
  <c r="O151" i="1"/>
  <c r="M159" i="1"/>
  <c r="M155" i="1" s="1"/>
  <c r="Q196" i="1"/>
  <c r="N179" i="1"/>
  <c r="P103" i="1"/>
  <c r="BI38" i="1"/>
  <c r="BS59" i="1"/>
  <c r="BV48" i="1"/>
  <c r="AV33" i="1"/>
  <c r="BN48" i="1"/>
  <c r="V157" i="1"/>
  <c r="M183" i="1"/>
  <c r="K167" i="1"/>
  <c r="G167" i="1"/>
  <c r="U184" i="1"/>
  <c r="H149" i="1"/>
  <c r="H157" i="1"/>
  <c r="BF45" i="1"/>
  <c r="AT44" i="1"/>
  <c r="AI33" i="1"/>
  <c r="BF59" i="1"/>
  <c r="BH177" i="1"/>
  <c r="L102" i="1"/>
  <c r="I101" i="1"/>
  <c r="I126" i="1" s="1"/>
  <c r="M141" i="1"/>
  <c r="T149" i="1"/>
  <c r="M151" i="1"/>
  <c r="F183" i="1"/>
  <c r="BA71" i="1"/>
  <c r="BW47" i="1"/>
  <c r="BI32" i="1"/>
  <c r="BC56" i="1"/>
  <c r="F170" i="1"/>
  <c r="N196" i="1"/>
  <c r="W161" i="1"/>
  <c r="N166" i="1"/>
  <c r="N164" i="1"/>
  <c r="G184" i="1"/>
  <c r="K150" i="1"/>
  <c r="K178" i="1" s="1"/>
  <c r="C174" i="1"/>
  <c r="L94" i="1"/>
  <c r="AX164" i="1"/>
  <c r="AY164" i="1" s="1"/>
  <c r="AZ178" i="1"/>
  <c r="BA178" i="1" s="1"/>
  <c r="BT155" i="1"/>
  <c r="BP179" i="1"/>
  <c r="BQ179" i="1" s="1"/>
  <c r="BP97" i="1"/>
  <c r="BF149" i="1"/>
  <c r="BG149" i="1" s="1"/>
  <c r="AP170" i="1"/>
  <c r="AQ170" i="1" s="1"/>
  <c r="BI97" i="1"/>
  <c r="AX168" i="1"/>
  <c r="BR183" i="1"/>
  <c r="BF98" i="1"/>
  <c r="AZ176" i="1"/>
  <c r="BA176" i="1" s="1"/>
  <c r="AZ141" i="1"/>
  <c r="BA141" i="1" s="1"/>
  <c r="BF171" i="1"/>
  <c r="BG171" i="1" s="1"/>
  <c r="BT175" i="1"/>
  <c r="BU175" i="1" s="1"/>
  <c r="BN143" i="1"/>
  <c r="AX142" i="1"/>
  <c r="AY142" i="1" s="1"/>
  <c r="AX175" i="1"/>
  <c r="AY175" i="1" s="1"/>
  <c r="AP149" i="1"/>
  <c r="AQ149" i="1" s="1"/>
  <c r="AT155" i="1"/>
  <c r="AZ155" i="1"/>
  <c r="BF178" i="1"/>
  <c r="BG178" i="1" s="1"/>
  <c r="BR151" i="1"/>
  <c r="BS151" i="1" s="1"/>
  <c r="BD171" i="1"/>
  <c r="BE171" i="1" s="1"/>
  <c r="AP167" i="1"/>
  <c r="AQ167" i="1" s="1"/>
  <c r="BB159" i="1"/>
  <c r="BC159" i="1" s="1"/>
  <c r="AN141" i="1"/>
  <c r="AR188" i="1"/>
  <c r="AS188" i="1" s="1"/>
  <c r="AT175" i="1"/>
  <c r="AU175" i="1" s="1"/>
  <c r="AX98" i="1"/>
  <c r="BF175" i="1"/>
  <c r="BG175" i="1" s="1"/>
  <c r="BN146" i="1"/>
  <c r="BO146" i="1" s="1"/>
  <c r="BF187" i="1"/>
  <c r="BG187" i="1" s="1"/>
  <c r="AZ184" i="1"/>
  <c r="AW97" i="1"/>
  <c r="BP150" i="1"/>
  <c r="BQ150" i="1" s="1"/>
  <c r="BD176" i="1"/>
  <c r="BE176" i="1" s="1"/>
  <c r="BG97" i="1"/>
  <c r="AZ166" i="1"/>
  <c r="BA166" i="1" s="1"/>
  <c r="BD184" i="1"/>
  <c r="BT141" i="1"/>
  <c r="BU141" i="1" s="1"/>
  <c r="BN176" i="1"/>
  <c r="BO176" i="1" s="1"/>
  <c r="BD173" i="1"/>
  <c r="BE173" i="1" s="1"/>
  <c r="BT176" i="1"/>
  <c r="BU176" i="1" s="1"/>
  <c r="BM98" i="1"/>
  <c r="BN151" i="1"/>
  <c r="BO151" i="1" s="1"/>
  <c r="BR156" i="1"/>
  <c r="BP168" i="1"/>
  <c r="BP203" i="1" s="1"/>
  <c r="BQ203" i="1" s="1"/>
  <c r="BF188" i="1"/>
  <c r="BG188" i="1" s="1"/>
  <c r="AZ159" i="1"/>
  <c r="BA159" i="1" s="1"/>
  <c r="BT170" i="1"/>
  <c r="BU170" i="1" s="1"/>
  <c r="BP148" i="1"/>
  <c r="BQ148" i="1" s="1"/>
  <c r="BT98" i="1"/>
  <c r="AR167" i="1"/>
  <c r="AS167" i="1" s="1"/>
  <c r="AX97" i="1"/>
  <c r="AX171" i="1"/>
  <c r="AY171" i="1" s="1"/>
  <c r="BB148" i="1"/>
  <c r="BF141" i="1"/>
  <c r="BG141" i="1" s="1"/>
  <c r="AZ171" i="1"/>
  <c r="BA171" i="1" s="1"/>
  <c r="BP155" i="1"/>
  <c r="AV168" i="1"/>
  <c r="AV203" i="1" s="1"/>
  <c r="AW203" i="1" s="1"/>
  <c r="BW97" i="1"/>
  <c r="BN179" i="1"/>
  <c r="BO179" i="1" s="1"/>
  <c r="BR173" i="1"/>
  <c r="BS173" i="1" s="1"/>
  <c r="BP143" i="1"/>
  <c r="BR97" i="1"/>
  <c r="BB98" i="1"/>
  <c r="BN149" i="1"/>
  <c r="BO149" i="1" s="1"/>
  <c r="BB170" i="1"/>
  <c r="BC170" i="1" s="1"/>
  <c r="BF156" i="1"/>
  <c r="AT146" i="1"/>
  <c r="AU146" i="1" s="1"/>
  <c r="BB156" i="1"/>
  <c r="AN146" i="1"/>
  <c r="AO146" i="1" s="1"/>
  <c r="BB150" i="1"/>
  <c r="BC150" i="1" s="1"/>
  <c r="BP164" i="1"/>
  <c r="BQ164" i="1" s="1"/>
  <c r="AP164" i="1"/>
  <c r="AV174" i="1"/>
  <c r="AW174" i="1" s="1"/>
  <c r="AN142" i="1"/>
  <c r="AO142" i="1" s="1"/>
  <c r="AN98" i="1"/>
  <c r="BE98" i="1"/>
  <c r="AX146" i="1"/>
  <c r="AY146" i="1" s="1"/>
  <c r="AX184" i="1"/>
  <c r="BB143" i="1"/>
  <c r="AZ169" i="1"/>
  <c r="BT168" i="1"/>
  <c r="AP143" i="1"/>
  <c r="BR175" i="1"/>
  <c r="BS175" i="1" s="1"/>
  <c r="AT157" i="1"/>
  <c r="AX174" i="1"/>
  <c r="AY174" i="1" s="1"/>
  <c r="BN170" i="1"/>
  <c r="BO170" i="1" s="1"/>
  <c r="BN156" i="1"/>
  <c r="AY98" i="1"/>
  <c r="BR168" i="1"/>
  <c r="BB184" i="1"/>
  <c r="BT177" i="1"/>
  <c r="BR170" i="1"/>
  <c r="BS170" i="1" s="1"/>
  <c r="BB151" i="1"/>
  <c r="BC151" i="1" s="1"/>
  <c r="BP169" i="1"/>
  <c r="BP204" i="1" s="1"/>
  <c r="BQ204" i="1" s="1"/>
  <c r="BC97" i="1"/>
  <c r="BD175" i="1"/>
  <c r="BE175" i="1" s="1"/>
  <c r="BR169" i="1"/>
  <c r="BT183" i="1"/>
  <c r="AZ168" i="1"/>
  <c r="AP148" i="1"/>
  <c r="AQ148" i="1" s="1"/>
  <c r="BP141" i="1"/>
  <c r="BQ141" i="1" s="1"/>
  <c r="BD150" i="1"/>
  <c r="BE150" i="1" s="1"/>
  <c r="BP156" i="1"/>
  <c r="AP174" i="1"/>
  <c r="AQ174" i="1" s="1"/>
  <c r="BD188" i="1"/>
  <c r="BE188" i="1" s="1"/>
  <c r="AV183" i="1"/>
  <c r="AR143" i="1"/>
  <c r="AR166" i="1"/>
  <c r="AS166" i="1" s="1"/>
  <c r="AZ164" i="1"/>
  <c r="BA164" i="1" s="1"/>
  <c r="AP187" i="1"/>
  <c r="AQ187" i="1" s="1"/>
  <c r="AP166" i="1"/>
  <c r="AN161" i="1"/>
  <c r="AO161" i="1" s="1"/>
  <c r="AV150" i="1"/>
  <c r="AW150" i="1" s="1"/>
  <c r="AR178" i="1"/>
  <c r="AS178" i="1" s="1"/>
  <c r="AV157" i="1"/>
  <c r="AR142" i="1"/>
  <c r="AS142" i="1" s="1"/>
  <c r="AR176" i="1"/>
  <c r="AS176" i="1" s="1"/>
  <c r="AN174" i="1"/>
  <c r="AO174" i="1" s="1"/>
  <c r="AR148" i="1"/>
  <c r="AN184" i="1"/>
  <c r="AV188" i="1"/>
  <c r="AW188" i="1" s="1"/>
  <c r="AR177" i="1"/>
  <c r="AR207" i="1" s="1"/>
  <c r="AN150" i="1"/>
  <c r="AO150" i="1" s="1"/>
  <c r="AR146" i="1"/>
  <c r="AS146" i="1" s="1"/>
  <c r="BB155" i="1"/>
  <c r="AR184" i="1"/>
  <c r="AV177" i="1"/>
  <c r="AV207" i="1" s="1"/>
  <c r="AT173" i="1"/>
  <c r="AU173" i="1" s="1"/>
  <c r="AR97" i="1"/>
  <c r="BO98" i="1"/>
  <c r="BT164" i="1"/>
  <c r="AP157" i="1"/>
  <c r="BF174" i="1"/>
  <c r="BG174" i="1" s="1"/>
  <c r="BN97" i="1"/>
  <c r="AV184" i="1"/>
  <c r="AR168" i="1"/>
  <c r="AR203" i="1" s="1"/>
  <c r="AS203" i="1" s="1"/>
  <c r="AV175" i="1"/>
  <c r="AW175" i="1" s="1"/>
  <c r="BT151" i="1"/>
  <c r="BU151" i="1" s="1"/>
  <c r="AR171" i="1"/>
  <c r="AS171" i="1" s="1"/>
  <c r="AT142" i="1"/>
  <c r="AU142" i="1" s="1"/>
  <c r="BO97" i="1"/>
  <c r="AX187" i="1"/>
  <c r="AY187" i="1" s="1"/>
  <c r="BB164" i="1"/>
  <c r="BC164" i="1" s="1"/>
  <c r="BD141" i="1"/>
  <c r="BR159" i="1"/>
  <c r="BS159" i="1" s="1"/>
  <c r="BB177" i="1"/>
  <c r="BF184" i="1"/>
  <c r="AX179" i="1"/>
  <c r="AY179" i="1" s="1"/>
  <c r="BN183" i="1"/>
  <c r="AZ150" i="1"/>
  <c r="BA150" i="1" s="1"/>
  <c r="AX155" i="1"/>
  <c r="BF169" i="1"/>
  <c r="BQ98" i="1"/>
  <c r="AT150" i="1"/>
  <c r="AU150" i="1" s="1"/>
  <c r="AZ146" i="1"/>
  <c r="BA146" i="1" s="1"/>
  <c r="BD187" i="1"/>
  <c r="BE187" i="1" s="1"/>
  <c r="BD146" i="1"/>
  <c r="BE146" i="1" s="1"/>
  <c r="BT143" i="1"/>
  <c r="BB178" i="1"/>
  <c r="BC178" i="1" s="1"/>
  <c r="BF155" i="1"/>
  <c r="AX159" i="1"/>
  <c r="AY159" i="1" s="1"/>
  <c r="AX169" i="1"/>
  <c r="AZ157" i="1"/>
  <c r="AZ179" i="1"/>
  <c r="BA179" i="1" s="1"/>
  <c r="BF177" i="1"/>
  <c r="BF159" i="1"/>
  <c r="BG159" i="1" s="1"/>
  <c r="BD174" i="1"/>
  <c r="BE174" i="1" s="1"/>
  <c r="BN174" i="1"/>
  <c r="BO174" i="1" s="1"/>
  <c r="AZ151" i="1"/>
  <c r="BA151" i="1" s="1"/>
  <c r="BD170" i="1"/>
  <c r="BE170" i="1" s="1"/>
  <c r="BD148" i="1"/>
  <c r="BE148" i="1" s="1"/>
  <c r="BT159" i="1"/>
  <c r="BU159" i="1" s="1"/>
  <c r="AV178" i="1"/>
  <c r="AW178" i="1" s="1"/>
  <c r="BN98" i="1"/>
  <c r="BR188" i="1"/>
  <c r="BS188" i="1" s="1"/>
  <c r="AN188" i="1"/>
  <c r="AO188" i="1" s="1"/>
  <c r="AT174" i="1"/>
  <c r="AO97" i="1"/>
  <c r="AX156" i="1"/>
  <c r="BE97" i="1"/>
  <c r="BN157" i="1"/>
  <c r="BN148" i="1"/>
  <c r="BN178" i="1"/>
  <c r="BO178" i="1" s="1"/>
  <c r="AY97" i="1"/>
  <c r="BR166" i="1"/>
  <c r="BS166" i="1" s="1"/>
  <c r="AZ175" i="1"/>
  <c r="BA175" i="1" s="1"/>
  <c r="BF166" i="1"/>
  <c r="BG166" i="1" s="1"/>
  <c r="BD169" i="1"/>
  <c r="BT178" i="1"/>
  <c r="BU178" i="1" s="1"/>
  <c r="BT184" i="1"/>
  <c r="BP175" i="1"/>
  <c r="BQ175" i="1" s="1"/>
  <c r="AP142" i="1"/>
  <c r="AQ142" i="1" s="1"/>
  <c r="AX150" i="1"/>
  <c r="AY150" i="1" s="1"/>
  <c r="AX166" i="1"/>
  <c r="AY166" i="1" s="1"/>
  <c r="BN171" i="1"/>
  <c r="BO171" i="1" s="1"/>
  <c r="BR157" i="1"/>
  <c r="BR179" i="1"/>
  <c r="BS179" i="1" s="1"/>
  <c r="BB146" i="1"/>
  <c r="BC146" i="1" s="1"/>
  <c r="AZ156" i="1"/>
  <c r="AP173" i="1"/>
  <c r="AQ173" i="1" s="1"/>
  <c r="AW98" i="1"/>
  <c r="AS97" i="1"/>
  <c r="AT151" i="1"/>
  <c r="AU151" i="1" s="1"/>
  <c r="AT169" i="1"/>
  <c r="AT179" i="1"/>
  <c r="AU179" i="1" s="1"/>
  <c r="AT170" i="1"/>
  <c r="AU170" i="1" s="1"/>
  <c r="AT178" i="1"/>
  <c r="AU178" i="1" s="1"/>
  <c r="AT141" i="1"/>
  <c r="BB174" i="1"/>
  <c r="BC174" i="1" s="1"/>
  <c r="AZ187" i="1"/>
  <c r="BA187" i="1" s="1"/>
  <c r="AZ174" i="1"/>
  <c r="BA174" i="1" s="1"/>
  <c r="BF143" i="1"/>
  <c r="BD143" i="1"/>
  <c r="BD164" i="1"/>
  <c r="BE164" i="1" s="1"/>
  <c r="AP98" i="1"/>
  <c r="BG98" i="1"/>
  <c r="BF146" i="1"/>
  <c r="BG146" i="1" s="1"/>
  <c r="AZ188" i="1"/>
  <c r="BA188" i="1" s="1"/>
  <c r="BF164" i="1"/>
  <c r="BG164" i="1" s="1"/>
  <c r="BD166" i="1"/>
  <c r="BE166" i="1" s="1"/>
  <c r="BK97" i="1"/>
  <c r="AP146" i="1"/>
  <c r="AQ146" i="1" s="1"/>
  <c r="AT167" i="1"/>
  <c r="AU167" i="1" s="1"/>
  <c r="AT143" i="1"/>
  <c r="BN177" i="1"/>
  <c r="BB157" i="1"/>
  <c r="BB166" i="1"/>
  <c r="BC166" i="1" s="1"/>
  <c r="AZ173" i="1"/>
  <c r="BA173" i="1" s="1"/>
  <c r="BP170" i="1"/>
  <c r="BQ170" i="1" s="1"/>
  <c r="AN170" i="1"/>
  <c r="AO170" i="1" s="1"/>
  <c r="BT169" i="1"/>
  <c r="BD177" i="1"/>
  <c r="BF150" i="1"/>
  <c r="BG150" i="1" s="1"/>
  <c r="BT174" i="1"/>
  <c r="BU174" i="1" s="1"/>
  <c r="AN183" i="1"/>
  <c r="AZ161" i="1"/>
  <c r="BA161" i="1" s="1"/>
  <c r="AP150" i="1"/>
  <c r="AQ150" i="1" s="1"/>
  <c r="AP168" i="1"/>
  <c r="AN176" i="1"/>
  <c r="AO176" i="1" s="1"/>
  <c r="AV170" i="1"/>
  <c r="AW170" i="1" s="1"/>
  <c r="AR149" i="1"/>
  <c r="AS149" i="1" s="1"/>
  <c r="AR98" i="1"/>
  <c r="BT171" i="1"/>
  <c r="BU171" i="1" s="1"/>
  <c r="BP176" i="1"/>
  <c r="BQ176" i="1" s="1"/>
  <c r="AN187" i="1"/>
  <c r="AO187" i="1" s="1"/>
  <c r="AV98" i="1"/>
  <c r="AP151" i="1"/>
  <c r="AQ151" i="1" s="1"/>
  <c r="AV142" i="1"/>
  <c r="AW142" i="1" s="1"/>
  <c r="AV187" i="1"/>
  <c r="AW187" i="1" s="1"/>
  <c r="AR141" i="1"/>
  <c r="AP177" i="1"/>
  <c r="BP157" i="1"/>
  <c r="AN171" i="1"/>
  <c r="AO171" i="1" s="1"/>
  <c r="AR161" i="1"/>
  <c r="AS161" i="1" s="1"/>
  <c r="BI98" i="1"/>
  <c r="AS98" i="1"/>
  <c r="AR174" i="1"/>
  <c r="AS174" i="1" s="1"/>
  <c r="AP184" i="1"/>
  <c r="AN178" i="1"/>
  <c r="AO178" i="1" s="1"/>
  <c r="AV151" i="1"/>
  <c r="AW151" i="1" s="1"/>
  <c r="BP178" i="1"/>
  <c r="BQ178" i="1" s="1"/>
  <c r="AN175" i="1"/>
  <c r="AO175" i="1" s="1"/>
  <c r="AN159" i="1"/>
  <c r="AO159" i="1" s="1"/>
  <c r="AR151" i="1"/>
  <c r="AS151" i="1" s="1"/>
  <c r="AV176" i="1"/>
  <c r="AW176" i="1" s="1"/>
  <c r="BQ97" i="1"/>
  <c r="AR173" i="1"/>
  <c r="AS173" i="1" s="1"/>
  <c r="AP97" i="1"/>
  <c r="BR148" i="1"/>
  <c r="BS148" i="1" s="1"/>
  <c r="AV166" i="1"/>
  <c r="AW166" i="1" s="1"/>
  <c r="AN167" i="1"/>
  <c r="AO167" i="1" s="1"/>
  <c r="AN156" i="1"/>
  <c r="AV169" i="1"/>
  <c r="AN166" i="1"/>
  <c r="AR150" i="1"/>
  <c r="AS150" i="1" s="1"/>
  <c r="AX177" i="1"/>
  <c r="AZ170" i="1"/>
  <c r="BA170" i="1" s="1"/>
  <c r="BR178" i="1"/>
  <c r="BS178" i="1" s="1"/>
  <c r="BT156" i="1"/>
  <c r="AX141" i="1"/>
  <c r="BB149" i="1"/>
  <c r="BC149" i="1" s="1"/>
  <c r="BT149" i="1"/>
  <c r="BU149" i="1" s="1"/>
  <c r="AX148" i="1"/>
  <c r="BT148" i="1"/>
  <c r="AP179" i="1"/>
  <c r="AQ179" i="1" s="1"/>
  <c r="AT188" i="1"/>
  <c r="AU188" i="1" s="1"/>
  <c r="AT176" i="1"/>
  <c r="AU176" i="1" s="1"/>
  <c r="BC98" i="1"/>
  <c r="AZ148" i="1"/>
  <c r="BA148" i="1" s="1"/>
  <c r="BF176" i="1"/>
  <c r="BG176" i="1" s="1"/>
  <c r="AT98" i="1"/>
  <c r="BB168" i="1"/>
  <c r="BT179" i="1"/>
  <c r="BU179" i="1" s="1"/>
  <c r="BB171" i="1"/>
  <c r="BC171" i="1" s="1"/>
  <c r="AN164" i="1"/>
  <c r="BP174" i="1"/>
  <c r="BQ174" i="1" s="1"/>
  <c r="AN157" i="1"/>
  <c r="BT97" i="1"/>
  <c r="AV155" i="1"/>
  <c r="AX183" i="1"/>
  <c r="AX149" i="1"/>
  <c r="AY149" i="1" s="1"/>
  <c r="BB187" i="1"/>
  <c r="BC187" i="1" s="1"/>
  <c r="BU97" i="1"/>
  <c r="AZ98" i="1"/>
  <c r="BF170" i="1"/>
  <c r="BG170" i="1" s="1"/>
  <c r="BF151" i="1"/>
  <c r="BG151" i="1" s="1"/>
  <c r="BR176" i="1"/>
  <c r="BS176" i="1" s="1"/>
  <c r="BR143" i="1"/>
  <c r="BR141" i="1"/>
  <c r="BB188" i="1"/>
  <c r="BC188" i="1" s="1"/>
  <c r="AZ143" i="1"/>
  <c r="BF173" i="1"/>
  <c r="BG173" i="1" s="1"/>
  <c r="BD142" i="1"/>
  <c r="BE142" i="1" s="1"/>
  <c r="BT188" i="1"/>
  <c r="BU188" i="1" s="1"/>
  <c r="AP156" i="1"/>
  <c r="AV156" i="1"/>
  <c r="BR171" i="1"/>
  <c r="BS171" i="1" s="1"/>
  <c r="AX170" i="1"/>
  <c r="AY170" i="1" s="1"/>
  <c r="BN184" i="1"/>
  <c r="BN142" i="1"/>
  <c r="BO142" i="1" s="1"/>
  <c r="BR184" i="1"/>
  <c r="BR146" i="1"/>
  <c r="BS146" i="1" s="1"/>
  <c r="BB183" i="1"/>
  <c r="BF157" i="1"/>
  <c r="BT142" i="1"/>
  <c r="BU142" i="1" s="1"/>
  <c r="BP187" i="1"/>
  <c r="BQ187" i="1" s="1"/>
  <c r="BP171" i="1"/>
  <c r="BQ171" i="1" s="1"/>
  <c r="BM97" i="1"/>
  <c r="AX151" i="1"/>
  <c r="AY151" i="1" s="1"/>
  <c r="BN175" i="1"/>
  <c r="BO175" i="1" s="1"/>
  <c r="BR177" i="1"/>
  <c r="BB179" i="1"/>
  <c r="BC179" i="1" s="1"/>
  <c r="AZ183" i="1"/>
  <c r="BD179" i="1"/>
  <c r="BE179" i="1" s="1"/>
  <c r="BT157" i="1"/>
  <c r="AP175" i="1"/>
  <c r="AQ175" i="1" s="1"/>
  <c r="AT164" i="1"/>
  <c r="AU164" i="1" s="1"/>
  <c r="AT184" i="1"/>
  <c r="BB176" i="1"/>
  <c r="BC176" i="1" s="1"/>
  <c r="BU98" i="1"/>
  <c r="AZ149" i="1"/>
  <c r="BA149" i="1" s="1"/>
  <c r="BF179" i="1"/>
  <c r="BG179" i="1" s="1"/>
  <c r="BP142" i="1"/>
  <c r="BQ142" i="1" s="1"/>
  <c r="BF183" i="1"/>
  <c r="BF97" i="1"/>
  <c r="BT146" i="1"/>
  <c r="BU146" i="1" s="1"/>
  <c r="AP176" i="1"/>
  <c r="AQ176" i="1" s="1"/>
  <c r="AT187" i="1"/>
  <c r="AU187" i="1" s="1"/>
  <c r="AT171" i="1"/>
  <c r="AU171" i="1" s="1"/>
  <c r="BT150" i="1"/>
  <c r="BU150" i="1" s="1"/>
  <c r="BB142" i="1"/>
  <c r="BC142" i="1" s="1"/>
  <c r="BT166" i="1"/>
  <c r="BU166" i="1" s="1"/>
  <c r="AP188" i="1"/>
  <c r="AQ188" i="1" s="1"/>
  <c r="AN169" i="1"/>
  <c r="BD178" i="1"/>
  <c r="BE178" i="1" s="1"/>
  <c r="BT187" i="1"/>
  <c r="BU187" i="1" s="1"/>
  <c r="BP159" i="1"/>
  <c r="BQ159" i="1" s="1"/>
  <c r="AP159" i="1"/>
  <c r="AQ159" i="1" s="1"/>
  <c r="AN148" i="1"/>
  <c r="BP188" i="1"/>
  <c r="BQ188" i="1" s="1"/>
  <c r="AP141" i="1"/>
  <c r="AQ141" i="1" s="1"/>
  <c r="AN143" i="1"/>
  <c r="AV146" i="1"/>
  <c r="AW146" i="1" s="1"/>
  <c r="AR159" i="1"/>
  <c r="AS159" i="1" s="1"/>
  <c r="AR164" i="1"/>
  <c r="AS164" i="1" s="1"/>
  <c r="AR157" i="1"/>
  <c r="AP171" i="1"/>
  <c r="AQ171" i="1" s="1"/>
  <c r="AN177" i="1"/>
  <c r="AV179" i="1"/>
  <c r="AW179" i="1" s="1"/>
  <c r="AP155" i="1"/>
  <c r="AR156" i="1"/>
  <c r="AR155" i="1"/>
  <c r="AR183" i="1"/>
  <c r="AN168" i="1"/>
  <c r="AV143" i="1"/>
  <c r="AR169" i="1"/>
  <c r="BT173" i="1"/>
  <c r="BU173" i="1" s="1"/>
  <c r="AN173" i="1"/>
  <c r="AO173" i="1" s="1"/>
  <c r="AP178" i="1"/>
  <c r="AQ178" i="1" s="1"/>
  <c r="AN151" i="1"/>
  <c r="AO151" i="1" s="1"/>
  <c r="AN179" i="1"/>
  <c r="AO179" i="1" s="1"/>
  <c r="AR175" i="1"/>
  <c r="AS175" i="1" s="1"/>
  <c r="AN155" i="1"/>
  <c r="AT156" i="1"/>
  <c r="AT97" i="1"/>
  <c r="AN97" i="1"/>
  <c r="AN149" i="1"/>
  <c r="AO149" i="1" s="1"/>
  <c r="AV171" i="1"/>
  <c r="AW171" i="1" s="1"/>
  <c r="AV161" i="1"/>
  <c r="AW161" i="1" s="1"/>
  <c r="AP161" i="1"/>
  <c r="AQ161" i="1" s="1"/>
  <c r="AT161" i="1"/>
  <c r="AU161" i="1" s="1"/>
  <c r="BD161" i="1"/>
  <c r="BE161" i="1" s="1"/>
  <c r="BN161" i="1"/>
  <c r="BO161" i="1" s="1"/>
  <c r="BR161" i="1"/>
  <c r="BS161" i="1" s="1"/>
  <c r="BT161" i="1"/>
  <c r="BU161" i="1" s="1"/>
  <c r="BB161" i="1"/>
  <c r="BC161" i="1" s="1"/>
  <c r="BT167" i="1"/>
  <c r="AX167" i="1"/>
  <c r="AZ167" i="1"/>
  <c r="BR167" i="1"/>
  <c r="BM255" i="1"/>
  <c r="R94" i="1"/>
  <c r="AO276" i="1"/>
  <c r="K94" i="1"/>
  <c r="AO255" i="1"/>
  <c r="Q94" i="1"/>
  <c r="H94" i="1"/>
  <c r="F94" i="1"/>
  <c r="V109" i="1"/>
  <c r="V111" i="1"/>
  <c r="V94" i="1"/>
  <c r="O93" i="1"/>
  <c r="CQ158" i="1"/>
  <c r="DB101" i="1"/>
  <c r="CY89" i="1"/>
  <c r="CZ87" i="1"/>
  <c r="S94" i="1"/>
  <c r="T94" i="1"/>
  <c r="M94" i="1"/>
  <c r="I94" i="1"/>
  <c r="BR150" i="1" l="1"/>
  <c r="BS150" i="1" s="1"/>
  <c r="BN188" i="1"/>
  <c r="BO188" i="1" s="1"/>
  <c r="BP166" i="1"/>
  <c r="BQ166" i="1" s="1"/>
  <c r="BF142" i="1"/>
  <c r="BG142" i="1" s="1"/>
  <c r="AX176" i="1"/>
  <c r="AY176" i="1" s="1"/>
  <c r="AV173" i="1"/>
  <c r="AW173" i="1" s="1"/>
  <c r="AV97" i="1"/>
  <c r="BP173" i="1"/>
  <c r="BQ173" i="1" s="1"/>
  <c r="BR142" i="1"/>
  <c r="BS142" i="1" s="1"/>
  <c r="AS276" i="1"/>
  <c r="BB276" i="1"/>
  <c r="S197" i="1"/>
  <c r="AZ177" i="1"/>
  <c r="BN150" i="1"/>
  <c r="BO150" i="1" s="1"/>
  <c r="AQ97" i="1"/>
  <c r="AT183" i="1"/>
  <c r="BD98" i="1"/>
  <c r="AV164" i="1"/>
  <c r="AT168" i="1"/>
  <c r="AT177" i="1"/>
  <c r="BS97" i="1"/>
  <c r="AR34" i="1"/>
  <c r="BD34" i="1"/>
  <c r="G144" i="1"/>
  <c r="D89" i="1"/>
  <c r="BF148" i="1"/>
  <c r="BG148" i="1" s="1"/>
  <c r="AT149" i="1"/>
  <c r="AU149" i="1" s="1"/>
  <c r="BN166" i="1"/>
  <c r="BO166" i="1" s="1"/>
  <c r="BP183" i="1"/>
  <c r="AR170" i="1"/>
  <c r="AS170" i="1" s="1"/>
  <c r="AU97" i="1"/>
  <c r="BP177" i="1"/>
  <c r="BP207" i="1" s="1"/>
  <c r="BQ207" i="1" s="1"/>
  <c r="BN168" i="1"/>
  <c r="BN203" i="1" s="1"/>
  <c r="BO203" i="1" s="1"/>
  <c r="AT159" i="1"/>
  <c r="AU159" i="1" s="1"/>
  <c r="AX143" i="1"/>
  <c r="AQ98" i="1"/>
  <c r="BR98" i="1"/>
  <c r="BP98" i="1"/>
  <c r="AX173" i="1"/>
  <c r="AX161" i="1"/>
  <c r="AY161" i="1" s="1"/>
  <c r="BN187" i="1"/>
  <c r="BO187" i="1" s="1"/>
  <c r="BN169" i="1"/>
  <c r="BB173" i="1"/>
  <c r="BC173" i="1" s="1"/>
  <c r="BB175" i="1"/>
  <c r="BC175" i="1" s="1"/>
  <c r="BP167" i="1"/>
  <c r="BQ167" i="1" s="1"/>
  <c r="AZ142" i="1"/>
  <c r="BA142" i="1" s="1"/>
  <c r="BR174" i="1"/>
  <c r="BS174" i="1" s="1"/>
  <c r="BP146" i="1"/>
  <c r="BQ146" i="1" s="1"/>
  <c r="BP149" i="1"/>
  <c r="BQ149" i="1" s="1"/>
  <c r="AV148" i="1"/>
  <c r="BD97" i="1"/>
  <c r="BS98" i="1"/>
  <c r="AR187" i="1"/>
  <c r="AS187" i="1" s="1"/>
  <c r="BB97" i="1"/>
  <c r="BD183" i="1"/>
  <c r="BK98" i="1"/>
  <c r="AX178" i="1"/>
  <c r="AY178" i="1" s="1"/>
  <c r="BR164" i="1"/>
  <c r="BD168" i="1"/>
  <c r="AP169" i="1"/>
  <c r="BD151" i="1"/>
  <c r="BE151" i="1" s="1"/>
  <c r="AX188" i="1"/>
  <c r="AY188" i="1" s="1"/>
  <c r="BD157" i="1"/>
  <c r="BN164" i="1"/>
  <c r="BR149" i="1"/>
  <c r="BS149" i="1" s="1"/>
  <c r="BP184" i="1"/>
  <c r="BN155" i="1"/>
  <c r="BN173" i="1"/>
  <c r="BO173" i="1" s="1"/>
  <c r="BN141" i="1"/>
  <c r="BO141" i="1" s="1"/>
  <c r="BR155" i="1"/>
  <c r="BR187" i="1"/>
  <c r="BS187" i="1" s="1"/>
  <c r="AT148" i="1"/>
  <c r="AU148" i="1" s="1"/>
  <c r="AT166" i="1"/>
  <c r="BD149" i="1"/>
  <c r="BE149" i="1" s="1"/>
  <c r="AU98" i="1"/>
  <c r="AZ97" i="1"/>
  <c r="BB141" i="1"/>
  <c r="AP183" i="1"/>
  <c r="BD156" i="1"/>
  <c r="AR179" i="1"/>
  <c r="AS179" i="1" s="1"/>
  <c r="AO98" i="1"/>
  <c r="AV167" i="1"/>
  <c r="BF161" i="1"/>
  <c r="BG161" i="1" s="1"/>
  <c r="BP161" i="1"/>
  <c r="BQ161" i="1" s="1"/>
  <c r="BB167" i="1"/>
  <c r="BF167" i="1"/>
  <c r="BD167" i="1"/>
  <c r="BN167" i="1"/>
  <c r="BB255" i="1"/>
  <c r="BT255" i="1"/>
  <c r="L111" i="1"/>
  <c r="B144" i="1"/>
  <c r="BD159" i="1"/>
  <c r="BE159" i="1" s="1"/>
  <c r="BW98" i="1"/>
  <c r="AV159" i="1"/>
  <c r="AW159" i="1" s="1"/>
  <c r="BP151" i="1"/>
  <c r="BQ151" i="1" s="1"/>
  <c r="BD155" i="1"/>
  <c r="AV141" i="1"/>
  <c r="AW141" i="1" s="1"/>
  <c r="AV149" i="1"/>
  <c r="AW149" i="1" s="1"/>
  <c r="BB169" i="1"/>
  <c r="BF34" i="1"/>
  <c r="AR276" i="1"/>
  <c r="AV34" i="1"/>
  <c r="BN204" i="1"/>
  <c r="BO204" i="1" s="1"/>
  <c r="AI207" i="1"/>
  <c r="AL122" i="1"/>
  <c r="AL123" i="1" s="1"/>
  <c r="AL128" i="1" s="1"/>
  <c r="BJ277" i="1"/>
  <c r="Q111" i="1"/>
  <c r="BM34" i="1"/>
  <c r="T185" i="1"/>
  <c r="U233" i="1" s="1"/>
  <c r="S185" i="1"/>
  <c r="T233" i="1" s="1"/>
  <c r="Q144" i="1"/>
  <c r="B152" i="1"/>
  <c r="AV276" i="1"/>
  <c r="B197" i="1"/>
  <c r="J152" i="1"/>
  <c r="G158" i="1"/>
  <c r="N185" i="1"/>
  <c r="O233" i="1" s="1"/>
  <c r="U185" i="1"/>
  <c r="V233" i="1" s="1"/>
  <c r="BH207" i="1"/>
  <c r="BI207" i="1" s="1"/>
  <c r="BA97" i="1"/>
  <c r="BA98" i="1"/>
  <c r="BH226" i="1"/>
  <c r="BF168" i="1"/>
  <c r="AX157" i="1"/>
  <c r="BN159" i="1"/>
  <c r="BO159" i="1" s="1"/>
  <c r="BK255" i="1"/>
  <c r="BM122" i="1"/>
  <c r="BM123" i="1" s="1"/>
  <c r="AO34" i="1"/>
  <c r="BW226" i="1"/>
  <c r="I110" i="1"/>
  <c r="L109" i="1"/>
  <c r="BK61" i="1"/>
  <c r="BG34" i="1"/>
  <c r="BG277" i="1"/>
  <c r="S152" i="1"/>
  <c r="S61" i="1" s="1"/>
  <c r="G185" i="1"/>
  <c r="G272" i="1" s="1"/>
  <c r="O226" i="1"/>
  <c r="M226" i="1"/>
  <c r="K132" i="1"/>
  <c r="O197" i="1"/>
  <c r="Q180" i="1"/>
  <c r="S144" i="1"/>
  <c r="H110" i="1"/>
  <c r="K128" i="1"/>
  <c r="AI34" i="1"/>
  <c r="N82" i="1" s="1"/>
  <c r="M185" i="1"/>
  <c r="N233" i="1" s="1"/>
  <c r="L226" i="1"/>
  <c r="BG50" i="1"/>
  <c r="AX50" i="1"/>
  <c r="BS276" i="1"/>
  <c r="L185" i="1"/>
  <c r="M233" i="1" s="1"/>
  <c r="N152" i="1"/>
  <c r="F152" i="1"/>
  <c r="F61" i="1" s="1"/>
  <c r="P152" i="1"/>
  <c r="H109" i="1"/>
  <c r="AI203" i="1"/>
  <c r="BB204" i="1"/>
  <c r="BC204" i="1" s="1"/>
  <c r="Q197" i="1"/>
  <c r="S109" i="1"/>
  <c r="AW255" i="1"/>
  <c r="AI204" i="1"/>
  <c r="AI206" i="1"/>
  <c r="AI205" i="1" s="1"/>
  <c r="BB207" i="1"/>
  <c r="N197" i="1"/>
  <c r="M158" i="1"/>
  <c r="O180" i="1"/>
  <c r="BO50" i="1"/>
  <c r="BO22" i="1" s="1"/>
  <c r="V197" i="1"/>
  <c r="O185" i="1"/>
  <c r="P233" i="1" s="1"/>
  <c r="BW152" i="1"/>
  <c r="BX273" i="1" s="1"/>
  <c r="D197" i="1"/>
  <c r="J185" i="1"/>
  <c r="L152" i="1"/>
  <c r="C185" i="1"/>
  <c r="R226" i="1"/>
  <c r="AI255" i="1"/>
  <c r="N172" i="1"/>
  <c r="N206" i="1" s="1"/>
  <c r="M144" i="1"/>
  <c r="M116" i="1" s="1"/>
  <c r="O152" i="1"/>
  <c r="C89" i="1"/>
  <c r="C131" i="1" s="1"/>
  <c r="BM276" i="1"/>
  <c r="BC276" i="1"/>
  <c r="BD50" i="1"/>
  <c r="BD51" i="1" s="1"/>
  <c r="AW34" i="1"/>
  <c r="AW36" i="1" s="1"/>
  <c r="D158" i="1"/>
  <c r="D162" i="1" s="1"/>
  <c r="W226" i="1"/>
  <c r="BN50" i="1"/>
  <c r="BN22" i="1" s="1"/>
  <c r="AR50" i="1"/>
  <c r="O158" i="1"/>
  <c r="AN276" i="1"/>
  <c r="W197" i="1"/>
  <c r="W152" i="1"/>
  <c r="X230" i="1" s="1"/>
  <c r="I144" i="1"/>
  <c r="I116" i="1" s="1"/>
  <c r="I118" i="1" s="1"/>
  <c r="AI50" i="1"/>
  <c r="AI51" i="1" s="1"/>
  <c r="BH204" i="1"/>
  <c r="BI204" i="1" s="1"/>
  <c r="T197" i="1"/>
  <c r="BK34" i="1"/>
  <c r="BI50" i="1"/>
  <c r="P172" i="1"/>
  <c r="P206" i="1" s="1"/>
  <c r="K180" i="1"/>
  <c r="BN207" i="1"/>
  <c r="BO207" i="1" s="1"/>
  <c r="BO276" i="1"/>
  <c r="G109" i="1"/>
  <c r="G126" i="1"/>
  <c r="BP21" i="1"/>
  <c r="BP255" i="1"/>
  <c r="Q113" i="1"/>
  <c r="Q110" i="1"/>
  <c r="Q131" i="1"/>
  <c r="Q127" i="1"/>
  <c r="N128" i="1"/>
  <c r="N111" i="1"/>
  <c r="N132" i="1"/>
  <c r="H127" i="1"/>
  <c r="H131" i="1"/>
  <c r="O127" i="1"/>
  <c r="O113" i="1"/>
  <c r="O131" i="1"/>
  <c r="W132" i="1"/>
  <c r="W128" i="1"/>
  <c r="M128" i="1"/>
  <c r="M111" i="1"/>
  <c r="M132" i="1"/>
  <c r="S131" i="1"/>
  <c r="S113" i="1"/>
  <c r="T111" i="1"/>
  <c r="T132" i="1"/>
  <c r="P113" i="1"/>
  <c r="P110" i="1"/>
  <c r="P131" i="1"/>
  <c r="P127" i="1"/>
  <c r="R111" i="1"/>
  <c r="R128" i="1"/>
  <c r="R132" i="1"/>
  <c r="J128" i="1"/>
  <c r="J132" i="1"/>
  <c r="J111" i="1"/>
  <c r="G128" i="1"/>
  <c r="G132" i="1"/>
  <c r="V110" i="1"/>
  <c r="V131" i="1"/>
  <c r="V127" i="1"/>
  <c r="U111" i="1"/>
  <c r="U132" i="1"/>
  <c r="U128" i="1"/>
  <c r="U126" i="1"/>
  <c r="U109" i="1"/>
  <c r="P126" i="1"/>
  <c r="P109" i="1"/>
  <c r="Q132" i="1"/>
  <c r="Q128" i="1"/>
  <c r="R131" i="1"/>
  <c r="R127" i="1"/>
  <c r="R110" i="1"/>
  <c r="AV218" i="1"/>
  <c r="AV277" i="1"/>
  <c r="I111" i="1"/>
  <c r="I132" i="1"/>
  <c r="L128" i="1"/>
  <c r="L132" i="1"/>
  <c r="E110" i="1"/>
  <c r="E127" i="1"/>
  <c r="E113" i="1"/>
  <c r="E131" i="1"/>
  <c r="L110" i="1"/>
  <c r="L131" i="1"/>
  <c r="L127" i="1"/>
  <c r="BH158" i="1"/>
  <c r="H185" i="1"/>
  <c r="I233" i="1" s="1"/>
  <c r="B89" i="1"/>
  <c r="B90" i="1" s="1"/>
  <c r="G197" i="1"/>
  <c r="I197" i="1"/>
  <c r="M152" i="1"/>
  <c r="BB50" i="1"/>
  <c r="BB51" i="1" s="1"/>
  <c r="D131" i="1"/>
  <c r="P158" i="1"/>
  <c r="Q185" i="1"/>
  <c r="R233" i="1" s="1"/>
  <c r="BN34" i="1"/>
  <c r="K158" i="1"/>
  <c r="H226" i="1"/>
  <c r="V226" i="1"/>
  <c r="BM50" i="1"/>
  <c r="BR276" i="1"/>
  <c r="BK50" i="1"/>
  <c r="BF122" i="1"/>
  <c r="BF123" i="1" s="1"/>
  <c r="BF126" i="1" s="1"/>
  <c r="AP50" i="1"/>
  <c r="C226" i="1"/>
  <c r="J144" i="1"/>
  <c r="B180" i="1"/>
  <c r="B209" i="1" s="1"/>
  <c r="B208" i="1" s="1"/>
  <c r="R144" i="1"/>
  <c r="BF276" i="1"/>
  <c r="S158" i="1"/>
  <c r="L180" i="1"/>
  <c r="L209" i="1" s="1"/>
  <c r="L208" i="1" s="1"/>
  <c r="AZ122" i="1"/>
  <c r="AZ123" i="1" s="1"/>
  <c r="T152" i="1"/>
  <c r="F172" i="1"/>
  <c r="F197" i="1"/>
  <c r="AO50" i="1"/>
  <c r="C172" i="1"/>
  <c r="C152" i="1"/>
  <c r="M197" i="1"/>
  <c r="V152" i="1"/>
  <c r="U144" i="1"/>
  <c r="H144" i="1"/>
  <c r="H116" i="1" s="1"/>
  <c r="H120" i="1" s="1"/>
  <c r="G152" i="1"/>
  <c r="H197" i="1"/>
  <c r="AQ277" i="1"/>
  <c r="BA277" i="1"/>
  <c r="U197" i="1"/>
  <c r="T226" i="1"/>
  <c r="V144" i="1"/>
  <c r="O144" i="1"/>
  <c r="O116" i="1" s="1"/>
  <c r="O118" i="1" s="1"/>
  <c r="E172" i="1"/>
  <c r="J180" i="1"/>
  <c r="L158" i="1"/>
  <c r="Q158" i="1"/>
  <c r="BV158" i="1"/>
  <c r="C197" i="1"/>
  <c r="R197" i="1"/>
  <c r="BH276" i="1"/>
  <c r="T172" i="1"/>
  <c r="BV185" i="1"/>
  <c r="BW233" i="1" s="1"/>
  <c r="F180" i="1"/>
  <c r="N158" i="1"/>
  <c r="T180" i="1"/>
  <c r="AZ207" i="1"/>
  <c r="BA207" i="1" s="1"/>
  <c r="AZ204" i="1"/>
  <c r="BA204" i="1" s="1"/>
  <c r="BR203" i="1"/>
  <c r="BS203" i="1" s="1"/>
  <c r="BR204" i="1"/>
  <c r="BS204" i="1" s="1"/>
  <c r="AZ203" i="1"/>
  <c r="BA203" i="1" s="1"/>
  <c r="K226" i="1"/>
  <c r="AV204" i="1"/>
  <c r="AW204" i="1" s="1"/>
  <c r="BB203" i="1"/>
  <c r="BC203" i="1" s="1"/>
  <c r="BR207" i="1"/>
  <c r="BS207" i="1" s="1"/>
  <c r="AN204" i="1"/>
  <c r="AO204" i="1" s="1"/>
  <c r="AN207" i="1"/>
  <c r="AO207" i="1" s="1"/>
  <c r="AN203" i="1"/>
  <c r="AO203" i="1" s="1"/>
  <c r="V128" i="1"/>
  <c r="V132" i="1"/>
  <c r="BW166" i="1"/>
  <c r="BV172" i="1"/>
  <c r="BV206" i="1" s="1"/>
  <c r="AU218" i="1"/>
  <c r="AU277" i="1"/>
  <c r="BO218" i="1"/>
  <c r="BO277" i="1"/>
  <c r="E126" i="1"/>
  <c r="E109" i="1"/>
  <c r="S127" i="1"/>
  <c r="S110" i="1"/>
  <c r="BC255" i="1"/>
  <c r="BC34" i="1"/>
  <c r="AZ255" i="1"/>
  <c r="AZ34" i="1"/>
  <c r="E132" i="1"/>
  <c r="E128" i="1"/>
  <c r="R126" i="1"/>
  <c r="R109" i="1"/>
  <c r="AO218" i="1"/>
  <c r="AO277" i="1"/>
  <c r="BN21" i="1"/>
  <c r="BP122" i="1"/>
  <c r="BP123" i="1" s="1"/>
  <c r="BN255" i="1"/>
  <c r="BO122" i="1"/>
  <c r="BO123" i="1" s="1"/>
  <c r="BO126" i="1" s="1"/>
  <c r="BN122" i="1"/>
  <c r="BN123" i="1" s="1"/>
  <c r="BR21" i="1"/>
  <c r="BR277" i="1"/>
  <c r="AZ218" i="1"/>
  <c r="AZ277" i="1"/>
  <c r="BH255" i="1"/>
  <c r="BK122" i="1"/>
  <c r="BK123" i="1" s="1"/>
  <c r="BH203" i="1"/>
  <c r="BI203" i="1" s="1"/>
  <c r="BH277" i="1"/>
  <c r="BJ122" i="1"/>
  <c r="BJ123" i="1" s="1"/>
  <c r="BI122" i="1"/>
  <c r="BI123" i="1" s="1"/>
  <c r="BI127" i="1" s="1"/>
  <c r="BH34" i="1"/>
  <c r="AN34" i="1"/>
  <c r="AN249" i="1" s="1"/>
  <c r="AN255" i="1"/>
  <c r="AO122" i="1"/>
  <c r="AO123" i="1" s="1"/>
  <c r="AO126" i="1" s="1"/>
  <c r="AN122" i="1"/>
  <c r="AN123" i="1" s="1"/>
  <c r="BI164" i="1"/>
  <c r="BJ226" i="1" s="1"/>
  <c r="S128" i="1"/>
  <c r="S132" i="1"/>
  <c r="S111" i="1"/>
  <c r="U127" i="1"/>
  <c r="U131" i="1"/>
  <c r="U110" i="1"/>
  <c r="U113" i="1"/>
  <c r="BN277" i="1"/>
  <c r="BN57" i="1"/>
  <c r="BN218" i="1"/>
  <c r="BO21" i="1"/>
  <c r="BR122" i="1"/>
  <c r="BR123" i="1" s="1"/>
  <c r="BO34" i="1"/>
  <c r="BO255" i="1"/>
  <c r="BW21" i="1"/>
  <c r="CA26" i="1" s="1"/>
  <c r="BW255" i="1"/>
  <c r="BW34" i="1"/>
  <c r="BX36" i="1" s="1"/>
  <c r="BW277" i="1"/>
  <c r="BZ122" i="1"/>
  <c r="BZ123" i="1" s="1"/>
  <c r="G110" i="1"/>
  <c r="G127" i="1"/>
  <c r="G131" i="1"/>
  <c r="I131" i="1"/>
  <c r="I127" i="1"/>
  <c r="I113" i="1"/>
  <c r="AP255" i="1"/>
  <c r="AR122" i="1"/>
  <c r="AR123" i="1" s="1"/>
  <c r="AQ255" i="1"/>
  <c r="AQ276" i="1"/>
  <c r="AQ34" i="1"/>
  <c r="BK227" i="1"/>
  <c r="BK225" i="1" s="1"/>
  <c r="BK277" i="1"/>
  <c r="BK218" i="1"/>
  <c r="BK57" i="1"/>
  <c r="K110" i="1"/>
  <c r="K113" i="1"/>
  <c r="K131" i="1"/>
  <c r="K127" i="1"/>
  <c r="BM277" i="1"/>
  <c r="BM227" i="1"/>
  <c r="BM225" i="1" s="1"/>
  <c r="BM57" i="1"/>
  <c r="BM218" i="1"/>
  <c r="AN277" i="1"/>
  <c r="AN57" i="1"/>
  <c r="AN218" i="1"/>
  <c r="J110" i="1"/>
  <c r="J127" i="1"/>
  <c r="J131" i="1"/>
  <c r="N110" i="1"/>
  <c r="N127" i="1"/>
  <c r="F127" i="1"/>
  <c r="F113" i="1"/>
  <c r="F131" i="1"/>
  <c r="BB277" i="1"/>
  <c r="BB218" i="1"/>
  <c r="AU255" i="1"/>
  <c r="AU276" i="1"/>
  <c r="AU34" i="1"/>
  <c r="AV36" i="1" s="1"/>
  <c r="M109" i="1"/>
  <c r="M126" i="1"/>
  <c r="BP277" i="1"/>
  <c r="BP218" i="1"/>
  <c r="P128" i="1"/>
  <c r="P111" i="1"/>
  <c r="P132" i="1"/>
  <c r="BI255" i="1"/>
  <c r="BL122" i="1"/>
  <c r="BL123" i="1" s="1"/>
  <c r="BI34" i="1"/>
  <c r="BC218" i="1"/>
  <c r="BC277" i="1"/>
  <c r="F158" i="1"/>
  <c r="I109" i="1"/>
  <c r="AX207" i="1"/>
  <c r="AY207" i="1" s="1"/>
  <c r="AX204" i="1"/>
  <c r="AY204" i="1" s="1"/>
  <c r="T113" i="1"/>
  <c r="BI276" i="1"/>
  <c r="O172" i="1"/>
  <c r="P180" i="1"/>
  <c r="BF50" i="1"/>
  <c r="U180" i="1"/>
  <c r="U152" i="1"/>
  <c r="R185" i="1"/>
  <c r="S233" i="1" s="1"/>
  <c r="N144" i="1"/>
  <c r="N116" i="1" s="1"/>
  <c r="N119" i="1" s="1"/>
  <c r="T144" i="1"/>
  <c r="B158" i="1"/>
  <c r="F185" i="1"/>
  <c r="G233" i="1" s="1"/>
  <c r="AN50" i="1"/>
  <c r="C158" i="1"/>
  <c r="BW276" i="1"/>
  <c r="BV50" i="1"/>
  <c r="BV22" i="1" s="1"/>
  <c r="BV23" i="1" s="1"/>
  <c r="D152" i="1"/>
  <c r="D61" i="1" s="1"/>
  <c r="BU50" i="1"/>
  <c r="I180" i="1"/>
  <c r="BI277" i="1"/>
  <c r="M172" i="1"/>
  <c r="I152" i="1"/>
  <c r="S180" i="1"/>
  <c r="AU50" i="1"/>
  <c r="K197" i="1"/>
  <c r="BA50" i="1"/>
  <c r="Q152" i="1"/>
  <c r="D172" i="1"/>
  <c r="AZ276" i="1"/>
  <c r="BH50" i="1"/>
  <c r="L197" i="1"/>
  <c r="BE50" i="1"/>
  <c r="BJ51" i="1"/>
  <c r="AX34" i="1"/>
  <c r="BD255" i="1"/>
  <c r="AY276" i="1"/>
  <c r="BK276" i="1"/>
  <c r="BD207" i="1"/>
  <c r="BE207" i="1" s="1"/>
  <c r="BD204" i="1"/>
  <c r="BE204" i="1" s="1"/>
  <c r="AT203" i="1"/>
  <c r="AU203" i="1" s="1"/>
  <c r="AX203" i="1"/>
  <c r="AY203" i="1" s="1"/>
  <c r="U158" i="1"/>
  <c r="J197" i="1"/>
  <c r="BQ50" i="1"/>
  <c r="BQ22" i="1" s="1"/>
  <c r="BQ23" i="1" s="1"/>
  <c r="BH185" i="1"/>
  <c r="BI233" i="1" s="1"/>
  <c r="I185" i="1"/>
  <c r="I158" i="1"/>
  <c r="P226" i="1"/>
  <c r="G172" i="1"/>
  <c r="R180" i="1"/>
  <c r="S221" i="1" s="1"/>
  <c r="C144" i="1"/>
  <c r="AV50" i="1"/>
  <c r="BS34" i="1"/>
  <c r="R172" i="1"/>
  <c r="H180" i="1"/>
  <c r="H209" i="1" s="1"/>
  <c r="H208" i="1" s="1"/>
  <c r="P144" i="1"/>
  <c r="G180" i="1"/>
  <c r="AW50" i="1"/>
  <c r="E226" i="1"/>
  <c r="E144" i="1"/>
  <c r="V172" i="1"/>
  <c r="H111" i="1"/>
  <c r="AX255" i="1"/>
  <c r="AX277" i="1"/>
  <c r="BD277" i="1"/>
  <c r="L113" i="1"/>
  <c r="K172" i="1"/>
  <c r="V180" i="1"/>
  <c r="V209" i="1" s="1"/>
  <c r="AT50" i="1"/>
  <c r="E180" i="1"/>
  <c r="L144" i="1"/>
  <c r="L78" i="1" s="1"/>
  <c r="K144" i="1"/>
  <c r="AQ50" i="1"/>
  <c r="U172" i="1"/>
  <c r="AZ50" i="1"/>
  <c r="BS50" i="1"/>
  <c r="BS22" i="1" s="1"/>
  <c r="BS23" i="1" s="1"/>
  <c r="AS50" i="1"/>
  <c r="AY50" i="1"/>
  <c r="D144" i="1"/>
  <c r="D78" i="1" s="1"/>
  <c r="BR50" i="1"/>
  <c r="BT50" i="1"/>
  <c r="H152" i="1"/>
  <c r="BP50" i="1"/>
  <c r="BW50" i="1"/>
  <c r="BW22" i="1" s="1"/>
  <c r="J109" i="1"/>
  <c r="P197" i="1"/>
  <c r="B185" i="1"/>
  <c r="C233" i="1" s="1"/>
  <c r="T158" i="1"/>
  <c r="BD203" i="1"/>
  <c r="BE203" i="1" s="1"/>
  <c r="AW122" i="1"/>
  <c r="AW123" i="1" s="1"/>
  <c r="AT277" i="1"/>
  <c r="AT276" i="1"/>
  <c r="AT34" i="1"/>
  <c r="J226" i="1"/>
  <c r="W131" i="1"/>
  <c r="B172" i="1"/>
  <c r="H158" i="1"/>
  <c r="N180" i="1"/>
  <c r="J158" i="1"/>
  <c r="J57" i="1" s="1"/>
  <c r="Q226" i="1"/>
  <c r="AX276" i="1"/>
  <c r="AY122" i="1"/>
  <c r="AY123" i="1" s="1"/>
  <c r="AY126" i="1" s="1"/>
  <c r="AY277" i="1"/>
  <c r="AT204" i="1"/>
  <c r="AU204" i="1" s="1"/>
  <c r="AT207" i="1"/>
  <c r="AU207" i="1" s="1"/>
  <c r="J113" i="1"/>
  <c r="AY34" i="1"/>
  <c r="I172" i="1"/>
  <c r="BS255" i="1"/>
  <c r="AX122" i="1"/>
  <c r="AX123" i="1" s="1"/>
  <c r="H128" i="1"/>
  <c r="M110" i="1"/>
  <c r="N126" i="1"/>
  <c r="M127" i="1"/>
  <c r="F110" i="1"/>
  <c r="M131" i="1"/>
  <c r="BS277" i="1"/>
  <c r="V158" i="1"/>
  <c r="R158" i="1"/>
  <c r="BH172" i="1"/>
  <c r="BH206" i="1" s="1"/>
  <c r="AM72" i="1"/>
  <c r="BJ52" i="1"/>
  <c r="BJ53" i="1" s="1"/>
  <c r="BV204" i="1"/>
  <c r="BW204" i="1" s="1"/>
  <c r="BV152" i="1"/>
  <c r="BV203" i="1"/>
  <c r="BW203" i="1" s="1"/>
  <c r="L199" i="1"/>
  <c r="O132" i="1"/>
  <c r="Q109" i="1"/>
  <c r="BA122" i="1"/>
  <c r="BA123" i="1" s="1"/>
  <c r="BA128" i="1" s="1"/>
  <c r="AS122" i="1"/>
  <c r="AS123" i="1" s="1"/>
  <c r="AS126" i="1" s="1"/>
  <c r="BH122" i="1"/>
  <c r="BH123" i="1" s="1"/>
  <c r="BH127" i="1" s="1"/>
  <c r="BT276" i="1"/>
  <c r="BX122" i="1"/>
  <c r="BX123" i="1" s="1"/>
  <c r="BM61" i="1"/>
  <c r="BV34" i="1"/>
  <c r="BU276" i="1"/>
  <c r="BH144" i="1"/>
  <c r="BF207" i="1"/>
  <c r="BG207" i="1" s="1"/>
  <c r="F132" i="1"/>
  <c r="F126" i="1"/>
  <c r="T128" i="1"/>
  <c r="I128" i="1"/>
  <c r="N226" i="1"/>
  <c r="S172" i="1"/>
  <c r="M180" i="1"/>
  <c r="R152" i="1"/>
  <c r="AQ122" i="1"/>
  <c r="AQ123" i="1" s="1"/>
  <c r="BI218" i="1"/>
  <c r="BV144" i="1"/>
  <c r="BY122" i="1"/>
  <c r="BY123" i="1" s="1"/>
  <c r="BY127" i="1" s="1"/>
  <c r="AI227" i="1"/>
  <c r="AI225" i="1" s="1"/>
  <c r="BF204" i="1"/>
  <c r="BG204" i="1" s="1"/>
  <c r="H172" i="1"/>
  <c r="H206" i="1" s="1"/>
  <c r="BE276" i="1"/>
  <c r="BA34" i="1"/>
  <c r="BE277" i="1"/>
  <c r="BQ277" i="1"/>
  <c r="BE34" i="1"/>
  <c r="AW277" i="1"/>
  <c r="BT277" i="1"/>
  <c r="BG122" i="1"/>
  <c r="BG123" i="1" s="1"/>
  <c r="BG126" i="1" s="1"/>
  <c r="AU122" i="1"/>
  <c r="AU123" i="1" s="1"/>
  <c r="AU127" i="1" s="1"/>
  <c r="BT204" i="1"/>
  <c r="BU204" i="1" s="1"/>
  <c r="F226" i="1"/>
  <c r="D180" i="1"/>
  <c r="T127" i="1"/>
  <c r="T110" i="1"/>
  <c r="AV122" i="1"/>
  <c r="AV123" i="1" s="1"/>
  <c r="BU277" i="1"/>
  <c r="BV207" i="1"/>
  <c r="BW207" i="1" s="1"/>
  <c r="BT122" i="1"/>
  <c r="BT123" i="1" s="1"/>
  <c r="BW122" i="1"/>
  <c r="BW123" i="1" s="1"/>
  <c r="BW128" i="1" s="1"/>
  <c r="AP34" i="1"/>
  <c r="AP207" i="1"/>
  <c r="AQ207" i="1" s="1"/>
  <c r="T126" i="1"/>
  <c r="K152" i="1"/>
  <c r="BA276" i="1"/>
  <c r="AP122" i="1"/>
  <c r="AP123" i="1" s="1"/>
  <c r="BQ122" i="1"/>
  <c r="BQ123" i="1" s="1"/>
  <c r="AT122" i="1"/>
  <c r="AT123" i="1" s="1"/>
  <c r="BQ276" i="1"/>
  <c r="Q172" i="1"/>
  <c r="J172" i="1"/>
  <c r="BV255" i="1"/>
  <c r="BA218" i="1"/>
  <c r="BU122" i="1"/>
  <c r="BU123" i="1" s="1"/>
  <c r="BU126" i="1" s="1"/>
  <c r="BT203" i="1"/>
  <c r="BU203" i="1" s="1"/>
  <c r="P162" i="1"/>
  <c r="S226" i="1"/>
  <c r="BU255" i="1"/>
  <c r="BV180" i="1"/>
  <c r="BV209" i="1" s="1"/>
  <c r="AI57" i="1"/>
  <c r="AS34" i="1"/>
  <c r="AR277" i="1"/>
  <c r="BS122" i="1"/>
  <c r="BS123" i="1" s="1"/>
  <c r="AP277" i="1"/>
  <c r="BH152" i="1"/>
  <c r="AP204" i="1"/>
  <c r="AQ204" i="1" s="1"/>
  <c r="BT207" i="1"/>
  <c r="BU207" i="1" s="1"/>
  <c r="L172" i="1"/>
  <c r="K109" i="1"/>
  <c r="AS277" i="1"/>
  <c r="BE122" i="1"/>
  <c r="BE123" i="1" s="1"/>
  <c r="BD122" i="1"/>
  <c r="BD123" i="1" s="1"/>
  <c r="BV122" i="1"/>
  <c r="BV123" i="1" s="1"/>
  <c r="BV127" i="1" s="1"/>
  <c r="BQ255" i="1"/>
  <c r="BC122" i="1"/>
  <c r="BC123" i="1" s="1"/>
  <c r="BI152" i="1"/>
  <c r="AP203" i="1"/>
  <c r="AQ203" i="1" s="1"/>
  <c r="F128" i="1"/>
  <c r="C180" i="1"/>
  <c r="BV277" i="1"/>
  <c r="BB122" i="1"/>
  <c r="BB123" i="1" s="1"/>
  <c r="BF277" i="1"/>
  <c r="BV276" i="1"/>
  <c r="BU34" i="1"/>
  <c r="BQ34" i="1"/>
  <c r="BR212" i="1" s="1"/>
  <c r="BH180" i="1"/>
  <c r="BH209" i="1" s="1"/>
  <c r="E152" i="1"/>
  <c r="G111" i="1"/>
  <c r="BZ26" i="1"/>
  <c r="BU26" i="1"/>
  <c r="BY26" i="1"/>
  <c r="P57" i="1"/>
  <c r="F78" i="1"/>
  <c r="F116" i="1"/>
  <c r="F119" i="1" s="1"/>
  <c r="F199" i="1"/>
  <c r="Q272" i="1"/>
  <c r="AR158" i="1"/>
  <c r="AS57" i="1" s="1"/>
  <c r="E233" i="1"/>
  <c r="G116" i="1"/>
  <c r="G120" i="1" s="1"/>
  <c r="G199" i="1"/>
  <c r="G231" i="1"/>
  <c r="G78" i="1"/>
  <c r="J61" i="1"/>
  <c r="U78" i="1"/>
  <c r="U116" i="1"/>
  <c r="G162" i="1"/>
  <c r="G57" i="1"/>
  <c r="BD185" i="1"/>
  <c r="BE233" i="1" s="1"/>
  <c r="E57" i="1"/>
  <c r="E162" i="1"/>
  <c r="L233" i="1"/>
  <c r="B199" i="1"/>
  <c r="B78" i="1"/>
  <c r="B61" i="1"/>
  <c r="B153" i="1"/>
  <c r="B79" i="1" s="1"/>
  <c r="D90" i="1"/>
  <c r="D132" i="1"/>
  <c r="Q116" i="1"/>
  <c r="Q78" i="1"/>
  <c r="Q199" i="1"/>
  <c r="K57" i="1"/>
  <c r="K162" i="1"/>
  <c r="W162" i="1"/>
  <c r="W57" i="1"/>
  <c r="AN185" i="1"/>
  <c r="AO233" i="1" s="1"/>
  <c r="AV185" i="1"/>
  <c r="AW233" i="1" s="1"/>
  <c r="BN185" i="1"/>
  <c r="BO233" i="1" s="1"/>
  <c r="Q209" i="1"/>
  <c r="BR158" i="1"/>
  <c r="AX185" i="1"/>
  <c r="AY233" i="1" s="1"/>
  <c r="BS152" i="1"/>
  <c r="AZ158" i="1"/>
  <c r="BP158" i="1"/>
  <c r="BT185" i="1"/>
  <c r="BU233" i="1" s="1"/>
  <c r="BP185" i="1"/>
  <c r="BQ233" i="1" s="1"/>
  <c r="BB185" i="1"/>
  <c r="AZ185" i="1"/>
  <c r="BA233" i="1" s="1"/>
  <c r="BE152" i="1"/>
  <c r="AR185" i="1"/>
  <c r="AS233" i="1" s="1"/>
  <c r="AQ164" i="1"/>
  <c r="AW164" i="1"/>
  <c r="AQ166" i="1"/>
  <c r="AP172" i="1"/>
  <c r="AP206" i="1" s="1"/>
  <c r="AS148" i="1"/>
  <c r="AS152" i="1" s="1"/>
  <c r="AR152" i="1"/>
  <c r="AU141" i="1"/>
  <c r="AT144" i="1"/>
  <c r="AT116" i="1" s="1"/>
  <c r="AS141" i="1"/>
  <c r="AR144" i="1"/>
  <c r="AY141" i="1"/>
  <c r="AY148" i="1"/>
  <c r="AY152" i="1" s="1"/>
  <c r="AX152" i="1"/>
  <c r="BT158" i="1"/>
  <c r="AT158" i="1"/>
  <c r="BF185" i="1"/>
  <c r="BG233" i="1" s="1"/>
  <c r="BF158" i="1"/>
  <c r="AV158" i="1"/>
  <c r="AP158" i="1"/>
  <c r="AO148" i="1"/>
  <c r="AO152" i="1" s="1"/>
  <c r="AN152" i="1"/>
  <c r="AR204" i="1"/>
  <c r="AS204" i="1" s="1"/>
  <c r="AO141" i="1"/>
  <c r="AN144" i="1"/>
  <c r="BC148" i="1"/>
  <c r="BC152" i="1" s="1"/>
  <c r="BB152" i="1"/>
  <c r="BU164" i="1"/>
  <c r="BV226" i="1" s="1"/>
  <c r="BE141" i="1"/>
  <c r="BD144" i="1"/>
  <c r="AU174" i="1"/>
  <c r="AT180" i="1"/>
  <c r="AT209" i="1" s="1"/>
  <c r="BO148" i="1"/>
  <c r="BO152" i="1" s="1"/>
  <c r="BN152" i="1"/>
  <c r="AO166" i="1"/>
  <c r="AN172" i="1"/>
  <c r="BU148" i="1"/>
  <c r="BU152" i="1" s="1"/>
  <c r="BT152" i="1"/>
  <c r="AO164" i="1"/>
  <c r="AN226" i="1"/>
  <c r="BS141" i="1"/>
  <c r="BR144" i="1"/>
  <c r="BR116" i="1" s="1"/>
  <c r="BF226" i="1"/>
  <c r="AQ152" i="1"/>
  <c r="AT226" i="1"/>
  <c r="AN158" i="1"/>
  <c r="BT180" i="1"/>
  <c r="BT209" i="1" s="1"/>
  <c r="BB158" i="1"/>
  <c r="AT185" i="1"/>
  <c r="AU233" i="1" s="1"/>
  <c r="AZ144" i="1"/>
  <c r="BR185" i="1"/>
  <c r="AS226" i="1"/>
  <c r="BP180" i="1"/>
  <c r="BP209" i="1" s="1"/>
  <c r="BP208" i="1" s="1"/>
  <c r="BT144" i="1"/>
  <c r="BF152" i="1"/>
  <c r="BE226" i="1"/>
  <c r="BR180" i="1"/>
  <c r="BR209" i="1" s="1"/>
  <c r="BP172" i="1"/>
  <c r="BP206" i="1" s="1"/>
  <c r="BP205" i="1" s="1"/>
  <c r="AZ152" i="1"/>
  <c r="BQ226" i="1"/>
  <c r="BB180" i="1"/>
  <c r="BB209" i="1" s="1"/>
  <c r="AP152" i="1"/>
  <c r="AP144" i="1"/>
  <c r="AP116" i="1" s="1"/>
  <c r="BD180" i="1"/>
  <c r="BD209" i="1" s="1"/>
  <c r="BP144" i="1"/>
  <c r="BP116" i="1" s="1"/>
  <c r="BP118" i="1" s="1"/>
  <c r="BN180" i="1"/>
  <c r="BN209" i="1" s="1"/>
  <c r="AN180" i="1"/>
  <c r="AN209" i="1" s="1"/>
  <c r="BP152" i="1"/>
  <c r="BG152" i="1"/>
  <c r="BA152" i="1"/>
  <c r="AT152" i="1"/>
  <c r="AP180" i="1"/>
  <c r="BF180" i="1"/>
  <c r="BF209" i="1" s="1"/>
  <c r="AV180" i="1"/>
  <c r="AV209" i="1" s="1"/>
  <c r="AV208" i="1" s="1"/>
  <c r="BF144" i="1"/>
  <c r="BQ152" i="1"/>
  <c r="BR152" i="1"/>
  <c r="BD152" i="1"/>
  <c r="AZ180" i="1"/>
  <c r="AZ209" i="1" s="1"/>
  <c r="AV144" i="1"/>
  <c r="AU152" i="1"/>
  <c r="AI208" i="1"/>
  <c r="AW167" i="1"/>
  <c r="AV172" i="1"/>
  <c r="BC167" i="1"/>
  <c r="BB172" i="1"/>
  <c r="BG167" i="1"/>
  <c r="BE167" i="1"/>
  <c r="BD172" i="1"/>
  <c r="BO167" i="1"/>
  <c r="BN172" i="1"/>
  <c r="BU167" i="1"/>
  <c r="BT172" i="1"/>
  <c r="AY167" i="1"/>
  <c r="AX172" i="1"/>
  <c r="BS167" i="1"/>
  <c r="BR172" i="1"/>
  <c r="BA167" i="1"/>
  <c r="AZ172" i="1"/>
  <c r="AU226" i="1"/>
  <c r="AV226" i="1"/>
  <c r="BB226" i="1"/>
  <c r="BA226" i="1"/>
  <c r="AY226" i="1"/>
  <c r="AZ226" i="1"/>
  <c r="BC226" i="1"/>
  <c r="BD226" i="1"/>
  <c r="BM40" i="1"/>
  <c r="BM36" i="1"/>
  <c r="BJ35" i="1"/>
  <c r="BF40" i="1"/>
  <c r="AS207" i="1"/>
  <c r="BD40" i="1"/>
  <c r="AR40" i="1"/>
  <c r="BP40" i="1"/>
  <c r="AW207" i="1"/>
  <c r="BR40" i="1"/>
  <c r="BG226" i="1"/>
  <c r="BP35" i="1"/>
  <c r="AL126" i="1"/>
  <c r="AL127" i="1"/>
  <c r="BB40" i="1"/>
  <c r="BM128" i="1"/>
  <c r="BM126" i="1"/>
  <c r="BM127" i="1"/>
  <c r="BX35" i="1"/>
  <c r="BT40" i="1"/>
  <c r="AO35" i="1"/>
  <c r="AO40" i="1"/>
  <c r="AV40" i="1"/>
  <c r="BT35" i="1"/>
  <c r="BG40" i="1"/>
  <c r="BF35" i="1"/>
  <c r="AV35" i="1"/>
  <c r="P94" i="1"/>
  <c r="N113" i="1"/>
  <c r="O110" i="1"/>
  <c r="O111" i="1"/>
  <c r="O94" i="1"/>
  <c r="O109" i="1"/>
  <c r="CQ162" i="1"/>
  <c r="CR56" i="1"/>
  <c r="AE101" i="1"/>
  <c r="AB149" i="1"/>
  <c r="AB152" i="1" s="1"/>
  <c r="AB273" i="1" s="1"/>
  <c r="AD166" i="1"/>
  <c r="CZ89" i="1"/>
  <c r="DA87" i="1"/>
  <c r="BM35" i="1" l="1"/>
  <c r="BF51" i="1"/>
  <c r="B132" i="1"/>
  <c r="AV51" i="1"/>
  <c r="AX144" i="1"/>
  <c r="BO164" i="1"/>
  <c r="BN226" i="1"/>
  <c r="BD158" i="1"/>
  <c r="AU166" i="1"/>
  <c r="AT172" i="1"/>
  <c r="BC141" i="1"/>
  <c r="BB144" i="1"/>
  <c r="BB116" i="1" s="1"/>
  <c r="AR172" i="1"/>
  <c r="AR206" i="1" s="1"/>
  <c r="AY173" i="1"/>
  <c r="AX180" i="1"/>
  <c r="AX209" i="1" s="1"/>
  <c r="AW148" i="1"/>
  <c r="AW152" i="1" s="1"/>
  <c r="AV152" i="1"/>
  <c r="BS164" i="1"/>
  <c r="BR226" i="1"/>
  <c r="AP185" i="1"/>
  <c r="BN158" i="1"/>
  <c r="AR180" i="1"/>
  <c r="BN144" i="1"/>
  <c r="BM51" i="1"/>
  <c r="J153" i="1"/>
  <c r="J79" i="1" s="1"/>
  <c r="R231" i="1"/>
  <c r="AO51" i="1"/>
  <c r="BH36" i="1"/>
  <c r="AW51" i="1"/>
  <c r="BH162" i="1"/>
  <c r="B131" i="1"/>
  <c r="BF203" i="1"/>
  <c r="BG203" i="1" s="1"/>
  <c r="P268" i="1"/>
  <c r="S192" i="1"/>
  <c r="S133" i="1" s="1"/>
  <c r="J272" i="1"/>
  <c r="O61" i="1"/>
  <c r="X273" i="1"/>
  <c r="X275" i="1" s="1"/>
  <c r="M162" i="1"/>
  <c r="S78" i="1"/>
  <c r="M230" i="1"/>
  <c r="S272" i="1"/>
  <c r="S199" i="1"/>
  <c r="P192" i="1"/>
  <c r="P133" i="1" s="1"/>
  <c r="N61" i="1"/>
  <c r="N192" i="1"/>
  <c r="N133" i="1" s="1"/>
  <c r="O209" i="1"/>
  <c r="BH208" i="1"/>
  <c r="K233" i="1"/>
  <c r="J192" i="1"/>
  <c r="J133" i="1" s="1"/>
  <c r="D233" i="1"/>
  <c r="W61" i="1"/>
  <c r="M57" i="1"/>
  <c r="S116" i="1"/>
  <c r="L192" i="1"/>
  <c r="L133" i="1" s="1"/>
  <c r="L61" i="1"/>
  <c r="U231" i="1"/>
  <c r="BI226" i="1"/>
  <c r="BP249" i="1"/>
  <c r="AQ51" i="1"/>
  <c r="BW212" i="1"/>
  <c r="N272" i="1"/>
  <c r="F192" i="1"/>
  <c r="F133" i="1" s="1"/>
  <c r="C132" i="1"/>
  <c r="V61" i="1"/>
  <c r="C90" i="1"/>
  <c r="C93" i="1" s="1"/>
  <c r="I231" i="1"/>
  <c r="T230" i="1"/>
  <c r="F272" i="1"/>
  <c r="J273" i="1"/>
  <c r="J275" i="1" s="1"/>
  <c r="F209" i="1"/>
  <c r="AL249" i="1"/>
  <c r="AI40" i="1"/>
  <c r="BG36" i="1"/>
  <c r="AR51" i="1"/>
  <c r="BN35" i="1"/>
  <c r="BN40" i="1"/>
  <c r="BN36" i="1"/>
  <c r="BR35" i="1"/>
  <c r="U82" i="1"/>
  <c r="AQ40" i="1"/>
  <c r="AQ35" i="1"/>
  <c r="AR36" i="1"/>
  <c r="CB212" i="1"/>
  <c r="X82" i="1"/>
  <c r="BW40" i="1"/>
  <c r="BZ268" i="1"/>
  <c r="BN249" i="1"/>
  <c r="BG51" i="1"/>
  <c r="BW51" i="1"/>
  <c r="BF172" i="1"/>
  <c r="BF127" i="1"/>
  <c r="BF128" i="1"/>
  <c r="BX230" i="1"/>
  <c r="BC207" i="1"/>
  <c r="BI158" i="1"/>
  <c r="BI57" i="1"/>
  <c r="BA126" i="1"/>
  <c r="BV162" i="1"/>
  <c r="BW57" i="1"/>
  <c r="BW158" i="1"/>
  <c r="O230" i="1"/>
  <c r="P273" i="1"/>
  <c r="P275" i="1" s="1"/>
  <c r="BQ249" i="1"/>
  <c r="BK51" i="1"/>
  <c r="F181" i="1"/>
  <c r="H230" i="1"/>
  <c r="BR26" i="1"/>
  <c r="U273" i="1"/>
  <c r="U275" i="1" s="1"/>
  <c r="BW23" i="1"/>
  <c r="BH205" i="1"/>
  <c r="BW26" i="1"/>
  <c r="BV26" i="1"/>
  <c r="BT26" i="1"/>
  <c r="S134" i="1"/>
  <c r="S137" i="1" s="1"/>
  <c r="P220" i="1"/>
  <c r="J135" i="1"/>
  <c r="J138" i="1" s="1"/>
  <c r="H192" i="1"/>
  <c r="H133" i="1" s="1"/>
  <c r="H135" i="1" s="1"/>
  <c r="H138" i="1" s="1"/>
  <c r="H153" i="1"/>
  <c r="H79" i="1" s="1"/>
  <c r="H61" i="1"/>
  <c r="AI210" i="1"/>
  <c r="AX158" i="1"/>
  <c r="BB208" i="1"/>
  <c r="AZ208" i="1"/>
  <c r="BK35" i="1"/>
  <c r="BN127" i="1"/>
  <c r="BN128" i="1"/>
  <c r="BN126" i="1"/>
  <c r="BO127" i="1"/>
  <c r="BO128" i="1"/>
  <c r="AR52" i="1"/>
  <c r="AR53" i="1" s="1"/>
  <c r="BL212" i="1"/>
  <c r="BK212" i="1"/>
  <c r="BI51" i="1"/>
  <c r="AN126" i="1"/>
  <c r="AN127" i="1"/>
  <c r="AN128" i="1"/>
  <c r="BV181" i="1"/>
  <c r="BB128" i="1"/>
  <c r="BB127" i="1"/>
  <c r="BB126" i="1"/>
  <c r="AN35" i="1"/>
  <c r="AO249" i="1"/>
  <c r="AN40" i="1"/>
  <c r="BH40" i="1"/>
  <c r="BL35" i="1"/>
  <c r="BI36" i="1"/>
  <c r="BI128" i="1"/>
  <c r="BI126" i="1"/>
  <c r="AN212" i="1"/>
  <c r="BO40" i="1"/>
  <c r="P230" i="1"/>
  <c r="BJ36" i="1"/>
  <c r="I78" i="1"/>
  <c r="AO127" i="1"/>
  <c r="BO212" i="1"/>
  <c r="BN212" i="1"/>
  <c r="BP36" i="1"/>
  <c r="O273" i="1"/>
  <c r="O275" i="1" s="1"/>
  <c r="G61" i="1"/>
  <c r="S231" i="1"/>
  <c r="AW40" i="1"/>
  <c r="AW43" i="1" s="1"/>
  <c r="AU35" i="1"/>
  <c r="S153" i="1"/>
  <c r="S79" i="1" s="1"/>
  <c r="D273" i="1"/>
  <c r="D275" i="1" s="1"/>
  <c r="N78" i="1"/>
  <c r="BJ268" i="1"/>
  <c r="AO36" i="1"/>
  <c r="AR212" i="1"/>
  <c r="BJ249" i="1"/>
  <c r="BN51" i="1"/>
  <c r="BZ249" i="1"/>
  <c r="AO212" i="1"/>
  <c r="BO36" i="1"/>
  <c r="BM212" i="1"/>
  <c r="BP212" i="1"/>
  <c r="BH35" i="1"/>
  <c r="P61" i="1"/>
  <c r="N199" i="1"/>
  <c r="I199" i="1"/>
  <c r="AN36" i="1"/>
  <c r="CA35" i="1"/>
  <c r="M78" i="1"/>
  <c r="P221" i="1"/>
  <c r="BO51" i="1"/>
  <c r="BO249" i="1"/>
  <c r="D57" i="1"/>
  <c r="AO128" i="1"/>
  <c r="AR35" i="1"/>
  <c r="G153" i="1"/>
  <c r="G79" i="1" s="1"/>
  <c r="D272" i="1"/>
  <c r="H233" i="1"/>
  <c r="O192" i="1"/>
  <c r="O133" i="1" s="1"/>
  <c r="O135" i="1" s="1"/>
  <c r="O138" i="1" s="1"/>
  <c r="D192" i="1"/>
  <c r="D133" i="1" s="1"/>
  <c r="D134" i="1" s="1"/>
  <c r="D137" i="1" s="1"/>
  <c r="S230" i="1"/>
  <c r="F153" i="1"/>
  <c r="F79" i="1" s="1"/>
  <c r="D199" i="1"/>
  <c r="M231" i="1"/>
  <c r="BT212" i="1"/>
  <c r="BH51" i="1"/>
  <c r="M199" i="1"/>
  <c r="AM35" i="1"/>
  <c r="G192" i="1"/>
  <c r="G133" i="1" s="1"/>
  <c r="G134" i="1" s="1"/>
  <c r="G137" i="1" s="1"/>
  <c r="AJ36" i="1"/>
  <c r="AL268" i="1"/>
  <c r="M272" i="1"/>
  <c r="Q220" i="1"/>
  <c r="AY212" i="1"/>
  <c r="AN51" i="1"/>
  <c r="BN23" i="1"/>
  <c r="BV210" i="1"/>
  <c r="BZ213" i="1" s="1"/>
  <c r="L220" i="1"/>
  <c r="AZ51" i="1"/>
  <c r="AS51" i="1"/>
  <c r="H273" i="1"/>
  <c r="H275" i="1" s="1"/>
  <c r="BR208" i="1"/>
  <c r="O162" i="1"/>
  <c r="O57" i="1"/>
  <c r="BO35" i="1"/>
  <c r="BM249" i="1"/>
  <c r="BK36" i="1"/>
  <c r="BK40" i="1"/>
  <c r="BL36" i="1"/>
  <c r="L221" i="1"/>
  <c r="K209" i="1"/>
  <c r="K208" i="1" s="1"/>
  <c r="N230" i="1"/>
  <c r="N273" i="1"/>
  <c r="N275" i="1" s="1"/>
  <c r="M192" i="1"/>
  <c r="M133" i="1" s="1"/>
  <c r="M153" i="1"/>
  <c r="M79" i="1" s="1"/>
  <c r="M61" i="1"/>
  <c r="M273" i="1"/>
  <c r="M275" i="1" s="1"/>
  <c r="R116" i="1"/>
  <c r="R78" i="1"/>
  <c r="R199" i="1"/>
  <c r="S57" i="1"/>
  <c r="S162" i="1"/>
  <c r="AZ126" i="1"/>
  <c r="AZ127" i="1"/>
  <c r="AZ128" i="1"/>
  <c r="F206" i="1"/>
  <c r="F205" i="1" s="1"/>
  <c r="G220" i="1"/>
  <c r="C273" i="1"/>
  <c r="C275" i="1" s="1"/>
  <c r="C153" i="1"/>
  <c r="V153" i="1"/>
  <c r="V79" i="1" s="1"/>
  <c r="V192" i="1"/>
  <c r="V133" i="1" s="1"/>
  <c r="H78" i="1"/>
  <c r="H231" i="1"/>
  <c r="H199" i="1"/>
  <c r="H272" i="1"/>
  <c r="V78" i="1"/>
  <c r="V116" i="1"/>
  <c r="V199" i="1"/>
  <c r="O199" i="1"/>
  <c r="O153" i="1"/>
  <c r="O79" i="1" s="1"/>
  <c r="O78" i="1"/>
  <c r="O231" i="1"/>
  <c r="O272" i="1"/>
  <c r="E206" i="1"/>
  <c r="E205" i="1" s="1"/>
  <c r="F220" i="1"/>
  <c r="L57" i="1"/>
  <c r="L162" i="1"/>
  <c r="T206" i="1"/>
  <c r="T181" i="1"/>
  <c r="U220" i="1"/>
  <c r="N162" i="1"/>
  <c r="N270" i="1" s="1"/>
  <c r="N57" i="1"/>
  <c r="T209" i="1"/>
  <c r="T208" i="1" s="1"/>
  <c r="U221" i="1"/>
  <c r="BC51" i="1"/>
  <c r="BD212" i="1"/>
  <c r="BC40" i="1"/>
  <c r="BH212" i="1"/>
  <c r="BC36" i="1"/>
  <c r="BC212" i="1"/>
  <c r="BG212" i="1"/>
  <c r="BD36" i="1"/>
  <c r="BG35" i="1"/>
  <c r="AZ40" i="1"/>
  <c r="AZ35" i="1"/>
  <c r="BD35" i="1"/>
  <c r="BP126" i="1"/>
  <c r="BP127" i="1"/>
  <c r="BP128" i="1"/>
  <c r="BJ126" i="1"/>
  <c r="BJ127" i="1"/>
  <c r="BJ128" i="1"/>
  <c r="BS26" i="1"/>
  <c r="BO23" i="1"/>
  <c r="BR126" i="1"/>
  <c r="BR128" i="1"/>
  <c r="BR127" i="1"/>
  <c r="F57" i="1"/>
  <c r="F162" i="1"/>
  <c r="N153" i="1"/>
  <c r="N79" i="1" s="1"/>
  <c r="N231" i="1"/>
  <c r="T116" i="1"/>
  <c r="T120" i="1" s="1"/>
  <c r="T231" i="1"/>
  <c r="T199" i="1"/>
  <c r="T272" i="1"/>
  <c r="T78" i="1"/>
  <c r="B162" i="1"/>
  <c r="B57" i="1"/>
  <c r="C162" i="1"/>
  <c r="D227" i="1" s="1"/>
  <c r="D225" i="1" s="1"/>
  <c r="C57" i="1"/>
  <c r="BU22" i="1"/>
  <c r="BU51" i="1"/>
  <c r="S209" i="1"/>
  <c r="S208" i="1" s="1"/>
  <c r="T221" i="1"/>
  <c r="AZ249" i="1"/>
  <c r="BB35" i="1"/>
  <c r="AX40" i="1"/>
  <c r="AX36" i="1"/>
  <c r="AX51" i="1"/>
  <c r="Q82" i="1"/>
  <c r="AX35" i="1"/>
  <c r="AX212" i="1"/>
  <c r="J233" i="1"/>
  <c r="I272" i="1"/>
  <c r="D231" i="1"/>
  <c r="C78" i="1"/>
  <c r="E199" i="1"/>
  <c r="E116" i="1"/>
  <c r="E78" i="1"/>
  <c r="F231" i="1"/>
  <c r="E231" i="1"/>
  <c r="S206" i="1"/>
  <c r="S205" i="1" s="1"/>
  <c r="S181" i="1"/>
  <c r="R153" i="1"/>
  <c r="R79" i="1" s="1"/>
  <c r="S273" i="1"/>
  <c r="S275" i="1" s="1"/>
  <c r="AV127" i="1"/>
  <c r="AV126" i="1"/>
  <c r="AV128" i="1"/>
  <c r="AP35" i="1"/>
  <c r="AR249" i="1"/>
  <c r="AP126" i="1"/>
  <c r="AP128" i="1"/>
  <c r="AP127" i="1"/>
  <c r="BQ126" i="1"/>
  <c r="BQ127" i="1"/>
  <c r="BQ128" i="1"/>
  <c r="J181" i="1"/>
  <c r="J220" i="1"/>
  <c r="AU249" i="1"/>
  <c r="AW35" i="1"/>
  <c r="AS40" i="1"/>
  <c r="AS42" i="1" s="1"/>
  <c r="AT249" i="1"/>
  <c r="P82" i="1"/>
  <c r="AS212" i="1"/>
  <c r="AS35" i="1"/>
  <c r="AW212" i="1"/>
  <c r="AS36" i="1"/>
  <c r="BS128" i="1"/>
  <c r="BS127" i="1"/>
  <c r="BS126" i="1"/>
  <c r="BC128" i="1"/>
  <c r="BC126" i="1"/>
  <c r="BQ36" i="1"/>
  <c r="V82" i="1"/>
  <c r="BQ40" i="1"/>
  <c r="BU35" i="1"/>
  <c r="BR249" i="1"/>
  <c r="BT249" i="1"/>
  <c r="BQ35" i="1"/>
  <c r="BV192" i="1"/>
  <c r="BD208" i="1"/>
  <c r="BK128" i="1"/>
  <c r="BK127" i="1"/>
  <c r="BK126" i="1"/>
  <c r="BZ128" i="1"/>
  <c r="BZ126" i="1"/>
  <c r="BZ127" i="1"/>
  <c r="AR126" i="1"/>
  <c r="AR127" i="1"/>
  <c r="AR128" i="1"/>
  <c r="BL127" i="1"/>
  <c r="BL126" i="1"/>
  <c r="BL128" i="1"/>
  <c r="U57" i="1"/>
  <c r="U162" i="1"/>
  <c r="T57" i="1"/>
  <c r="T162" i="1"/>
  <c r="AW128" i="1"/>
  <c r="AW126" i="1"/>
  <c r="AX126" i="1"/>
  <c r="AX128" i="1"/>
  <c r="AX127" i="1"/>
  <c r="R162" i="1"/>
  <c r="R57" i="1"/>
  <c r="BT128" i="1"/>
  <c r="BT127" i="1"/>
  <c r="BE128" i="1"/>
  <c r="BE126" i="1"/>
  <c r="BE127" i="1"/>
  <c r="BU212" i="1"/>
  <c r="BY35" i="1"/>
  <c r="BU40" i="1"/>
  <c r="BU36" i="1"/>
  <c r="BY212" i="1"/>
  <c r="BE51" i="1"/>
  <c r="AY51" i="1"/>
  <c r="BV208" i="1"/>
  <c r="BH153" i="1"/>
  <c r="AX208" i="1"/>
  <c r="AT208" i="1"/>
  <c r="J78" i="1"/>
  <c r="J199" i="1"/>
  <c r="J116" i="1"/>
  <c r="J120" i="1" s="1"/>
  <c r="J231" i="1"/>
  <c r="T192" i="1"/>
  <c r="T133" i="1" s="1"/>
  <c r="T61" i="1"/>
  <c r="T153" i="1"/>
  <c r="T79" i="1" s="1"/>
  <c r="T273" i="1"/>
  <c r="T275" i="1" s="1"/>
  <c r="C206" i="1"/>
  <c r="C205" i="1" s="1"/>
  <c r="D220" i="1"/>
  <c r="C61" i="1"/>
  <c r="C230" i="1"/>
  <c r="C192" i="1"/>
  <c r="C133" i="1" s="1"/>
  <c r="W230" i="1"/>
  <c r="W273" i="1"/>
  <c r="W275" i="1" s="1"/>
  <c r="U199" i="1"/>
  <c r="U272" i="1"/>
  <c r="G230" i="1"/>
  <c r="G229" i="1" s="1"/>
  <c r="G273" i="1"/>
  <c r="G275" i="1" s="1"/>
  <c r="V272" i="1"/>
  <c r="V231" i="1"/>
  <c r="K221" i="1"/>
  <c r="J209" i="1"/>
  <c r="Q57" i="1"/>
  <c r="Q162" i="1"/>
  <c r="AV212" i="1"/>
  <c r="AU40" i="1"/>
  <c r="AY35" i="1"/>
  <c r="AU51" i="1"/>
  <c r="AX249" i="1"/>
  <c r="BI249" i="1"/>
  <c r="BL249" i="1"/>
  <c r="BI40" i="1"/>
  <c r="BI212" i="1"/>
  <c r="BJ212" i="1"/>
  <c r="BK249" i="1"/>
  <c r="BL268" i="1"/>
  <c r="T82" i="1"/>
  <c r="O220" i="1"/>
  <c r="O206" i="1"/>
  <c r="O205" i="1" s="1"/>
  <c r="O181" i="1"/>
  <c r="P209" i="1"/>
  <c r="P208" i="1" s="1"/>
  <c r="P181" i="1"/>
  <c r="P189" i="1" s="1"/>
  <c r="Q221" i="1"/>
  <c r="V221" i="1"/>
  <c r="U209" i="1"/>
  <c r="V273" i="1"/>
  <c r="V275" i="1" s="1"/>
  <c r="U192" i="1"/>
  <c r="U133" i="1" s="1"/>
  <c r="U153" i="1"/>
  <c r="U79" i="1" s="1"/>
  <c r="V230" i="1"/>
  <c r="V229" i="1" s="1"/>
  <c r="J221" i="1"/>
  <c r="I209" i="1"/>
  <c r="I208" i="1" s="1"/>
  <c r="M206" i="1"/>
  <c r="M205" i="1" s="1"/>
  <c r="N220" i="1"/>
  <c r="I61" i="1"/>
  <c r="I230" i="1"/>
  <c r="I153" i="1"/>
  <c r="I79" i="1" s="1"/>
  <c r="J230" i="1"/>
  <c r="I273" i="1"/>
  <c r="I275" i="1" s="1"/>
  <c r="Q192" i="1"/>
  <c r="Q133" i="1" s="1"/>
  <c r="Q153" i="1"/>
  <c r="Q79" i="1" s="1"/>
  <c r="Q61" i="1"/>
  <c r="Q230" i="1"/>
  <c r="Q273" i="1"/>
  <c r="Q275" i="1" s="1"/>
  <c r="E220" i="1"/>
  <c r="D181" i="1"/>
  <c r="D189" i="1" s="1"/>
  <c r="D206" i="1"/>
  <c r="I162" i="1"/>
  <c r="I57" i="1"/>
  <c r="G206" i="1"/>
  <c r="G205" i="1" s="1"/>
  <c r="G181" i="1"/>
  <c r="G189" i="1" s="1"/>
  <c r="R209" i="1"/>
  <c r="R221" i="1"/>
  <c r="C231" i="1"/>
  <c r="C272" i="1"/>
  <c r="BW35" i="1"/>
  <c r="BS40" i="1"/>
  <c r="BS36" i="1"/>
  <c r="BT36" i="1"/>
  <c r="BU249" i="1"/>
  <c r="BS35" i="1"/>
  <c r="BS212" i="1"/>
  <c r="BX212" i="1"/>
  <c r="R206" i="1"/>
  <c r="R205" i="1" s="1"/>
  <c r="R181" i="1"/>
  <c r="P199" i="1"/>
  <c r="P272" i="1"/>
  <c r="P231" i="1"/>
  <c r="P78" i="1"/>
  <c r="P153" i="1"/>
  <c r="P79" i="1" s="1"/>
  <c r="Q231" i="1"/>
  <c r="P116" i="1"/>
  <c r="G221" i="1"/>
  <c r="G209" i="1"/>
  <c r="V206" i="1"/>
  <c r="V181" i="1"/>
  <c r="E181" i="1"/>
  <c r="E189" i="1" s="1"/>
  <c r="E209" i="1"/>
  <c r="F221" i="1"/>
  <c r="L116" i="1"/>
  <c r="L118" i="1" s="1"/>
  <c r="L272" i="1"/>
  <c r="L153" i="1"/>
  <c r="L79" i="1" s="1"/>
  <c r="L231" i="1"/>
  <c r="K116" i="1"/>
  <c r="K199" i="1"/>
  <c r="K78" i="1"/>
  <c r="K272" i="1"/>
  <c r="K231" i="1"/>
  <c r="U206" i="1"/>
  <c r="U205" i="1" s="1"/>
  <c r="U181" i="1"/>
  <c r="V220" i="1"/>
  <c r="V222" i="1" s="1"/>
  <c r="V223" i="1" s="1"/>
  <c r="BR22" i="1"/>
  <c r="BR51" i="1"/>
  <c r="BT22" i="1"/>
  <c r="BT51" i="1"/>
  <c r="BP22" i="1"/>
  <c r="BP23" i="1" s="1"/>
  <c r="BP51" i="1"/>
  <c r="AT40" i="1"/>
  <c r="AT36" i="1"/>
  <c r="AT51" i="1"/>
  <c r="AV249" i="1"/>
  <c r="AW249" i="1"/>
  <c r="AU36" i="1"/>
  <c r="C220" i="1"/>
  <c r="B206" i="1"/>
  <c r="B181" i="1"/>
  <c r="B189" i="1" s="1"/>
  <c r="B268" i="1" s="1"/>
  <c r="H162" i="1"/>
  <c r="H57" i="1"/>
  <c r="N209" i="1"/>
  <c r="N208" i="1" s="1"/>
  <c r="N181" i="1"/>
  <c r="N189" i="1" s="1"/>
  <c r="N190" i="1" s="1"/>
  <c r="O221" i="1"/>
  <c r="AY36" i="1"/>
  <c r="BA249" i="1"/>
  <c r="AZ212" i="1"/>
  <c r="AZ36" i="1"/>
  <c r="AY40" i="1"/>
  <c r="AY43" i="1" s="1"/>
  <c r="R82" i="1"/>
  <c r="BC35" i="1"/>
  <c r="AY249" i="1"/>
  <c r="I206" i="1"/>
  <c r="I205" i="1" s="1"/>
  <c r="I181" i="1"/>
  <c r="V162" i="1"/>
  <c r="V57" i="1"/>
  <c r="AM76" i="1"/>
  <c r="AM143" i="1"/>
  <c r="AM144" i="1" s="1"/>
  <c r="AM153" i="1" s="1"/>
  <c r="AM90" i="1"/>
  <c r="AM93" i="1" s="1"/>
  <c r="AM110" i="1" s="1"/>
  <c r="BX126" i="1"/>
  <c r="BX128" i="1"/>
  <c r="BV40" i="1"/>
  <c r="BV52" i="1" s="1"/>
  <c r="BV36" i="1"/>
  <c r="BV35" i="1"/>
  <c r="BX249" i="1"/>
  <c r="BV212" i="1"/>
  <c r="BZ35" i="1"/>
  <c r="BZ212" i="1"/>
  <c r="BV51" i="1"/>
  <c r="CA212" i="1"/>
  <c r="BW249" i="1"/>
  <c r="BX268" i="1"/>
  <c r="BW36" i="1"/>
  <c r="BY249" i="1"/>
  <c r="BH116" i="1"/>
  <c r="BH272" i="1"/>
  <c r="M181" i="1"/>
  <c r="M189" i="1" s="1"/>
  <c r="M209" i="1"/>
  <c r="M221" i="1"/>
  <c r="N221" i="1"/>
  <c r="R61" i="1"/>
  <c r="R192" i="1"/>
  <c r="R133" i="1" s="1"/>
  <c r="R273" i="1"/>
  <c r="R275" i="1" s="1"/>
  <c r="R230" i="1"/>
  <c r="R229" i="1" s="1"/>
  <c r="AQ128" i="1"/>
  <c r="AQ127" i="1"/>
  <c r="AQ126" i="1"/>
  <c r="BV116" i="1"/>
  <c r="BV272" i="1"/>
  <c r="BA40" i="1"/>
  <c r="BB43" i="1" s="1"/>
  <c r="BA51" i="1"/>
  <c r="BA35" i="1"/>
  <c r="BD249" i="1"/>
  <c r="BB212" i="1"/>
  <c r="BB36" i="1"/>
  <c r="BB249" i="1"/>
  <c r="BA36" i="1"/>
  <c r="BA212" i="1"/>
  <c r="BE35" i="1"/>
  <c r="BC249" i="1"/>
  <c r="BG249" i="1"/>
  <c r="BE36" i="1"/>
  <c r="BF36" i="1"/>
  <c r="BH249" i="1"/>
  <c r="S82" i="1"/>
  <c r="BE249" i="1"/>
  <c r="BE40" i="1"/>
  <c r="BE212" i="1"/>
  <c r="BI35" i="1"/>
  <c r="BF249" i="1"/>
  <c r="BF212" i="1"/>
  <c r="D209" i="1"/>
  <c r="D208" i="1" s="1"/>
  <c r="E221" i="1"/>
  <c r="BW127" i="1"/>
  <c r="BW126" i="1"/>
  <c r="L273" i="1"/>
  <c r="L275" i="1" s="1"/>
  <c r="K61" i="1"/>
  <c r="K230" i="1"/>
  <c r="K273" i="1"/>
  <c r="K275" i="1" s="1"/>
  <c r="K192" i="1"/>
  <c r="K133" i="1" s="1"/>
  <c r="L230" i="1"/>
  <c r="K153" i="1"/>
  <c r="K79" i="1" s="1"/>
  <c r="AT127" i="1"/>
  <c r="AT128" i="1"/>
  <c r="AT126" i="1"/>
  <c r="L206" i="1"/>
  <c r="M220" i="1"/>
  <c r="L181" i="1"/>
  <c r="BD128" i="1"/>
  <c r="BD127" i="1"/>
  <c r="BD126" i="1"/>
  <c r="D221" i="1"/>
  <c r="C221" i="1"/>
  <c r="W82" i="1"/>
  <c r="BV249" i="1"/>
  <c r="BR36" i="1"/>
  <c r="BS249" i="1"/>
  <c r="BQ212" i="1"/>
  <c r="E153" i="1"/>
  <c r="E79" i="1" s="1"/>
  <c r="E61" i="1"/>
  <c r="F230" i="1"/>
  <c r="B93" i="1"/>
  <c r="B92" i="1"/>
  <c r="M119" i="1"/>
  <c r="M120" i="1"/>
  <c r="M118" i="1"/>
  <c r="K181" i="1"/>
  <c r="K189" i="1" s="1"/>
  <c r="K190" i="1" s="1"/>
  <c r="BA127" i="1"/>
  <c r="BW273" i="1"/>
  <c r="BT126" i="1"/>
  <c r="AP40" i="1"/>
  <c r="BH181" i="1"/>
  <c r="BH189" i="1" s="1"/>
  <c r="I221" i="1"/>
  <c r="U61" i="1"/>
  <c r="K206" i="1"/>
  <c r="K205" i="1" s="1"/>
  <c r="U230" i="1"/>
  <c r="U229" i="1" s="1"/>
  <c r="BS27" i="1"/>
  <c r="AP36" i="1"/>
  <c r="BY126" i="1"/>
  <c r="AQ36" i="1"/>
  <c r="R220" i="1"/>
  <c r="B272" i="1"/>
  <c r="AZ41" i="1"/>
  <c r="BY128" i="1"/>
  <c r="BS51" i="1"/>
  <c r="AT35" i="1"/>
  <c r="BH230" i="1"/>
  <c r="H181" i="1"/>
  <c r="Q206" i="1"/>
  <c r="J162" i="1"/>
  <c r="BJ256" i="1"/>
  <c r="BJ257" i="1" s="1"/>
  <c r="BV153" i="1"/>
  <c r="AS249" i="1"/>
  <c r="R272" i="1"/>
  <c r="J206" i="1"/>
  <c r="J205" i="1" s="1"/>
  <c r="C199" i="1"/>
  <c r="BJ58" i="1"/>
  <c r="BJ62" i="1" s="1"/>
  <c r="K220" i="1"/>
  <c r="K222" i="1" s="1"/>
  <c r="K223" i="1" s="1"/>
  <c r="D230" i="1"/>
  <c r="BH192" i="1"/>
  <c r="AY128" i="1"/>
  <c r="BW230" i="1"/>
  <c r="B192" i="1"/>
  <c r="B133" i="1" s="1"/>
  <c r="D153" i="1"/>
  <c r="D79" i="1" s="1"/>
  <c r="BH210" i="1"/>
  <c r="BL213" i="1" s="1"/>
  <c r="AW127" i="1"/>
  <c r="AY127" i="1"/>
  <c r="BQ51" i="1"/>
  <c r="Q181" i="1"/>
  <c r="H221" i="1"/>
  <c r="BZ27" i="1"/>
  <c r="CA27" i="1"/>
  <c r="I192" i="1"/>
  <c r="I133" i="1" s="1"/>
  <c r="BU27" i="1"/>
  <c r="BF52" i="1"/>
  <c r="BW27" i="1"/>
  <c r="BX127" i="1"/>
  <c r="S210" i="1"/>
  <c r="E192" i="1"/>
  <c r="E133" i="1" s="1"/>
  <c r="E134" i="1" s="1"/>
  <c r="E137" i="1" s="1"/>
  <c r="BI230" i="1"/>
  <c r="BT208" i="1"/>
  <c r="AM217" i="1"/>
  <c r="AM219" i="1" s="1"/>
  <c r="P270" i="1"/>
  <c r="BV205" i="1"/>
  <c r="BV128" i="1"/>
  <c r="BV126" i="1"/>
  <c r="BF208" i="1"/>
  <c r="BU127" i="1"/>
  <c r="BH126" i="1"/>
  <c r="H220" i="1"/>
  <c r="AS127" i="1"/>
  <c r="BJ230" i="1"/>
  <c r="AQ212" i="1"/>
  <c r="C209" i="1"/>
  <c r="C208" i="1" s="1"/>
  <c r="C181" i="1"/>
  <c r="E230" i="1"/>
  <c r="AS128" i="1"/>
  <c r="AQ249" i="1"/>
  <c r="AU212" i="1"/>
  <c r="BJ273" i="1"/>
  <c r="AP51" i="1"/>
  <c r="S220" i="1"/>
  <c r="S222" i="1" s="1"/>
  <c r="S223" i="1" s="1"/>
  <c r="BU128" i="1"/>
  <c r="BH128" i="1"/>
  <c r="BI273" i="1"/>
  <c r="AP249" i="1"/>
  <c r="AP212" i="1"/>
  <c r="AU126" i="1"/>
  <c r="I220" i="1"/>
  <c r="F273" i="1"/>
  <c r="F275" i="1" s="1"/>
  <c r="BG127" i="1"/>
  <c r="AU128" i="1"/>
  <c r="O82" i="1"/>
  <c r="AP205" i="1"/>
  <c r="BG128" i="1"/>
  <c r="BC127" i="1"/>
  <c r="T220" i="1"/>
  <c r="AT212" i="1"/>
  <c r="H119" i="1"/>
  <c r="S135" i="1"/>
  <c r="S138" i="1" s="1"/>
  <c r="I119" i="1"/>
  <c r="I120" i="1"/>
  <c r="AR205" i="1"/>
  <c r="O119" i="1"/>
  <c r="BU226" i="1"/>
  <c r="BR273" i="1"/>
  <c r="J134" i="1"/>
  <c r="J137" i="1" s="1"/>
  <c r="G118" i="1"/>
  <c r="G119" i="1"/>
  <c r="F118" i="1"/>
  <c r="F120" i="1"/>
  <c r="H118" i="1"/>
  <c r="AS158" i="1"/>
  <c r="AS162" i="1" s="1"/>
  <c r="N120" i="1"/>
  <c r="AR162" i="1"/>
  <c r="AR268" i="1" s="1"/>
  <c r="O120" i="1"/>
  <c r="N118" i="1"/>
  <c r="U119" i="1"/>
  <c r="U120" i="1"/>
  <c r="U118" i="1"/>
  <c r="AX226" i="1"/>
  <c r="AW226" i="1"/>
  <c r="X227" i="1"/>
  <c r="X225" i="1" s="1"/>
  <c r="G268" i="1"/>
  <c r="G270" i="1"/>
  <c r="E268" i="1"/>
  <c r="E270" i="1"/>
  <c r="M268" i="1"/>
  <c r="M270" i="1"/>
  <c r="E227" i="1"/>
  <c r="E225" i="1" s="1"/>
  <c r="H205" i="1"/>
  <c r="H210" i="1"/>
  <c r="S119" i="1"/>
  <c r="S118" i="1"/>
  <c r="S120" i="1"/>
  <c r="D93" i="1"/>
  <c r="D92" i="1"/>
  <c r="AR226" i="1"/>
  <c r="AQ226" i="1"/>
  <c r="BB192" i="1"/>
  <c r="AV192" i="1"/>
  <c r="Q119" i="1"/>
  <c r="Q120" i="1"/>
  <c r="Q118" i="1"/>
  <c r="K268" i="1"/>
  <c r="K270" i="1"/>
  <c r="BS57" i="1"/>
  <c r="BS158" i="1"/>
  <c r="BR162" i="1"/>
  <c r="P135" i="1"/>
  <c r="P138" i="1" s="1"/>
  <c r="P134" i="1"/>
  <c r="P137" i="1" s="1"/>
  <c r="L135" i="1"/>
  <c r="L138" i="1" s="1"/>
  <c r="L134" i="1"/>
  <c r="L137" i="1" s="1"/>
  <c r="AQ273" i="1"/>
  <c r="AN116" i="1"/>
  <c r="AN119" i="1" s="1"/>
  <c r="AN272" i="1"/>
  <c r="P205" i="1"/>
  <c r="AV273" i="1"/>
  <c r="N135" i="1"/>
  <c r="N138" i="1" s="1"/>
  <c r="N134" i="1"/>
  <c r="N137" i="1" s="1"/>
  <c r="AR230" i="1"/>
  <c r="AR273" i="1"/>
  <c r="AO158" i="1"/>
  <c r="AO57" i="1"/>
  <c r="AN162" i="1"/>
  <c r="AN270" i="1" s="1"/>
  <c r="BC57" i="1"/>
  <c r="BB162" i="1"/>
  <c r="BC158" i="1"/>
  <c r="Q208" i="1"/>
  <c r="AV230" i="1"/>
  <c r="BT153" i="1"/>
  <c r="V208" i="1"/>
  <c r="BN192" i="1"/>
  <c r="BN153" i="1"/>
  <c r="BC230" i="1"/>
  <c r="BC273" i="1"/>
  <c r="N205" i="1"/>
  <c r="O208" i="1"/>
  <c r="BB153" i="1"/>
  <c r="AT272" i="1"/>
  <c r="AS230" i="1"/>
  <c r="AS273" i="1"/>
  <c r="AR192" i="1"/>
  <c r="AS61" i="1" s="1"/>
  <c r="AR153" i="1"/>
  <c r="AR116" i="1"/>
  <c r="AX116" i="1"/>
  <c r="AX272" i="1"/>
  <c r="BU57" i="1"/>
  <c r="BT162" i="1"/>
  <c r="BU158" i="1"/>
  <c r="BG158" i="1"/>
  <c r="BG57" i="1"/>
  <c r="BF162" i="1"/>
  <c r="AW57" i="1"/>
  <c r="AV162" i="1"/>
  <c r="AW158" i="1"/>
  <c r="BE57" i="1"/>
  <c r="BE158" i="1"/>
  <c r="BD162" i="1"/>
  <c r="AQ158" i="1"/>
  <c r="AP162" i="1"/>
  <c r="AQ57" i="1"/>
  <c r="AT206" i="1"/>
  <c r="AT181" i="1"/>
  <c r="BB119" i="1"/>
  <c r="BB120" i="1"/>
  <c r="BB118" i="1"/>
  <c r="AO273" i="1"/>
  <c r="AO230" i="1"/>
  <c r="AN273" i="1"/>
  <c r="AN230" i="1"/>
  <c r="AN153" i="1"/>
  <c r="AN192" i="1"/>
  <c r="BN162" i="1"/>
  <c r="BO158" i="1"/>
  <c r="BO57" i="1"/>
  <c r="AR209" i="1"/>
  <c r="AR181" i="1"/>
  <c r="BN272" i="1"/>
  <c r="BN116" i="1"/>
  <c r="BF230" i="1"/>
  <c r="BF192" i="1"/>
  <c r="BP273" i="1"/>
  <c r="BP230" i="1"/>
  <c r="BP192" i="1"/>
  <c r="BR153" i="1"/>
  <c r="BS273" i="1"/>
  <c r="BS230" i="1"/>
  <c r="BR192" i="1"/>
  <c r="BA158" i="1"/>
  <c r="BA57" i="1"/>
  <c r="AZ162" i="1"/>
  <c r="BQ57" i="1"/>
  <c r="BP162" i="1"/>
  <c r="BQ158" i="1"/>
  <c r="BC233" i="1"/>
  <c r="AR272" i="1"/>
  <c r="AX192" i="1"/>
  <c r="AX153" i="1"/>
  <c r="BO226" i="1"/>
  <c r="BP226" i="1"/>
  <c r="AT162" i="1"/>
  <c r="AU57" i="1"/>
  <c r="AU158" i="1"/>
  <c r="BD116" i="1"/>
  <c r="BD272" i="1"/>
  <c r="BO230" i="1"/>
  <c r="BO273" i="1"/>
  <c r="BN273" i="1"/>
  <c r="BN230" i="1"/>
  <c r="AW273" i="1"/>
  <c r="AW230" i="1"/>
  <c r="AN206" i="1"/>
  <c r="AN181" i="1"/>
  <c r="BT226" i="1"/>
  <c r="BS226" i="1"/>
  <c r="BV273" i="1"/>
  <c r="BU273" i="1"/>
  <c r="BU230" i="1"/>
  <c r="BV230" i="1"/>
  <c r="BT192" i="1"/>
  <c r="BT273" i="1"/>
  <c r="BT230" i="1"/>
  <c r="AP226" i="1"/>
  <c r="AO226" i="1"/>
  <c r="AZ192" i="1"/>
  <c r="AZ273" i="1"/>
  <c r="AZ153" i="1"/>
  <c r="AZ230" i="1"/>
  <c r="AN208" i="1"/>
  <c r="AT153" i="1"/>
  <c r="AT273" i="1"/>
  <c r="AT230" i="1"/>
  <c r="AT192" i="1"/>
  <c r="BD230" i="1"/>
  <c r="BD153" i="1"/>
  <c r="BE273" i="1"/>
  <c r="BE230" i="1"/>
  <c r="BD192" i="1"/>
  <c r="BD273" i="1"/>
  <c r="AV116" i="1"/>
  <c r="AV272" i="1"/>
  <c r="AQ230" i="1"/>
  <c r="AP230" i="1"/>
  <c r="AP273" i="1"/>
  <c r="BG273" i="1"/>
  <c r="BH273" i="1"/>
  <c r="BB230" i="1"/>
  <c r="BA273" i="1"/>
  <c r="BB273" i="1"/>
  <c r="BA230" i="1"/>
  <c r="AU230" i="1"/>
  <c r="AU273" i="1"/>
  <c r="BP210" i="1"/>
  <c r="BP213" i="1" s="1"/>
  <c r="BR230" i="1"/>
  <c r="AY230" i="1"/>
  <c r="AY273" i="1"/>
  <c r="AQ233" i="1"/>
  <c r="AP272" i="1"/>
  <c r="AZ116" i="1"/>
  <c r="AZ272" i="1"/>
  <c r="BS233" i="1"/>
  <c r="BR272" i="1"/>
  <c r="BT116" i="1"/>
  <c r="BT272" i="1"/>
  <c r="BF273" i="1"/>
  <c r="BF153" i="1"/>
  <c r="AP192" i="1"/>
  <c r="AP153" i="1"/>
  <c r="AP119" i="1"/>
  <c r="AP118" i="1"/>
  <c r="AP120" i="1"/>
  <c r="AP209" i="1"/>
  <c r="AP181" i="1"/>
  <c r="BF116" i="1"/>
  <c r="BF272" i="1"/>
  <c r="BP120" i="1"/>
  <c r="AV153" i="1"/>
  <c r="BQ273" i="1"/>
  <c r="BP272" i="1"/>
  <c r="BP153" i="1"/>
  <c r="BP181" i="1"/>
  <c r="BG230" i="1"/>
  <c r="BQ230" i="1"/>
  <c r="BP119" i="1"/>
  <c r="AV206" i="1"/>
  <c r="AV210" i="1" s="1"/>
  <c r="AV181" i="1"/>
  <c r="BB206" i="1"/>
  <c r="BB181" i="1"/>
  <c r="BD206" i="1"/>
  <c r="BD181" i="1"/>
  <c r="AX206" i="1"/>
  <c r="AX181" i="1"/>
  <c r="BT206" i="1"/>
  <c r="BT181" i="1"/>
  <c r="BR206" i="1"/>
  <c r="BR210" i="1" s="1"/>
  <c r="BR181" i="1"/>
  <c r="BN206" i="1"/>
  <c r="BN181" i="1"/>
  <c r="AZ206" i="1"/>
  <c r="AZ181" i="1"/>
  <c r="C111" i="1"/>
  <c r="C109" i="1"/>
  <c r="C110" i="1"/>
  <c r="B113" i="1"/>
  <c r="AR41" i="1"/>
  <c r="BP52" i="1"/>
  <c r="BP42" i="1"/>
  <c r="BP41" i="1"/>
  <c r="BN208" i="1"/>
  <c r="BM41" i="1"/>
  <c r="BM52" i="1"/>
  <c r="BM43" i="1"/>
  <c r="BF41" i="1"/>
  <c r="BJ42" i="1"/>
  <c r="BD41" i="1"/>
  <c r="BD52" i="1"/>
  <c r="BD42" i="1"/>
  <c r="BC43" i="1"/>
  <c r="AJ43" i="1"/>
  <c r="AI41" i="1"/>
  <c r="AM42" i="1"/>
  <c r="AI52" i="1"/>
  <c r="N83" i="1"/>
  <c r="BD43" i="1"/>
  <c r="BC52" i="1"/>
  <c r="BC41" i="1"/>
  <c r="BR52" i="1"/>
  <c r="BR41" i="1"/>
  <c r="AT119" i="1"/>
  <c r="AT120" i="1"/>
  <c r="AT118" i="1"/>
  <c r="BN42" i="1"/>
  <c r="BR42" i="1"/>
  <c r="BN52" i="1"/>
  <c r="BN41" i="1"/>
  <c r="BN43" i="1"/>
  <c r="BG43" i="1"/>
  <c r="BG42" i="1"/>
  <c r="BG41" i="1"/>
  <c r="BG52" i="1"/>
  <c r="AV52" i="1"/>
  <c r="AV41" i="1"/>
  <c r="AV42" i="1"/>
  <c r="AZ42" i="1"/>
  <c r="BW41" i="1"/>
  <c r="X83" i="1"/>
  <c r="CA42" i="1"/>
  <c r="BX43" i="1"/>
  <c r="BW52" i="1"/>
  <c r="BT52" i="1"/>
  <c r="BX42" i="1"/>
  <c r="BT41" i="1"/>
  <c r="BT42" i="1"/>
  <c r="BW162" i="1"/>
  <c r="BX57" i="1"/>
  <c r="BV268" i="1"/>
  <c r="BV270" i="1"/>
  <c r="BR120" i="1"/>
  <c r="BR118" i="1"/>
  <c r="BR119" i="1"/>
  <c r="AO42" i="1"/>
  <c r="AO52" i="1"/>
  <c r="AO41" i="1"/>
  <c r="BH270" i="1"/>
  <c r="BH268" i="1"/>
  <c r="AQ52" i="1"/>
  <c r="AQ42" i="1"/>
  <c r="AQ41" i="1"/>
  <c r="AR43" i="1"/>
  <c r="BJ57" i="1"/>
  <c r="BI162" i="1"/>
  <c r="BJ227" i="1" s="1"/>
  <c r="BJ225" i="1" s="1"/>
  <c r="BB41" i="1"/>
  <c r="BB52" i="1"/>
  <c r="BF42" i="1"/>
  <c r="CR218" i="1"/>
  <c r="CR156" i="1"/>
  <c r="CQ227" i="1"/>
  <c r="CQ225" i="1" s="1"/>
  <c r="AB230" i="1"/>
  <c r="DB87" i="1"/>
  <c r="DA89" i="1"/>
  <c r="BB272" i="1" l="1"/>
  <c r="AX230" i="1"/>
  <c r="AX273" i="1"/>
  <c r="S229" i="1"/>
  <c r="M227" i="1"/>
  <c r="M225" i="1" s="1"/>
  <c r="T229" i="1"/>
  <c r="F134" i="1"/>
  <c r="F137" i="1" s="1"/>
  <c r="I229" i="1"/>
  <c r="N229" i="1"/>
  <c r="H229" i="1"/>
  <c r="O229" i="1"/>
  <c r="R227" i="1"/>
  <c r="R225" i="1" s="1"/>
  <c r="R189" i="1"/>
  <c r="P229" i="1"/>
  <c r="C189" i="1"/>
  <c r="C92" i="1"/>
  <c r="P222" i="1"/>
  <c r="P223" i="1" s="1"/>
  <c r="F135" i="1"/>
  <c r="F138" i="1" s="1"/>
  <c r="H134" i="1"/>
  <c r="H137" i="1" s="1"/>
  <c r="F208" i="1"/>
  <c r="N227" i="1"/>
  <c r="N225" i="1" s="1"/>
  <c r="D94" i="1"/>
  <c r="BB42" i="1"/>
  <c r="AX41" i="1"/>
  <c r="AX52" i="1"/>
  <c r="T118" i="1"/>
  <c r="R270" i="1"/>
  <c r="R268" i="1"/>
  <c r="M229" i="1"/>
  <c r="BF181" i="1"/>
  <c r="BF206" i="1"/>
  <c r="T119" i="1"/>
  <c r="AU43" i="1"/>
  <c r="G190" i="1"/>
  <c r="BI43" i="1"/>
  <c r="Q222" i="1"/>
  <c r="Q223" i="1" s="1"/>
  <c r="L229" i="1"/>
  <c r="M222" i="1"/>
  <c r="M223" i="1" s="1"/>
  <c r="AW52" i="1"/>
  <c r="AW41" i="1"/>
  <c r="D135" i="1"/>
  <c r="D138" i="1" s="1"/>
  <c r="F210" i="1"/>
  <c r="J208" i="1"/>
  <c r="L222" i="1"/>
  <c r="L223" i="1" s="1"/>
  <c r="U134" i="1"/>
  <c r="U137" i="1" s="1"/>
  <c r="U135" i="1"/>
  <c r="U138" i="1" s="1"/>
  <c r="Q270" i="1"/>
  <c r="Q268" i="1"/>
  <c r="Q227" i="1"/>
  <c r="Q225" i="1" s="1"/>
  <c r="I210" i="1"/>
  <c r="U208" i="1"/>
  <c r="U210" i="1"/>
  <c r="O210" i="1"/>
  <c r="R208" i="1"/>
  <c r="AY158" i="1"/>
  <c r="AX162" i="1"/>
  <c r="AY57" i="1"/>
  <c r="AR58" i="1"/>
  <c r="AR62" i="1" s="1"/>
  <c r="BV189" i="1"/>
  <c r="P83" i="1"/>
  <c r="R83" i="1"/>
  <c r="BV213" i="1"/>
  <c r="C268" i="1"/>
  <c r="BL43" i="1"/>
  <c r="BK41" i="1"/>
  <c r="BK52" i="1"/>
  <c r="BK43" i="1"/>
  <c r="AM78" i="1"/>
  <c r="AM231" i="1"/>
  <c r="AM229" i="1" s="1"/>
  <c r="AM79" i="1"/>
  <c r="AM116" i="1"/>
  <c r="AY52" i="1"/>
  <c r="AY41" i="1"/>
  <c r="BO52" i="1"/>
  <c r="BP43" i="1"/>
  <c r="BO42" i="1"/>
  <c r="BO41" i="1"/>
  <c r="AU52" i="1"/>
  <c r="AU41" i="1"/>
  <c r="BH52" i="1"/>
  <c r="BH41" i="1"/>
  <c r="BL42" i="1"/>
  <c r="BH42" i="1"/>
  <c r="AX42" i="1"/>
  <c r="U83" i="1"/>
  <c r="AR256" i="1"/>
  <c r="AR257" i="1" s="1"/>
  <c r="BO43" i="1"/>
  <c r="BH43" i="1"/>
  <c r="BK42" i="1"/>
  <c r="T83" i="1"/>
  <c r="AN52" i="1"/>
  <c r="AO43" i="1"/>
  <c r="AN42" i="1"/>
  <c r="AR42" i="1"/>
  <c r="AN43" i="1"/>
  <c r="AN41" i="1"/>
  <c r="BW43" i="1"/>
  <c r="AV43" i="1"/>
  <c r="J229" i="1"/>
  <c r="G135" i="1"/>
  <c r="G138" i="1" s="1"/>
  <c r="O189" i="1"/>
  <c r="O190" i="1" s="1"/>
  <c r="AX43" i="1"/>
  <c r="AM111" i="1"/>
  <c r="O134" i="1"/>
  <c r="O137" i="1" s="1"/>
  <c r="L120" i="1"/>
  <c r="AM109" i="1"/>
  <c r="O268" i="1"/>
  <c r="O270" i="1"/>
  <c r="J119" i="1"/>
  <c r="L119" i="1"/>
  <c r="H189" i="1"/>
  <c r="H190" i="1" s="1"/>
  <c r="O227" i="1"/>
  <c r="O225" i="1" s="1"/>
  <c r="J118" i="1"/>
  <c r="K229" i="1"/>
  <c r="R210" i="1"/>
  <c r="N210" i="1"/>
  <c r="N268" i="1"/>
  <c r="U222" i="1"/>
  <c r="U223" i="1" s="1"/>
  <c r="E222" i="1"/>
  <c r="E223" i="1" s="1"/>
  <c r="P227" i="1"/>
  <c r="P225" i="1" s="1"/>
  <c r="P210" i="1"/>
  <c r="S189" i="1"/>
  <c r="S190" i="1" s="1"/>
  <c r="C227" i="1"/>
  <c r="C225" i="1" s="1"/>
  <c r="T189" i="1"/>
  <c r="R118" i="1"/>
  <c r="R119" i="1"/>
  <c r="R120" i="1"/>
  <c r="BY27" i="1"/>
  <c r="BU23" i="1"/>
  <c r="S227" i="1"/>
  <c r="S225" i="1" s="1"/>
  <c r="D222" i="1"/>
  <c r="D223" i="1" s="1"/>
  <c r="D237" i="1" s="1"/>
  <c r="O222" i="1"/>
  <c r="O223" i="1" s="1"/>
  <c r="P190" i="1"/>
  <c r="J222" i="1"/>
  <c r="J223" i="1" s="1"/>
  <c r="N222" i="1"/>
  <c r="N223" i="1" s="1"/>
  <c r="N234" i="1" s="1"/>
  <c r="N235" i="1" s="1"/>
  <c r="Q229" i="1"/>
  <c r="R190" i="1"/>
  <c r="G222" i="1"/>
  <c r="G223" i="1" s="1"/>
  <c r="F222" i="1"/>
  <c r="F223" i="1" s="1"/>
  <c r="C222" i="1"/>
  <c r="C223" i="1" s="1"/>
  <c r="M190" i="1"/>
  <c r="L189" i="1"/>
  <c r="L190" i="1" s="1"/>
  <c r="F229" i="1"/>
  <c r="D229" i="1"/>
  <c r="H222" i="1"/>
  <c r="H223" i="1" s="1"/>
  <c r="E229" i="1"/>
  <c r="T222" i="1"/>
  <c r="T223" i="1" s="1"/>
  <c r="M135" i="1"/>
  <c r="M138" i="1" s="1"/>
  <c r="M134" i="1"/>
  <c r="M137" i="1" s="1"/>
  <c r="S268" i="1"/>
  <c r="T227" i="1"/>
  <c r="T225" i="1" s="1"/>
  <c r="T237" i="1" s="1"/>
  <c r="S270" i="1"/>
  <c r="C79" i="1"/>
  <c r="C190" i="1"/>
  <c r="V135" i="1"/>
  <c r="V138" i="1" s="1"/>
  <c r="V134" i="1"/>
  <c r="V137" i="1" s="1"/>
  <c r="V120" i="1"/>
  <c r="V118" i="1"/>
  <c r="V119" i="1"/>
  <c r="L270" i="1"/>
  <c r="L227" i="1"/>
  <c r="L225" i="1" s="1"/>
  <c r="L268" i="1"/>
  <c r="T205" i="1"/>
  <c r="T210" i="1"/>
  <c r="AZ52" i="1"/>
  <c r="AZ43" i="1"/>
  <c r="F270" i="1"/>
  <c r="F268" i="1"/>
  <c r="F189" i="1"/>
  <c r="F190" i="1" s="1"/>
  <c r="G227" i="1"/>
  <c r="G225" i="1" s="1"/>
  <c r="F227" i="1"/>
  <c r="F225" i="1" s="1"/>
  <c r="E120" i="1"/>
  <c r="E119" i="1"/>
  <c r="E118" i="1"/>
  <c r="AS41" i="1"/>
  <c r="AS52" i="1"/>
  <c r="AS58" i="1" s="1"/>
  <c r="AS62" i="1" s="1"/>
  <c r="AT43" i="1"/>
  <c r="AW42" i="1"/>
  <c r="AS43" i="1"/>
  <c r="BQ52" i="1"/>
  <c r="BQ41" i="1"/>
  <c r="BQ43" i="1"/>
  <c r="BQ42" i="1"/>
  <c r="V83" i="1"/>
  <c r="BR43" i="1"/>
  <c r="T268" i="1"/>
  <c r="U227" i="1"/>
  <c r="U225" i="1" s="1"/>
  <c r="T270" i="1"/>
  <c r="T134" i="1"/>
  <c r="T137" i="1" s="1"/>
  <c r="T135" i="1"/>
  <c r="T138" i="1" s="1"/>
  <c r="BR23" i="1"/>
  <c r="BV27" i="1"/>
  <c r="BR27" i="1"/>
  <c r="BT23" i="1"/>
  <c r="BT27" i="1"/>
  <c r="BX27" i="1"/>
  <c r="V189" i="1"/>
  <c r="V190" i="1" s="1"/>
  <c r="E190" i="1"/>
  <c r="U189" i="1"/>
  <c r="U190" i="1" s="1"/>
  <c r="I189" i="1"/>
  <c r="I190" i="1" s="1"/>
  <c r="BH190" i="1"/>
  <c r="R222" i="1"/>
  <c r="R223" i="1" s="1"/>
  <c r="Q189" i="1"/>
  <c r="Q190" i="1" s="1"/>
  <c r="C229" i="1"/>
  <c r="BV133" i="1"/>
  <c r="BV134" i="1" s="1"/>
  <c r="BW61" i="1"/>
  <c r="U270" i="1"/>
  <c r="U268" i="1"/>
  <c r="BU42" i="1"/>
  <c r="BU52" i="1"/>
  <c r="BY54" i="1" s="1"/>
  <c r="BV43" i="1"/>
  <c r="BY42" i="1"/>
  <c r="BU41" i="1"/>
  <c r="BU43" i="1"/>
  <c r="BV256" i="1"/>
  <c r="BV257" i="1" s="1"/>
  <c r="BV53" i="1"/>
  <c r="BZ54" i="1"/>
  <c r="BV58" i="1"/>
  <c r="BV62" i="1" s="1"/>
  <c r="BV120" i="1"/>
  <c r="BV119" i="1"/>
  <c r="BV118" i="1"/>
  <c r="B111" i="1"/>
  <c r="C94" i="1"/>
  <c r="B109" i="1"/>
  <c r="B110" i="1"/>
  <c r="AT52" i="1"/>
  <c r="AT41" i="1"/>
  <c r="BV42" i="1"/>
  <c r="BZ42" i="1"/>
  <c r="BV41" i="1"/>
  <c r="BH118" i="1"/>
  <c r="BH119" i="1"/>
  <c r="BH120" i="1"/>
  <c r="BA43" i="1"/>
  <c r="BA42" i="1"/>
  <c r="BA52" i="1"/>
  <c r="BA41" i="1"/>
  <c r="I222" i="1"/>
  <c r="I223" i="1" s="1"/>
  <c r="BV190" i="1"/>
  <c r="C135" i="1"/>
  <c r="C138" i="1" s="1"/>
  <c r="C134" i="1"/>
  <c r="C137" i="1" s="1"/>
  <c r="Q83" i="1"/>
  <c r="AU42" i="1"/>
  <c r="BM42" i="1"/>
  <c r="BJ43" i="1"/>
  <c r="BI52" i="1"/>
  <c r="BL136" i="1" s="1"/>
  <c r="BI41" i="1"/>
  <c r="Q134" i="1"/>
  <c r="Q137" i="1" s="1"/>
  <c r="Q135" i="1"/>
  <c r="Q138" i="1" s="1"/>
  <c r="D205" i="1"/>
  <c r="D210" i="1"/>
  <c r="I268" i="1"/>
  <c r="I270" i="1"/>
  <c r="J227" i="1"/>
  <c r="J225" i="1" s="1"/>
  <c r="BS41" i="1"/>
  <c r="BW42" i="1"/>
  <c r="BS43" i="1"/>
  <c r="BT43" i="1"/>
  <c r="BS52" i="1"/>
  <c r="BS42" i="1"/>
  <c r="P119" i="1"/>
  <c r="P120" i="1"/>
  <c r="P118" i="1"/>
  <c r="G210" i="1"/>
  <c r="G208" i="1"/>
  <c r="V205" i="1"/>
  <c r="V210" i="1"/>
  <c r="V213" i="1" s="1"/>
  <c r="V214" i="1" s="1"/>
  <c r="E210" i="1"/>
  <c r="E208" i="1"/>
  <c r="K119" i="1"/>
  <c r="K120" i="1"/>
  <c r="K118" i="1"/>
  <c r="B205" i="1"/>
  <c r="B210" i="1"/>
  <c r="I227" i="1"/>
  <c r="I225" i="1" s="1"/>
  <c r="H227" i="1"/>
  <c r="H225" i="1" s="1"/>
  <c r="H268" i="1"/>
  <c r="H270" i="1"/>
  <c r="AY42" i="1"/>
  <c r="BC42" i="1"/>
  <c r="V270" i="1"/>
  <c r="V227" i="1"/>
  <c r="V225" i="1" s="1"/>
  <c r="V268" i="1"/>
  <c r="W227" i="1"/>
  <c r="W225" i="1" s="1"/>
  <c r="M210" i="1"/>
  <c r="M208" i="1"/>
  <c r="R135" i="1"/>
  <c r="R138" i="1" s="1"/>
  <c r="R134" i="1"/>
  <c r="R137" i="1" s="1"/>
  <c r="BE42" i="1"/>
  <c r="S83" i="1"/>
  <c r="BF43" i="1"/>
  <c r="BE41" i="1"/>
  <c r="BE52" i="1"/>
  <c r="BF274" i="1" s="1"/>
  <c r="BF275" i="1" s="1"/>
  <c r="BE43" i="1"/>
  <c r="BI42" i="1"/>
  <c r="K135" i="1"/>
  <c r="K138" i="1" s="1"/>
  <c r="K134" i="1"/>
  <c r="K137" i="1" s="1"/>
  <c r="L205" i="1"/>
  <c r="L210" i="1"/>
  <c r="AT42" i="1"/>
  <c r="AP42" i="1"/>
  <c r="AP52" i="1"/>
  <c r="AP58" i="1" s="1"/>
  <c r="AP62" i="1" s="1"/>
  <c r="AP41" i="1"/>
  <c r="AP43" i="1"/>
  <c r="AQ43" i="1"/>
  <c r="O83" i="1"/>
  <c r="BA54" i="1"/>
  <c r="AW53" i="1"/>
  <c r="AW58" i="1"/>
  <c r="AW62" i="1" s="1"/>
  <c r="AW256" i="1"/>
  <c r="AW257" i="1" s="1"/>
  <c r="Q205" i="1"/>
  <c r="Q210" i="1"/>
  <c r="J268" i="1"/>
  <c r="K227" i="1"/>
  <c r="K225" i="1" s="1"/>
  <c r="J270" i="1"/>
  <c r="J189" i="1"/>
  <c r="J190" i="1" s="1"/>
  <c r="BJ64" i="1"/>
  <c r="BJ65" i="1"/>
  <c r="BH133" i="1"/>
  <c r="BI61" i="1"/>
  <c r="B134" i="1"/>
  <c r="B137" i="1" s="1"/>
  <c r="B135" i="1"/>
  <c r="B138" i="1" s="1"/>
  <c r="BQ256" i="1"/>
  <c r="BQ257" i="1" s="1"/>
  <c r="BQ58" i="1"/>
  <c r="BQ62" i="1" s="1"/>
  <c r="BJ54" i="1"/>
  <c r="BF53" i="1"/>
  <c r="BF58" i="1"/>
  <c r="BF62" i="1" s="1"/>
  <c r="BF256" i="1"/>
  <c r="BF257" i="1" s="1"/>
  <c r="DB89" i="1"/>
  <c r="AE87" i="1"/>
  <c r="AE89" i="1" s="1"/>
  <c r="BQ53" i="1"/>
  <c r="B190" i="1"/>
  <c r="I134" i="1"/>
  <c r="I137" i="1" s="1"/>
  <c r="I135" i="1"/>
  <c r="I138" i="1" s="1"/>
  <c r="E135" i="1"/>
  <c r="E138" i="1" s="1"/>
  <c r="K210" i="1"/>
  <c r="J210" i="1"/>
  <c r="J213" i="1" s="1"/>
  <c r="J214" i="1" s="1"/>
  <c r="C210" i="1"/>
  <c r="U237" i="1"/>
  <c r="AR189" i="1"/>
  <c r="AR190" i="1" s="1"/>
  <c r="S234" i="1"/>
  <c r="S235" i="1" s="1"/>
  <c r="AR270" i="1"/>
  <c r="AT57" i="1"/>
  <c r="M237" i="1"/>
  <c r="N237" i="1"/>
  <c r="Q237" i="1"/>
  <c r="D268" i="1"/>
  <c r="D190" i="1"/>
  <c r="M234" i="1"/>
  <c r="M235" i="1" s="1"/>
  <c r="I213" i="1"/>
  <c r="I214" i="1" s="1"/>
  <c r="G234" i="1"/>
  <c r="G235" i="1" s="1"/>
  <c r="G237" i="1"/>
  <c r="F237" i="1"/>
  <c r="C234" i="1"/>
  <c r="C235" i="1" s="1"/>
  <c r="C237" i="1"/>
  <c r="AW61" i="1"/>
  <c r="AV133" i="1"/>
  <c r="BS162" i="1"/>
  <c r="BT57" i="1"/>
  <c r="BR270" i="1"/>
  <c r="BR268" i="1"/>
  <c r="AP57" i="1"/>
  <c r="AO162" i="1"/>
  <c r="AN118" i="1"/>
  <c r="AN120" i="1"/>
  <c r="BR189" i="1"/>
  <c r="BR190" i="1" s="1"/>
  <c r="BB133" i="1"/>
  <c r="BC61" i="1"/>
  <c r="D109" i="1"/>
  <c r="D110" i="1"/>
  <c r="D111" i="1"/>
  <c r="C113" i="1"/>
  <c r="E94" i="1"/>
  <c r="AN189" i="1"/>
  <c r="AN190" i="1" s="1"/>
  <c r="BP189" i="1"/>
  <c r="BP190" i="1" s="1"/>
  <c r="BN133" i="1"/>
  <c r="BO61" i="1"/>
  <c r="BN227" i="1"/>
  <c r="BN225" i="1" s="1"/>
  <c r="BN270" i="1"/>
  <c r="BN268" i="1"/>
  <c r="BN120" i="1"/>
  <c r="BN119" i="1"/>
  <c r="BN118" i="1"/>
  <c r="BP133" i="1"/>
  <c r="BQ61" i="1"/>
  <c r="BB189" i="1"/>
  <c r="BB190" i="1" s="1"/>
  <c r="BF189" i="1"/>
  <c r="BF190" i="1" s="1"/>
  <c r="BT189" i="1"/>
  <c r="BT190" i="1" s="1"/>
  <c r="BF270" i="1"/>
  <c r="BF268" i="1"/>
  <c r="AP270" i="1"/>
  <c r="AP268" i="1"/>
  <c r="BG61" i="1"/>
  <c r="BF133" i="1"/>
  <c r="BD57" i="1"/>
  <c r="BC162" i="1"/>
  <c r="BN189" i="1"/>
  <c r="BN190" i="1" s="1"/>
  <c r="AZ189" i="1"/>
  <c r="AZ190" i="1" s="1"/>
  <c r="AN268" i="1"/>
  <c r="AN227" i="1"/>
  <c r="AN225" i="1" s="1"/>
  <c r="BT270" i="1"/>
  <c r="BT268" i="1"/>
  <c r="AW162" i="1"/>
  <c r="AX57" i="1"/>
  <c r="BS61" i="1"/>
  <c r="BR133" i="1"/>
  <c r="BA162" i="1"/>
  <c r="BB57" i="1"/>
  <c r="AZ268" i="1"/>
  <c r="AZ270" i="1"/>
  <c r="BR57" i="1"/>
  <c r="BQ162" i="1"/>
  <c r="AN205" i="1"/>
  <c r="AN210" i="1"/>
  <c r="BB270" i="1"/>
  <c r="BB268" i="1"/>
  <c r="BG162" i="1"/>
  <c r="BH57" i="1"/>
  <c r="AV268" i="1"/>
  <c r="AV270" i="1"/>
  <c r="BE162" i="1"/>
  <c r="BF57" i="1"/>
  <c r="BD268" i="1"/>
  <c r="BD270" i="1"/>
  <c r="AU61" i="1"/>
  <c r="AT133" i="1"/>
  <c r="AP189" i="1"/>
  <c r="AP190" i="1" s="1"/>
  <c r="BD189" i="1"/>
  <c r="BD190" i="1" s="1"/>
  <c r="AR118" i="1"/>
  <c r="AR120" i="1"/>
  <c r="AR119" i="1"/>
  <c r="AX120" i="1"/>
  <c r="AX119" i="1"/>
  <c r="AX118" i="1"/>
  <c r="BV57" i="1"/>
  <c r="BU162" i="1"/>
  <c r="AQ162" i="1"/>
  <c r="AR57" i="1"/>
  <c r="AT210" i="1"/>
  <c r="AT205" i="1"/>
  <c r="AO61" i="1"/>
  <c r="AN133" i="1"/>
  <c r="AR210" i="1"/>
  <c r="AR208" i="1"/>
  <c r="AV57" i="1"/>
  <c r="AU162" i="1"/>
  <c r="BD119" i="1"/>
  <c r="BD118" i="1"/>
  <c r="BD120" i="1"/>
  <c r="BU61" i="1"/>
  <c r="BT133" i="1"/>
  <c r="BE61" i="1"/>
  <c r="BD133" i="1"/>
  <c r="AV120" i="1"/>
  <c r="AV118" i="1"/>
  <c r="AV119" i="1"/>
  <c r="T213" i="1"/>
  <c r="T214" i="1" s="1"/>
  <c r="AV189" i="1"/>
  <c r="AV190" i="1" s="1"/>
  <c r="BP57" i="1"/>
  <c r="BO162" i="1"/>
  <c r="BP270" i="1"/>
  <c r="BP268" i="1"/>
  <c r="AY61" i="1"/>
  <c r="AX133" i="1"/>
  <c r="AT189" i="1"/>
  <c r="AT190" i="1" s="1"/>
  <c r="AT270" i="1"/>
  <c r="AT268" i="1"/>
  <c r="AP133" i="1"/>
  <c r="AQ61" i="1"/>
  <c r="AZ133" i="1"/>
  <c r="BA61" i="1"/>
  <c r="AZ119" i="1"/>
  <c r="AZ120" i="1"/>
  <c r="AZ118" i="1"/>
  <c r="AP210" i="1"/>
  <c r="AP213" i="1" s="1"/>
  <c r="AP208" i="1"/>
  <c r="AX205" i="1"/>
  <c r="AX210" i="1"/>
  <c r="BF205" i="1"/>
  <c r="BF210" i="1"/>
  <c r="BJ213" i="1" s="1"/>
  <c r="BT120" i="1"/>
  <c r="BT119" i="1"/>
  <c r="BT118" i="1"/>
  <c r="BF119" i="1"/>
  <c r="BF120" i="1"/>
  <c r="BF118" i="1"/>
  <c r="AV205" i="1"/>
  <c r="BR205" i="1"/>
  <c r="BN205" i="1"/>
  <c r="BN210" i="1"/>
  <c r="BB210" i="1"/>
  <c r="BB205" i="1"/>
  <c r="BD205" i="1"/>
  <c r="BD210" i="1"/>
  <c r="BT210" i="1"/>
  <c r="BT205" i="1"/>
  <c r="BX227" i="1"/>
  <c r="BX225" i="1" s="1"/>
  <c r="BW227" i="1"/>
  <c r="BW225" i="1" s="1"/>
  <c r="AZ210" i="1"/>
  <c r="AZ213" i="1" s="1"/>
  <c r="AZ205" i="1"/>
  <c r="AS227" i="1"/>
  <c r="AS225" i="1" s="1"/>
  <c r="AT227" i="1"/>
  <c r="AT225" i="1" s="1"/>
  <c r="AS256" i="1"/>
  <c r="AS257" i="1" s="1"/>
  <c r="BP53" i="1"/>
  <c r="BP54" i="1"/>
  <c r="BP256" i="1"/>
  <c r="BP257" i="1" s="1"/>
  <c r="BP58" i="1"/>
  <c r="BP62" i="1" s="1"/>
  <c r="BM58" i="1"/>
  <c r="BM62" i="1" s="1"/>
  <c r="BM53" i="1"/>
  <c r="BM55" i="1"/>
  <c r="BM256" i="1"/>
  <c r="BM257" i="1" s="1"/>
  <c r="BM274" i="1"/>
  <c r="BM275" i="1" s="1"/>
  <c r="BD274" i="1"/>
  <c r="BD275" i="1" s="1"/>
  <c r="BD58" i="1"/>
  <c r="BD62" i="1" s="1"/>
  <c r="BD53" i="1"/>
  <c r="BD256" i="1"/>
  <c r="BD257" i="1" s="1"/>
  <c r="BC55" i="1"/>
  <c r="AJ55" i="1"/>
  <c r="AL136" i="1"/>
  <c r="AI53" i="1"/>
  <c r="AM54" i="1"/>
  <c r="AI58" i="1"/>
  <c r="N84" i="1"/>
  <c r="AL250" i="1"/>
  <c r="AI256" i="1"/>
  <c r="AI257" i="1" s="1"/>
  <c r="BV135" i="1"/>
  <c r="BD55" i="1"/>
  <c r="BG54" i="1"/>
  <c r="BC58" i="1"/>
  <c r="BC53" i="1"/>
  <c r="BC256" i="1"/>
  <c r="BC257" i="1" s="1"/>
  <c r="BV54" i="1"/>
  <c r="BR53" i="1"/>
  <c r="BR256" i="1"/>
  <c r="BR257" i="1" s="1"/>
  <c r="BR58" i="1"/>
  <c r="BI227" i="1"/>
  <c r="BI225" i="1" s="1"/>
  <c r="AV58" i="1"/>
  <c r="AV53" i="1"/>
  <c r="AV256" i="1"/>
  <c r="AV257" i="1" s="1"/>
  <c r="AW274" i="1"/>
  <c r="AW275" i="1" s="1"/>
  <c r="AW55" i="1"/>
  <c r="BG53" i="1"/>
  <c r="BG274" i="1"/>
  <c r="BG275" i="1" s="1"/>
  <c r="BG58" i="1"/>
  <c r="BG256" i="1"/>
  <c r="BG257" i="1" s="1"/>
  <c r="BG55" i="1"/>
  <c r="BW55" i="1"/>
  <c r="BN58" i="1"/>
  <c r="BP250" i="1"/>
  <c r="BO250" i="1"/>
  <c r="BR54" i="1"/>
  <c r="BN53" i="1"/>
  <c r="BO55" i="1"/>
  <c r="BN55" i="1"/>
  <c r="BN256" i="1"/>
  <c r="BN257" i="1" s="1"/>
  <c r="BO274" i="1"/>
  <c r="BO275" i="1" s="1"/>
  <c r="BN274" i="1"/>
  <c r="BN275" i="1" s="1"/>
  <c r="BN54" i="1"/>
  <c r="BP136" i="1"/>
  <c r="BO136" i="1"/>
  <c r="AX274" i="1"/>
  <c r="AX275" i="1" s="1"/>
  <c r="AX256" i="1"/>
  <c r="AX257" i="1" s="1"/>
  <c r="BB54" i="1"/>
  <c r="AX58" i="1"/>
  <c r="AX55" i="1"/>
  <c r="AX53" i="1"/>
  <c r="BB58" i="1"/>
  <c r="BF54" i="1"/>
  <c r="BB256" i="1"/>
  <c r="BB257" i="1" s="1"/>
  <c r="BB53" i="1"/>
  <c r="BW256" i="1"/>
  <c r="BW257" i="1" s="1"/>
  <c r="BX55" i="1"/>
  <c r="X84" i="1"/>
  <c r="BW53" i="1"/>
  <c r="BZ136" i="1"/>
  <c r="BZ250" i="1"/>
  <c r="BW274" i="1"/>
  <c r="BW275" i="1" s="1"/>
  <c r="BW58" i="1"/>
  <c r="BY136" i="1"/>
  <c r="CA54" i="1"/>
  <c r="BX274" i="1"/>
  <c r="BX275" i="1" s="1"/>
  <c r="BY250" i="1"/>
  <c r="BC274" i="1"/>
  <c r="BC275" i="1" s="1"/>
  <c r="AQ53" i="1"/>
  <c r="AQ256" i="1"/>
  <c r="AQ257" i="1" s="1"/>
  <c r="AQ58" i="1"/>
  <c r="AQ54" i="1"/>
  <c r="AR55" i="1"/>
  <c r="AR274" i="1"/>
  <c r="AR275" i="1" s="1"/>
  <c r="AO256" i="1"/>
  <c r="AO257" i="1" s="1"/>
  <c r="AO58" i="1"/>
  <c r="AO62" i="1" s="1"/>
  <c r="AO64" i="1" s="1"/>
  <c r="AO274" i="1"/>
  <c r="AO275" i="1" s="1"/>
  <c r="AO54" i="1"/>
  <c r="AO53" i="1"/>
  <c r="AR65" i="1"/>
  <c r="AR64" i="1"/>
  <c r="BT58" i="1"/>
  <c r="BT53" i="1"/>
  <c r="BX54" i="1"/>
  <c r="BT256" i="1"/>
  <c r="BT257" i="1" s="1"/>
  <c r="BT54" i="1"/>
  <c r="AV54" i="1"/>
  <c r="CR158" i="1"/>
  <c r="AE166" i="1"/>
  <c r="AC148" i="1"/>
  <c r="P234" i="1" l="1"/>
  <c r="P235" i="1" s="1"/>
  <c r="Q234" i="1"/>
  <c r="Q235" i="1" s="1"/>
  <c r="BR274" i="1"/>
  <c r="BR275" i="1" s="1"/>
  <c r="BR55" i="1"/>
  <c r="BN136" i="1"/>
  <c r="BN250" i="1"/>
  <c r="BX136" i="1"/>
  <c r="BV64" i="1"/>
  <c r="BV65" i="1"/>
  <c r="AZ54" i="1"/>
  <c r="BH55" i="1"/>
  <c r="BL54" i="1"/>
  <c r="BH53" i="1"/>
  <c r="BH58" i="1"/>
  <c r="BH62" i="1" s="1"/>
  <c r="BH256" i="1"/>
  <c r="BH257" i="1" s="1"/>
  <c r="BH274" i="1"/>
  <c r="BH275" i="1" s="1"/>
  <c r="BH54" i="1"/>
  <c r="AN274" i="1"/>
  <c r="AN275" i="1" s="1"/>
  <c r="AN58" i="1"/>
  <c r="AO250" i="1"/>
  <c r="AN55" i="1"/>
  <c r="AN53" i="1"/>
  <c r="AN256" i="1"/>
  <c r="AN257" i="1" s="1"/>
  <c r="AN250" i="1"/>
  <c r="AR54" i="1"/>
  <c r="AO136" i="1"/>
  <c r="AN136" i="1"/>
  <c r="AO55" i="1"/>
  <c r="AN54" i="1"/>
  <c r="P213" i="1"/>
  <c r="P214" i="1" s="1"/>
  <c r="E234" i="1"/>
  <c r="E235" i="1" s="1"/>
  <c r="O237" i="1"/>
  <c r="F234" i="1"/>
  <c r="F235" i="1" s="1"/>
  <c r="D234" i="1"/>
  <c r="D235" i="1" s="1"/>
  <c r="L237" i="1"/>
  <c r="U234" i="1"/>
  <c r="U235" i="1" s="1"/>
  <c r="S237" i="1"/>
  <c r="T190" i="1"/>
  <c r="R234" i="1"/>
  <c r="R235" i="1" s="1"/>
  <c r="R237" i="1"/>
  <c r="AZ57" i="1"/>
  <c r="AY162" i="1"/>
  <c r="K213" i="1"/>
  <c r="K214" i="1" s="1"/>
  <c r="S213" i="1"/>
  <c r="S214" i="1" s="1"/>
  <c r="AX270" i="1"/>
  <c r="AX268" i="1"/>
  <c r="U213" i="1"/>
  <c r="U214" i="1" s="1"/>
  <c r="O213" i="1"/>
  <c r="O214" i="1" s="1"/>
  <c r="AX189" i="1"/>
  <c r="AX190" i="1" s="1"/>
  <c r="AY136" i="1"/>
  <c r="AY274" i="1"/>
  <c r="AY275" i="1" s="1"/>
  <c r="AZ136" i="1"/>
  <c r="BT136" i="1"/>
  <c r="BK250" i="1"/>
  <c r="Q84" i="1"/>
  <c r="BD250" i="1"/>
  <c r="BC250" i="1"/>
  <c r="BB250" i="1"/>
  <c r="BA250" i="1"/>
  <c r="BS250" i="1"/>
  <c r="BO54" i="1"/>
  <c r="BK54" i="1"/>
  <c r="BX250" i="1"/>
  <c r="BK55" i="1"/>
  <c r="BK53" i="1"/>
  <c r="BL55" i="1"/>
  <c r="BK256" i="1"/>
  <c r="BK257" i="1" s="1"/>
  <c r="BK58" i="1"/>
  <c r="BK62" i="1" s="1"/>
  <c r="BK274" i="1"/>
  <c r="BK275" i="1" s="1"/>
  <c r="BL274" i="1"/>
  <c r="BL275" i="1" s="1"/>
  <c r="AM118" i="1"/>
  <c r="AM119" i="1"/>
  <c r="AM120" i="1"/>
  <c r="AY53" i="1"/>
  <c r="AY256" i="1"/>
  <c r="AY257" i="1" s="1"/>
  <c r="AY58" i="1"/>
  <c r="AY62" i="1" s="1"/>
  <c r="AZ274" i="1"/>
  <c r="AZ275" i="1" s="1"/>
  <c r="AZ55" i="1"/>
  <c r="AP54" i="1"/>
  <c r="AP256" i="1"/>
  <c r="AP257" i="1" s="1"/>
  <c r="BV274" i="1"/>
  <c r="BV275" i="1" s="1"/>
  <c r="BM136" i="1"/>
  <c r="BM250" i="1"/>
  <c r="BU54" i="1"/>
  <c r="BU53" i="1"/>
  <c r="BU256" i="1"/>
  <c r="BU257" i="1" s="1"/>
  <c r="BU58" i="1"/>
  <c r="BU62" i="1" s="1"/>
  <c r="U84" i="1"/>
  <c r="AS250" i="1"/>
  <c r="AS136" i="1"/>
  <c r="BJ55" i="1"/>
  <c r="BJ274" i="1"/>
  <c r="BJ275" i="1" s="1"/>
  <c r="BO53" i="1"/>
  <c r="BO58" i="1"/>
  <c r="BO62" i="1" s="1"/>
  <c r="BO256" i="1"/>
  <c r="BO257" i="1" s="1"/>
  <c r="BP55" i="1"/>
  <c r="BP274" i="1"/>
  <c r="BP275" i="1" s="1"/>
  <c r="AX250" i="1"/>
  <c r="AU256" i="1"/>
  <c r="AU257" i="1" s="1"/>
  <c r="AU53" i="1"/>
  <c r="AU58" i="1"/>
  <c r="AU62" i="1" s="1"/>
  <c r="AY54" i="1"/>
  <c r="AV55" i="1"/>
  <c r="AV274" i="1"/>
  <c r="AV275" i="1" s="1"/>
  <c r="AU54" i="1"/>
  <c r="BC54" i="1"/>
  <c r="V84" i="1"/>
  <c r="BR250" i="1"/>
  <c r="BR136" i="1"/>
  <c r="AX136" i="1"/>
  <c r="AY250" i="1"/>
  <c r="AY55" i="1"/>
  <c r="BV136" i="1"/>
  <c r="BT55" i="1"/>
  <c r="BC136" i="1"/>
  <c r="R84" i="1"/>
  <c r="AP53" i="1"/>
  <c r="BI53" i="1"/>
  <c r="AS53" i="1"/>
  <c r="E237" i="1"/>
  <c r="BI58" i="1"/>
  <c r="AS274" i="1"/>
  <c r="AS275" i="1" s="1"/>
  <c r="BK136" i="1"/>
  <c r="P237" i="1"/>
  <c r="I234" i="1"/>
  <c r="I235" i="1" s="1"/>
  <c r="BL250" i="1"/>
  <c r="BI256" i="1"/>
  <c r="BI257" i="1" s="1"/>
  <c r="AT55" i="1"/>
  <c r="S84" i="1"/>
  <c r="BV55" i="1"/>
  <c r="O234" i="1"/>
  <c r="O235" i="1" s="1"/>
  <c r="T234" i="1"/>
  <c r="T235" i="1" s="1"/>
  <c r="BE54" i="1"/>
  <c r="L234" i="1"/>
  <c r="L235" i="1" s="1"/>
  <c r="AT274" i="1"/>
  <c r="AT275" i="1" s="1"/>
  <c r="AV136" i="1"/>
  <c r="AW54" i="1"/>
  <c r="AZ58" i="1"/>
  <c r="AZ256" i="1"/>
  <c r="AZ257" i="1" s="1"/>
  <c r="AZ53" i="1"/>
  <c r="BD54" i="1"/>
  <c r="C213" i="1"/>
  <c r="C214" i="1" s="1"/>
  <c r="L213" i="1"/>
  <c r="L214" i="1" s="1"/>
  <c r="BB136" i="1"/>
  <c r="AZ250" i="1"/>
  <c r="AS55" i="1"/>
  <c r="AU250" i="1"/>
  <c r="AS54" i="1"/>
  <c r="AT136" i="1"/>
  <c r="AT250" i="1"/>
  <c r="P84" i="1"/>
  <c r="AV250" i="1"/>
  <c r="AU136" i="1"/>
  <c r="BQ55" i="1"/>
  <c r="BQ274" i="1"/>
  <c r="BQ275" i="1" s="1"/>
  <c r="BQ54" i="1"/>
  <c r="BQ250" i="1"/>
  <c r="BQ136" i="1"/>
  <c r="BW250" i="1"/>
  <c r="BU274" i="1"/>
  <c r="BU275" i="1" s="1"/>
  <c r="BU55" i="1"/>
  <c r="BW136" i="1"/>
  <c r="AX54" i="1"/>
  <c r="AW136" i="1"/>
  <c r="AU55" i="1"/>
  <c r="AW250" i="1"/>
  <c r="AU274" i="1"/>
  <c r="AU275" i="1" s="1"/>
  <c r="BA136" i="1"/>
  <c r="BB55" i="1"/>
  <c r="BB274" i="1"/>
  <c r="BB275" i="1" s="1"/>
  <c r="BD136" i="1"/>
  <c r="BI250" i="1"/>
  <c r="BJ136" i="1"/>
  <c r="BI136" i="1"/>
  <c r="T84" i="1"/>
  <c r="BM54" i="1"/>
  <c r="BJ250" i="1"/>
  <c r="BS58" i="1"/>
  <c r="BS53" i="1"/>
  <c r="BS256" i="1"/>
  <c r="BS257" i="1" s="1"/>
  <c r="BS274" i="1"/>
  <c r="BS275" i="1" s="1"/>
  <c r="BV250" i="1"/>
  <c r="BT250" i="1"/>
  <c r="BS136" i="1"/>
  <c r="BS55" i="1"/>
  <c r="BS54" i="1"/>
  <c r="BU136" i="1"/>
  <c r="N213" i="1"/>
  <c r="N214" i="1" s="1"/>
  <c r="M213" i="1"/>
  <c r="M214" i="1" s="1"/>
  <c r="BI54" i="1"/>
  <c r="BE256" i="1"/>
  <c r="BE257" i="1" s="1"/>
  <c r="BE53" i="1"/>
  <c r="BE58" i="1"/>
  <c r="BF55" i="1"/>
  <c r="BE250" i="1"/>
  <c r="BE136" i="1"/>
  <c r="BF136" i="1"/>
  <c r="BF250" i="1"/>
  <c r="BE55" i="1"/>
  <c r="BH250" i="1"/>
  <c r="BH136" i="1"/>
  <c r="BG136" i="1"/>
  <c r="BG250" i="1"/>
  <c r="BE274" i="1"/>
  <c r="BE275" i="1" s="1"/>
  <c r="AR250" i="1"/>
  <c r="AP136" i="1"/>
  <c r="AP55" i="1"/>
  <c r="O84" i="1"/>
  <c r="AR136" i="1"/>
  <c r="AP250" i="1"/>
  <c r="AQ136" i="1"/>
  <c r="AP274" i="1"/>
  <c r="AP275" i="1" s="1"/>
  <c r="AQ250" i="1"/>
  <c r="AW64" i="1"/>
  <c r="AW65" i="1"/>
  <c r="BJ258" i="1"/>
  <c r="BJ66" i="1"/>
  <c r="BJ269" i="1" s="1"/>
  <c r="BJ72" i="1"/>
  <c r="BQ64" i="1"/>
  <c r="BQ65" i="1"/>
  <c r="BF64" i="1"/>
  <c r="BF65" i="1"/>
  <c r="I237" i="1"/>
  <c r="AT256" i="1"/>
  <c r="AT257" i="1" s="1"/>
  <c r="AT53" i="1"/>
  <c r="AT58" i="1"/>
  <c r="AT79" i="1" s="1"/>
  <c r="BA55" i="1"/>
  <c r="BA58" i="1"/>
  <c r="BD79" i="1" s="1"/>
  <c r="BA256" i="1"/>
  <c r="BA257" i="1" s="1"/>
  <c r="BA53" i="1"/>
  <c r="BA274" i="1"/>
  <c r="BA275" i="1" s="1"/>
  <c r="D213" i="1"/>
  <c r="D214" i="1" s="1"/>
  <c r="BI274" i="1"/>
  <c r="BI275" i="1" s="1"/>
  <c r="BI55" i="1"/>
  <c r="J237" i="1"/>
  <c r="J234" i="1"/>
  <c r="J235" i="1" s="1"/>
  <c r="BT274" i="1"/>
  <c r="BT275" i="1" s="1"/>
  <c r="BW54" i="1"/>
  <c r="H213" i="1"/>
  <c r="H214" i="1" s="1"/>
  <c r="G213" i="1"/>
  <c r="G214" i="1" s="1"/>
  <c r="E213" i="1"/>
  <c r="E214" i="1" s="1"/>
  <c r="F213" i="1"/>
  <c r="F214" i="1" s="1"/>
  <c r="H234" i="1"/>
  <c r="H235" i="1" s="1"/>
  <c r="H237" i="1"/>
  <c r="V234" i="1"/>
  <c r="V235" i="1" s="1"/>
  <c r="V237" i="1"/>
  <c r="AQ274" i="1"/>
  <c r="AQ275" i="1" s="1"/>
  <c r="AT54" i="1"/>
  <c r="AQ55" i="1"/>
  <c r="Q213" i="1"/>
  <c r="Q214" i="1" s="1"/>
  <c r="R213" i="1"/>
  <c r="R214" i="1" s="1"/>
  <c r="K237" i="1"/>
  <c r="K234" i="1"/>
  <c r="K235" i="1" s="1"/>
  <c r="BH134" i="1"/>
  <c r="BH135" i="1"/>
  <c r="AV134" i="1"/>
  <c r="AV137" i="1" s="1"/>
  <c r="AV135" i="1"/>
  <c r="AV138" i="1" s="1"/>
  <c r="BT227" i="1"/>
  <c r="BT225" i="1" s="1"/>
  <c r="BS227" i="1"/>
  <c r="BS225" i="1" s="1"/>
  <c r="AP227" i="1"/>
  <c r="AP225" i="1" s="1"/>
  <c r="AO227" i="1"/>
  <c r="AO225" i="1" s="1"/>
  <c r="BB135" i="1"/>
  <c r="BB134" i="1"/>
  <c r="BN135" i="1"/>
  <c r="BN138" i="1" s="1"/>
  <c r="BN134" i="1"/>
  <c r="BN137" i="1" s="1"/>
  <c r="BP134" i="1"/>
  <c r="BP137" i="1" s="1"/>
  <c r="BP135" i="1"/>
  <c r="BP138" i="1" s="1"/>
  <c r="BF135" i="1"/>
  <c r="BF134" i="1"/>
  <c r="BC227" i="1"/>
  <c r="BC225" i="1" s="1"/>
  <c r="BD227" i="1"/>
  <c r="BD225" i="1" s="1"/>
  <c r="AX227" i="1"/>
  <c r="AX225" i="1" s="1"/>
  <c r="AW227" i="1"/>
  <c r="AW225" i="1" s="1"/>
  <c r="BB227" i="1"/>
  <c r="BB225" i="1" s="1"/>
  <c r="BA227" i="1"/>
  <c r="BA225" i="1" s="1"/>
  <c r="BR227" i="1"/>
  <c r="BR225" i="1" s="1"/>
  <c r="BQ227" i="1"/>
  <c r="BQ225" i="1" s="1"/>
  <c r="BH227" i="1"/>
  <c r="BH225" i="1" s="1"/>
  <c r="BG227" i="1"/>
  <c r="BG225" i="1" s="1"/>
  <c r="AR227" i="1"/>
  <c r="AR225" i="1" s="1"/>
  <c r="AQ227" i="1"/>
  <c r="AQ225" i="1" s="1"/>
  <c r="AR213" i="1"/>
  <c r="AV213" i="1"/>
  <c r="BR134" i="1"/>
  <c r="BR137" i="1" s="1"/>
  <c r="BR135" i="1"/>
  <c r="BR138" i="1" s="1"/>
  <c r="BE227" i="1"/>
  <c r="BE225" i="1" s="1"/>
  <c r="BF227" i="1"/>
  <c r="BF225" i="1" s="1"/>
  <c r="AT135" i="1"/>
  <c r="AT134" i="1"/>
  <c r="AN135" i="1"/>
  <c r="AN138" i="1" s="1"/>
  <c r="AN134" i="1"/>
  <c r="AN137" i="1" s="1"/>
  <c r="AT213" i="1"/>
  <c r="AX213" i="1"/>
  <c r="BV227" i="1"/>
  <c r="BV225" i="1" s="1"/>
  <c r="BU227" i="1"/>
  <c r="BU225" i="1" s="1"/>
  <c r="AV227" i="1"/>
  <c r="AV225" i="1" s="1"/>
  <c r="AU227" i="1"/>
  <c r="AU225" i="1" s="1"/>
  <c r="BT135" i="1"/>
  <c r="BT134" i="1"/>
  <c r="BD135" i="1"/>
  <c r="BD134" i="1"/>
  <c r="BO227" i="1"/>
  <c r="BO225" i="1" s="1"/>
  <c r="BP227" i="1"/>
  <c r="BP225" i="1" s="1"/>
  <c r="AX134" i="1"/>
  <c r="AX135" i="1"/>
  <c r="AP134" i="1"/>
  <c r="AP135" i="1"/>
  <c r="AZ134" i="1"/>
  <c r="AZ135" i="1"/>
  <c r="BH213" i="1"/>
  <c r="BD213" i="1"/>
  <c r="BN213" i="1"/>
  <c r="BR213" i="1"/>
  <c r="BB213" i="1"/>
  <c r="BF213" i="1"/>
  <c r="BT213" i="1"/>
  <c r="BX213" i="1"/>
  <c r="BL137" i="1"/>
  <c r="BL138" i="1"/>
  <c r="AP64" i="1"/>
  <c r="AP65" i="1"/>
  <c r="AP67" i="1" s="1"/>
  <c r="AS64" i="1"/>
  <c r="AS65" i="1"/>
  <c r="AS68" i="1" s="1"/>
  <c r="BP64" i="1"/>
  <c r="BP65" i="1"/>
  <c r="BM64" i="1"/>
  <c r="BM65" i="1"/>
  <c r="BD64" i="1"/>
  <c r="BD65" i="1"/>
  <c r="AL138" i="1"/>
  <c r="AL137" i="1"/>
  <c r="AI62" i="1"/>
  <c r="AL79" i="1"/>
  <c r="BC62" i="1"/>
  <c r="BX137" i="1"/>
  <c r="BX138" i="1"/>
  <c r="BR62" i="1"/>
  <c r="AR79" i="1"/>
  <c r="AP79" i="1"/>
  <c r="AO65" i="1"/>
  <c r="AR66" i="1"/>
  <c r="AR269" i="1" s="1"/>
  <c r="AR72" i="1"/>
  <c r="AR258" i="1"/>
  <c r="AX62" i="1"/>
  <c r="BN62" i="1"/>
  <c r="BV66" i="1"/>
  <c r="BV269" i="1" s="1"/>
  <c r="BV72" i="1"/>
  <c r="BV258" i="1"/>
  <c r="BZ67" i="1"/>
  <c r="BH65" i="1"/>
  <c r="BH64" i="1"/>
  <c r="AQ62" i="1"/>
  <c r="BZ79" i="1"/>
  <c r="BW62" i="1"/>
  <c r="BB62" i="1"/>
  <c r="AN79" i="1"/>
  <c r="AN62" i="1"/>
  <c r="AV62" i="1"/>
  <c r="BT62" i="1"/>
  <c r="BY79" i="1"/>
  <c r="BZ137" i="1"/>
  <c r="BZ138" i="1"/>
  <c r="BG62" i="1"/>
  <c r="CR162" i="1"/>
  <c r="CS56" i="1"/>
  <c r="AX137" i="1" l="1"/>
  <c r="BO65" i="1"/>
  <c r="BO64" i="1"/>
  <c r="AU65" i="1"/>
  <c r="AU64" i="1"/>
  <c r="BR79" i="1"/>
  <c r="BV138" i="1"/>
  <c r="BP79" i="1"/>
  <c r="AX79" i="1"/>
  <c r="AX138" i="1"/>
  <c r="BV137" i="1"/>
  <c r="BL79" i="1"/>
  <c r="AY227" i="1"/>
  <c r="AY225" i="1" s="1"/>
  <c r="AZ227" i="1"/>
  <c r="AZ225" i="1" s="1"/>
  <c r="BF138" i="1"/>
  <c r="BF137" i="1"/>
  <c r="BT138" i="1"/>
  <c r="BT137" i="1"/>
  <c r="AZ137" i="1"/>
  <c r="AZ138" i="1"/>
  <c r="BK65" i="1"/>
  <c r="BK64" i="1"/>
  <c r="AY64" i="1"/>
  <c r="AY65" i="1"/>
  <c r="BU65" i="1"/>
  <c r="BY67" i="1" s="1"/>
  <c r="BU64" i="1"/>
  <c r="BX79" i="1"/>
  <c r="BN79" i="1"/>
  <c r="BJ79" i="1"/>
  <c r="BH138" i="1"/>
  <c r="BI62" i="1"/>
  <c r="BB138" i="1"/>
  <c r="BH137" i="1"/>
  <c r="BB137" i="1"/>
  <c r="AT138" i="1"/>
  <c r="AT137" i="1"/>
  <c r="BD138" i="1"/>
  <c r="BD137" i="1"/>
  <c r="AP137" i="1"/>
  <c r="AP138" i="1"/>
  <c r="BQ68" i="1"/>
  <c r="AZ62" i="1"/>
  <c r="AZ79" i="1"/>
  <c r="BJ137" i="1"/>
  <c r="BJ138" i="1"/>
  <c r="BS62" i="1"/>
  <c r="BV79" i="1"/>
  <c r="BT79" i="1"/>
  <c r="BE62" i="1"/>
  <c r="BF79" i="1"/>
  <c r="BH79" i="1"/>
  <c r="AW72" i="1"/>
  <c r="AW258" i="1"/>
  <c r="AW66" i="1"/>
  <c r="AW269" i="1" s="1"/>
  <c r="BJ76" i="1"/>
  <c r="BJ217" i="1"/>
  <c r="BJ219" i="1" s="1"/>
  <c r="BJ90" i="1"/>
  <c r="BQ66" i="1"/>
  <c r="BQ269" i="1" s="1"/>
  <c r="BQ72" i="1"/>
  <c r="BQ258" i="1"/>
  <c r="BF258" i="1"/>
  <c r="BF66" i="1"/>
  <c r="BF269" i="1" s="1"/>
  <c r="BF72" i="1"/>
  <c r="BJ67" i="1"/>
  <c r="AT62" i="1"/>
  <c r="AV79" i="1"/>
  <c r="BA62" i="1"/>
  <c r="BB79" i="1"/>
  <c r="AP258" i="1"/>
  <c r="AP72" i="1"/>
  <c r="AP66" i="1"/>
  <c r="AP269" i="1" s="1"/>
  <c r="AS72" i="1"/>
  <c r="AS66" i="1"/>
  <c r="AS269" i="1" s="1"/>
  <c r="AS258" i="1"/>
  <c r="AW67" i="1"/>
  <c r="BP72" i="1"/>
  <c r="BP67" i="1"/>
  <c r="BP258" i="1"/>
  <c r="BP66" i="1"/>
  <c r="BP269" i="1" s="1"/>
  <c r="BM72" i="1"/>
  <c r="BM68" i="1"/>
  <c r="BM258" i="1"/>
  <c r="BQ67" i="1"/>
  <c r="BM66" i="1"/>
  <c r="BM269" i="1" s="1"/>
  <c r="BC65" i="1"/>
  <c r="BC64" i="1"/>
  <c r="BD72" i="1"/>
  <c r="BD258" i="1"/>
  <c r="BD66" i="1"/>
  <c r="BD269" i="1" s="1"/>
  <c r="AI65" i="1"/>
  <c r="AI64" i="1"/>
  <c r="AP68" i="1"/>
  <c r="AO72" i="1"/>
  <c r="BR65" i="1"/>
  <c r="BR64" i="1"/>
  <c r="AO67" i="1"/>
  <c r="BH67" i="1"/>
  <c r="AO258" i="1"/>
  <c r="AS67" i="1"/>
  <c r="AO66" i="1"/>
  <c r="AO269" i="1" s="1"/>
  <c r="BW65" i="1"/>
  <c r="BW64" i="1"/>
  <c r="BN65" i="1"/>
  <c r="BN64" i="1"/>
  <c r="AQ65" i="1"/>
  <c r="AQ64" i="1"/>
  <c r="AR76" i="1"/>
  <c r="AR217" i="1"/>
  <c r="AR219" i="1" s="1"/>
  <c r="AR90" i="1"/>
  <c r="BT65" i="1"/>
  <c r="BT64" i="1"/>
  <c r="AV64" i="1"/>
  <c r="AV65" i="1"/>
  <c r="AN65" i="1"/>
  <c r="AN64" i="1"/>
  <c r="BH72" i="1"/>
  <c r="BL67" i="1"/>
  <c r="BH258" i="1"/>
  <c r="BH66" i="1"/>
  <c r="BH269" i="1" s="1"/>
  <c r="AX65" i="1"/>
  <c r="AX64" i="1"/>
  <c r="BV217" i="1"/>
  <c r="BV219" i="1" s="1"/>
  <c r="BV90" i="1"/>
  <c r="BV76" i="1"/>
  <c r="BG64" i="1"/>
  <c r="BG65" i="1"/>
  <c r="BB65" i="1"/>
  <c r="BB64" i="1"/>
  <c r="CS218" i="1"/>
  <c r="CS156" i="1"/>
  <c r="CR227" i="1"/>
  <c r="CR225" i="1" s="1"/>
  <c r="AC149" i="1"/>
  <c r="AC152" i="1" s="1"/>
  <c r="AC273" i="1" s="1"/>
  <c r="BO258" i="1" l="1"/>
  <c r="BO66" i="1"/>
  <c r="BO269" i="1" s="1"/>
  <c r="BO72" i="1"/>
  <c r="BP68" i="1"/>
  <c r="AU66" i="1"/>
  <c r="AU269" i="1" s="1"/>
  <c r="AU258" i="1"/>
  <c r="AU72" i="1"/>
  <c r="BL68" i="1"/>
  <c r="BK72" i="1"/>
  <c r="BK66" i="1"/>
  <c r="BK269" i="1" s="1"/>
  <c r="AY258" i="1"/>
  <c r="AY66" i="1"/>
  <c r="AY269" i="1" s="1"/>
  <c r="AY72" i="1"/>
  <c r="BU66" i="1"/>
  <c r="BU269" i="1" s="1"/>
  <c r="BU258" i="1"/>
  <c r="BU72" i="1"/>
  <c r="BK68" i="1"/>
  <c r="BK258" i="1"/>
  <c r="BV68" i="1"/>
  <c r="BU67" i="1"/>
  <c r="BI65" i="1"/>
  <c r="BI68" i="1" s="1"/>
  <c r="BI64" i="1"/>
  <c r="BM251" i="1"/>
  <c r="BO67" i="1"/>
  <c r="AY67" i="1"/>
  <c r="AZ65" i="1"/>
  <c r="AZ64" i="1"/>
  <c r="BS65" i="1"/>
  <c r="BS64" i="1"/>
  <c r="BE65" i="1"/>
  <c r="BE64" i="1"/>
  <c r="AW217" i="1"/>
  <c r="AW219" i="1" s="1"/>
  <c r="AW90" i="1"/>
  <c r="AW143" i="1"/>
  <c r="AW144" i="1" s="1"/>
  <c r="AW153" i="1" s="1"/>
  <c r="AW79" i="1" s="1"/>
  <c r="AW76" i="1"/>
  <c r="BQ217" i="1"/>
  <c r="BQ219" i="1" s="1"/>
  <c r="BQ143" i="1"/>
  <c r="BQ144" i="1" s="1"/>
  <c r="BQ90" i="1"/>
  <c r="BQ76" i="1"/>
  <c r="BF76" i="1"/>
  <c r="BF217" i="1"/>
  <c r="BF219" i="1" s="1"/>
  <c r="BF90" i="1"/>
  <c r="AT64" i="1"/>
  <c r="AT65" i="1"/>
  <c r="BA64" i="1"/>
  <c r="BA65" i="1"/>
  <c r="AP217" i="1"/>
  <c r="AP219" i="1" s="1"/>
  <c r="AP90" i="1"/>
  <c r="AP76" i="1"/>
  <c r="AS76" i="1"/>
  <c r="AS143" i="1"/>
  <c r="AS144" i="1" s="1"/>
  <c r="AS217" i="1"/>
  <c r="AS219" i="1" s="1"/>
  <c r="AS90" i="1"/>
  <c r="BM90" i="1"/>
  <c r="BM76" i="1"/>
  <c r="BP76" i="1"/>
  <c r="BP217" i="1"/>
  <c r="BP219" i="1" s="1"/>
  <c r="BP90" i="1"/>
  <c r="BM143" i="1"/>
  <c r="BM144" i="1" s="1"/>
  <c r="BM217" i="1"/>
  <c r="BM219" i="1" s="1"/>
  <c r="BD68" i="1"/>
  <c r="BC67" i="1"/>
  <c r="BC72" i="1"/>
  <c r="BC258" i="1"/>
  <c r="BC66" i="1"/>
  <c r="BC269" i="1" s="1"/>
  <c r="BD76" i="1"/>
  <c r="BD217" i="1"/>
  <c r="BD219" i="1" s="1"/>
  <c r="BD90" i="1"/>
  <c r="AI66" i="1"/>
  <c r="AI258" i="1"/>
  <c r="AJ68" i="1"/>
  <c r="AM67" i="1"/>
  <c r="AI72" i="1"/>
  <c r="AL251" i="1"/>
  <c r="AO217" i="1"/>
  <c r="AO219" i="1" s="1"/>
  <c r="AO90" i="1"/>
  <c r="AO143" i="1"/>
  <c r="AO144" i="1" s="1"/>
  <c r="AO76" i="1"/>
  <c r="BR66" i="1"/>
  <c r="BR269" i="1" s="1"/>
  <c r="BR258" i="1"/>
  <c r="BR72" i="1"/>
  <c r="BV67" i="1"/>
  <c r="BR68" i="1"/>
  <c r="BR251" i="1"/>
  <c r="AN66" i="1"/>
  <c r="AN269" i="1" s="1"/>
  <c r="AQ251" i="1"/>
  <c r="AO68" i="1"/>
  <c r="AN251" i="1"/>
  <c r="AN67" i="1"/>
  <c r="AP251" i="1"/>
  <c r="AR67" i="1"/>
  <c r="AO251" i="1"/>
  <c r="AN72" i="1"/>
  <c r="AN68" i="1"/>
  <c r="AN258" i="1"/>
  <c r="BX67" i="1"/>
  <c r="BT66" i="1"/>
  <c r="BT269" i="1" s="1"/>
  <c r="BT258" i="1"/>
  <c r="BT72" i="1"/>
  <c r="BU68" i="1"/>
  <c r="BT67" i="1"/>
  <c r="BW251" i="1"/>
  <c r="AV66" i="1"/>
  <c r="AV269" i="1" s="1"/>
  <c r="AV258" i="1"/>
  <c r="AV72" i="1"/>
  <c r="AY251" i="1"/>
  <c r="AW68" i="1"/>
  <c r="AV67" i="1"/>
  <c r="AV68" i="1"/>
  <c r="AX251" i="1"/>
  <c r="AR68" i="1"/>
  <c r="AQ67" i="1"/>
  <c r="AQ258" i="1"/>
  <c r="AQ72" i="1"/>
  <c r="AQ66" i="1"/>
  <c r="AQ269" i="1" s="1"/>
  <c r="AQ68" i="1"/>
  <c r="AU67" i="1"/>
  <c r="AS251" i="1"/>
  <c r="AR251" i="1"/>
  <c r="BN258" i="1"/>
  <c r="BR67" i="1"/>
  <c r="BN72" i="1"/>
  <c r="BN67" i="1"/>
  <c r="BN66" i="1"/>
  <c r="BN269" i="1" s="1"/>
  <c r="BO68" i="1"/>
  <c r="BN251" i="1"/>
  <c r="BQ251" i="1"/>
  <c r="BN68" i="1"/>
  <c r="BO251" i="1"/>
  <c r="BP251" i="1"/>
  <c r="BB66" i="1"/>
  <c r="BB269" i="1" s="1"/>
  <c r="BF67" i="1"/>
  <c r="BB258" i="1"/>
  <c r="BB72" i="1"/>
  <c r="BC68" i="1"/>
  <c r="BB67" i="1"/>
  <c r="AX72" i="1"/>
  <c r="AX258" i="1"/>
  <c r="AX66" i="1"/>
  <c r="AX269" i="1" s="1"/>
  <c r="AX68" i="1"/>
  <c r="AY68" i="1"/>
  <c r="BH76" i="1"/>
  <c r="BH90" i="1"/>
  <c r="BH217" i="1"/>
  <c r="BH219" i="1" s="1"/>
  <c r="BK67" i="1"/>
  <c r="BG72" i="1"/>
  <c r="BG67" i="1"/>
  <c r="BG66" i="1"/>
  <c r="BG269" i="1" s="1"/>
  <c r="BH68" i="1"/>
  <c r="BG258" i="1"/>
  <c r="BG68" i="1"/>
  <c r="BX251" i="1"/>
  <c r="BW258" i="1"/>
  <c r="BW68" i="1"/>
  <c r="BX68" i="1"/>
  <c r="BW72" i="1"/>
  <c r="X85" i="1"/>
  <c r="BY251" i="1"/>
  <c r="CA67" i="1"/>
  <c r="BW66" i="1"/>
  <c r="BW269" i="1" s="1"/>
  <c r="BZ251" i="1"/>
  <c r="CS158" i="1"/>
  <c r="AC230" i="1"/>
  <c r="CA250" i="1"/>
  <c r="CB250" i="1"/>
  <c r="BU250" i="1"/>
  <c r="BO76" i="1" l="1"/>
  <c r="BO90" i="1"/>
  <c r="BO217" i="1"/>
  <c r="BO219" i="1" s="1"/>
  <c r="BO143" i="1"/>
  <c r="BO144" i="1" s="1"/>
  <c r="AU76" i="1"/>
  <c r="AU90" i="1"/>
  <c r="AU217" i="1"/>
  <c r="AU219" i="1" s="1"/>
  <c r="AU143" i="1"/>
  <c r="AU144" i="1" s="1"/>
  <c r="BK76" i="1"/>
  <c r="BK217" i="1"/>
  <c r="BK219" i="1" s="1"/>
  <c r="BK143" i="1"/>
  <c r="BK144" i="1" s="1"/>
  <c r="BK90" i="1"/>
  <c r="BU143" i="1"/>
  <c r="BU144" i="1" s="1"/>
  <c r="BU76" i="1"/>
  <c r="BU217" i="1"/>
  <c r="BU219" i="1" s="1"/>
  <c r="BU90" i="1"/>
  <c r="AY217" i="1"/>
  <c r="AY219" i="1" s="1"/>
  <c r="AY90" i="1"/>
  <c r="AY143" i="1"/>
  <c r="AY144" i="1" s="1"/>
  <c r="AY76" i="1"/>
  <c r="BK251" i="1"/>
  <c r="BM67" i="1"/>
  <c r="BL251" i="1"/>
  <c r="BI72" i="1"/>
  <c r="BI258" i="1"/>
  <c r="BJ68" i="1"/>
  <c r="BI66" i="1"/>
  <c r="BI269" i="1" s="1"/>
  <c r="BJ251" i="1"/>
  <c r="BI251" i="1"/>
  <c r="AW231" i="1"/>
  <c r="AW229" i="1" s="1"/>
  <c r="AW116" i="1"/>
  <c r="BD67" i="1"/>
  <c r="AZ68" i="1"/>
  <c r="AZ66" i="1"/>
  <c r="AZ269" i="1" s="1"/>
  <c r="AZ72" i="1"/>
  <c r="AZ78" i="1" s="1"/>
  <c r="AZ258" i="1"/>
  <c r="BS72" i="1"/>
  <c r="BV78" i="1" s="1"/>
  <c r="BS66" i="1"/>
  <c r="BS269" i="1" s="1"/>
  <c r="BS258" i="1"/>
  <c r="BW67" i="1"/>
  <c r="BS67" i="1"/>
  <c r="BE68" i="1"/>
  <c r="BF68" i="1"/>
  <c r="BE258" i="1"/>
  <c r="BE72" i="1"/>
  <c r="S85" i="1" s="1"/>
  <c r="BE66" i="1"/>
  <c r="BE269" i="1" s="1"/>
  <c r="BR231" i="1"/>
  <c r="BR229" i="1" s="1"/>
  <c r="BQ78" i="1"/>
  <c r="AZ67" i="1"/>
  <c r="BB251" i="1"/>
  <c r="BC251" i="1"/>
  <c r="AZ251" i="1"/>
  <c r="BA251" i="1"/>
  <c r="BS68" i="1"/>
  <c r="BS251" i="1"/>
  <c r="BT68" i="1"/>
  <c r="BT251" i="1"/>
  <c r="BV251" i="1"/>
  <c r="BI67" i="1"/>
  <c r="BF251" i="1"/>
  <c r="BE251" i="1"/>
  <c r="BG251" i="1"/>
  <c r="BH251" i="1"/>
  <c r="BQ116" i="1"/>
  <c r="BQ231" i="1"/>
  <c r="BQ229" i="1" s="1"/>
  <c r="BQ153" i="1"/>
  <c r="BQ79" i="1" s="1"/>
  <c r="AW251" i="1"/>
  <c r="AV251" i="1"/>
  <c r="AT251" i="1"/>
  <c r="AX67" i="1"/>
  <c r="BD251" i="1"/>
  <c r="BB68" i="1"/>
  <c r="AU68" i="1"/>
  <c r="AT68" i="1"/>
  <c r="AU251" i="1"/>
  <c r="AT67" i="1"/>
  <c r="AT66" i="1"/>
  <c r="AT269" i="1" s="1"/>
  <c r="AT258" i="1"/>
  <c r="AT72" i="1"/>
  <c r="AT231" i="1" s="1"/>
  <c r="AT229" i="1" s="1"/>
  <c r="BE67" i="1"/>
  <c r="BA67" i="1"/>
  <c r="BA72" i="1"/>
  <c r="BA68" i="1"/>
  <c r="BA66" i="1"/>
  <c r="BA269" i="1" s="1"/>
  <c r="BA258" i="1"/>
  <c r="AS231" i="1"/>
  <c r="AS229" i="1" s="1"/>
  <c r="AS116" i="1"/>
  <c r="AS153" i="1"/>
  <c r="AS79" i="1" s="1"/>
  <c r="AO78" i="1"/>
  <c r="BL78" i="1"/>
  <c r="BI76" i="1"/>
  <c r="BI217" i="1"/>
  <c r="BI219" i="1" s="1"/>
  <c r="BM78" i="1"/>
  <c r="BM231" i="1"/>
  <c r="BM229" i="1" s="1"/>
  <c r="BM153" i="1"/>
  <c r="BM79" i="1" s="1"/>
  <c r="BM116" i="1"/>
  <c r="AX231" i="1"/>
  <c r="AX229" i="1" s="1"/>
  <c r="BC90" i="1"/>
  <c r="BC143" i="1"/>
  <c r="BC144" i="1" s="1"/>
  <c r="BC217" i="1"/>
  <c r="BC219" i="1" s="1"/>
  <c r="BC76" i="1"/>
  <c r="BO231" i="1"/>
  <c r="BO229" i="1" s="1"/>
  <c r="BO153" i="1"/>
  <c r="BO79" i="1" s="1"/>
  <c r="BP231" i="1"/>
  <c r="BP229" i="1" s="1"/>
  <c r="BO116" i="1"/>
  <c r="AI90" i="1"/>
  <c r="AL93" i="1" s="1"/>
  <c r="AI76" i="1"/>
  <c r="AL78" i="1"/>
  <c r="N85" i="1"/>
  <c r="AI231" i="1"/>
  <c r="AI229" i="1" s="1"/>
  <c r="AI217" i="1"/>
  <c r="AI219" i="1" s="1"/>
  <c r="AI223" i="1" s="1"/>
  <c r="AI237" i="1" s="1"/>
  <c r="AU116" i="1"/>
  <c r="AU231" i="1"/>
  <c r="AU229" i="1" s="1"/>
  <c r="AU153" i="1"/>
  <c r="AU79" i="1" s="1"/>
  <c r="AP231" i="1"/>
  <c r="AP229" i="1" s="1"/>
  <c r="AO116" i="1"/>
  <c r="AO153" i="1"/>
  <c r="AO79" i="1" s="1"/>
  <c r="AO231" i="1"/>
  <c r="AO229" i="1" s="1"/>
  <c r="AV231" i="1"/>
  <c r="AV229" i="1" s="1"/>
  <c r="BR76" i="1"/>
  <c r="BR217" i="1"/>
  <c r="BR219" i="1" s="1"/>
  <c r="BR90" i="1"/>
  <c r="BR78" i="1"/>
  <c r="V85" i="1"/>
  <c r="BO78" i="1"/>
  <c r="BN231" i="1"/>
  <c r="BN229" i="1" s="1"/>
  <c r="BX78" i="1"/>
  <c r="BW143" i="1"/>
  <c r="BW144" i="1" s="1"/>
  <c r="BY78" i="1"/>
  <c r="BW217" i="1"/>
  <c r="BW219" i="1" s="1"/>
  <c r="BW76" i="1"/>
  <c r="BZ78" i="1"/>
  <c r="BW90" i="1"/>
  <c r="BN76" i="1"/>
  <c r="BN90" i="1"/>
  <c r="BN217" i="1"/>
  <c r="BN219" i="1" s="1"/>
  <c r="BN78" i="1"/>
  <c r="U85" i="1"/>
  <c r="BP78" i="1"/>
  <c r="AV217" i="1"/>
  <c r="AV219" i="1" s="1"/>
  <c r="AV76" i="1"/>
  <c r="AV90" i="1"/>
  <c r="Q85" i="1"/>
  <c r="AX78" i="1"/>
  <c r="BT217" i="1"/>
  <c r="BT219" i="1" s="1"/>
  <c r="BT76" i="1"/>
  <c r="BT90" i="1"/>
  <c r="AX76" i="1"/>
  <c r="AX90" i="1"/>
  <c r="AX217" i="1"/>
  <c r="AX219" i="1" s="1"/>
  <c r="BB90" i="1"/>
  <c r="BB76" i="1"/>
  <c r="BB217" i="1"/>
  <c r="BB219" i="1" s="1"/>
  <c r="AQ143" i="1"/>
  <c r="AQ144" i="1" s="1"/>
  <c r="AQ217" i="1"/>
  <c r="AQ219" i="1" s="1"/>
  <c r="AQ76" i="1"/>
  <c r="AQ90" i="1"/>
  <c r="AS78" i="1"/>
  <c r="AR78" i="1"/>
  <c r="BG76" i="1"/>
  <c r="BG90" i="1"/>
  <c r="BG143" i="1"/>
  <c r="BG144" i="1" s="1"/>
  <c r="BG217" i="1"/>
  <c r="BG219" i="1" s="1"/>
  <c r="AN76" i="1"/>
  <c r="AP78" i="1"/>
  <c r="AN90" i="1"/>
  <c r="AN217" i="1"/>
  <c r="AN219" i="1" s="1"/>
  <c r="AN78" i="1"/>
  <c r="O85" i="1"/>
  <c r="AN231" i="1"/>
  <c r="AN229" i="1" s="1"/>
  <c r="CS162" i="1"/>
  <c r="CT56" i="1"/>
  <c r="AD148" i="1"/>
  <c r="W83" i="1"/>
  <c r="BI90" i="1" l="1"/>
  <c r="BI143" i="1"/>
  <c r="BI144" i="1" s="1"/>
  <c r="BM93" i="1"/>
  <c r="BI113" i="1" s="1"/>
  <c r="BV231" i="1"/>
  <c r="BV229" i="1" s="1"/>
  <c r="AY116" i="1"/>
  <c r="AY153" i="1"/>
  <c r="AY79" i="1" s="1"/>
  <c r="BK78" i="1"/>
  <c r="BK116" i="1"/>
  <c r="BL231" i="1"/>
  <c r="BL229" i="1" s="1"/>
  <c r="BK231" i="1"/>
  <c r="BK229" i="1" s="1"/>
  <c r="BK153" i="1"/>
  <c r="BK79" i="1" s="1"/>
  <c r="BU231" i="1"/>
  <c r="BU229" i="1" s="1"/>
  <c r="BU116" i="1"/>
  <c r="BU153" i="1"/>
  <c r="BU79" i="1" s="1"/>
  <c r="AY231" i="1"/>
  <c r="AY229" i="1" s="1"/>
  <c r="AZ231" i="1"/>
  <c r="AZ229" i="1" s="1"/>
  <c r="AY78" i="1"/>
  <c r="BU78" i="1"/>
  <c r="AV78" i="1"/>
  <c r="BB78" i="1"/>
  <c r="R85" i="1"/>
  <c r="BD78" i="1"/>
  <c r="BJ78" i="1"/>
  <c r="T85" i="1"/>
  <c r="AW119" i="1"/>
  <c r="AW118" i="1"/>
  <c r="AW120" i="1"/>
  <c r="P85" i="1"/>
  <c r="AT78" i="1"/>
  <c r="AU78" i="1"/>
  <c r="BT78" i="1"/>
  <c r="BH78" i="1"/>
  <c r="BF78" i="1"/>
  <c r="AW78" i="1"/>
  <c r="BQ118" i="1"/>
  <c r="BQ119" i="1"/>
  <c r="BQ120" i="1"/>
  <c r="AZ217" i="1"/>
  <c r="AZ219" i="1" s="1"/>
  <c r="AZ76" i="1"/>
  <c r="AZ90" i="1"/>
  <c r="AZ93" i="1" s="1"/>
  <c r="BS90" i="1"/>
  <c r="BT93" i="1" s="1"/>
  <c r="BS76" i="1"/>
  <c r="BS217" i="1"/>
  <c r="BS219" i="1" s="1"/>
  <c r="BS143" i="1"/>
  <c r="BS144" i="1" s="1"/>
  <c r="BE143" i="1"/>
  <c r="BE144" i="1" s="1"/>
  <c r="BE76" i="1"/>
  <c r="BE217" i="1"/>
  <c r="BE219" i="1" s="1"/>
  <c r="BE90" i="1"/>
  <c r="BF93" i="1" s="1"/>
  <c r="AT76" i="1"/>
  <c r="AT90" i="1"/>
  <c r="AT217" i="1"/>
  <c r="AT219" i="1" s="1"/>
  <c r="BA143" i="1"/>
  <c r="BA144" i="1" s="1"/>
  <c r="BA217" i="1"/>
  <c r="BA219" i="1" s="1"/>
  <c r="BA76" i="1"/>
  <c r="BA90" i="1"/>
  <c r="BM111" i="1"/>
  <c r="BM110" i="1"/>
  <c r="BK118" i="1"/>
  <c r="BK119" i="1"/>
  <c r="BU119" i="1"/>
  <c r="AY118" i="1"/>
  <c r="AY119" i="1"/>
  <c r="AY120" i="1"/>
  <c r="BL93" i="1"/>
  <c r="BK93" i="1"/>
  <c r="BR93" i="1"/>
  <c r="BR110" i="1" s="1"/>
  <c r="AS119" i="1"/>
  <c r="AS120" i="1"/>
  <c r="AS118" i="1"/>
  <c r="BI116" i="1"/>
  <c r="BI153" i="1"/>
  <c r="BI79" i="1" s="1"/>
  <c r="BI231" i="1"/>
  <c r="BI229" i="1" s="1"/>
  <c r="BI78" i="1"/>
  <c r="BJ231" i="1"/>
  <c r="BJ229" i="1" s="1"/>
  <c r="AI234" i="1"/>
  <c r="AI235" i="1" s="1"/>
  <c r="BM119" i="1"/>
  <c r="BM120" i="1"/>
  <c r="BM118" i="1"/>
  <c r="BC231" i="1"/>
  <c r="BC229" i="1" s="1"/>
  <c r="BC153" i="1"/>
  <c r="BC79" i="1" s="1"/>
  <c r="BC116" i="1"/>
  <c r="BC78" i="1"/>
  <c r="BD231" i="1"/>
  <c r="BD229" i="1" s="1"/>
  <c r="BO118" i="1"/>
  <c r="BO119" i="1"/>
  <c r="BO120" i="1"/>
  <c r="AL109" i="1"/>
  <c r="AL110" i="1"/>
  <c r="AL111" i="1"/>
  <c r="AU119" i="1"/>
  <c r="AU120" i="1"/>
  <c r="AU118" i="1"/>
  <c r="AO120" i="1"/>
  <c r="AO118" i="1"/>
  <c r="AO119" i="1"/>
  <c r="AY93" i="1"/>
  <c r="AY110" i="1" s="1"/>
  <c r="AX93" i="1"/>
  <c r="AR93" i="1"/>
  <c r="AS93" i="1"/>
  <c r="BQ93" i="1"/>
  <c r="BO93" i="1"/>
  <c r="BN93" i="1"/>
  <c r="BP93" i="1"/>
  <c r="AQ93" i="1"/>
  <c r="AN93" i="1"/>
  <c r="AP93" i="1"/>
  <c r="AO93" i="1"/>
  <c r="BJ93" i="1"/>
  <c r="BF113" i="1" s="1"/>
  <c r="BI93" i="1"/>
  <c r="BZ93" i="1"/>
  <c r="BX93" i="1"/>
  <c r="BY93" i="1"/>
  <c r="BW93" i="1"/>
  <c r="BG231" i="1"/>
  <c r="BG229" i="1" s="1"/>
  <c r="BG153" i="1"/>
  <c r="BG79" i="1" s="1"/>
  <c r="BG116" i="1"/>
  <c r="BG78" i="1"/>
  <c r="BH231" i="1"/>
  <c r="BH229" i="1" s="1"/>
  <c r="AQ153" i="1"/>
  <c r="AQ79" i="1" s="1"/>
  <c r="AQ231" i="1"/>
  <c r="AQ229" i="1" s="1"/>
  <c r="AQ116" i="1"/>
  <c r="AR231" i="1"/>
  <c r="AR229" i="1" s="1"/>
  <c r="AQ78" i="1"/>
  <c r="BW231" i="1"/>
  <c r="BW229" i="1" s="1"/>
  <c r="BX231" i="1"/>
  <c r="BX229" i="1" s="1"/>
  <c r="BW153" i="1"/>
  <c r="BW79" i="1" s="1"/>
  <c r="BW78" i="1"/>
  <c r="BW116" i="1"/>
  <c r="AC56" i="1"/>
  <c r="CT218" i="1"/>
  <c r="CT156" i="1"/>
  <c r="CS227" i="1"/>
  <c r="CS225" i="1" s="1"/>
  <c r="W84" i="1"/>
  <c r="BK120" i="1" l="1"/>
  <c r="BU118" i="1"/>
  <c r="BU120" i="1"/>
  <c r="BM109" i="1"/>
  <c r="BB93" i="1"/>
  <c r="BD93" i="1"/>
  <c r="BC93" i="1"/>
  <c r="BS93" i="1"/>
  <c r="BS109" i="1" s="1"/>
  <c r="BE93" i="1"/>
  <c r="BE110" i="1" s="1"/>
  <c r="BA93" i="1"/>
  <c r="BA111" i="1" s="1"/>
  <c r="BH93" i="1"/>
  <c r="BL94" i="1" s="1"/>
  <c r="BG93" i="1"/>
  <c r="BC113" i="1" s="1"/>
  <c r="BS78" i="1"/>
  <c r="BS231" i="1"/>
  <c r="BS229" i="1" s="1"/>
  <c r="BS153" i="1"/>
  <c r="BS79" i="1" s="1"/>
  <c r="BS116" i="1"/>
  <c r="BT231" i="1"/>
  <c r="BT229" i="1" s="1"/>
  <c r="BE78" i="1"/>
  <c r="BE231" i="1"/>
  <c r="BE229" i="1" s="1"/>
  <c r="BE153" i="1"/>
  <c r="BE79" i="1" s="1"/>
  <c r="BE116" i="1"/>
  <c r="BF231" i="1"/>
  <c r="BF229" i="1" s="1"/>
  <c r="BV93" i="1"/>
  <c r="BU93" i="1"/>
  <c r="BB113" i="1"/>
  <c r="BF109" i="1"/>
  <c r="BF111" i="1"/>
  <c r="BF110" i="1"/>
  <c r="AU93" i="1"/>
  <c r="AQ113" i="1" s="1"/>
  <c r="AV93" i="1"/>
  <c r="AW93" i="1"/>
  <c r="AW94" i="1" s="1"/>
  <c r="AT93" i="1"/>
  <c r="BA78" i="1"/>
  <c r="BA153" i="1"/>
  <c r="BA79" i="1" s="1"/>
  <c r="BA231" i="1"/>
  <c r="BA229" i="1" s="1"/>
  <c r="BA116" i="1"/>
  <c r="BB231" i="1"/>
  <c r="BB229" i="1" s="1"/>
  <c r="BL109" i="1"/>
  <c r="BL110" i="1"/>
  <c r="BN113" i="1"/>
  <c r="BR109" i="1"/>
  <c r="BR111" i="1"/>
  <c r="BP113" i="1"/>
  <c r="BT111" i="1"/>
  <c r="BT109" i="1"/>
  <c r="BT110" i="1"/>
  <c r="BH113" i="1"/>
  <c r="BL111" i="1"/>
  <c r="BK109" i="1"/>
  <c r="BK110" i="1"/>
  <c r="BK111" i="1"/>
  <c r="BG113" i="1"/>
  <c r="BT94" i="1"/>
  <c r="BV113" i="1"/>
  <c r="BI119" i="1"/>
  <c r="BI120" i="1"/>
  <c r="BI118" i="1"/>
  <c r="BW109" i="1"/>
  <c r="BC119" i="1"/>
  <c r="BC118" i="1"/>
  <c r="BC120" i="1"/>
  <c r="BQ110" i="1"/>
  <c r="BM113" i="1"/>
  <c r="AQ110" i="1"/>
  <c r="AQ109" i="1"/>
  <c r="CD94" i="1"/>
  <c r="BZ111" i="1"/>
  <c r="BX110" i="1"/>
  <c r="BT113" i="1"/>
  <c r="BX111" i="1"/>
  <c r="CB94" i="1"/>
  <c r="BX109" i="1"/>
  <c r="AN111" i="1"/>
  <c r="AR94" i="1"/>
  <c r="AN110" i="1"/>
  <c r="AN109" i="1"/>
  <c r="BO109" i="1"/>
  <c r="BK113" i="1"/>
  <c r="BO110" i="1"/>
  <c r="BO94" i="1"/>
  <c r="BO111" i="1"/>
  <c r="CA94" i="1"/>
  <c r="BS113" i="1"/>
  <c r="BW111" i="1"/>
  <c r="BJ110" i="1"/>
  <c r="BJ94" i="1"/>
  <c r="BJ109" i="1"/>
  <c r="AQ94" i="1"/>
  <c r="AQ111" i="1"/>
  <c r="BQ109" i="1"/>
  <c r="BQ94" i="1"/>
  <c r="BQ111" i="1"/>
  <c r="AW109" i="1"/>
  <c r="AW110" i="1"/>
  <c r="AS113" i="1"/>
  <c r="AW111" i="1"/>
  <c r="AV113" i="1"/>
  <c r="AZ111" i="1"/>
  <c r="AZ110" i="1"/>
  <c r="AZ109" i="1"/>
  <c r="AY111" i="1"/>
  <c r="AU113" i="1"/>
  <c r="BJ111" i="1"/>
  <c r="BW110" i="1"/>
  <c r="AM113" i="1"/>
  <c r="BM94" i="1"/>
  <c r="BI111" i="1"/>
  <c r="BI109" i="1"/>
  <c r="BI110" i="1"/>
  <c r="BE113" i="1"/>
  <c r="AO111" i="1"/>
  <c r="AO109" i="1"/>
  <c r="AS94" i="1"/>
  <c r="AO110" i="1"/>
  <c r="BP94" i="1"/>
  <c r="BL113" i="1"/>
  <c r="BP110" i="1"/>
  <c r="BP111" i="1"/>
  <c r="BP109" i="1"/>
  <c r="AS110" i="1"/>
  <c r="AO113" i="1"/>
  <c r="AS111" i="1"/>
  <c r="AS109" i="1"/>
  <c r="AY109" i="1"/>
  <c r="BZ110" i="1"/>
  <c r="CC114" i="1" s="1"/>
  <c r="BN94" i="1"/>
  <c r="BZ109" i="1"/>
  <c r="CC94" i="1"/>
  <c r="BY111" i="1"/>
  <c r="BU113" i="1"/>
  <c r="BY110" i="1"/>
  <c r="BY109" i="1"/>
  <c r="AX113" i="1"/>
  <c r="BF94" i="1"/>
  <c r="BB111" i="1"/>
  <c r="BB110" i="1"/>
  <c r="BB109" i="1"/>
  <c r="BD113" i="1"/>
  <c r="AP111" i="1"/>
  <c r="AP94" i="1"/>
  <c r="AL113" i="1"/>
  <c r="AP110" i="1"/>
  <c r="AP109" i="1"/>
  <c r="BR94" i="1"/>
  <c r="BJ113" i="1"/>
  <c r="BN111" i="1"/>
  <c r="BN109" i="1"/>
  <c r="BN110" i="1"/>
  <c r="AN113" i="1"/>
  <c r="AR111" i="1"/>
  <c r="AR110" i="1"/>
  <c r="AR109" i="1"/>
  <c r="AX110" i="1"/>
  <c r="AX109" i="1"/>
  <c r="AT113" i="1"/>
  <c r="AX111" i="1"/>
  <c r="BX94" i="1"/>
  <c r="BW118" i="1"/>
  <c r="BW120" i="1"/>
  <c r="BW119" i="1"/>
  <c r="BG118" i="1"/>
  <c r="BG120" i="1"/>
  <c r="BG119" i="1"/>
  <c r="AQ119" i="1"/>
  <c r="AQ120" i="1"/>
  <c r="AQ118" i="1"/>
  <c r="AC218" i="1"/>
  <c r="AC156" i="1"/>
  <c r="AC158" i="1" s="1"/>
  <c r="AC57" i="1" s="1"/>
  <c r="CT158" i="1"/>
  <c r="AD149" i="1"/>
  <c r="AD152" i="1" s="1"/>
  <c r="AD273" i="1" s="1"/>
  <c r="AR133" i="1"/>
  <c r="W85" i="1"/>
  <c r="AP113" i="1" l="1"/>
  <c r="BV94" i="1"/>
  <c r="BS111" i="1"/>
  <c r="BO113" i="1"/>
  <c r="BS110" i="1"/>
  <c r="BE109" i="1"/>
  <c r="BH111" i="1"/>
  <c r="BI94" i="1"/>
  <c r="BH109" i="1"/>
  <c r="BA94" i="1"/>
  <c r="BD94" i="1"/>
  <c r="AZ113" i="1"/>
  <c r="BD109" i="1"/>
  <c r="BH94" i="1"/>
  <c r="BD111" i="1"/>
  <c r="BD110" i="1"/>
  <c r="BC94" i="1"/>
  <c r="BS94" i="1"/>
  <c r="BC111" i="1"/>
  <c r="AY113" i="1"/>
  <c r="BC110" i="1"/>
  <c r="BC109" i="1"/>
  <c r="BB94" i="1"/>
  <c r="BZ94" i="1"/>
  <c r="BW94" i="1"/>
  <c r="BE94" i="1"/>
  <c r="BE111" i="1"/>
  <c r="BA109" i="1"/>
  <c r="BK94" i="1"/>
  <c r="AU111" i="1"/>
  <c r="BG111" i="1"/>
  <c r="AU110" i="1"/>
  <c r="BG110" i="1"/>
  <c r="AU94" i="1"/>
  <c r="BG109" i="1"/>
  <c r="BG94" i="1"/>
  <c r="AW113" i="1"/>
  <c r="AU109" i="1"/>
  <c r="BH110" i="1"/>
  <c r="BA113" i="1"/>
  <c r="BA110" i="1"/>
  <c r="BC114" i="1" s="1"/>
  <c r="BR113" i="1"/>
  <c r="BV111" i="1"/>
  <c r="BV110" i="1"/>
  <c r="BY114" i="1" s="1"/>
  <c r="BV109" i="1"/>
  <c r="AY94" i="1"/>
  <c r="BS118" i="1"/>
  <c r="BS119" i="1"/>
  <c r="BS120" i="1"/>
  <c r="BE119" i="1"/>
  <c r="BE120" i="1"/>
  <c r="BE118" i="1"/>
  <c r="BU109" i="1"/>
  <c r="BY94" i="1"/>
  <c r="BQ113" i="1"/>
  <c r="BU111" i="1"/>
  <c r="BU110" i="1"/>
  <c r="BU94" i="1"/>
  <c r="AV110" i="1"/>
  <c r="AY114" i="1" s="1"/>
  <c r="AV109" i="1"/>
  <c r="AZ94" i="1"/>
  <c r="AV111" i="1"/>
  <c r="AR113" i="1"/>
  <c r="AV94" i="1"/>
  <c r="AX94" i="1"/>
  <c r="AT110" i="1"/>
  <c r="AT111" i="1"/>
  <c r="AT109" i="1"/>
  <c r="AT94" i="1"/>
  <c r="BA120" i="1"/>
  <c r="BA119" i="1"/>
  <c r="BA118" i="1"/>
  <c r="CB114" i="1"/>
  <c r="BM114" i="1"/>
  <c r="BN114" i="1"/>
  <c r="BL114" i="1"/>
  <c r="AZ114" i="1"/>
  <c r="AR114" i="1"/>
  <c r="AS114" i="1"/>
  <c r="AQ114" i="1"/>
  <c r="AP114" i="1"/>
  <c r="AO114" i="1"/>
  <c r="BP114" i="1"/>
  <c r="BO114" i="1"/>
  <c r="AX114" i="1"/>
  <c r="CA114" i="1"/>
  <c r="BR114" i="1"/>
  <c r="BZ114" i="1"/>
  <c r="BQ114" i="1"/>
  <c r="CU56" i="1"/>
  <c r="CT162" i="1"/>
  <c r="AD230" i="1"/>
  <c r="AB162" i="1"/>
  <c r="AR134" i="1"/>
  <c r="AR137" i="1" s="1"/>
  <c r="AR135" i="1"/>
  <c r="AR138" i="1" s="1"/>
  <c r="CA251" i="1"/>
  <c r="CB251" i="1"/>
  <c r="W217" i="1"/>
  <c r="W219" i="1" s="1"/>
  <c r="BU251" i="1"/>
  <c r="BG114" i="1" l="1"/>
  <c r="BE114" i="1"/>
  <c r="AU114" i="1"/>
  <c r="AT114" i="1"/>
  <c r="BU114" i="1"/>
  <c r="AV114" i="1"/>
  <c r="BA114" i="1"/>
  <c r="BT114" i="1"/>
  <c r="BH114" i="1"/>
  <c r="BF114" i="1"/>
  <c r="BS114" i="1"/>
  <c r="BD114" i="1"/>
  <c r="BK114" i="1"/>
  <c r="AW114" i="1"/>
  <c r="BI114" i="1"/>
  <c r="BV114" i="1"/>
  <c r="BJ114" i="1"/>
  <c r="BB114" i="1"/>
  <c r="BW114" i="1"/>
  <c r="BX114" i="1"/>
  <c r="CT227" i="1"/>
  <c r="CT225" i="1" s="1"/>
  <c r="CU218" i="1"/>
  <c r="CU156" i="1"/>
  <c r="AB227" i="1"/>
  <c r="AB225" i="1" s="1"/>
  <c r="AE148" i="1"/>
  <c r="CA113" i="1"/>
  <c r="CU158" i="1" l="1"/>
  <c r="CF113" i="1"/>
  <c r="W113" i="1"/>
  <c r="W93" i="1"/>
  <c r="W92" i="1"/>
  <c r="CU162" i="1" l="1"/>
  <c r="CV56" i="1"/>
  <c r="AE149" i="1"/>
  <c r="AE152" i="1" s="1"/>
  <c r="AE273" i="1" s="1"/>
  <c r="W94" i="1"/>
  <c r="X94" i="1"/>
  <c r="X113" i="1"/>
  <c r="W111" i="1"/>
  <c r="V113" i="1"/>
  <c r="W109" i="1"/>
  <c r="W110" i="1"/>
  <c r="CV218" i="1" l="1"/>
  <c r="CV156" i="1"/>
  <c r="CU227" i="1"/>
  <c r="CU225" i="1" s="1"/>
  <c r="AE230" i="1"/>
  <c r="AC162" i="1"/>
  <c r="W144" i="1"/>
  <c r="CV158" i="1" l="1"/>
  <c r="W78" i="1"/>
  <c r="W116" i="1"/>
  <c r="AC227" i="1"/>
  <c r="AC225" i="1" s="1"/>
  <c r="X231" i="1"/>
  <c r="X229" i="1" s="1"/>
  <c r="W231" i="1"/>
  <c r="W229" i="1" s="1"/>
  <c r="W153" i="1"/>
  <c r="W79" i="1" s="1"/>
  <c r="W199" i="1"/>
  <c r="CW56" i="1" l="1"/>
  <c r="CV162" i="1"/>
  <c r="W119" i="1"/>
  <c r="W118" i="1"/>
  <c r="W120" i="1"/>
  <c r="CV227" i="1" l="1"/>
  <c r="CV225" i="1" s="1"/>
  <c r="CW218" i="1"/>
  <c r="CW156" i="1"/>
  <c r="CW158" i="1" l="1"/>
  <c r="CW162" i="1" l="1"/>
  <c r="CX56" i="1"/>
  <c r="AD56" i="1" l="1"/>
  <c r="CX218" i="1"/>
  <c r="CX156" i="1"/>
  <c r="CW227" i="1"/>
  <c r="CW225" i="1" s="1"/>
  <c r="AD218" i="1" l="1"/>
  <c r="AD156" i="1"/>
  <c r="AD158" i="1" s="1"/>
  <c r="CX158" i="1"/>
  <c r="AD162" i="1" l="1"/>
  <c r="AD227" i="1" s="1"/>
  <c r="AD225" i="1" s="1"/>
  <c r="AD57" i="1"/>
  <c r="CX162" i="1"/>
  <c r="CY56" i="1"/>
  <c r="CY218" i="1" l="1"/>
  <c r="CY156" i="1"/>
  <c r="CX227" i="1"/>
  <c r="CX225" i="1" s="1"/>
  <c r="CY158" i="1" l="1"/>
  <c r="W204" i="1"/>
  <c r="CY162" i="1" l="1"/>
  <c r="CZ56" i="1"/>
  <c r="W207" i="1"/>
  <c r="W180" i="1"/>
  <c r="X221" i="1" s="1"/>
  <c r="CZ218" i="1" l="1"/>
  <c r="CZ156" i="1"/>
  <c r="CY227" i="1"/>
  <c r="CY225" i="1" s="1"/>
  <c r="W209" i="1"/>
  <c r="W208" i="1" s="1"/>
  <c r="W221" i="1"/>
  <c r="W172" i="1"/>
  <c r="X220" i="1" s="1"/>
  <c r="X222" i="1" s="1"/>
  <c r="X223" i="1" s="1"/>
  <c r="X237" i="1" s="1"/>
  <c r="W203" i="1"/>
  <c r="CZ158" i="1" l="1"/>
  <c r="W206" i="1"/>
  <c r="W181" i="1"/>
  <c r="W220" i="1"/>
  <c r="W222" i="1" s="1"/>
  <c r="W223" i="1" s="1"/>
  <c r="CZ162" i="1" l="1"/>
  <c r="CZ227" i="1" s="1"/>
  <c r="CZ225" i="1" s="1"/>
  <c r="DA56" i="1"/>
  <c r="W205" i="1"/>
  <c r="W210" i="1"/>
  <c r="W234" i="1"/>
  <c r="W237" i="1"/>
  <c r="DA218" i="1" l="1"/>
  <c r="DA156" i="1"/>
  <c r="W213" i="1"/>
  <c r="W214" i="1" s="1"/>
  <c r="X213" i="1"/>
  <c r="X214" i="1" s="1"/>
  <c r="DA158" i="1" l="1"/>
  <c r="W185" i="1"/>
  <c r="X233" i="1" l="1"/>
  <c r="X234" i="1" s="1"/>
  <c r="X235" i="1" s="1"/>
  <c r="W270" i="1"/>
  <c r="W272" i="1"/>
  <c r="W268" i="1"/>
  <c r="DA162" i="1"/>
  <c r="DA227" i="1" s="1"/>
  <c r="DA225" i="1" s="1"/>
  <c r="DB56" i="1"/>
  <c r="W192" i="1"/>
  <c r="W133" i="1" s="1"/>
  <c r="W189" i="1"/>
  <c r="W235" i="1"/>
  <c r="AE56" i="1" l="1"/>
  <c r="AE218" i="1" s="1"/>
  <c r="DB218" i="1"/>
  <c r="DB156" i="1"/>
  <c r="W135" i="1"/>
  <c r="W138" i="1" s="1"/>
  <c r="W134" i="1"/>
  <c r="W137" i="1" s="1"/>
  <c r="W190" i="1"/>
  <c r="DB158" i="1" l="1"/>
  <c r="DB162" i="1" s="1"/>
  <c r="DB227" i="1" s="1"/>
  <c r="DB225" i="1" s="1"/>
  <c r="AE156" i="1"/>
  <c r="AE158" i="1" s="1"/>
  <c r="C112" i="2"/>
  <c r="C113" i="2"/>
  <c r="C111" i="2"/>
  <c r="AE162" i="1" l="1"/>
  <c r="AE227" i="1" s="1"/>
  <c r="AE225" i="1" s="1"/>
  <c r="AE57" i="1"/>
  <c r="B97" i="1"/>
  <c r="B98" i="1"/>
  <c r="AK203" i="1" l="1"/>
  <c r="AK168" i="1" s="1"/>
  <c r="AM168" i="1" l="1"/>
  <c r="AO168" i="1" l="1"/>
  <c r="AQ168" i="1" l="1"/>
  <c r="AS168" i="1" l="1"/>
  <c r="AU168" i="1" l="1"/>
  <c r="AW168" i="1" l="1"/>
  <c r="AY168" i="1" l="1"/>
  <c r="BA168" i="1" l="1"/>
  <c r="BC168" i="1" l="1"/>
  <c r="BE168" i="1" l="1"/>
  <c r="BG168" i="1" l="1"/>
  <c r="BI168" i="1" l="1"/>
  <c r="BK168" i="1" l="1"/>
  <c r="BM168" i="1" l="1"/>
  <c r="BO168" i="1" l="1"/>
  <c r="BQ168" i="1" l="1"/>
  <c r="BS168" i="1" l="1"/>
  <c r="BU168" i="1" l="1"/>
  <c r="BW168" i="1" l="1"/>
  <c r="BY168" i="1" l="1"/>
  <c r="AK169" i="1" l="1"/>
  <c r="AK172" i="1" s="1"/>
  <c r="AL220" i="1" l="1"/>
  <c r="AK220" i="1"/>
  <c r="AK206" i="1"/>
  <c r="AM169" i="1"/>
  <c r="AM172" i="1" s="1"/>
  <c r="AM206" i="1" l="1"/>
  <c r="AM205" i="1" s="1"/>
  <c r="AN220" i="1"/>
  <c r="AM220" i="1"/>
  <c r="AJ205" i="1"/>
  <c r="AK205" i="1"/>
  <c r="AO169" i="1" l="1"/>
  <c r="AO172" i="1" s="1"/>
  <c r="AP220" i="1" l="1"/>
  <c r="AO206" i="1"/>
  <c r="AO205" i="1" s="1"/>
  <c r="AO220" i="1"/>
  <c r="AQ169" i="1" l="1"/>
  <c r="AQ172" i="1" s="1"/>
  <c r="AQ206" i="1" l="1"/>
  <c r="AQ205" i="1" s="1"/>
  <c r="AR220" i="1"/>
  <c r="AQ220" i="1"/>
  <c r="AS169" i="1" l="1"/>
  <c r="AS172" i="1" s="1"/>
  <c r="AT220" i="1" l="1"/>
  <c r="AS206" i="1"/>
  <c r="AS205" i="1" s="1"/>
  <c r="AS220" i="1"/>
  <c r="AU169" i="1" l="1"/>
  <c r="AU172" i="1" s="1"/>
  <c r="AU206" i="1" l="1"/>
  <c r="AU205" i="1" s="1"/>
  <c r="AV220" i="1"/>
  <c r="AU220" i="1"/>
  <c r="AW169" i="1" l="1"/>
  <c r="AW172" i="1" s="1"/>
  <c r="AW206" i="1" l="1"/>
  <c r="AW205" i="1" s="1"/>
  <c r="AX220" i="1"/>
  <c r="AW220" i="1"/>
  <c r="AY169" i="1" l="1"/>
  <c r="AY172" i="1" s="1"/>
  <c r="AY206" i="1" l="1"/>
  <c r="AY205" i="1" s="1"/>
  <c r="AZ220" i="1"/>
  <c r="AY220" i="1"/>
  <c r="BA169" i="1" l="1"/>
  <c r="BA172" i="1" s="1"/>
  <c r="BB220" i="1" l="1"/>
  <c r="BA206" i="1"/>
  <c r="BA205" i="1" s="1"/>
  <c r="BA220" i="1"/>
  <c r="BC169" i="1" l="1"/>
  <c r="BC172" i="1" s="1"/>
  <c r="BD220" i="1" l="1"/>
  <c r="BC206" i="1"/>
  <c r="BC205" i="1" s="1"/>
  <c r="BC220" i="1"/>
  <c r="BE169" i="1" l="1"/>
  <c r="BE172" i="1" s="1"/>
  <c r="BF220" i="1" l="1"/>
  <c r="BE206" i="1"/>
  <c r="BE205" i="1" s="1"/>
  <c r="BE220" i="1"/>
  <c r="BG169" i="1" l="1"/>
  <c r="BG172" i="1" s="1"/>
  <c r="BG206" i="1" l="1"/>
  <c r="BG205" i="1" s="1"/>
  <c r="BH220" i="1"/>
  <c r="BG220" i="1"/>
  <c r="BI169" i="1" l="1"/>
  <c r="BI172" i="1" s="1"/>
  <c r="BJ220" i="1" l="1"/>
  <c r="BI206" i="1"/>
  <c r="BI205" i="1" s="1"/>
  <c r="BI220" i="1"/>
  <c r="BK169" i="1" l="1"/>
  <c r="BK172" i="1" s="1"/>
  <c r="BL220" i="1" l="1"/>
  <c r="BK206" i="1"/>
  <c r="BK205" i="1" s="1"/>
  <c r="BK220" i="1"/>
  <c r="BM169" i="1" l="1"/>
  <c r="BM172" i="1" s="1"/>
  <c r="BM206" i="1" l="1"/>
  <c r="BM205" i="1" s="1"/>
  <c r="BN220" i="1"/>
  <c r="BM220" i="1"/>
  <c r="BO169" i="1" l="1"/>
  <c r="BO172" i="1" s="1"/>
  <c r="BO206" i="1" l="1"/>
  <c r="BO205" i="1" s="1"/>
  <c r="BP220" i="1"/>
  <c r="BO220" i="1"/>
  <c r="BQ169" i="1" l="1"/>
  <c r="BQ172" i="1" s="1"/>
  <c r="BR220" i="1" l="1"/>
  <c r="BQ206" i="1"/>
  <c r="BQ205" i="1" s="1"/>
  <c r="BQ220" i="1"/>
  <c r="BS169" i="1" l="1"/>
  <c r="BS172" i="1" s="1"/>
  <c r="BT220" i="1" l="1"/>
  <c r="BS206" i="1"/>
  <c r="BS205" i="1" s="1"/>
  <c r="BS220" i="1"/>
  <c r="BU169" i="1" l="1"/>
  <c r="BU172" i="1" s="1"/>
  <c r="BU206" i="1" l="1"/>
  <c r="BU205" i="1" s="1"/>
  <c r="BV220" i="1"/>
  <c r="BU220" i="1"/>
  <c r="BW169" i="1" l="1"/>
  <c r="BW172" i="1" s="1"/>
  <c r="BW206" i="1" l="1"/>
  <c r="BW205" i="1" s="1"/>
  <c r="BX220" i="1"/>
  <c r="BW220" i="1"/>
  <c r="BY169" i="1" l="1"/>
  <c r="BY172" i="1" s="1"/>
  <c r="BZ220" i="1" l="1"/>
  <c r="BY206" i="1"/>
  <c r="BY205" i="1" s="1"/>
  <c r="BY220" i="1"/>
  <c r="AK207" i="1" l="1"/>
  <c r="AK177" i="1" s="1"/>
  <c r="AK180" i="1" s="1"/>
  <c r="AK181" i="1" l="1"/>
  <c r="AK209" i="1"/>
  <c r="AL221" i="1"/>
  <c r="AL222" i="1" s="1"/>
  <c r="AL223" i="1" s="1"/>
  <c r="AL237" i="1" s="1"/>
  <c r="AK221" i="1"/>
  <c r="AK222" i="1" s="1"/>
  <c r="AK223" i="1" s="1"/>
  <c r="AM177" i="1"/>
  <c r="AM180" i="1" s="1"/>
  <c r="AK237" i="1" l="1"/>
  <c r="AK234" i="1"/>
  <c r="AK184" i="1" s="1"/>
  <c r="AK185" i="1" s="1"/>
  <c r="AK189" i="1" s="1"/>
  <c r="AK190" i="1" s="1"/>
  <c r="AN221" i="1"/>
  <c r="AN222" i="1" s="1"/>
  <c r="AN223" i="1" s="1"/>
  <c r="AN237" i="1" s="1"/>
  <c r="AM209" i="1"/>
  <c r="AM208" i="1" s="1"/>
  <c r="AM221" i="1"/>
  <c r="AM222" i="1" s="1"/>
  <c r="AM223" i="1" s="1"/>
  <c r="AM181" i="1"/>
  <c r="AJ208" i="1"/>
  <c r="AJ210" i="1"/>
  <c r="AN213" i="1" s="1"/>
  <c r="AK208" i="1"/>
  <c r="AK210" i="1"/>
  <c r="AO177" i="1"/>
  <c r="AO180" i="1" s="1"/>
  <c r="AM210" i="1" l="1"/>
  <c r="AO209" i="1"/>
  <c r="AO208" i="1" s="1"/>
  <c r="AP221" i="1"/>
  <c r="AP222" i="1" s="1"/>
  <c r="AP223" i="1" s="1"/>
  <c r="AP237" i="1" s="1"/>
  <c r="AO221" i="1"/>
  <c r="AO222" i="1" s="1"/>
  <c r="AO223" i="1" s="1"/>
  <c r="AM237" i="1"/>
  <c r="AM234" i="1"/>
  <c r="AO181" i="1"/>
  <c r="AL233" i="1" l="1"/>
  <c r="AL234" i="1" s="1"/>
  <c r="AL235" i="1" s="1"/>
  <c r="AK235" i="1"/>
  <c r="AO210" i="1"/>
  <c r="AO213" i="1" s="1"/>
  <c r="AO237" i="1"/>
  <c r="AO234" i="1"/>
  <c r="AQ177" i="1"/>
  <c r="AQ180" i="1" s="1"/>
  <c r="AK192" i="1"/>
  <c r="AL61" i="1" s="1"/>
  <c r="AM184" i="1"/>
  <c r="AM185" i="1" s="1"/>
  <c r="AM189" i="1" s="1"/>
  <c r="AN233" i="1" l="1"/>
  <c r="AN234" i="1" s="1"/>
  <c r="AN235" i="1" s="1"/>
  <c r="AM272" i="1"/>
  <c r="AM270" i="1"/>
  <c r="AM268" i="1"/>
  <c r="AQ209" i="1"/>
  <c r="AQ208" i="1" s="1"/>
  <c r="AR221" i="1"/>
  <c r="AR222" i="1" s="1"/>
  <c r="AR223" i="1" s="1"/>
  <c r="AR237" i="1" s="1"/>
  <c r="AQ221" i="1"/>
  <c r="AQ222" i="1" s="1"/>
  <c r="AQ223" i="1" s="1"/>
  <c r="AM235" i="1"/>
  <c r="AQ181" i="1"/>
  <c r="AO184" i="1"/>
  <c r="AO185" i="1" s="1"/>
  <c r="AM192" i="1"/>
  <c r="AO270" i="1" l="1"/>
  <c r="AO272" i="1"/>
  <c r="AO268" i="1"/>
  <c r="AM133" i="1"/>
  <c r="AM134" i="1" s="1"/>
  <c r="AM137" i="1" s="1"/>
  <c r="AN61" i="1"/>
  <c r="AQ210" i="1"/>
  <c r="AQ213" i="1" s="1"/>
  <c r="AQ237" i="1"/>
  <c r="AQ234" i="1"/>
  <c r="AP233" i="1"/>
  <c r="AP234" i="1" s="1"/>
  <c r="AP235" i="1" s="1"/>
  <c r="AO235" i="1"/>
  <c r="AS177" i="1"/>
  <c r="AS180" i="1" s="1"/>
  <c r="AO192" i="1"/>
  <c r="AO189" i="1"/>
  <c r="AM190" i="1"/>
  <c r="AM135" i="1" l="1"/>
  <c r="AM138" i="1" s="1"/>
  <c r="AO133" i="1"/>
  <c r="AO135" i="1" s="1"/>
  <c r="AO138" i="1" s="1"/>
  <c r="AP61" i="1"/>
  <c r="AS209" i="1"/>
  <c r="AS208" i="1" s="1"/>
  <c r="AT221" i="1"/>
  <c r="AT222" i="1" s="1"/>
  <c r="AT223" i="1" s="1"/>
  <c r="AT237" i="1" s="1"/>
  <c r="AS221" i="1"/>
  <c r="AS222" i="1" s="1"/>
  <c r="AS223" i="1" s="1"/>
  <c r="AO190" i="1"/>
  <c r="AS181" i="1"/>
  <c r="AQ184" i="1"/>
  <c r="AQ185" i="1" s="1"/>
  <c r="AQ270" i="1" l="1"/>
  <c r="AQ272" i="1"/>
  <c r="AQ268" i="1"/>
  <c r="AO134" i="1"/>
  <c r="AO137" i="1" s="1"/>
  <c r="AS210" i="1"/>
  <c r="AS213" i="1" s="1"/>
  <c r="AS237" i="1"/>
  <c r="AS234" i="1"/>
  <c r="AR233" i="1"/>
  <c r="AR234" i="1" s="1"/>
  <c r="AR235" i="1" s="1"/>
  <c r="AQ235" i="1"/>
  <c r="AQ189" i="1"/>
  <c r="AQ192" i="1"/>
  <c r="AU177" i="1"/>
  <c r="AU180" i="1" s="1"/>
  <c r="AQ133" i="1" l="1"/>
  <c r="AQ134" i="1" s="1"/>
  <c r="AQ137" i="1" s="1"/>
  <c r="AR61" i="1"/>
  <c r="AU209" i="1"/>
  <c r="AU208" i="1" s="1"/>
  <c r="AV221" i="1"/>
  <c r="AV222" i="1" s="1"/>
  <c r="AV223" i="1" s="1"/>
  <c r="AV237" i="1" s="1"/>
  <c r="AU221" i="1"/>
  <c r="AU222" i="1" s="1"/>
  <c r="AU223" i="1" s="1"/>
  <c r="AU181" i="1"/>
  <c r="AS184" i="1"/>
  <c r="AS185" i="1" s="1"/>
  <c r="AQ190" i="1"/>
  <c r="AS272" i="1" l="1"/>
  <c r="AS270" i="1"/>
  <c r="AS268" i="1"/>
  <c r="AQ135" i="1"/>
  <c r="AQ138" i="1" s="1"/>
  <c r="AU210" i="1"/>
  <c r="AU213" i="1" s="1"/>
  <c r="AU237" i="1"/>
  <c r="AU234" i="1"/>
  <c r="AT233" i="1"/>
  <c r="AT234" i="1" s="1"/>
  <c r="AT235" i="1" s="1"/>
  <c r="AS235" i="1"/>
  <c r="AS192" i="1"/>
  <c r="AS189" i="1"/>
  <c r="AW177" i="1"/>
  <c r="AW180" i="1" s="1"/>
  <c r="AS133" i="1" l="1"/>
  <c r="AS134" i="1" s="1"/>
  <c r="AS137" i="1" s="1"/>
  <c r="AT61" i="1"/>
  <c r="AW209" i="1"/>
  <c r="AW210" i="1" s="1"/>
  <c r="AW213" i="1" s="1"/>
  <c r="AX221" i="1"/>
  <c r="AX222" i="1" s="1"/>
  <c r="AX223" i="1" s="1"/>
  <c r="AX237" i="1" s="1"/>
  <c r="AW221" i="1"/>
  <c r="AW222" i="1" s="1"/>
  <c r="AW223" i="1" s="1"/>
  <c r="AU184" i="1"/>
  <c r="AU185" i="1" s="1"/>
  <c r="AS190" i="1"/>
  <c r="AW181" i="1"/>
  <c r="AU272" i="1" l="1"/>
  <c r="AU270" i="1"/>
  <c r="AU268" i="1"/>
  <c r="AS135" i="1"/>
  <c r="AS138" i="1" s="1"/>
  <c r="AW208" i="1"/>
  <c r="AW237" i="1"/>
  <c r="AW234" i="1"/>
  <c r="AV233" i="1"/>
  <c r="AV234" i="1" s="1"/>
  <c r="AV235" i="1" s="1"/>
  <c r="AU235" i="1"/>
  <c r="AU192" i="1"/>
  <c r="AU189" i="1"/>
  <c r="AY177" i="1"/>
  <c r="AY180" i="1" s="1"/>
  <c r="AU133" i="1" l="1"/>
  <c r="AU135" i="1" s="1"/>
  <c r="AU138" i="1" s="1"/>
  <c r="AV61" i="1"/>
  <c r="AY209" i="1"/>
  <c r="AY208" i="1" s="1"/>
  <c r="AZ221" i="1"/>
  <c r="AZ222" i="1" s="1"/>
  <c r="AZ223" i="1" s="1"/>
  <c r="AZ237" i="1" s="1"/>
  <c r="AY221" i="1"/>
  <c r="AY222" i="1" s="1"/>
  <c r="AY223" i="1" s="1"/>
  <c r="AW184" i="1"/>
  <c r="AW185" i="1" s="1"/>
  <c r="AY181" i="1"/>
  <c r="AU190" i="1"/>
  <c r="AW270" i="1" l="1"/>
  <c r="AW272" i="1"/>
  <c r="AW268" i="1"/>
  <c r="AU134" i="1"/>
  <c r="AU137" i="1" s="1"/>
  <c r="AY210" i="1"/>
  <c r="AY213" i="1" s="1"/>
  <c r="AY237" i="1"/>
  <c r="AY234" i="1"/>
  <c r="AX233" i="1"/>
  <c r="AX234" i="1" s="1"/>
  <c r="AX235" i="1" s="1"/>
  <c r="AW235" i="1"/>
  <c r="BA177" i="1"/>
  <c r="BA180" i="1" s="1"/>
  <c r="AW189" i="1"/>
  <c r="AW192" i="1"/>
  <c r="AW133" i="1" l="1"/>
  <c r="AW135" i="1" s="1"/>
  <c r="AW138" i="1" s="1"/>
  <c r="AX61" i="1"/>
  <c r="BB221" i="1"/>
  <c r="BB222" i="1" s="1"/>
  <c r="BB223" i="1" s="1"/>
  <c r="BB237" i="1" s="1"/>
  <c r="BA209" i="1"/>
  <c r="BA208" i="1" s="1"/>
  <c r="BA221" i="1"/>
  <c r="BA222" i="1" s="1"/>
  <c r="BA223" i="1" s="1"/>
  <c r="AW190" i="1"/>
  <c r="BA181" i="1"/>
  <c r="AY184" i="1"/>
  <c r="AY185" i="1" s="1"/>
  <c r="AY270" i="1" l="1"/>
  <c r="AY272" i="1"/>
  <c r="AY268" i="1"/>
  <c r="AW134" i="1"/>
  <c r="AW137" i="1" s="1"/>
  <c r="BA210" i="1"/>
  <c r="BA213" i="1" s="1"/>
  <c r="BA237" i="1"/>
  <c r="BA234" i="1"/>
  <c r="AZ233" i="1"/>
  <c r="AZ234" i="1" s="1"/>
  <c r="AZ235" i="1" s="1"/>
  <c r="AY235" i="1"/>
  <c r="AY189" i="1"/>
  <c r="AY192" i="1"/>
  <c r="BC177" i="1"/>
  <c r="BC180" i="1" s="1"/>
  <c r="AY133" i="1" l="1"/>
  <c r="AY135" i="1" s="1"/>
  <c r="AY138" i="1" s="1"/>
  <c r="AZ61" i="1"/>
  <c r="BC209" i="1"/>
  <c r="BC208" i="1" s="1"/>
  <c r="BD221" i="1"/>
  <c r="BD222" i="1" s="1"/>
  <c r="BD223" i="1" s="1"/>
  <c r="BD237" i="1" s="1"/>
  <c r="BC221" i="1"/>
  <c r="BC222" i="1" s="1"/>
  <c r="BC223" i="1" s="1"/>
  <c r="AY190" i="1"/>
  <c r="BC181" i="1"/>
  <c r="BA184" i="1"/>
  <c r="BA185" i="1" s="1"/>
  <c r="BA272" i="1" l="1"/>
  <c r="BA270" i="1"/>
  <c r="BA268" i="1"/>
  <c r="AY134" i="1"/>
  <c r="AY137" i="1" s="1"/>
  <c r="BC210" i="1"/>
  <c r="BC213" i="1" s="1"/>
  <c r="BC237" i="1"/>
  <c r="BC234" i="1"/>
  <c r="BB233" i="1"/>
  <c r="BB234" i="1" s="1"/>
  <c r="BB235" i="1" s="1"/>
  <c r="BA235" i="1"/>
  <c r="BE177" i="1"/>
  <c r="BE180" i="1" s="1"/>
  <c r="BA192" i="1"/>
  <c r="BA189" i="1"/>
  <c r="BA133" i="1" l="1"/>
  <c r="BA134" i="1" s="1"/>
  <c r="BA137" i="1" s="1"/>
  <c r="BB61" i="1"/>
  <c r="BE209" i="1"/>
  <c r="BE208" i="1" s="1"/>
  <c r="BF221" i="1"/>
  <c r="BF222" i="1" s="1"/>
  <c r="BF223" i="1" s="1"/>
  <c r="BF237" i="1" s="1"/>
  <c r="BE221" i="1"/>
  <c r="BE222" i="1" s="1"/>
  <c r="BE223" i="1" s="1"/>
  <c r="BC184" i="1"/>
  <c r="BC185" i="1" s="1"/>
  <c r="BA190" i="1"/>
  <c r="BE181" i="1"/>
  <c r="BC272" i="1" l="1"/>
  <c r="BC270" i="1"/>
  <c r="BC268" i="1"/>
  <c r="BA135" i="1"/>
  <c r="BA138" i="1" s="1"/>
  <c r="BE210" i="1"/>
  <c r="BE213" i="1" s="1"/>
  <c r="BE237" i="1"/>
  <c r="BE234" i="1"/>
  <c r="BD233" i="1"/>
  <c r="BD234" i="1" s="1"/>
  <c r="BD235" i="1" s="1"/>
  <c r="BC235" i="1"/>
  <c r="BG177" i="1"/>
  <c r="BG180" i="1" s="1"/>
  <c r="BC189" i="1"/>
  <c r="BC192" i="1"/>
  <c r="BC133" i="1" l="1"/>
  <c r="BC134" i="1" s="1"/>
  <c r="BC137" i="1" s="1"/>
  <c r="BD61" i="1"/>
  <c r="BG209" i="1"/>
  <c r="BG210" i="1" s="1"/>
  <c r="BG213" i="1" s="1"/>
  <c r="BH221" i="1"/>
  <c r="BH222" i="1" s="1"/>
  <c r="BH223" i="1" s="1"/>
  <c r="BH237" i="1" s="1"/>
  <c r="BG221" i="1"/>
  <c r="BG222" i="1" s="1"/>
  <c r="BG223" i="1" s="1"/>
  <c r="BC190" i="1"/>
  <c r="BE184" i="1"/>
  <c r="BE185" i="1" s="1"/>
  <c r="BG181" i="1"/>
  <c r="BE270" i="1" l="1"/>
  <c r="BE272" i="1"/>
  <c r="BE268" i="1"/>
  <c r="BC135" i="1"/>
  <c r="BC138" i="1" s="1"/>
  <c r="BG208" i="1"/>
  <c r="BG237" i="1"/>
  <c r="BG234" i="1"/>
  <c r="BF233" i="1"/>
  <c r="BF234" i="1" s="1"/>
  <c r="BF235" i="1" s="1"/>
  <c r="BE235" i="1"/>
  <c r="BE192" i="1"/>
  <c r="BE189" i="1"/>
  <c r="BI177" i="1"/>
  <c r="BI180" i="1" s="1"/>
  <c r="BE133" i="1" l="1"/>
  <c r="BE134" i="1" s="1"/>
  <c r="BE137" i="1" s="1"/>
  <c r="BF61" i="1"/>
  <c r="BI209" i="1"/>
  <c r="BI208" i="1" s="1"/>
  <c r="BJ221" i="1"/>
  <c r="BJ222" i="1" s="1"/>
  <c r="BJ223" i="1" s="1"/>
  <c r="BJ237" i="1" s="1"/>
  <c r="BI221" i="1"/>
  <c r="BI222" i="1" s="1"/>
  <c r="BI223" i="1" s="1"/>
  <c r="BE190" i="1"/>
  <c r="BG184" i="1"/>
  <c r="BG185" i="1" s="1"/>
  <c r="BI181" i="1"/>
  <c r="BG270" i="1" l="1"/>
  <c r="BG272" i="1"/>
  <c r="BG268" i="1"/>
  <c r="BE135" i="1"/>
  <c r="BE138" i="1" s="1"/>
  <c r="BI210" i="1"/>
  <c r="BI213" i="1" s="1"/>
  <c r="BI237" i="1"/>
  <c r="BI234" i="1"/>
  <c r="BH233" i="1"/>
  <c r="BH234" i="1" s="1"/>
  <c r="BH235" i="1" s="1"/>
  <c r="BG235" i="1"/>
  <c r="BG189" i="1"/>
  <c r="BG192" i="1"/>
  <c r="BK177" i="1"/>
  <c r="BK180" i="1" s="1"/>
  <c r="BG133" i="1" l="1"/>
  <c r="BG134" i="1" s="1"/>
  <c r="BG137" i="1" s="1"/>
  <c r="BH61" i="1"/>
  <c r="BL221" i="1"/>
  <c r="BL222" i="1" s="1"/>
  <c r="BL223" i="1" s="1"/>
  <c r="BL237" i="1" s="1"/>
  <c r="BK209" i="1"/>
  <c r="BK208" i="1" s="1"/>
  <c r="BK221" i="1"/>
  <c r="BK222" i="1" s="1"/>
  <c r="BK223" i="1" s="1"/>
  <c r="BK181" i="1"/>
  <c r="BG190" i="1"/>
  <c r="BI184" i="1"/>
  <c r="BI185" i="1" s="1"/>
  <c r="BI272" i="1" l="1"/>
  <c r="BI270" i="1"/>
  <c r="BI268" i="1"/>
  <c r="BG135" i="1"/>
  <c r="BG138" i="1" s="1"/>
  <c r="BK210" i="1"/>
  <c r="BK213" i="1" s="1"/>
  <c r="BK237" i="1"/>
  <c r="BK234" i="1"/>
  <c r="BJ233" i="1"/>
  <c r="BJ234" i="1" s="1"/>
  <c r="BJ235" i="1" s="1"/>
  <c r="BI235" i="1"/>
  <c r="BI192" i="1"/>
  <c r="BI189" i="1"/>
  <c r="BM177" i="1"/>
  <c r="BM180" i="1" s="1"/>
  <c r="BI133" i="1" l="1"/>
  <c r="BI135" i="1" s="1"/>
  <c r="BI138" i="1" s="1"/>
  <c r="BJ61" i="1"/>
  <c r="BM209" i="1"/>
  <c r="BM208" i="1" s="1"/>
  <c r="BN221" i="1"/>
  <c r="BN222" i="1" s="1"/>
  <c r="BN223" i="1" s="1"/>
  <c r="BN237" i="1" s="1"/>
  <c r="BM221" i="1"/>
  <c r="BM222" i="1" s="1"/>
  <c r="BM223" i="1" s="1"/>
  <c r="BM181" i="1"/>
  <c r="BI190" i="1"/>
  <c r="BK184" i="1"/>
  <c r="BK185" i="1" s="1"/>
  <c r="BK272" i="1" l="1"/>
  <c r="BK270" i="1"/>
  <c r="BK268" i="1"/>
  <c r="BI134" i="1"/>
  <c r="BI137" i="1" s="1"/>
  <c r="BM210" i="1"/>
  <c r="BM213" i="1" s="1"/>
  <c r="BM237" i="1"/>
  <c r="BM234" i="1"/>
  <c r="BL233" i="1"/>
  <c r="BL234" i="1" s="1"/>
  <c r="BL235" i="1" s="1"/>
  <c r="BK235" i="1"/>
  <c r="BK192" i="1"/>
  <c r="BK189" i="1"/>
  <c r="BO177" i="1"/>
  <c r="BO180" i="1" s="1"/>
  <c r="BK133" i="1" l="1"/>
  <c r="BK135" i="1" s="1"/>
  <c r="BK138" i="1" s="1"/>
  <c r="BL61" i="1"/>
  <c r="BO209" i="1"/>
  <c r="BO208" i="1" s="1"/>
  <c r="BP221" i="1"/>
  <c r="BP222" i="1" s="1"/>
  <c r="BP223" i="1" s="1"/>
  <c r="BP237" i="1" s="1"/>
  <c r="BO221" i="1"/>
  <c r="BO222" i="1" s="1"/>
  <c r="BO223" i="1" s="1"/>
  <c r="BM184" i="1"/>
  <c r="BM185" i="1" s="1"/>
  <c r="BK190" i="1"/>
  <c r="BO181" i="1"/>
  <c r="BM270" i="1" l="1"/>
  <c r="BM272" i="1"/>
  <c r="BM268" i="1"/>
  <c r="BK134" i="1"/>
  <c r="BK137" i="1" s="1"/>
  <c r="BO210" i="1"/>
  <c r="BO213" i="1" s="1"/>
  <c r="BO237" i="1"/>
  <c r="BO234" i="1"/>
  <c r="BN233" i="1"/>
  <c r="BN234" i="1" s="1"/>
  <c r="BN235" i="1" s="1"/>
  <c r="BM235" i="1"/>
  <c r="BM189" i="1"/>
  <c r="BM192" i="1"/>
  <c r="BQ177" i="1"/>
  <c r="BQ180" i="1" s="1"/>
  <c r="BM133" i="1" l="1"/>
  <c r="BM134" i="1" s="1"/>
  <c r="BM137" i="1" s="1"/>
  <c r="BN61" i="1"/>
  <c r="BQ209" i="1"/>
  <c r="BQ208" i="1" s="1"/>
  <c r="BR221" i="1"/>
  <c r="BR222" i="1" s="1"/>
  <c r="BR223" i="1" s="1"/>
  <c r="BR237" i="1" s="1"/>
  <c r="BQ221" i="1"/>
  <c r="BQ222" i="1" s="1"/>
  <c r="BQ223" i="1" s="1"/>
  <c r="BO184" i="1"/>
  <c r="BO185" i="1" s="1"/>
  <c r="BQ181" i="1"/>
  <c r="BM190" i="1"/>
  <c r="BO270" i="1" l="1"/>
  <c r="BO272" i="1"/>
  <c r="BO268" i="1"/>
  <c r="BM135" i="1"/>
  <c r="BM138" i="1" s="1"/>
  <c r="BQ210" i="1"/>
  <c r="BQ213" i="1" s="1"/>
  <c r="BQ237" i="1"/>
  <c r="BQ234" i="1"/>
  <c r="BP233" i="1"/>
  <c r="BP234" i="1" s="1"/>
  <c r="BP235" i="1" s="1"/>
  <c r="BO235" i="1"/>
  <c r="BS177" i="1"/>
  <c r="BS180" i="1" s="1"/>
  <c r="BO189" i="1"/>
  <c r="BO192" i="1"/>
  <c r="BO133" i="1" l="1"/>
  <c r="BO134" i="1" s="1"/>
  <c r="BO137" i="1" s="1"/>
  <c r="BP61" i="1"/>
  <c r="BS209" i="1"/>
  <c r="BS208" i="1" s="1"/>
  <c r="BT221" i="1"/>
  <c r="BT222" i="1" s="1"/>
  <c r="BT223" i="1" s="1"/>
  <c r="BT237" i="1" s="1"/>
  <c r="BS221" i="1"/>
  <c r="BS222" i="1" s="1"/>
  <c r="BS223" i="1" s="1"/>
  <c r="BO190" i="1"/>
  <c r="BS181" i="1"/>
  <c r="BQ184" i="1"/>
  <c r="BQ185" i="1" s="1"/>
  <c r="BQ272" i="1" l="1"/>
  <c r="BQ270" i="1"/>
  <c r="BQ268" i="1"/>
  <c r="BO135" i="1"/>
  <c r="BO138" i="1" s="1"/>
  <c r="BS210" i="1"/>
  <c r="BS213" i="1" s="1"/>
  <c r="BS237" i="1"/>
  <c r="BS234" i="1"/>
  <c r="BR233" i="1"/>
  <c r="BR234" i="1" s="1"/>
  <c r="BR235" i="1" s="1"/>
  <c r="BQ235" i="1"/>
  <c r="BQ189" i="1"/>
  <c r="BQ192" i="1"/>
  <c r="BU177" i="1"/>
  <c r="BU180" i="1" s="1"/>
  <c r="BQ133" i="1" l="1"/>
  <c r="BQ134" i="1" s="1"/>
  <c r="BQ137" i="1" s="1"/>
  <c r="BR61" i="1"/>
  <c r="BU209" i="1"/>
  <c r="BU208" i="1" s="1"/>
  <c r="BV221" i="1"/>
  <c r="BV222" i="1" s="1"/>
  <c r="BV223" i="1" s="1"/>
  <c r="BV237" i="1" s="1"/>
  <c r="BU221" i="1"/>
  <c r="BU222" i="1" s="1"/>
  <c r="BU223" i="1" s="1"/>
  <c r="BS184" i="1"/>
  <c r="BS185" i="1" s="1"/>
  <c r="BQ190" i="1"/>
  <c r="BU181" i="1"/>
  <c r="BS272" i="1" l="1"/>
  <c r="BS270" i="1"/>
  <c r="BS268" i="1"/>
  <c r="BQ135" i="1"/>
  <c r="BQ138" i="1" s="1"/>
  <c r="BU210" i="1"/>
  <c r="BU213" i="1" s="1"/>
  <c r="BU237" i="1"/>
  <c r="BU234" i="1"/>
  <c r="BT233" i="1"/>
  <c r="BT234" i="1" s="1"/>
  <c r="BT235" i="1" s="1"/>
  <c r="BS235" i="1"/>
  <c r="BS189" i="1"/>
  <c r="BS192" i="1"/>
  <c r="BW177" i="1"/>
  <c r="BW180" i="1" s="1"/>
  <c r="BS133" i="1" l="1"/>
  <c r="BS135" i="1" s="1"/>
  <c r="BS138" i="1" s="1"/>
  <c r="BT61" i="1"/>
  <c r="BW209" i="1"/>
  <c r="BW208" i="1" s="1"/>
  <c r="BX221" i="1"/>
  <c r="BX222" i="1" s="1"/>
  <c r="BX223" i="1" s="1"/>
  <c r="BX237" i="1" s="1"/>
  <c r="BW221" i="1"/>
  <c r="BW222" i="1" s="1"/>
  <c r="BW223" i="1" s="1"/>
  <c r="BW181" i="1"/>
  <c r="BS190" i="1"/>
  <c r="BU184" i="1"/>
  <c r="BU185" i="1" s="1"/>
  <c r="BU270" i="1" l="1"/>
  <c r="BU272" i="1"/>
  <c r="BU268" i="1"/>
  <c r="BS134" i="1"/>
  <c r="BS137" i="1" s="1"/>
  <c r="BW210" i="1"/>
  <c r="BW213" i="1" s="1"/>
  <c r="BW237" i="1"/>
  <c r="BW234" i="1"/>
  <c r="BV233" i="1"/>
  <c r="BV234" i="1" s="1"/>
  <c r="BV235" i="1" s="1"/>
  <c r="BU235" i="1"/>
  <c r="BU189" i="1"/>
  <c r="BU192" i="1"/>
  <c r="BY177" i="1"/>
  <c r="BY180" i="1" s="1"/>
  <c r="BU133" i="1" l="1"/>
  <c r="BU135" i="1" s="1"/>
  <c r="BU138" i="1" s="1"/>
  <c r="BV61" i="1"/>
  <c r="BZ221" i="1"/>
  <c r="BZ222" i="1" s="1"/>
  <c r="BZ223" i="1" s="1"/>
  <c r="BZ237" i="1" s="1"/>
  <c r="BY209" i="1"/>
  <c r="BY208" i="1" s="1"/>
  <c r="BY221" i="1"/>
  <c r="BY222" i="1" s="1"/>
  <c r="BY223" i="1" s="1"/>
  <c r="BW184" i="1"/>
  <c r="BW185" i="1" s="1"/>
  <c r="BY181" i="1"/>
  <c r="BU190" i="1"/>
  <c r="BW270" i="1" l="1"/>
  <c r="BW272" i="1"/>
  <c r="BW268" i="1"/>
  <c r="BU134" i="1"/>
  <c r="BU137" i="1" s="1"/>
  <c r="BY210" i="1"/>
  <c r="BY213" i="1" s="1"/>
  <c r="BY237" i="1"/>
  <c r="BY234" i="1"/>
  <c r="BX233" i="1"/>
  <c r="BX234" i="1" s="1"/>
  <c r="BX235" i="1" s="1"/>
  <c r="BW235" i="1"/>
  <c r="BW189" i="1"/>
  <c r="BW192" i="1"/>
  <c r="BW133" i="1" l="1"/>
  <c r="BW135" i="1" s="1"/>
  <c r="BW138" i="1" s="1"/>
  <c r="BX61" i="1"/>
  <c r="BW190" i="1"/>
  <c r="BY184" i="1"/>
  <c r="BY185" i="1" s="1"/>
  <c r="BY272" i="1" l="1"/>
  <c r="BY270" i="1"/>
  <c r="BY268" i="1"/>
  <c r="BW134" i="1"/>
  <c r="BW137" i="1" s="1"/>
  <c r="BZ233" i="1"/>
  <c r="BZ234" i="1" s="1"/>
  <c r="BZ235" i="1" s="1"/>
  <c r="BY235" i="1"/>
  <c r="BY192" i="1"/>
  <c r="BY189" i="1"/>
  <c r="BY133" i="1" l="1"/>
  <c r="BY134" i="1" s="1"/>
  <c r="BY137" i="1" s="1"/>
  <c r="BZ61" i="1"/>
  <c r="BY190" i="1"/>
  <c r="CC169" i="1"/>
  <c r="CC168" i="1"/>
  <c r="CA168" i="1"/>
  <c r="CA177" i="1"/>
  <c r="CA180" i="1" s="1"/>
  <c r="CA169" i="1"/>
  <c r="BY135" i="1" l="1"/>
  <c r="BY138" i="1" s="1"/>
  <c r="CA172" i="1"/>
  <c r="CA206" i="1" s="1"/>
  <c r="CA205" i="1" s="1"/>
  <c r="CB221" i="1"/>
  <c r="CA209" i="1"/>
  <c r="CA208" i="1" s="1"/>
  <c r="CA221" i="1"/>
  <c r="CC177" i="1"/>
  <c r="CC180" i="1" s="1"/>
  <c r="CC172" i="1"/>
  <c r="CA181" i="1" l="1"/>
  <c r="CA220" i="1"/>
  <c r="CA222" i="1" s="1"/>
  <c r="CA223" i="1" s="1"/>
  <c r="CA237" i="1" s="1"/>
  <c r="CB220" i="1"/>
  <c r="CB222" i="1" s="1"/>
  <c r="CB223" i="1" s="1"/>
  <c r="CB237" i="1" s="1"/>
  <c r="CA210" i="1"/>
  <c r="CD220" i="1"/>
  <c r="CC206" i="1"/>
  <c r="CC205" i="1" s="1"/>
  <c r="CC220" i="1"/>
  <c r="CC209" i="1"/>
  <c r="CC208" i="1" s="1"/>
  <c r="CD221" i="1"/>
  <c r="CC221" i="1"/>
  <c r="CC181" i="1"/>
  <c r="CA213" i="1" l="1"/>
  <c r="CE213" i="1"/>
  <c r="CC222" i="1"/>
  <c r="CC223" i="1" s="1"/>
  <c r="CC237" i="1" s="1"/>
  <c r="CD222" i="1"/>
  <c r="CD223" i="1" s="1"/>
  <c r="CD237" i="1" s="1"/>
  <c r="CA234" i="1"/>
  <c r="CA184" i="1" s="1"/>
  <c r="CA185" i="1" s="1"/>
  <c r="CC210" i="1"/>
  <c r="CA272" i="1" l="1"/>
  <c r="CA270" i="1"/>
  <c r="CA268" i="1"/>
  <c r="CC213" i="1"/>
  <c r="CG213" i="1"/>
  <c r="CC234" i="1"/>
  <c r="CC184" i="1" s="1"/>
  <c r="CC185" i="1" s="1"/>
  <c r="CB233" i="1"/>
  <c r="CB234" i="1" s="1"/>
  <c r="CB235" i="1" s="1"/>
  <c r="CA235" i="1"/>
  <c r="CA192" i="1"/>
  <c r="CA189" i="1"/>
  <c r="CC270" i="1" l="1"/>
  <c r="CC272" i="1"/>
  <c r="CC268" i="1"/>
  <c r="CA133" i="1"/>
  <c r="CA134" i="1" s="1"/>
  <c r="CA137" i="1" s="1"/>
  <c r="CB61" i="1"/>
  <c r="CD233" i="1"/>
  <c r="CD234" i="1" s="1"/>
  <c r="CD235" i="1" s="1"/>
  <c r="CC235" i="1"/>
  <c r="CC189" i="1"/>
  <c r="CC192" i="1"/>
  <c r="CA190" i="1"/>
  <c r="CA135" i="1" l="1"/>
  <c r="CA138" i="1" s="1"/>
  <c r="CC133" i="1"/>
  <c r="CC134" i="1" s="1"/>
  <c r="CC137" i="1" s="1"/>
  <c r="CD61" i="1"/>
  <c r="CC190" i="1"/>
  <c r="CC135" i="1" l="1"/>
  <c r="CC138" i="1" s="1"/>
  <c r="CE113" i="1"/>
  <c r="CD113" i="1"/>
  <c r="CC113" i="1"/>
  <c r="CB113" i="1"/>
  <c r="Y113" i="1"/>
  <c r="CI169" i="1" l="1"/>
  <c r="CI177" i="1"/>
  <c r="CI180" i="1" s="1"/>
  <c r="CI168" i="1"/>
  <c r="CJ221" i="1" l="1"/>
  <c r="CI172" i="1"/>
  <c r="CI221" i="1"/>
  <c r="CJ220" i="1" l="1"/>
  <c r="CJ222" i="1" s="1"/>
  <c r="CJ223" i="1" s="1"/>
  <c r="CJ237" i="1" s="1"/>
  <c r="CI181" i="1"/>
  <c r="CI220" i="1"/>
  <c r="CI222" i="1" s="1"/>
  <c r="CI223" i="1" s="1"/>
  <c r="CI237" i="1" s="1"/>
  <c r="CI210" i="1" l="1"/>
  <c r="CI213" i="1" s="1"/>
  <c r="CI234" i="1"/>
  <c r="CI184" i="1" s="1"/>
  <c r="CI185" i="1" s="1"/>
  <c r="CI272" i="1" l="1"/>
  <c r="CI270" i="1"/>
  <c r="CI268" i="1"/>
  <c r="CI235" i="1"/>
  <c r="CJ233" i="1"/>
  <c r="CJ234" i="1" s="1"/>
  <c r="CI192" i="1"/>
  <c r="CI189" i="1"/>
  <c r="CI133" i="1" l="1"/>
  <c r="CI135" i="1" s="1"/>
  <c r="CI138" i="1" s="1"/>
  <c r="CJ61" i="1"/>
  <c r="CJ235" i="1"/>
  <c r="CI190" i="1"/>
  <c r="CI134" i="1" l="1"/>
  <c r="CI137" i="1" s="1"/>
  <c r="CJ192" i="1"/>
  <c r="CJ133" i="1" l="1"/>
  <c r="CK61" i="1"/>
  <c r="CJ135" i="1" l="1"/>
  <c r="CJ138" i="1" s="1"/>
  <c r="CJ134" i="1"/>
  <c r="CJ137" i="1" s="1"/>
  <c r="CK255" i="1"/>
  <c r="CK277" i="1"/>
  <c r="CK276" i="1"/>
  <c r="CN34" i="1"/>
  <c r="CN277" i="1"/>
  <c r="CM34" i="1"/>
  <c r="CM277" i="1"/>
  <c r="CN255" i="1"/>
  <c r="CM255" i="1"/>
  <c r="CM122" i="1"/>
  <c r="CM123" i="1" s="1"/>
  <c r="CM126" i="1" s="1"/>
  <c r="CN122" i="1"/>
  <c r="CN123" i="1" s="1"/>
  <c r="CN126" i="1" s="1"/>
  <c r="AA21" i="1"/>
  <c r="AA26" i="1" s="1"/>
  <c r="CM35" i="1" l="1"/>
  <c r="CN35" i="1"/>
  <c r="CM170" i="1"/>
  <c r="CQ277" i="1"/>
  <c r="CO34" i="1"/>
  <c r="CO35" i="1" s="1"/>
  <c r="CN50" i="1"/>
  <c r="CN22" i="1" s="1"/>
  <c r="CR277" i="1"/>
  <c r="CN169" i="1"/>
  <c r="CN40" i="1"/>
  <c r="CN168" i="1"/>
  <c r="CN177" i="1"/>
  <c r="CM50" i="1"/>
  <c r="CM22" i="1" s="1"/>
  <c r="CM177" i="1"/>
  <c r="CN36" i="1"/>
  <c r="CN176" i="1"/>
  <c r="CN170" i="1"/>
  <c r="CM169" i="1"/>
  <c r="CM36" i="1"/>
  <c r="CM40" i="1"/>
  <c r="CM39" i="1" s="1"/>
  <c r="CM176" i="1"/>
  <c r="CM168" i="1"/>
  <c r="CK168" i="1"/>
  <c r="CK177" i="1"/>
  <c r="CK169" i="1"/>
  <c r="CM249" i="1"/>
  <c r="CK176" i="1"/>
  <c r="CK249" i="1"/>
  <c r="CK170" i="1"/>
  <c r="CN249" i="1"/>
  <c r="CN47" i="1" l="1"/>
  <c r="CM47" i="1"/>
  <c r="CO249" i="1"/>
  <c r="CM180" i="1"/>
  <c r="CK180" i="1"/>
  <c r="CN39" i="1"/>
  <c r="CN42" i="1"/>
  <c r="CN52" i="1"/>
  <c r="CN172" i="1"/>
  <c r="CM172" i="1"/>
  <c r="CN180" i="1"/>
  <c r="CR34" i="1"/>
  <c r="CM42" i="1"/>
  <c r="CR255" i="1"/>
  <c r="CQ34" i="1"/>
  <c r="CQ255" i="1"/>
  <c r="CM52" i="1"/>
  <c r="CR122" i="1"/>
  <c r="CR123" i="1" s="1"/>
  <c r="CR126" i="1" s="1"/>
  <c r="CP277" i="1"/>
  <c r="CN43" i="1"/>
  <c r="CO122" i="1"/>
  <c r="CO123" i="1" s="1"/>
  <c r="CO126" i="1" s="1"/>
  <c r="CO277" i="1"/>
  <c r="CO255" i="1"/>
  <c r="CK172" i="1"/>
  <c r="CM43" i="1"/>
  <c r="CP255" i="1"/>
  <c r="CP34" i="1"/>
  <c r="CQ122" i="1"/>
  <c r="CQ123" i="1" s="1"/>
  <c r="CQ126" i="1" s="1"/>
  <c r="AB32" i="1"/>
  <c r="AB21" i="1" s="1"/>
  <c r="AB26" i="1" s="1"/>
  <c r="CP122" i="1"/>
  <c r="CP123" i="1" s="1"/>
  <c r="CP126" i="1" s="1"/>
  <c r="CO168" i="1"/>
  <c r="CO40" i="1"/>
  <c r="CO176" i="1"/>
  <c r="CO177" i="1"/>
  <c r="CO50" i="1"/>
  <c r="CO22" i="1" s="1"/>
  <c r="CO169" i="1"/>
  <c r="CO170" i="1"/>
  <c r="CO36" i="1"/>
  <c r="CK221" i="1" l="1"/>
  <c r="CL221" i="1"/>
  <c r="CK220" i="1"/>
  <c r="CL220" i="1"/>
  <c r="CL222" i="1" s="1"/>
  <c r="CL223" i="1" s="1"/>
  <c r="CL237" i="1" s="1"/>
  <c r="CM23" i="1"/>
  <c r="CM27" i="1"/>
  <c r="CN23" i="1"/>
  <c r="CN27" i="1"/>
  <c r="CQ35" i="1"/>
  <c r="CR35" i="1"/>
  <c r="AB277" i="1"/>
  <c r="CP35" i="1"/>
  <c r="CO47" i="1"/>
  <c r="CN274" i="1"/>
  <c r="CN275" i="1" s="1"/>
  <c r="CN221" i="1"/>
  <c r="CN53" i="1"/>
  <c r="CN256" i="1"/>
  <c r="CN257" i="1" s="1"/>
  <c r="CN54" i="1"/>
  <c r="CN58" i="1"/>
  <c r="CN181" i="1"/>
  <c r="CM181" i="1"/>
  <c r="CN220" i="1"/>
  <c r="CR176" i="1"/>
  <c r="CR40" i="1"/>
  <c r="CR168" i="1"/>
  <c r="CR169" i="1"/>
  <c r="CR36" i="1"/>
  <c r="CR170" i="1"/>
  <c r="CR50" i="1"/>
  <c r="CR22" i="1" s="1"/>
  <c r="CR177" i="1"/>
  <c r="CQ36" i="1"/>
  <c r="CQ50" i="1"/>
  <c r="CQ22" i="1" s="1"/>
  <c r="CQ170" i="1"/>
  <c r="CQ169" i="1"/>
  <c r="CQ176" i="1"/>
  <c r="CQ177" i="1"/>
  <c r="CQ168" i="1"/>
  <c r="CN55" i="1"/>
  <c r="CM54" i="1"/>
  <c r="CM256" i="1"/>
  <c r="CM257" i="1" s="1"/>
  <c r="CM53" i="1"/>
  <c r="CM58" i="1"/>
  <c r="CQ40" i="1"/>
  <c r="CK181" i="1"/>
  <c r="CK274" i="1"/>
  <c r="CK275" i="1" s="1"/>
  <c r="CS122" i="1"/>
  <c r="CS123" i="1" s="1"/>
  <c r="CS126" i="1" s="1"/>
  <c r="CS277" i="1"/>
  <c r="CM274" i="1"/>
  <c r="CM275" i="1" s="1"/>
  <c r="CK256" i="1"/>
  <c r="CK257" i="1" s="1"/>
  <c r="CK250" i="1"/>
  <c r="CN250" i="1"/>
  <c r="CR249" i="1"/>
  <c r="CP249" i="1"/>
  <c r="AB34" i="1"/>
  <c r="CO180" i="1"/>
  <c r="CS34" i="1"/>
  <c r="CS255" i="1"/>
  <c r="CO172" i="1"/>
  <c r="CM136" i="1"/>
  <c r="CN136" i="1"/>
  <c r="CM221" i="1"/>
  <c r="CP169" i="1"/>
  <c r="AB169" i="1" s="1"/>
  <c r="AB204" i="1" s="1"/>
  <c r="CP168" i="1"/>
  <c r="CP176" i="1"/>
  <c r="CP40" i="1"/>
  <c r="CP39" i="1" s="1"/>
  <c r="CP177" i="1"/>
  <c r="AB177" i="1" s="1"/>
  <c r="AB207" i="1" s="1"/>
  <c r="CP170" i="1"/>
  <c r="AB170" i="1" s="1"/>
  <c r="CP36" i="1"/>
  <c r="CP50" i="1"/>
  <c r="CP22" i="1" s="1"/>
  <c r="CT277" i="1"/>
  <c r="CO52" i="1"/>
  <c r="CO42" i="1"/>
  <c r="CO43" i="1"/>
  <c r="CM220" i="1"/>
  <c r="CQ249" i="1"/>
  <c r="CO39" i="1"/>
  <c r="CM250" i="1"/>
  <c r="CM55" i="1"/>
  <c r="CK222" i="1" l="1"/>
  <c r="CO23" i="1"/>
  <c r="CO27" i="1"/>
  <c r="AA22" i="1"/>
  <c r="CS35" i="1"/>
  <c r="CQ47" i="1"/>
  <c r="CR47" i="1"/>
  <c r="CP47" i="1"/>
  <c r="AB47" i="1" s="1"/>
  <c r="AB50" i="1" s="1"/>
  <c r="CU277" i="1"/>
  <c r="CU34" i="1"/>
  <c r="CU255" i="1"/>
  <c r="CS249" i="1"/>
  <c r="CW277" i="1"/>
  <c r="CR172" i="1"/>
  <c r="CQ180" i="1"/>
  <c r="CN222" i="1"/>
  <c r="CR180" i="1"/>
  <c r="CR42" i="1"/>
  <c r="CR43" i="1"/>
  <c r="CR52" i="1"/>
  <c r="CR39" i="1"/>
  <c r="CV277" i="1"/>
  <c r="CV255" i="1"/>
  <c r="CV34" i="1"/>
  <c r="CQ39" i="1"/>
  <c r="CQ42" i="1"/>
  <c r="CQ52" i="1"/>
  <c r="CQ172" i="1"/>
  <c r="CO136" i="1"/>
  <c r="CO274" i="1"/>
  <c r="CO275" i="1" s="1"/>
  <c r="AB122" i="1"/>
  <c r="AB123" i="1" s="1"/>
  <c r="AB126" i="1" s="1"/>
  <c r="AB212" i="1"/>
  <c r="CQ43" i="1"/>
  <c r="AB39" i="1"/>
  <c r="AB40" i="1" s="1"/>
  <c r="CM222" i="1"/>
  <c r="CO181" i="1"/>
  <c r="CO220" i="1"/>
  <c r="CO250" i="1"/>
  <c r="AC32" i="1"/>
  <c r="AC21" i="1" s="1"/>
  <c r="AC26" i="1" s="1"/>
  <c r="CV122" i="1"/>
  <c r="CV123" i="1" s="1"/>
  <c r="CV126" i="1" s="1"/>
  <c r="AB35" i="1"/>
  <c r="AB82" i="1"/>
  <c r="AB168" i="1"/>
  <c r="CP172" i="1"/>
  <c r="CS168" i="1"/>
  <c r="CS40" i="1"/>
  <c r="CS39" i="1" s="1"/>
  <c r="CS176" i="1"/>
  <c r="CS36" i="1"/>
  <c r="CS169" i="1"/>
  <c r="CS177" i="1"/>
  <c r="CS170" i="1"/>
  <c r="CS50" i="1"/>
  <c r="CS22" i="1" s="1"/>
  <c r="CT122" i="1"/>
  <c r="CT123" i="1" s="1"/>
  <c r="CT126" i="1" s="1"/>
  <c r="CO221" i="1"/>
  <c r="CO54" i="1"/>
  <c r="CO256" i="1"/>
  <c r="CO257" i="1" s="1"/>
  <c r="CO58" i="1"/>
  <c r="CO55" i="1"/>
  <c r="CO53" i="1"/>
  <c r="CP42" i="1"/>
  <c r="CP52" i="1"/>
  <c r="CP43" i="1"/>
  <c r="CT255" i="1"/>
  <c r="CT34" i="1"/>
  <c r="AB176" i="1"/>
  <c r="AB180" i="1" s="1"/>
  <c r="CP180" i="1"/>
  <c r="CU122" i="1"/>
  <c r="CU123" i="1" s="1"/>
  <c r="CU126" i="1" s="1"/>
  <c r="AA23" i="1" l="1"/>
  <c r="AA27" i="1"/>
  <c r="CQ23" i="1"/>
  <c r="CQ27" i="1"/>
  <c r="CP23" i="1"/>
  <c r="CP27" i="1"/>
  <c r="CR23" i="1"/>
  <c r="CR27" i="1"/>
  <c r="AB22" i="1"/>
  <c r="AC277" i="1"/>
  <c r="CU35" i="1"/>
  <c r="CT35" i="1"/>
  <c r="CV35" i="1"/>
  <c r="AB51" i="1"/>
  <c r="CS47" i="1"/>
  <c r="CU40" i="1"/>
  <c r="CU39" i="1" s="1"/>
  <c r="CU50" i="1"/>
  <c r="CU22" i="1" s="1"/>
  <c r="CU168" i="1"/>
  <c r="CY277" i="1"/>
  <c r="CU176" i="1"/>
  <c r="CU169" i="1"/>
  <c r="CU177" i="1"/>
  <c r="CU170" i="1"/>
  <c r="CU36" i="1"/>
  <c r="CQ221" i="1"/>
  <c r="CV168" i="1"/>
  <c r="CV40" i="1"/>
  <c r="CV42" i="1" s="1"/>
  <c r="CV176" i="1"/>
  <c r="CR221" i="1"/>
  <c r="CR181" i="1"/>
  <c r="CR256" i="1"/>
  <c r="CR257" i="1" s="1"/>
  <c r="CR53" i="1"/>
  <c r="CR58" i="1"/>
  <c r="CR54" i="1"/>
  <c r="CV170" i="1"/>
  <c r="CV169" i="1"/>
  <c r="CV50" i="1"/>
  <c r="CV22" i="1" s="1"/>
  <c r="CV36" i="1"/>
  <c r="CV177" i="1"/>
  <c r="CQ58" i="1"/>
  <c r="CQ53" i="1"/>
  <c r="CQ54" i="1"/>
  <c r="CR55" i="1"/>
  <c r="CR274" i="1"/>
  <c r="CR275" i="1" s="1"/>
  <c r="CQ256" i="1"/>
  <c r="CQ257" i="1" s="1"/>
  <c r="CR220" i="1"/>
  <c r="CQ181" i="1"/>
  <c r="AB42" i="1"/>
  <c r="CP136" i="1"/>
  <c r="CP274" i="1"/>
  <c r="CP275" i="1" s="1"/>
  <c r="CQ274" i="1"/>
  <c r="CQ275" i="1" s="1"/>
  <c r="CS180" i="1"/>
  <c r="CS221" i="1" s="1"/>
  <c r="CV249" i="1"/>
  <c r="CP221" i="1"/>
  <c r="CP256" i="1"/>
  <c r="CP257" i="1" s="1"/>
  <c r="CP54" i="1"/>
  <c r="CP55" i="1"/>
  <c r="CP53" i="1"/>
  <c r="CP58" i="1"/>
  <c r="CT249" i="1"/>
  <c r="CP250" i="1"/>
  <c r="CU249" i="1"/>
  <c r="CR250" i="1"/>
  <c r="CQ250" i="1"/>
  <c r="CS52" i="1"/>
  <c r="CS274" i="1" s="1"/>
  <c r="CS275" i="1" s="1"/>
  <c r="CS42" i="1"/>
  <c r="CS43" i="1"/>
  <c r="AC34" i="1"/>
  <c r="CO222" i="1"/>
  <c r="CW255" i="1"/>
  <c r="CW34" i="1"/>
  <c r="CQ136" i="1"/>
  <c r="CW122" i="1"/>
  <c r="CW123" i="1" s="1"/>
  <c r="CW126" i="1" s="1"/>
  <c r="CS172" i="1"/>
  <c r="CT168" i="1"/>
  <c r="CT177" i="1"/>
  <c r="AC177" i="1" s="1"/>
  <c r="AC207" i="1" s="1"/>
  <c r="CT40" i="1"/>
  <c r="CT39" i="1" s="1"/>
  <c r="AC39" i="1" s="1"/>
  <c r="CT169" i="1"/>
  <c r="AC169" i="1" s="1"/>
  <c r="AC204" i="1" s="1"/>
  <c r="CT176" i="1"/>
  <c r="CT50" i="1"/>
  <c r="CT22" i="1" s="1"/>
  <c r="CT36" i="1"/>
  <c r="CT170" i="1"/>
  <c r="AC170" i="1" s="1"/>
  <c r="AB83" i="1"/>
  <c r="AB41" i="1"/>
  <c r="AB52" i="1"/>
  <c r="AB274" i="1" s="1"/>
  <c r="AB275" i="1" s="1"/>
  <c r="CQ55" i="1"/>
  <c r="CQ220" i="1"/>
  <c r="CP181" i="1"/>
  <c r="CP220" i="1"/>
  <c r="AB209" i="1"/>
  <c r="AB208" i="1" s="1"/>
  <c r="AB221" i="1"/>
  <c r="CR136" i="1"/>
  <c r="AB172" i="1"/>
  <c r="AB203" i="1"/>
  <c r="AB23" i="1" l="1"/>
  <c r="AB27" i="1"/>
  <c r="CS23" i="1"/>
  <c r="CS27" i="1"/>
  <c r="CU42" i="1"/>
  <c r="CU52" i="1"/>
  <c r="CU53" i="1" s="1"/>
  <c r="CW35" i="1"/>
  <c r="CT47" i="1"/>
  <c r="AC47" i="1" s="1"/>
  <c r="AC50" i="1" s="1"/>
  <c r="AC22" i="1" s="1"/>
  <c r="CU47" i="1"/>
  <c r="CV47" i="1"/>
  <c r="CU172" i="1"/>
  <c r="CY255" i="1"/>
  <c r="CY34" i="1"/>
  <c r="CY169" i="1" s="1"/>
  <c r="CU180" i="1"/>
  <c r="CW249" i="1"/>
  <c r="DA277" i="1"/>
  <c r="CQ222" i="1"/>
  <c r="CV172" i="1"/>
  <c r="CV39" i="1"/>
  <c r="CV43" i="1"/>
  <c r="CV180" i="1"/>
  <c r="CV52" i="1"/>
  <c r="CZ277" i="1"/>
  <c r="CZ255" i="1"/>
  <c r="CZ34" i="1"/>
  <c r="CR222" i="1"/>
  <c r="CX122" i="1"/>
  <c r="CX123" i="1" s="1"/>
  <c r="CX126" i="1" s="1"/>
  <c r="CX277" i="1"/>
  <c r="CP222" i="1"/>
  <c r="AC122" i="1"/>
  <c r="AC123" i="1" s="1"/>
  <c r="AC126" i="1" s="1"/>
  <c r="AC212" i="1"/>
  <c r="AB54" i="1"/>
  <c r="CT172" i="1"/>
  <c r="CT220" i="1" s="1"/>
  <c r="AC168" i="1"/>
  <c r="CS181" i="1"/>
  <c r="CS220" i="1"/>
  <c r="CS222" i="1" s="1"/>
  <c r="CY122" i="1"/>
  <c r="CY123" i="1" s="1"/>
  <c r="CY126" i="1" s="1"/>
  <c r="CS55" i="1"/>
  <c r="CS53" i="1"/>
  <c r="CS58" i="1"/>
  <c r="CS256" i="1"/>
  <c r="CS257" i="1" s="1"/>
  <c r="CS54" i="1"/>
  <c r="AB181" i="1"/>
  <c r="AB206" i="1"/>
  <c r="AB220" i="1"/>
  <c r="AB222" i="1" s="1"/>
  <c r="AB84" i="1"/>
  <c r="AB58" i="1"/>
  <c r="AB136" i="1"/>
  <c r="AB53" i="1"/>
  <c r="CW40" i="1"/>
  <c r="CW39" i="1" s="1"/>
  <c r="CW176" i="1"/>
  <c r="CW168" i="1"/>
  <c r="CW36" i="1"/>
  <c r="CW170" i="1"/>
  <c r="CW169" i="1"/>
  <c r="CW177" i="1"/>
  <c r="CW50" i="1"/>
  <c r="CW22" i="1" s="1"/>
  <c r="CT180" i="1"/>
  <c r="AC176" i="1"/>
  <c r="AC180" i="1" s="1"/>
  <c r="CS136" i="1"/>
  <c r="CK269" i="1"/>
  <c r="CK251" i="1"/>
  <c r="CK258" i="1"/>
  <c r="CS250" i="1"/>
  <c r="CT43" i="1"/>
  <c r="CT42" i="1"/>
  <c r="CT52" i="1"/>
  <c r="AC35" i="1"/>
  <c r="AC40" i="1"/>
  <c r="AC82" i="1"/>
  <c r="CX255" i="1"/>
  <c r="CX34" i="1"/>
  <c r="CZ122" i="1"/>
  <c r="CZ123" i="1" s="1"/>
  <c r="CZ126" i="1" s="1"/>
  <c r="CU43" i="1"/>
  <c r="AD32" i="1"/>
  <c r="AD21" i="1" s="1"/>
  <c r="AD26" i="1" s="1"/>
  <c r="AC23" i="1" l="1"/>
  <c r="AC27" i="1"/>
  <c r="CV23" i="1"/>
  <c r="CV27" i="1"/>
  <c r="CT23" i="1"/>
  <c r="CT27" i="1"/>
  <c r="CU58" i="1"/>
  <c r="CU23" i="1"/>
  <c r="CU27" i="1"/>
  <c r="CU256" i="1"/>
  <c r="CU257" i="1" s="1"/>
  <c r="CU54" i="1"/>
  <c r="CZ177" i="1"/>
  <c r="CZ35" i="1"/>
  <c r="CX35" i="1"/>
  <c r="CY40" i="1"/>
  <c r="CY39" i="1" s="1"/>
  <c r="CY35" i="1"/>
  <c r="AD277" i="1"/>
  <c r="AC51" i="1"/>
  <c r="CW47" i="1"/>
  <c r="CV220" i="1"/>
  <c r="CU181" i="1"/>
  <c r="CY168" i="1"/>
  <c r="CY50" i="1"/>
  <c r="CY22" i="1" s="1"/>
  <c r="CY170" i="1"/>
  <c r="CY176" i="1"/>
  <c r="CY177" i="1"/>
  <c r="CZ249" i="1"/>
  <c r="CV274" i="1"/>
  <c r="CV275" i="1" s="1"/>
  <c r="CV58" i="1"/>
  <c r="CV256" i="1"/>
  <c r="CV257" i="1" s="1"/>
  <c r="CV53" i="1"/>
  <c r="CV55" i="1"/>
  <c r="CV54" i="1"/>
  <c r="CZ50" i="1"/>
  <c r="CZ22" i="1" s="1"/>
  <c r="CZ168" i="1"/>
  <c r="CZ36" i="1"/>
  <c r="CZ176" i="1"/>
  <c r="CZ170" i="1"/>
  <c r="CZ169" i="1"/>
  <c r="CZ40" i="1"/>
  <c r="CV181" i="1"/>
  <c r="CV221" i="1"/>
  <c r="AC42" i="1"/>
  <c r="CU136" i="1"/>
  <c r="CT274" i="1"/>
  <c r="CT275" i="1" s="1"/>
  <c r="CU274" i="1"/>
  <c r="CU275" i="1" s="1"/>
  <c r="CW180" i="1"/>
  <c r="CW221" i="1" s="1"/>
  <c r="CX249" i="1"/>
  <c r="CY249" i="1"/>
  <c r="CY36" i="1"/>
  <c r="CU221" i="1"/>
  <c r="CT221" i="1"/>
  <c r="CT222" i="1" s="1"/>
  <c r="CK217" i="1"/>
  <c r="CK219" i="1" s="1"/>
  <c r="CK223" i="1" s="1"/>
  <c r="CK237" i="1" s="1"/>
  <c r="CK143" i="1"/>
  <c r="CV250" i="1"/>
  <c r="AC52" i="1"/>
  <c r="AC274" i="1" s="1"/>
  <c r="AC275" i="1" s="1"/>
  <c r="AC83" i="1"/>
  <c r="AC41" i="1"/>
  <c r="CW172" i="1"/>
  <c r="CT250" i="1"/>
  <c r="AC203" i="1"/>
  <c r="AC172" i="1"/>
  <c r="DA255" i="1"/>
  <c r="DA34" i="1"/>
  <c r="CT181" i="1"/>
  <c r="CU220" i="1"/>
  <c r="CX168" i="1"/>
  <c r="CX169" i="1"/>
  <c r="AD169" i="1" s="1"/>
  <c r="AD204" i="1" s="1"/>
  <c r="CX40" i="1"/>
  <c r="CX177" i="1"/>
  <c r="AD177" i="1" s="1"/>
  <c r="AD207" i="1" s="1"/>
  <c r="CX176" i="1"/>
  <c r="CX36" i="1"/>
  <c r="CX50" i="1"/>
  <c r="CX22" i="1" s="1"/>
  <c r="CX170" i="1"/>
  <c r="AD170" i="1" s="1"/>
  <c r="CT58" i="1"/>
  <c r="CT54" i="1"/>
  <c r="CT53" i="1"/>
  <c r="CT256" i="1"/>
  <c r="CT257" i="1" s="1"/>
  <c r="CT55" i="1"/>
  <c r="CW43" i="1"/>
  <c r="CW42" i="1"/>
  <c r="CW52" i="1"/>
  <c r="CU250" i="1"/>
  <c r="CU55" i="1"/>
  <c r="AD34" i="1"/>
  <c r="DA122" i="1"/>
  <c r="DA123" i="1" s="1"/>
  <c r="DA126" i="1" s="1"/>
  <c r="AC209" i="1"/>
  <c r="AC208" i="1" s="1"/>
  <c r="AC221" i="1"/>
  <c r="AB205" i="1"/>
  <c r="AB210" i="1"/>
  <c r="AB213" i="1" s="1"/>
  <c r="AB214" i="1" s="1"/>
  <c r="CT136" i="1"/>
  <c r="CV136" i="1"/>
  <c r="CZ180" i="1" l="1"/>
  <c r="CW23" i="1"/>
  <c r="CW27" i="1"/>
  <c r="CY172" i="1"/>
  <c r="CY52" i="1"/>
  <c r="CY53" i="1" s="1"/>
  <c r="CY42" i="1"/>
  <c r="CY43" i="1"/>
  <c r="DA249" i="1"/>
  <c r="DA35" i="1"/>
  <c r="CY47" i="1"/>
  <c r="CX47" i="1"/>
  <c r="AD47" i="1" s="1"/>
  <c r="AD50" i="1" s="1"/>
  <c r="AD22" i="1" s="1"/>
  <c r="CV222" i="1"/>
  <c r="CZ47" i="1"/>
  <c r="CY180" i="1"/>
  <c r="CZ172" i="1"/>
  <c r="CZ39" i="1"/>
  <c r="CZ42" i="1"/>
  <c r="CZ52" i="1"/>
  <c r="CZ43" i="1"/>
  <c r="CW250" i="1"/>
  <c r="CW274" i="1"/>
  <c r="CW275" i="1" s="1"/>
  <c r="DB122" i="1"/>
  <c r="DB123" i="1" s="1"/>
  <c r="DB126" i="1" s="1"/>
  <c r="DB277" i="1"/>
  <c r="AD122" i="1"/>
  <c r="AD123" i="1" s="1"/>
  <c r="AD126" i="1" s="1"/>
  <c r="AD212" i="1"/>
  <c r="CU222" i="1"/>
  <c r="AC54" i="1"/>
  <c r="AD176" i="1"/>
  <c r="AD180" i="1" s="1"/>
  <c r="CX180" i="1"/>
  <c r="DA176" i="1"/>
  <c r="DA177" i="1"/>
  <c r="DA169" i="1"/>
  <c r="DA40" i="1"/>
  <c r="DA168" i="1"/>
  <c r="DA50" i="1"/>
  <c r="DA22" i="1" s="1"/>
  <c r="DA36" i="1"/>
  <c r="DA170" i="1"/>
  <c r="CK144" i="1"/>
  <c r="CL231" i="1" s="1"/>
  <c r="CL229" i="1" s="1"/>
  <c r="CX43" i="1"/>
  <c r="CX52" i="1"/>
  <c r="CX42" i="1"/>
  <c r="AC206" i="1"/>
  <c r="AC181" i="1"/>
  <c r="AC220" i="1"/>
  <c r="AC222" i="1" s="1"/>
  <c r="AC58" i="1"/>
  <c r="AC84" i="1"/>
  <c r="AC53" i="1"/>
  <c r="AC136" i="1"/>
  <c r="DB34" i="1"/>
  <c r="DB255" i="1"/>
  <c r="CW181" i="1"/>
  <c r="CW220" i="1"/>
  <c r="CW222" i="1" s="1"/>
  <c r="AD168" i="1"/>
  <c r="CX172" i="1"/>
  <c r="AD82" i="1"/>
  <c r="AD35" i="1"/>
  <c r="CW58" i="1"/>
  <c r="CW54" i="1"/>
  <c r="CW256" i="1"/>
  <c r="CW257" i="1" s="1"/>
  <c r="CW55" i="1"/>
  <c r="CW53" i="1"/>
  <c r="CW136" i="1"/>
  <c r="CX39" i="1"/>
  <c r="AD39" i="1" s="1"/>
  <c r="AD40" i="1" s="1"/>
  <c r="AE32" i="1"/>
  <c r="AE21" i="1" s="1"/>
  <c r="AE26" i="1" s="1"/>
  <c r="CY58" i="1" l="1"/>
  <c r="AD23" i="1"/>
  <c r="AD27" i="1"/>
  <c r="CY181" i="1"/>
  <c r="CX23" i="1"/>
  <c r="CX27" i="1"/>
  <c r="CY256" i="1"/>
  <c r="CY257" i="1" s="1"/>
  <c r="CY23" i="1"/>
  <c r="CY27" i="1"/>
  <c r="CZ23" i="1"/>
  <c r="CZ27" i="1"/>
  <c r="CY274" i="1"/>
  <c r="CY275" i="1" s="1"/>
  <c r="CY54" i="1"/>
  <c r="CK116" i="1"/>
  <c r="CK78" i="1"/>
  <c r="AE277" i="1"/>
  <c r="DB249" i="1"/>
  <c r="DB35" i="1"/>
  <c r="AD51" i="1"/>
  <c r="DA47" i="1"/>
  <c r="CZ221" i="1"/>
  <c r="CZ220" i="1"/>
  <c r="CZ181" i="1"/>
  <c r="CZ274" i="1"/>
  <c r="CZ275" i="1" s="1"/>
  <c r="CZ53" i="1"/>
  <c r="CZ256" i="1"/>
  <c r="CZ257" i="1" s="1"/>
  <c r="CZ55" i="1"/>
  <c r="CZ58" i="1"/>
  <c r="CZ54" i="1"/>
  <c r="AD42" i="1"/>
  <c r="CZ136" i="1"/>
  <c r="CX274" i="1"/>
  <c r="CX275" i="1" s="1"/>
  <c r="CY250" i="1"/>
  <c r="CY55" i="1"/>
  <c r="CZ250" i="1"/>
  <c r="CX250" i="1"/>
  <c r="CY136" i="1"/>
  <c r="CX136" i="1"/>
  <c r="DA172" i="1"/>
  <c r="DA220" i="1" s="1"/>
  <c r="AD41" i="1"/>
  <c r="AD83" i="1"/>
  <c r="AD52" i="1"/>
  <c r="AD274" i="1" s="1"/>
  <c r="AD275" i="1" s="1"/>
  <c r="CY220" i="1"/>
  <c r="CX181" i="1"/>
  <c r="CY221" i="1"/>
  <c r="CX221" i="1"/>
  <c r="AD209" i="1"/>
  <c r="AD208" i="1" s="1"/>
  <c r="AD221" i="1"/>
  <c r="CG113" i="1"/>
  <c r="DA43" i="1"/>
  <c r="DA42" i="1"/>
  <c r="DA52" i="1"/>
  <c r="DA274" i="1" s="1"/>
  <c r="DA275" i="1" s="1"/>
  <c r="CX220" i="1"/>
  <c r="CX58" i="1"/>
  <c r="CX54" i="1"/>
  <c r="CX53" i="1"/>
  <c r="CX256" i="1"/>
  <c r="CX257" i="1" s="1"/>
  <c r="CX55" i="1"/>
  <c r="AD203" i="1"/>
  <c r="AD172" i="1"/>
  <c r="CK231" i="1"/>
  <c r="CK229" i="1" s="1"/>
  <c r="CK234" i="1" s="1"/>
  <c r="CK153" i="1"/>
  <c r="CK79" i="1" s="1"/>
  <c r="AC205" i="1"/>
  <c r="AC210" i="1"/>
  <c r="AC213" i="1" s="1"/>
  <c r="AC214" i="1" s="1"/>
  <c r="DA39" i="1"/>
  <c r="DB169" i="1"/>
  <c r="AE169" i="1" s="1"/>
  <c r="AE204" i="1" s="1"/>
  <c r="DB40" i="1"/>
  <c r="DB39" i="1" s="1"/>
  <c r="DB168" i="1"/>
  <c r="DB50" i="1"/>
  <c r="DB22" i="1" s="1"/>
  <c r="DB177" i="1"/>
  <c r="AE177" i="1" s="1"/>
  <c r="AE207" i="1" s="1"/>
  <c r="DB36" i="1"/>
  <c r="DB170" i="1"/>
  <c r="AE170" i="1" s="1"/>
  <c r="DB176" i="1"/>
  <c r="AE34" i="1"/>
  <c r="DA180" i="1"/>
  <c r="DA23" i="1" l="1"/>
  <c r="DA27" i="1"/>
  <c r="CK120" i="1"/>
  <c r="CK119" i="1"/>
  <c r="CK118" i="1"/>
  <c r="CZ222" i="1"/>
  <c r="DB47" i="1"/>
  <c r="AE47" i="1" s="1"/>
  <c r="AE50" i="1" s="1"/>
  <c r="AE22" i="1" s="1"/>
  <c r="AE122" i="1"/>
  <c r="AE123" i="1" s="1"/>
  <c r="AE126" i="1" s="1"/>
  <c r="AE212" i="1"/>
  <c r="AD54" i="1"/>
  <c r="DA181" i="1"/>
  <c r="CK184" i="1"/>
  <c r="CK185" i="1" s="1"/>
  <c r="CL233" i="1" s="1"/>
  <c r="CL234" i="1" s="1"/>
  <c r="CL235" i="1" s="1"/>
  <c r="DB43" i="1"/>
  <c r="DB52" i="1"/>
  <c r="DB274" i="1" s="1"/>
  <c r="DB275" i="1" s="1"/>
  <c r="DB42" i="1"/>
  <c r="CX222" i="1"/>
  <c r="CY222" i="1"/>
  <c r="AD181" i="1"/>
  <c r="AD206" i="1"/>
  <c r="AD220" i="1"/>
  <c r="AD222" i="1" s="1"/>
  <c r="DB172" i="1"/>
  <c r="AE168" i="1"/>
  <c r="DA58" i="1"/>
  <c r="DA53" i="1"/>
  <c r="DA54" i="1"/>
  <c r="DA55" i="1"/>
  <c r="DA256" i="1"/>
  <c r="DA257" i="1" s="1"/>
  <c r="AD58" i="1"/>
  <c r="AD53" i="1"/>
  <c r="AD136" i="1"/>
  <c r="AD84" i="1"/>
  <c r="AE35" i="1"/>
  <c r="AE82" i="1"/>
  <c r="AE39" i="1"/>
  <c r="AE40" i="1" s="1"/>
  <c r="AE42" i="1" s="1"/>
  <c r="DA136" i="1"/>
  <c r="DA250" i="1"/>
  <c r="AE176" i="1"/>
  <c r="AE180" i="1" s="1"/>
  <c r="DB180" i="1"/>
  <c r="DB221" i="1" s="1"/>
  <c r="DA221" i="1"/>
  <c r="DA222" i="1" s="1"/>
  <c r="AE23" i="1" l="1"/>
  <c r="AE27" i="1"/>
  <c r="DB23" i="1"/>
  <c r="DB27" i="1"/>
  <c r="AE51" i="1"/>
  <c r="CK235" i="1"/>
  <c r="CK272" i="1"/>
  <c r="CK268" i="1"/>
  <c r="CK270" i="1"/>
  <c r="AE52" i="1"/>
  <c r="AE41" i="1"/>
  <c r="AE83" i="1"/>
  <c r="DB58" i="1"/>
  <c r="DB55" i="1"/>
  <c r="DB256" i="1"/>
  <c r="DB257" i="1" s="1"/>
  <c r="DB53" i="1"/>
  <c r="DB54" i="1"/>
  <c r="DB136" i="1"/>
  <c r="AD210" i="1"/>
  <c r="AD213" i="1" s="1"/>
  <c r="AD214" i="1" s="1"/>
  <c r="AD205" i="1"/>
  <c r="AE172" i="1"/>
  <c r="AE203" i="1"/>
  <c r="CK189" i="1"/>
  <c r="CK192" i="1"/>
  <c r="DB181" i="1"/>
  <c r="DB220" i="1"/>
  <c r="DB222" i="1" s="1"/>
  <c r="AE209" i="1"/>
  <c r="AE208" i="1" s="1"/>
  <c r="AE221" i="1"/>
  <c r="DB250" i="1"/>
  <c r="CK133" i="1" l="1"/>
  <c r="CL61" i="1"/>
  <c r="CM61" i="1" s="1"/>
  <c r="CN61" i="1" s="1"/>
  <c r="CO61" i="1" s="1"/>
  <c r="CP61" i="1" s="1"/>
  <c r="CR61" i="1" s="1"/>
  <c r="CS61" i="1" s="1"/>
  <c r="CT61" i="1" s="1"/>
  <c r="CU61" i="1" s="1"/>
  <c r="CV61" i="1" s="1"/>
  <c r="CW61" i="1" s="1"/>
  <c r="CX61" i="1" s="1"/>
  <c r="CY61" i="1" s="1"/>
  <c r="CZ61" i="1" s="1"/>
  <c r="DA61" i="1" s="1"/>
  <c r="DB61" i="1" s="1"/>
  <c r="AE54" i="1"/>
  <c r="AE274" i="1"/>
  <c r="AE275" i="1" s="1"/>
  <c r="CK190" i="1"/>
  <c r="AE181" i="1"/>
  <c r="AE206" i="1"/>
  <c r="AE220" i="1"/>
  <c r="AE222" i="1" s="1"/>
  <c r="AE58" i="1"/>
  <c r="AE53" i="1"/>
  <c r="AE84" i="1"/>
  <c r="AE136" i="1"/>
  <c r="CK135" i="1" l="1"/>
  <c r="CK138" i="1" s="1"/>
  <c r="CK134" i="1"/>
  <c r="CK137" i="1" s="1"/>
  <c r="AE210" i="1"/>
  <c r="AE213" i="1" s="1"/>
  <c r="AE214" i="1" s="1"/>
  <c r="AE205" i="1"/>
  <c r="Z113" i="1" l="1"/>
  <c r="CM111" i="1" l="1"/>
  <c r="CN111" i="1" s="1"/>
  <c r="CO111" i="1" s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DA111" i="1" s="1"/>
  <c r="DB111" i="1" s="1"/>
  <c r="CM119" i="1"/>
  <c r="CN119" i="1" s="1"/>
  <c r="CO119" i="1" s="1"/>
  <c r="CP119" i="1" s="1"/>
  <c r="CQ119" i="1" s="1"/>
  <c r="CR119" i="1" s="1"/>
  <c r="CS119" i="1" s="1"/>
  <c r="CT119" i="1" s="1"/>
  <c r="CU119" i="1" s="1"/>
  <c r="CV119" i="1" s="1"/>
  <c r="CW119" i="1" s="1"/>
  <c r="CX119" i="1" s="1"/>
  <c r="CY119" i="1" s="1"/>
  <c r="CZ119" i="1" s="1"/>
  <c r="DA119" i="1" s="1"/>
  <c r="DB119" i="1" s="1"/>
  <c r="CM120" i="1"/>
  <c r="CN120" i="1" s="1"/>
  <c r="CO120" i="1" s="1"/>
  <c r="CP120" i="1" s="1"/>
  <c r="CQ120" i="1" s="1"/>
  <c r="CR120" i="1" s="1"/>
  <c r="CS120" i="1" s="1"/>
  <c r="CT120" i="1" s="1"/>
  <c r="CU120" i="1" s="1"/>
  <c r="CV120" i="1" s="1"/>
  <c r="CW120" i="1" s="1"/>
  <c r="CX120" i="1" s="1"/>
  <c r="CY120" i="1" s="1"/>
  <c r="CZ120" i="1" s="1"/>
  <c r="DA120" i="1" s="1"/>
  <c r="DB120" i="1" s="1"/>
  <c r="CH113" i="1"/>
  <c r="CM110" i="1" l="1"/>
  <c r="CN110" i="1" s="1"/>
  <c r="CO110" i="1" s="1"/>
  <c r="CP110" i="1" s="1"/>
  <c r="CQ110" i="1" s="1"/>
  <c r="CR110" i="1" s="1"/>
  <c r="CS110" i="1" s="1"/>
  <c r="CT110" i="1" s="1"/>
  <c r="CU110" i="1" s="1"/>
  <c r="CV110" i="1" s="1"/>
  <c r="CW110" i="1" s="1"/>
  <c r="CX110" i="1" s="1"/>
  <c r="CY110" i="1" s="1"/>
  <c r="CZ110" i="1" s="1"/>
  <c r="DA110" i="1" s="1"/>
  <c r="DB110" i="1" s="1"/>
  <c r="CM233" i="1" l="1"/>
  <c r="AB233" i="1"/>
  <c r="CM60" i="1" l="1"/>
  <c r="CM276" i="1" s="1"/>
  <c r="CM62" i="1" l="1"/>
  <c r="CM63" i="1" l="1"/>
  <c r="CM65" i="1" l="1"/>
  <c r="CM67" i="1" l="1"/>
  <c r="CM68" i="1"/>
  <c r="CM258" i="1"/>
  <c r="CM72" i="1"/>
  <c r="CM66" i="1"/>
  <c r="CM269" i="1" s="1"/>
  <c r="CM251" i="1"/>
  <c r="CM217" i="1" l="1"/>
  <c r="CM219" i="1" s="1"/>
  <c r="CM223" i="1" s="1"/>
  <c r="CM237" i="1" s="1"/>
  <c r="CM90" i="1"/>
  <c r="CM143" i="1"/>
  <c r="CM144" i="1" l="1"/>
  <c r="CM93" i="1"/>
  <c r="CM94" i="1" l="1"/>
  <c r="CM102" i="1"/>
  <c r="CI113" i="1"/>
  <c r="CM109" i="1"/>
  <c r="CM103" i="1"/>
  <c r="CM153" i="1"/>
  <c r="CM79" i="1" s="1"/>
  <c r="CM116" i="1"/>
  <c r="CM118" i="1" s="1"/>
  <c r="CM231" i="1"/>
  <c r="CM229" i="1" s="1"/>
  <c r="CM234" i="1" s="1"/>
  <c r="CM78" i="1"/>
  <c r="CM184" i="1" l="1"/>
  <c r="CM185" i="1" s="1"/>
  <c r="CM106" i="1"/>
  <c r="CM132" i="1"/>
  <c r="CM105" i="1"/>
  <c r="CM131" i="1"/>
  <c r="CM235" i="1" l="1"/>
  <c r="CM272" i="1"/>
  <c r="CM270" i="1"/>
  <c r="CM268" i="1"/>
  <c r="CN233" i="1"/>
  <c r="CM189" i="1"/>
  <c r="CM192" i="1"/>
  <c r="CM190" i="1" l="1"/>
  <c r="CN60" i="1"/>
  <c r="CN276" i="1" s="1"/>
  <c r="CM133" i="1"/>
  <c r="CM134" i="1" l="1"/>
  <c r="CM137" i="1" s="1"/>
  <c r="CM135" i="1"/>
  <c r="CM138" i="1" s="1"/>
  <c r="CN62" i="1"/>
  <c r="CN63" i="1" l="1"/>
  <c r="CN65" i="1" s="1"/>
  <c r="CN67" i="1" l="1"/>
  <c r="CN68" i="1"/>
  <c r="CN72" i="1"/>
  <c r="CN258" i="1"/>
  <c r="CN66" i="1"/>
  <c r="CN269" i="1" s="1"/>
  <c r="CN251" i="1"/>
  <c r="CN90" i="1" l="1"/>
  <c r="CN217" i="1"/>
  <c r="CN219" i="1" s="1"/>
  <c r="CN223" i="1" s="1"/>
  <c r="CN237" i="1" s="1"/>
  <c r="CN143" i="1"/>
  <c r="CN93" i="1" l="1"/>
  <c r="CN144" i="1"/>
  <c r="CN94" i="1" l="1"/>
  <c r="CN153" i="1"/>
  <c r="CN79" i="1" s="1"/>
  <c r="CN231" i="1"/>
  <c r="CN229" i="1" s="1"/>
  <c r="CN234" i="1" s="1"/>
  <c r="CN116" i="1"/>
  <c r="CN118" i="1" s="1"/>
  <c r="CN78" i="1"/>
  <c r="CN109" i="1"/>
  <c r="CN102" i="1"/>
  <c r="CN103" i="1"/>
  <c r="CJ113" i="1"/>
  <c r="CN105" i="1" l="1"/>
  <c r="CN131" i="1"/>
  <c r="CN184" i="1"/>
  <c r="CN185" i="1" s="1"/>
  <c r="CN132" i="1"/>
  <c r="CN106" i="1"/>
  <c r="CN235" i="1" l="1"/>
  <c r="CN272" i="1"/>
  <c r="CN270" i="1"/>
  <c r="CN268" i="1"/>
  <c r="CN189" i="1"/>
  <c r="CN192" i="1"/>
  <c r="CO233" i="1"/>
  <c r="CN190" i="1" l="1"/>
  <c r="CO60" i="1"/>
  <c r="CO276" i="1" s="1"/>
  <c r="CN133" i="1"/>
  <c r="CO62" i="1" l="1"/>
  <c r="CN135" i="1"/>
  <c r="CN138" i="1" s="1"/>
  <c r="CN134" i="1"/>
  <c r="CN137" i="1" s="1"/>
  <c r="CO63" i="1" l="1"/>
  <c r="CO65" i="1" l="1"/>
  <c r="CO66" i="1" l="1"/>
  <c r="CO269" i="1" s="1"/>
  <c r="CO68" i="1"/>
  <c r="CO67" i="1"/>
  <c r="CO258" i="1"/>
  <c r="CO72" i="1"/>
  <c r="CO251" i="1"/>
  <c r="CO90" i="1" l="1"/>
  <c r="CO217" i="1"/>
  <c r="CO219" i="1" s="1"/>
  <c r="CO223" i="1" s="1"/>
  <c r="CO237" i="1" s="1"/>
  <c r="CO143" i="1"/>
  <c r="CO144" i="1" l="1"/>
  <c r="CO93" i="1"/>
  <c r="CK113" i="1" s="1"/>
  <c r="CO94" i="1" l="1"/>
  <c r="CO103" i="1"/>
  <c r="CO109" i="1"/>
  <c r="CO102" i="1"/>
  <c r="CO116" i="1"/>
  <c r="CO118" i="1" s="1"/>
  <c r="CO231" i="1"/>
  <c r="CO229" i="1" s="1"/>
  <c r="CO234" i="1" s="1"/>
  <c r="CO153" i="1"/>
  <c r="CO79" i="1" s="1"/>
  <c r="CO78" i="1"/>
  <c r="CO184" i="1" l="1"/>
  <c r="CO185" i="1" s="1"/>
  <c r="CO105" i="1"/>
  <c r="CO131" i="1"/>
  <c r="CO132" i="1"/>
  <c r="CO106" i="1"/>
  <c r="CO235" i="1" l="1"/>
  <c r="CO270" i="1"/>
  <c r="CO268" i="1"/>
  <c r="CO272" i="1"/>
  <c r="CO189" i="1"/>
  <c r="CO192" i="1"/>
  <c r="CP233" i="1"/>
  <c r="CP60" i="1" l="1"/>
  <c r="CP276" i="1" s="1"/>
  <c r="CO133" i="1"/>
  <c r="CO190" i="1"/>
  <c r="CO135" i="1" l="1"/>
  <c r="CO138" i="1" s="1"/>
  <c r="CO134" i="1"/>
  <c r="CO137" i="1" s="1"/>
  <c r="CP62" i="1"/>
  <c r="AB60" i="1"/>
  <c r="AB61" i="1" l="1"/>
  <c r="AB276" i="1"/>
  <c r="AB62" i="1"/>
  <c r="CP63" i="1"/>
  <c r="AB63" i="1" s="1"/>
  <c r="AB64" i="1" l="1"/>
  <c r="CP65" i="1"/>
  <c r="CP66" i="1" s="1"/>
  <c r="CP269" i="1" s="1"/>
  <c r="AB65" i="1"/>
  <c r="CP67" i="1" l="1"/>
  <c r="CP251" i="1"/>
  <c r="CP258" i="1"/>
  <c r="CP72" i="1"/>
  <c r="CP143" i="1" s="1"/>
  <c r="CP68" i="1"/>
  <c r="AB67" i="1"/>
  <c r="AB72" i="1"/>
  <c r="AB66" i="1"/>
  <c r="AB269" i="1" s="1"/>
  <c r="AB85" i="1"/>
  <c r="CP217" i="1" l="1"/>
  <c r="CP219" i="1" s="1"/>
  <c r="CP223" i="1" s="1"/>
  <c r="CP237" i="1" s="1"/>
  <c r="CP90" i="1"/>
  <c r="CP93" i="1" s="1"/>
  <c r="CL113" i="1" s="1"/>
  <c r="AB143" i="1"/>
  <c r="AB144" i="1" s="1"/>
  <c r="AB78" i="1" s="1"/>
  <c r="CP144" i="1"/>
  <c r="AB75" i="1"/>
  <c r="AB76" i="1" s="1"/>
  <c r="AB90" i="1"/>
  <c r="AB217" i="1"/>
  <c r="AB219" i="1" s="1"/>
  <c r="AB223" i="1" s="1"/>
  <c r="AB237" i="1" s="1"/>
  <c r="CP96" i="1" l="1"/>
  <c r="CP94" i="1"/>
  <c r="AB153" i="1"/>
  <c r="AB79" i="1" s="1"/>
  <c r="AB199" i="1"/>
  <c r="AB231" i="1"/>
  <c r="AB229" i="1" s="1"/>
  <c r="AB234" i="1" s="1"/>
  <c r="AB116" i="1"/>
  <c r="AB118" i="1" s="1"/>
  <c r="AB92" i="1"/>
  <c r="AB93" i="1"/>
  <c r="CP102" i="1"/>
  <c r="CP109" i="1"/>
  <c r="CP103" i="1"/>
  <c r="CP231" i="1"/>
  <c r="CP229" i="1" s="1"/>
  <c r="CP234" i="1" s="1"/>
  <c r="CP153" i="1"/>
  <c r="CP79" i="1" s="1"/>
  <c r="CP116" i="1"/>
  <c r="CP118" i="1" s="1"/>
  <c r="CP78" i="1"/>
  <c r="AB94" i="1" l="1"/>
  <c r="AA113" i="1"/>
  <c r="CP184" i="1"/>
  <c r="CP105" i="1"/>
  <c r="CP131" i="1"/>
  <c r="AB102" i="1"/>
  <c r="AB127" i="1" s="1"/>
  <c r="AB109" i="1"/>
  <c r="CP132" i="1"/>
  <c r="CP106" i="1"/>
  <c r="AB103" i="1"/>
  <c r="AB128" i="1" s="1"/>
  <c r="AB106" i="1" l="1"/>
  <c r="AB120" i="1"/>
  <c r="AB111" i="1"/>
  <c r="AB132" i="1"/>
  <c r="CP185" i="1"/>
  <c r="AB184" i="1"/>
  <c r="AB185" i="1" s="1"/>
  <c r="AB110" i="1"/>
  <c r="AB119" i="1"/>
  <c r="AB131" i="1"/>
  <c r="AB105" i="1"/>
  <c r="AB272" i="1" l="1"/>
  <c r="AB270" i="1"/>
  <c r="AB268" i="1"/>
  <c r="CP270" i="1"/>
  <c r="CP268" i="1"/>
  <c r="CP272" i="1"/>
  <c r="CP189" i="1"/>
  <c r="CQ233" i="1"/>
  <c r="CP192" i="1"/>
  <c r="CP235" i="1"/>
  <c r="AB192" i="1"/>
  <c r="AB133" i="1" s="1"/>
  <c r="AB135" i="1" s="1"/>
  <c r="AB138" i="1" s="1"/>
  <c r="AB189" i="1"/>
  <c r="AC233" i="1"/>
  <c r="AB235" i="1"/>
  <c r="AB134" i="1" l="1"/>
  <c r="AB137" i="1" s="1"/>
  <c r="AB190" i="1"/>
  <c r="CP133" i="1"/>
  <c r="CQ60" i="1"/>
  <c r="CQ276" i="1" s="1"/>
  <c r="CP190" i="1"/>
  <c r="CQ62" i="1" l="1"/>
  <c r="CP134" i="1"/>
  <c r="CP137" i="1" s="1"/>
  <c r="CP135" i="1"/>
  <c r="CP138" i="1" s="1"/>
  <c r="CQ63" i="1" l="1"/>
  <c r="CQ65" i="1" s="1"/>
  <c r="CQ72" i="1" l="1"/>
  <c r="CQ66" i="1"/>
  <c r="CQ269" i="1" s="1"/>
  <c r="CQ67" i="1"/>
  <c r="CQ68" i="1"/>
  <c r="CQ258" i="1"/>
  <c r="CQ251" i="1"/>
  <c r="CQ90" i="1" l="1"/>
  <c r="CQ217" i="1"/>
  <c r="CQ219" i="1" s="1"/>
  <c r="CQ223" i="1" s="1"/>
  <c r="CQ237" i="1" s="1"/>
  <c r="CQ143" i="1"/>
  <c r="CQ144" i="1" l="1"/>
  <c r="CQ93" i="1"/>
  <c r="CQ94" i="1" l="1"/>
  <c r="CQ103" i="1"/>
  <c r="CQ102" i="1"/>
  <c r="CQ109" i="1"/>
  <c r="CQ153" i="1"/>
  <c r="CQ79" i="1" s="1"/>
  <c r="CQ231" i="1"/>
  <c r="CQ229" i="1" s="1"/>
  <c r="CQ234" i="1" s="1"/>
  <c r="CQ116" i="1"/>
  <c r="CQ118" i="1" s="1"/>
  <c r="CQ78" i="1"/>
  <c r="CQ184" i="1" l="1"/>
  <c r="CQ185" i="1" s="1"/>
  <c r="CQ235" i="1" s="1"/>
  <c r="CQ131" i="1"/>
  <c r="CQ105" i="1"/>
  <c r="CQ132" i="1"/>
  <c r="CQ106" i="1"/>
  <c r="CQ272" i="1" l="1"/>
  <c r="CQ270" i="1"/>
  <c r="CQ268" i="1"/>
  <c r="CQ192" i="1"/>
  <c r="CR233" i="1"/>
  <c r="CQ189" i="1"/>
  <c r="CQ190" i="1" l="1"/>
  <c r="CQ133" i="1"/>
  <c r="CR60" i="1"/>
  <c r="CR276" i="1" s="1"/>
  <c r="CR62" i="1" l="1"/>
  <c r="CQ134" i="1"/>
  <c r="CQ137" i="1" s="1"/>
  <c r="CQ135" i="1"/>
  <c r="CQ138" i="1" s="1"/>
  <c r="CR63" i="1" l="1"/>
  <c r="CR65" i="1" s="1"/>
  <c r="CR258" i="1" l="1"/>
  <c r="CR66" i="1"/>
  <c r="CR269" i="1" s="1"/>
  <c r="CR72" i="1"/>
  <c r="CR67" i="1"/>
  <c r="CR68" i="1"/>
  <c r="CR251" i="1"/>
  <c r="CR90" i="1" l="1"/>
  <c r="CR217" i="1"/>
  <c r="CR219" i="1" s="1"/>
  <c r="CR223" i="1" s="1"/>
  <c r="CR237" i="1" s="1"/>
  <c r="CR143" i="1"/>
  <c r="CR144" i="1" l="1"/>
  <c r="CR93" i="1"/>
  <c r="CR94" i="1" l="1"/>
  <c r="CR109" i="1"/>
  <c r="CR102" i="1"/>
  <c r="CR103" i="1"/>
  <c r="CR153" i="1"/>
  <c r="CR79" i="1" s="1"/>
  <c r="CR231" i="1"/>
  <c r="CR229" i="1" s="1"/>
  <c r="CR234" i="1" s="1"/>
  <c r="CR116" i="1"/>
  <c r="CR118" i="1" s="1"/>
  <c r="CR78" i="1"/>
  <c r="CR184" i="1" l="1"/>
  <c r="CR185" i="1" s="1"/>
  <c r="CR132" i="1"/>
  <c r="CR106" i="1"/>
  <c r="CR131" i="1"/>
  <c r="CR105" i="1"/>
  <c r="CR272" i="1" l="1"/>
  <c r="CR270" i="1"/>
  <c r="CR268" i="1"/>
  <c r="CS233" i="1"/>
  <c r="CR192" i="1"/>
  <c r="CR189" i="1"/>
  <c r="CR235" i="1"/>
  <c r="CR190" i="1" l="1"/>
  <c r="CR133" i="1"/>
  <c r="CS60" i="1"/>
  <c r="CS276" i="1" s="1"/>
  <c r="CS62" i="1" l="1"/>
  <c r="CR134" i="1"/>
  <c r="CR137" i="1" s="1"/>
  <c r="CR135" i="1"/>
  <c r="CR138" i="1" s="1"/>
  <c r="CS63" i="1" l="1"/>
  <c r="CS65" i="1" l="1"/>
  <c r="CS72" i="1" l="1"/>
  <c r="CS68" i="1"/>
  <c r="CS258" i="1"/>
  <c r="CS67" i="1"/>
  <c r="CS66" i="1"/>
  <c r="CS269" i="1" s="1"/>
  <c r="CS251" i="1"/>
  <c r="CS90" i="1" l="1"/>
  <c r="CS217" i="1"/>
  <c r="CS219" i="1" s="1"/>
  <c r="CS223" i="1" s="1"/>
  <c r="CS237" i="1" s="1"/>
  <c r="CS143" i="1"/>
  <c r="CS144" i="1" l="1"/>
  <c r="CS93" i="1"/>
  <c r="CS94" i="1" l="1"/>
  <c r="CS102" i="1"/>
  <c r="CS103" i="1"/>
  <c r="CS109" i="1"/>
  <c r="CS153" i="1"/>
  <c r="CS79" i="1" s="1"/>
  <c r="CS116" i="1"/>
  <c r="CS118" i="1" s="1"/>
  <c r="CS231" i="1"/>
  <c r="CS229" i="1" s="1"/>
  <c r="CS234" i="1" s="1"/>
  <c r="CS78" i="1"/>
  <c r="CS184" i="1" l="1"/>
  <c r="CS185" i="1" s="1"/>
  <c r="CS132" i="1"/>
  <c r="CS106" i="1"/>
  <c r="CS131" i="1"/>
  <c r="CS105" i="1"/>
  <c r="CS270" i="1" l="1"/>
  <c r="CS272" i="1"/>
  <c r="CS268" i="1"/>
  <c r="CT233" i="1"/>
  <c r="CS189" i="1"/>
  <c r="CS192" i="1"/>
  <c r="CS235" i="1"/>
  <c r="CT60" i="1" l="1"/>
  <c r="CT276" i="1" s="1"/>
  <c r="CS133" i="1"/>
  <c r="CS190" i="1"/>
  <c r="CS135" i="1" l="1"/>
  <c r="CS138" i="1" s="1"/>
  <c r="CS134" i="1"/>
  <c r="CS137" i="1" s="1"/>
  <c r="CT62" i="1"/>
  <c r="AC60" i="1"/>
  <c r="AC61" i="1" l="1"/>
  <c r="AC276" i="1"/>
  <c r="AC62" i="1"/>
  <c r="CT63" i="1"/>
  <c r="AC63" i="1" s="1"/>
  <c r="AC64" i="1" l="1"/>
  <c r="CT65" i="1"/>
  <c r="CT68" i="1" s="1"/>
  <c r="AC65" i="1"/>
  <c r="CT67" i="1" l="1"/>
  <c r="CT72" i="1"/>
  <c r="CT258" i="1"/>
  <c r="CT251" i="1"/>
  <c r="CT66" i="1"/>
  <c r="CT269" i="1" s="1"/>
  <c r="AC67" i="1"/>
  <c r="AC66" i="1"/>
  <c r="AC269" i="1" s="1"/>
  <c r="AC85" i="1"/>
  <c r="AC72" i="1"/>
  <c r="CT143" i="1" l="1"/>
  <c r="CT90" i="1"/>
  <c r="CT93" i="1" s="1"/>
  <c r="CT96" i="1" s="1"/>
  <c r="CT217" i="1"/>
  <c r="CT219" i="1" s="1"/>
  <c r="CT223" i="1" s="1"/>
  <c r="CT237" i="1" s="1"/>
  <c r="AC90" i="1"/>
  <c r="AC75" i="1"/>
  <c r="AC76" i="1" s="1"/>
  <c r="AC217" i="1"/>
  <c r="AC219" i="1" s="1"/>
  <c r="AC223" i="1" s="1"/>
  <c r="AC237" i="1" s="1"/>
  <c r="CT144" i="1" l="1"/>
  <c r="AC143" i="1"/>
  <c r="AC144" i="1" s="1"/>
  <c r="AC153" i="1" s="1"/>
  <c r="AC79" i="1" s="1"/>
  <c r="CT94" i="1"/>
  <c r="AC92" i="1"/>
  <c r="AC93" i="1"/>
  <c r="AC94" i="1" s="1"/>
  <c r="CT109" i="1"/>
  <c r="CT102" i="1"/>
  <c r="CT103" i="1"/>
  <c r="CT153" i="1" l="1"/>
  <c r="CT79" i="1" s="1"/>
  <c r="CT116" i="1"/>
  <c r="CT118" i="1" s="1"/>
  <c r="CT231" i="1"/>
  <c r="CT229" i="1" s="1"/>
  <c r="CT234" i="1" s="1"/>
  <c r="CT184" i="1" s="1"/>
  <c r="CT78" i="1"/>
  <c r="AC78" i="1"/>
  <c r="AC231" i="1"/>
  <c r="AC229" i="1" s="1"/>
  <c r="AC234" i="1" s="1"/>
  <c r="AC116" i="1"/>
  <c r="AC118" i="1" s="1"/>
  <c r="AC199" i="1"/>
  <c r="CT131" i="1"/>
  <c r="CT105" i="1"/>
  <c r="AC102" i="1"/>
  <c r="AC127" i="1" s="1"/>
  <c r="AC109" i="1"/>
  <c r="AB113" i="1"/>
  <c r="CT132" i="1"/>
  <c r="CT106" i="1"/>
  <c r="AC103" i="1"/>
  <c r="AC128" i="1" s="1"/>
  <c r="AC110" i="1" l="1"/>
  <c r="AC105" i="1"/>
  <c r="AC119" i="1"/>
  <c r="AC131" i="1"/>
  <c r="CT185" i="1"/>
  <c r="AC184" i="1"/>
  <c r="AC185" i="1" s="1"/>
  <c r="AC120" i="1"/>
  <c r="AC132" i="1"/>
  <c r="AC111" i="1"/>
  <c r="AC106" i="1"/>
  <c r="CT270" i="1" l="1"/>
  <c r="CT272" i="1"/>
  <c r="CT268" i="1"/>
  <c r="AC272" i="1"/>
  <c r="AC270" i="1"/>
  <c r="AC268" i="1"/>
  <c r="CU233" i="1"/>
  <c r="CT189" i="1"/>
  <c r="CT192" i="1"/>
  <c r="CT235" i="1"/>
  <c r="AD233" i="1"/>
  <c r="AC192" i="1"/>
  <c r="AC133" i="1" s="1"/>
  <c r="AC134" i="1" s="1"/>
  <c r="AC137" i="1" s="1"/>
  <c r="AC189" i="1"/>
  <c r="AC235" i="1"/>
  <c r="AC135" i="1" l="1"/>
  <c r="AC138" i="1" s="1"/>
  <c r="AC190" i="1"/>
  <c r="CT190" i="1"/>
  <c r="CT133" i="1"/>
  <c r="CU60" i="1"/>
  <c r="CU276" i="1" s="1"/>
  <c r="CU62" i="1" l="1"/>
  <c r="CT134" i="1"/>
  <c r="CT137" i="1" s="1"/>
  <c r="CT135" i="1"/>
  <c r="CT138" i="1" s="1"/>
  <c r="CU63" i="1" l="1"/>
  <c r="CU65" i="1" s="1"/>
  <c r="CU66" i="1" l="1"/>
  <c r="CU269" i="1" s="1"/>
  <c r="CU67" i="1"/>
  <c r="CU68" i="1"/>
  <c r="CU72" i="1"/>
  <c r="CU258" i="1"/>
  <c r="CU251" i="1"/>
  <c r="CU217" i="1" l="1"/>
  <c r="CU219" i="1" s="1"/>
  <c r="CU223" i="1" s="1"/>
  <c r="CU237" i="1" s="1"/>
  <c r="CU90" i="1"/>
  <c r="CU143" i="1"/>
  <c r="CU144" i="1" l="1"/>
  <c r="CU93" i="1"/>
  <c r="CU94" i="1" l="1"/>
  <c r="CU109" i="1"/>
  <c r="CU103" i="1"/>
  <c r="CU102" i="1"/>
  <c r="CU153" i="1"/>
  <c r="CU79" i="1" s="1"/>
  <c r="CU231" i="1"/>
  <c r="CU229" i="1" s="1"/>
  <c r="CU234" i="1" s="1"/>
  <c r="CU116" i="1"/>
  <c r="CU118" i="1" s="1"/>
  <c r="CU78" i="1"/>
  <c r="CU184" i="1" l="1"/>
  <c r="CU185" i="1" s="1"/>
  <c r="CU131" i="1"/>
  <c r="CU105" i="1"/>
  <c r="CU132" i="1"/>
  <c r="CU106" i="1"/>
  <c r="CU272" i="1" l="1"/>
  <c r="CU268" i="1"/>
  <c r="CU270" i="1"/>
  <c r="CU189" i="1"/>
  <c r="CU192" i="1"/>
  <c r="CV233" i="1"/>
  <c r="CU235" i="1"/>
  <c r="CU190" i="1" l="1"/>
  <c r="CV60" i="1"/>
  <c r="CV276" i="1" s="1"/>
  <c r="CU133" i="1"/>
  <c r="CU134" i="1" l="1"/>
  <c r="CU137" i="1" s="1"/>
  <c r="CU135" i="1"/>
  <c r="CU138" i="1" s="1"/>
  <c r="CV62" i="1"/>
  <c r="CV63" i="1" l="1"/>
  <c r="CV65" i="1" l="1"/>
  <c r="CV72" i="1" l="1"/>
  <c r="CV258" i="1"/>
  <c r="CV66" i="1"/>
  <c r="CV269" i="1" s="1"/>
  <c r="CV68" i="1"/>
  <c r="CV67" i="1"/>
  <c r="CV251" i="1"/>
  <c r="CV217" i="1" l="1"/>
  <c r="CV219" i="1" s="1"/>
  <c r="CV223" i="1" s="1"/>
  <c r="CV237" i="1" s="1"/>
  <c r="CV90" i="1"/>
  <c r="CV143" i="1"/>
  <c r="CV144" i="1" l="1"/>
  <c r="CV93" i="1"/>
  <c r="CV94" i="1" l="1"/>
  <c r="CV102" i="1"/>
  <c r="CV103" i="1"/>
  <c r="CV109" i="1"/>
  <c r="CV116" i="1"/>
  <c r="CV118" i="1" s="1"/>
  <c r="CV153" i="1"/>
  <c r="CV79" i="1" s="1"/>
  <c r="CV231" i="1"/>
  <c r="CV229" i="1" s="1"/>
  <c r="CV234" i="1" s="1"/>
  <c r="CV78" i="1"/>
  <c r="CV184" i="1" l="1"/>
  <c r="CV185" i="1" s="1"/>
  <c r="CV132" i="1"/>
  <c r="CV106" i="1"/>
  <c r="CV131" i="1"/>
  <c r="CV105" i="1"/>
  <c r="CV270" i="1" l="1"/>
  <c r="CV268" i="1"/>
  <c r="CV272" i="1"/>
  <c r="CV192" i="1"/>
  <c r="CW233" i="1"/>
  <c r="CV189" i="1"/>
  <c r="CV235" i="1"/>
  <c r="CV190" i="1" l="1"/>
  <c r="CV133" i="1"/>
  <c r="CW60" i="1"/>
  <c r="CW276" i="1" s="1"/>
  <c r="CW62" i="1" l="1"/>
  <c r="CV135" i="1"/>
  <c r="CV138" i="1" s="1"/>
  <c r="CV134" i="1"/>
  <c r="CV137" i="1" s="1"/>
  <c r="CW63" i="1" l="1"/>
  <c r="CW65" i="1" l="1"/>
  <c r="CW66" i="1" l="1"/>
  <c r="CW269" i="1" s="1"/>
  <c r="CW68" i="1"/>
  <c r="CW72" i="1"/>
  <c r="CW67" i="1"/>
  <c r="CW258" i="1"/>
  <c r="CW251" i="1"/>
  <c r="CW217" i="1" l="1"/>
  <c r="CW219" i="1" s="1"/>
  <c r="CW223" i="1" s="1"/>
  <c r="CW237" i="1" s="1"/>
  <c r="CW90" i="1"/>
  <c r="CW143" i="1"/>
  <c r="CW144" i="1" l="1"/>
  <c r="CW93" i="1"/>
  <c r="CW94" i="1" l="1"/>
  <c r="CW109" i="1"/>
  <c r="CW103" i="1"/>
  <c r="CW102" i="1"/>
  <c r="CW231" i="1"/>
  <c r="CW229" i="1" s="1"/>
  <c r="CW234" i="1" s="1"/>
  <c r="CW153" i="1"/>
  <c r="CW79" i="1" s="1"/>
  <c r="CW116" i="1"/>
  <c r="CW118" i="1" s="1"/>
  <c r="CW78" i="1"/>
  <c r="CW184" i="1" l="1"/>
  <c r="CW185" i="1" s="1"/>
  <c r="CW131" i="1"/>
  <c r="CW105" i="1"/>
  <c r="CW132" i="1"/>
  <c r="CW106" i="1"/>
  <c r="CW270" i="1" l="1"/>
  <c r="CW268" i="1"/>
  <c r="CW272" i="1"/>
  <c r="CW189" i="1"/>
  <c r="CX233" i="1"/>
  <c r="CW192" i="1"/>
  <c r="CW235" i="1"/>
  <c r="CX60" i="1" l="1"/>
  <c r="CX276" i="1" s="1"/>
  <c r="CW133" i="1"/>
  <c r="CW190" i="1"/>
  <c r="CW134" i="1" l="1"/>
  <c r="CW137" i="1" s="1"/>
  <c r="CW135" i="1"/>
  <c r="CW138" i="1" s="1"/>
  <c r="CX62" i="1"/>
  <c r="AD60" i="1"/>
  <c r="AD61" i="1" l="1"/>
  <c r="AD276" i="1"/>
  <c r="AD62" i="1"/>
  <c r="CX63" i="1"/>
  <c r="AD63" i="1" s="1"/>
  <c r="AD64" i="1" l="1"/>
  <c r="CX65" i="1"/>
  <c r="CX251" i="1" s="1"/>
  <c r="AD65" i="1"/>
  <c r="CX68" i="1" l="1"/>
  <c r="CX258" i="1"/>
  <c r="CX72" i="1"/>
  <c r="CX66" i="1"/>
  <c r="CX269" i="1" s="1"/>
  <c r="CX67" i="1"/>
  <c r="AD67" i="1"/>
  <c r="AD85" i="1"/>
  <c r="AD72" i="1"/>
  <c r="AD66" i="1"/>
  <c r="AD269" i="1" s="1"/>
  <c r="CX90" i="1" l="1"/>
  <c r="CX93" i="1" s="1"/>
  <c r="CX217" i="1"/>
  <c r="CX219" i="1" s="1"/>
  <c r="CX223" i="1" s="1"/>
  <c r="CX237" i="1" s="1"/>
  <c r="CX143" i="1"/>
  <c r="AD90" i="1"/>
  <c r="AD75" i="1"/>
  <c r="AD76" i="1" s="1"/>
  <c r="AD217" i="1"/>
  <c r="AD219" i="1" s="1"/>
  <c r="AD223" i="1" s="1"/>
  <c r="AD237" i="1" s="1"/>
  <c r="AD143" i="1" l="1"/>
  <c r="AD144" i="1" s="1"/>
  <c r="CX144" i="1"/>
  <c r="CX231" i="1" s="1"/>
  <c r="CX229" i="1" s="1"/>
  <c r="CX234" i="1" s="1"/>
  <c r="CX94" i="1"/>
  <c r="CX102" i="1"/>
  <c r="CX109" i="1"/>
  <c r="CX103" i="1"/>
  <c r="AD92" i="1"/>
  <c r="AD93" i="1"/>
  <c r="AD94" i="1" s="1"/>
  <c r="AD116" i="1" l="1"/>
  <c r="AD118" i="1" s="1"/>
  <c r="AD199" i="1"/>
  <c r="AD153" i="1"/>
  <c r="AD79" i="1" s="1"/>
  <c r="AD78" i="1"/>
  <c r="AD231" i="1"/>
  <c r="AD229" i="1" s="1"/>
  <c r="AD234" i="1" s="1"/>
  <c r="CX153" i="1"/>
  <c r="CX79" i="1" s="1"/>
  <c r="CX116" i="1"/>
  <c r="CX118" i="1" s="1"/>
  <c r="CX78" i="1"/>
  <c r="CX184" i="1"/>
  <c r="CX106" i="1"/>
  <c r="CX132" i="1"/>
  <c r="AD103" i="1"/>
  <c r="AD128" i="1" s="1"/>
  <c r="AD109" i="1"/>
  <c r="AC113" i="1"/>
  <c r="CX131" i="1"/>
  <c r="CX105" i="1"/>
  <c r="AD102" i="1"/>
  <c r="AD127" i="1" s="1"/>
  <c r="AD132" i="1" l="1"/>
  <c r="AD106" i="1"/>
  <c r="AD120" i="1"/>
  <c r="AD111" i="1"/>
  <c r="AD119" i="1"/>
  <c r="AD131" i="1"/>
  <c r="AD110" i="1"/>
  <c r="AD105" i="1"/>
  <c r="CX185" i="1"/>
  <c r="AD184" i="1"/>
  <c r="AD185" i="1" s="1"/>
  <c r="AD272" i="1" l="1"/>
  <c r="AD270" i="1"/>
  <c r="AD268" i="1"/>
  <c r="CX272" i="1"/>
  <c r="CX270" i="1"/>
  <c r="CX268" i="1"/>
  <c r="AE233" i="1"/>
  <c r="AD189" i="1"/>
  <c r="AD192" i="1"/>
  <c r="AD133" i="1" s="1"/>
  <c r="AD135" i="1" s="1"/>
  <c r="AD138" i="1" s="1"/>
  <c r="AD235" i="1"/>
  <c r="CY233" i="1"/>
  <c r="CX189" i="1"/>
  <c r="CX192" i="1"/>
  <c r="CX235" i="1"/>
  <c r="AD134" i="1" l="1"/>
  <c r="AD137" i="1" s="1"/>
  <c r="AD190" i="1"/>
  <c r="CX133" i="1"/>
  <c r="CY60" i="1"/>
  <c r="CY276" i="1" s="1"/>
  <c r="CX190" i="1"/>
  <c r="CY62" i="1" l="1"/>
  <c r="CX134" i="1"/>
  <c r="CX137" i="1" s="1"/>
  <c r="CX135" i="1"/>
  <c r="CX138" i="1" s="1"/>
  <c r="CY63" i="1" l="1"/>
  <c r="CY65" i="1" l="1"/>
  <c r="CY66" i="1" l="1"/>
  <c r="CY269" i="1" s="1"/>
  <c r="CY258" i="1"/>
  <c r="CY67" i="1"/>
  <c r="CY68" i="1"/>
  <c r="CY72" i="1"/>
  <c r="CY251" i="1"/>
  <c r="CY90" i="1" l="1"/>
  <c r="CY217" i="1"/>
  <c r="CY219" i="1" s="1"/>
  <c r="CY223" i="1" s="1"/>
  <c r="CY237" i="1" s="1"/>
  <c r="CY143" i="1"/>
  <c r="CY144" i="1" l="1"/>
  <c r="CY93" i="1"/>
  <c r="CY94" i="1" s="1"/>
  <c r="CY102" i="1" l="1"/>
  <c r="CY109" i="1"/>
  <c r="CY103" i="1"/>
  <c r="CY116" i="1"/>
  <c r="CY118" i="1" s="1"/>
  <c r="CY153" i="1"/>
  <c r="CY79" i="1" s="1"/>
  <c r="CY231" i="1"/>
  <c r="CY229" i="1" s="1"/>
  <c r="CY234" i="1" s="1"/>
  <c r="CY78" i="1"/>
  <c r="CY184" i="1" l="1"/>
  <c r="CY185" i="1" s="1"/>
  <c r="CY132" i="1"/>
  <c r="CY106" i="1"/>
  <c r="CY105" i="1"/>
  <c r="CY131" i="1"/>
  <c r="CY235" i="1" l="1"/>
  <c r="CY272" i="1"/>
  <c r="CY270" i="1"/>
  <c r="CY268" i="1"/>
  <c r="CZ233" i="1"/>
  <c r="CY189" i="1"/>
  <c r="CY192" i="1"/>
  <c r="CY190" i="1" l="1"/>
  <c r="CZ60" i="1"/>
  <c r="CZ276" i="1" s="1"/>
  <c r="CY133" i="1"/>
  <c r="CY135" i="1" l="1"/>
  <c r="CY138" i="1" s="1"/>
  <c r="CY134" i="1"/>
  <c r="CY137" i="1" s="1"/>
  <c r="CZ62" i="1"/>
  <c r="CZ63" i="1" l="1"/>
  <c r="CZ65" i="1" l="1"/>
  <c r="CZ258" i="1" l="1"/>
  <c r="CZ67" i="1"/>
  <c r="CZ66" i="1"/>
  <c r="CZ269" i="1" s="1"/>
  <c r="CZ68" i="1"/>
  <c r="CZ72" i="1"/>
  <c r="CZ251" i="1"/>
  <c r="CZ217" i="1" l="1"/>
  <c r="CZ219" i="1" s="1"/>
  <c r="CZ223" i="1" s="1"/>
  <c r="CZ237" i="1" s="1"/>
  <c r="CZ90" i="1"/>
  <c r="CZ143" i="1"/>
  <c r="CZ144" i="1" l="1"/>
  <c r="CZ93" i="1"/>
  <c r="CZ94" i="1" s="1"/>
  <c r="CZ109" i="1" l="1"/>
  <c r="CZ103" i="1"/>
  <c r="CZ102" i="1"/>
  <c r="CZ153" i="1"/>
  <c r="CZ79" i="1" s="1"/>
  <c r="CZ231" i="1"/>
  <c r="CZ229" i="1" s="1"/>
  <c r="CZ234" i="1" s="1"/>
  <c r="CZ116" i="1"/>
  <c r="CZ118" i="1" s="1"/>
  <c r="CZ78" i="1"/>
  <c r="CZ184" i="1" l="1"/>
  <c r="CZ185" i="1" s="1"/>
  <c r="CZ131" i="1"/>
  <c r="CZ105" i="1"/>
  <c r="CZ106" i="1"/>
  <c r="CZ132" i="1"/>
  <c r="CZ270" i="1" l="1"/>
  <c r="CZ268" i="1"/>
  <c r="CZ272" i="1"/>
  <c r="CZ189" i="1"/>
  <c r="CZ192" i="1"/>
  <c r="DA233" i="1"/>
  <c r="CZ235" i="1"/>
  <c r="CZ133" i="1" l="1"/>
  <c r="DA60" i="1"/>
  <c r="DA276" i="1" s="1"/>
  <c r="CZ190" i="1"/>
  <c r="DA62" i="1" l="1"/>
  <c r="CZ134" i="1"/>
  <c r="CZ137" i="1" s="1"/>
  <c r="CZ135" i="1"/>
  <c r="CZ138" i="1" s="1"/>
  <c r="DA63" i="1" l="1"/>
  <c r="DA65" i="1" l="1"/>
  <c r="DA258" i="1" l="1"/>
  <c r="DA72" i="1"/>
  <c r="DA67" i="1"/>
  <c r="DA68" i="1"/>
  <c r="DA66" i="1"/>
  <c r="DA269" i="1" s="1"/>
  <c r="DA251" i="1"/>
  <c r="DA90" i="1" l="1"/>
  <c r="DA217" i="1"/>
  <c r="DA219" i="1" s="1"/>
  <c r="DA223" i="1" s="1"/>
  <c r="DA237" i="1" s="1"/>
  <c r="DA143" i="1"/>
  <c r="DA144" i="1" l="1"/>
  <c r="DA93" i="1"/>
  <c r="DA94" i="1" s="1"/>
  <c r="DA103" i="1" l="1"/>
  <c r="DA102" i="1"/>
  <c r="DA109" i="1"/>
  <c r="DA153" i="1"/>
  <c r="DA79" i="1" s="1"/>
  <c r="DA231" i="1"/>
  <c r="DA229" i="1" s="1"/>
  <c r="DA234" i="1" s="1"/>
  <c r="DA116" i="1"/>
  <c r="DA118" i="1" s="1"/>
  <c r="DA78" i="1"/>
  <c r="DA184" i="1" l="1"/>
  <c r="DA185" i="1" s="1"/>
  <c r="DA131" i="1"/>
  <c r="DA105" i="1"/>
  <c r="DA106" i="1"/>
  <c r="DA132" i="1"/>
  <c r="DA235" i="1" l="1"/>
  <c r="DA272" i="1"/>
  <c r="DA268" i="1"/>
  <c r="DA270" i="1"/>
  <c r="DA192" i="1"/>
  <c r="DB233" i="1"/>
  <c r="DA189" i="1"/>
  <c r="DA190" i="1" l="1"/>
  <c r="DA133" i="1"/>
  <c r="DB60" i="1"/>
  <c r="DB276" i="1" s="1"/>
  <c r="DA135" i="1" l="1"/>
  <c r="DA138" i="1" s="1"/>
  <c r="DA134" i="1"/>
  <c r="DA137" i="1" s="1"/>
  <c r="DB62" i="1"/>
  <c r="AE60" i="1"/>
  <c r="AE61" i="1" l="1"/>
  <c r="AE276" i="1"/>
  <c r="AE62" i="1"/>
  <c r="DB63" i="1"/>
  <c r="AE63" i="1" s="1"/>
  <c r="AE64" i="1" l="1"/>
  <c r="DB65" i="1"/>
  <c r="AE65" i="1"/>
  <c r="AE67" i="1" s="1"/>
  <c r="AE66" i="1" l="1"/>
  <c r="AE269" i="1" s="1"/>
  <c r="AE72" i="1"/>
  <c r="AE85" i="1"/>
  <c r="DB67" i="1"/>
  <c r="DB68" i="1"/>
  <c r="DB258" i="1"/>
  <c r="DB66" i="1"/>
  <c r="DB269" i="1" s="1"/>
  <c r="DB72" i="1"/>
  <c r="DB251" i="1"/>
  <c r="AE75" i="1" l="1"/>
  <c r="AE76" i="1" s="1"/>
  <c r="AE90" i="1"/>
  <c r="AE217" i="1"/>
  <c r="AE219" i="1" s="1"/>
  <c r="AE223" i="1" s="1"/>
  <c r="AE237" i="1" s="1"/>
  <c r="DB217" i="1"/>
  <c r="DB219" i="1" s="1"/>
  <c r="DB223" i="1" s="1"/>
  <c r="DB237" i="1" s="1"/>
  <c r="DB90" i="1"/>
  <c r="DB93" i="1" s="1"/>
  <c r="DB94" i="1" s="1"/>
  <c r="DB143" i="1"/>
  <c r="AE143" i="1" l="1"/>
  <c r="AE144" i="1" s="1"/>
  <c r="DB144" i="1"/>
  <c r="DB103" i="1"/>
  <c r="DB102" i="1"/>
  <c r="DB109" i="1"/>
  <c r="AE93" i="1"/>
  <c r="AE94" i="1" s="1"/>
  <c r="AE92" i="1"/>
  <c r="DB131" i="1" l="1"/>
  <c r="DB105" i="1"/>
  <c r="AE102" i="1"/>
  <c r="AE127" i="1" s="1"/>
  <c r="AE109" i="1"/>
  <c r="AD113" i="1"/>
  <c r="DB132" i="1"/>
  <c r="DB106" i="1"/>
  <c r="AE103" i="1"/>
  <c r="AE128" i="1" s="1"/>
  <c r="DB231" i="1"/>
  <c r="DB229" i="1" s="1"/>
  <c r="DB234" i="1" s="1"/>
  <c r="DB153" i="1"/>
  <c r="DB79" i="1" s="1"/>
  <c r="DB116" i="1"/>
  <c r="DB118" i="1" s="1"/>
  <c r="DB78" i="1"/>
  <c r="AE231" i="1"/>
  <c r="AE229" i="1" s="1"/>
  <c r="AE234" i="1" s="1"/>
  <c r="AE153" i="1"/>
  <c r="AE79" i="1" s="1"/>
  <c r="AE116" i="1"/>
  <c r="AE118" i="1" s="1"/>
  <c r="AE199" i="1"/>
  <c r="AE78" i="1"/>
  <c r="AE111" i="1" l="1"/>
  <c r="AE106" i="1"/>
  <c r="AE120" i="1"/>
  <c r="AE132" i="1"/>
  <c r="AE110" i="1"/>
  <c r="AE105" i="1"/>
  <c r="AE131" i="1"/>
  <c r="AE119" i="1"/>
  <c r="DB184" i="1"/>
  <c r="AE184" i="1" l="1"/>
  <c r="AE185" i="1" s="1"/>
  <c r="DB185" i="1"/>
  <c r="DB268" i="1" l="1"/>
  <c r="DB272" i="1"/>
  <c r="DB270" i="1"/>
  <c r="AE270" i="1"/>
  <c r="AE268" i="1"/>
  <c r="AE272" i="1"/>
  <c r="DB189" i="1"/>
  <c r="DB192" i="1"/>
  <c r="DB133" i="1" s="1"/>
  <c r="DB235" i="1"/>
  <c r="AE192" i="1"/>
  <c r="AE133" i="1" s="1"/>
  <c r="AE189" i="1"/>
  <c r="AE235" i="1"/>
  <c r="AE190" i="1" l="1"/>
  <c r="AE135" i="1"/>
  <c r="AE138" i="1" s="1"/>
  <c r="AE134" i="1"/>
  <c r="AE137" i="1" s="1"/>
  <c r="DB134" i="1"/>
  <c r="DB137" i="1" s="1"/>
  <c r="DB135" i="1"/>
  <c r="DB138" i="1" s="1"/>
  <c r="DB19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<sst xmlns="http://schemas.openxmlformats.org/spreadsheetml/2006/main" count="682" uniqueCount="542">
  <si>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</si>
  <si>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</si>
  <si>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</si>
  <si>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</si>
  <si>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</si>
  <si>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</si>
  <si>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</si>
  <si>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</si>
  <si>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</si>
  <si>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</si>
  <si>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</si>
  <si>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</si>
  <si>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</si>
  <si>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</si>
  <si>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</si>
  <si>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</si>
  <si>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</si>
  <si>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</si>
  <si>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</si>
  <si>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</si>
  <si>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</si>
  <si>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</si>
  <si>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</si>
  <si>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</si>
  <si>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</si>
  <si>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</si>
  <si>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</si>
  <si>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</si>
  <si>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</si>
  <si>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</si>
  <si>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</si>
  <si>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</si>
  <si>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</si>
  <si>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</si>
  <si>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</si>
  <si>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</si>
  <si>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</si>
  <si>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</si>
  <si>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</si>
  <si>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</si>
  <si>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</si>
  <si>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</si>
  <si>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</si>
  <si>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</si>
  <si>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</si>
  <si>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</si>
  <si>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</si>
  <si>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</si>
  <si>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</si>
  <si>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</si>
  <si>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</si>
  <si>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</si>
  <si>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</si>
  <si>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</si>
  <si>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</si>
  <si>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</si>
  <si>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</si>
  <si>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</si>
  <si>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</si>
  <si>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</si>
  <si>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</si>
  <si>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</si>
  <si>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</si>
  <si>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</si>
  <si>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</si>
  <si>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</si>
  <si>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</si>
  <si>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</si>
  <si>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</si>
  <si>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</si>
  <si>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</si>
  <si>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</si>
  <si>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</si>
  <si>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</si>
  <si>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</si>
  <si>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</si>
  <si>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</si>
  <si>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</si>
  <si>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</si>
  <si>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</si>
  <si>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</si>
  <si>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</si>
  <si>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</si>
  <si>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</si>
  <si>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</si>
  <si>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</si>
  <si>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</si>
  <si>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</si>
  <si>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</si>
  <si>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</si>
  <si>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</si>
  <si>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</si>
  <si>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</si>
  <si>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</si>
  <si>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</si>
  <si>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</si>
  <si>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</si>
  <si>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</si>
  <si>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</si>
  <si>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</si>
  <si>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</si>
  <si>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</si>
  <si>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</si>
  <si>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</si>
  <si>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</si>
  <si>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</si>
  <si>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</si>
  <si>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</si>
  <si>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</si>
  <si>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</si>
  <si>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</si>
  <si>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</si>
  <si>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</si>
  <si>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</si>
  <si>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</si>
  <si>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</si>
  <si>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</si>
  <si>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</si>
  <si>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</si>
  <si>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</si>
  <si>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</si>
  <si>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</si>
  <si>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</si>
  <si>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</si>
  <si>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</si>
  <si>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</si>
  <si>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</si>
  <si>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</si>
  <si>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</si>
  <si>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</si>
  <si>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</si>
  <si>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</si>
  <si>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</si>
  <si>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</si>
  <si>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</si>
  <si>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</si>
  <si>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</si>
  <si>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</si>
  <si>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</si>
  <si>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</si>
  <si>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</si>
  <si>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</si>
  <si>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</si>
  <si>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</si>
  <si>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</si>
  <si>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</si>
  <si>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</si>
  <si>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</si>
  <si>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</si>
  <si>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</si>
  <si>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</si>
  <si>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</si>
  <si>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</si>
  <si>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</si>
  <si>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</si>
  <si>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</si>
  <si>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</si>
  <si>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</si>
  <si>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</si>
  <si>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</si>
  <si>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</si>
  <si>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</si>
  <si>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</si>
  <si>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</si>
  <si>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</si>
  <si>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</si>
  <si>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</si>
  <si>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</si>
  <si>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</si>
  <si>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</si>
  <si>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</si>
  <si>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</si>
  <si>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</si>
  <si>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</si>
  <si>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</si>
  <si>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</si>
  <si>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</si>
  <si>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</si>
  <si>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</si>
  <si>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</si>
  <si>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</si>
  <si>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</si>
  <si>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</si>
  <si>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</si>
  <si>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</si>
  <si>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</si>
  <si>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</si>
  <si>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</si>
  <si>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</si>
  <si>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</si>
  <si>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</si>
  <si>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</si>
  <si>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</si>
  <si>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</si>
  <si>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</si>
  <si>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</si>
  <si>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</si>
  <si>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</si>
  <si>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</si>
  <si>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</si>
  <si>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</si>
  <si>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</si>
  <si>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</si>
  <si>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</si>
  <si>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</si>
  <si>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</si>
  <si>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</si>
  <si>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</si>
  <si>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</si>
  <si>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</si>
  <si>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</si>
  <si>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</si>
  <si>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</si>
  <si>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</si>
  <si>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</si>
  <si>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</si>
  <si>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</si>
  <si>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</si>
  <si>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</si>
  <si>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</si>
  <si>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</si>
  <si>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</si>
  <si>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</si>
  <si>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</si>
  <si>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</si>
  <si>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</si>
  <si>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</si>
  <si>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</si>
  <si>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</si>
  <si>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</si>
  <si>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</si>
  <si>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</si>
  <si>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</si>
  <si>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</si>
  <si>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</si>
  <si>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</si>
  <si>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</si>
  <si>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</si>
  <si>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</si>
  <si>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</si>
  <si>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</si>
  <si>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</si>
  <si>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</si>
  <si>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</si>
  <si>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</si>
  <si>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</si>
  <si>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</si>
  <si>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</si>
  <si>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</si>
  <si>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</si>
  <si>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</si>
  <si>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</si>
  <si>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</si>
  <si>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</si>
  <si>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</si>
  <si>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</si>
  <si>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</si>
  <si>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</si>
  <si>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</si>
  <si>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</si>
  <si>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</si>
  <si>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</si>
  <si>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</si>
  <si>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</si>
  <si>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</si>
  <si>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</si>
  <si>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</si>
  <si>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</si>
  <si>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</si>
  <si>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</si>
  <si>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</si>
  <si>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</si>
  <si>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</si>
  <si>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</si>
  <si>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</si>
  <si>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</si>
  <si>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</si>
  <si>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</si>
  <si>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</si>
  <si>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</si>
  <si>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</si>
  <si>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</si>
  <si>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</si>
  <si>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</si>
  <si>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</si>
  <si>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</si>
  <si>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</si>
  <si>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</si>
  <si>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</si>
  <si>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</si>
  <si>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</si>
  <si>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</si>
  <si>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</si>
  <si>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</si>
  <si>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</si>
  <si>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</si>
  <si>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</si>
  <si>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</si>
  <si>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</si>
  <si>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</si>
  <si>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</si>
  <si>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</si>
  <si>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</si>
  <si>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</si>
  <si>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</si>
  <si>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</si>
  <si>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</si>
  <si>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</si>
  <si>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</si>
  <si>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</si>
  <si>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</si>
  <si>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</si>
  <si>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</si>
  <si>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</si>
  <si>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</si>
  <si>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</si>
  <si>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</si>
  <si>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</si>
  <si>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</si>
  <si>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</si>
  <si>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</si>
  <si>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</si>
  <si>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</si>
  <si>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</si>
  <si>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</si>
  <si>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</si>
  <si>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</si>
  <si>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</si>
  <si>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</si>
  <si>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</si>
  <si>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</si>
  <si>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</si>
  <si>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</si>
  <si>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</si>
  <si>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</si>
  <si>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</si>
  <si>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</si>
  <si>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</si>
  <si>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</si>
  <si>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</si>
  <si>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</si>
  <si>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</si>
  <si>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</si>
  <si>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</si>
  <si>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</si>
  <si>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</si>
  <si>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</si>
  <si>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</si>
  <si>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</si>
  <si>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</si>
  <si>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</si>
  <si>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</si>
  <si>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</si>
  <si>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</si>
  <si>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</si>
  <si>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</si>
  <si>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</si>
  <si>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</si>
  <si>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</si>
  <si>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</si>
  <si>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</si>
  <si>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</si>
  <si>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</si>
  <si>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</si>
  <si>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</si>
  <si>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</si>
  <si>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</si>
  <si>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</si>
  <si>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</si>
  <si>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</si>
  <si>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</si>
  <si>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</si>
  <si>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</si>
  <si>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</si>
  <si>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</si>
  <si>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</si>
  <si>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</si>
  <si>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</si>
  <si>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</si>
  <si>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</si>
  <si>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</si>
  <si>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</si>
  <si>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</si>
  <si>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</si>
  <si>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</si>
  <si>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</si>
  <si>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</si>
  <si>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</si>
  <si>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</si>
  <si>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</si>
  <si>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</si>
  <si>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</si>
  <si>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</si>
  <si>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</si>
  <si>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</si>
  <si>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</si>
  <si>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</si>
  <si>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</si>
  <si>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</si>
  <si>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</si>
  <si>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</si>
  <si>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</si>
  <si>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</si>
  <si>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</si>
  <si>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</si>
  <si>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</si>
  <si>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</si>
  <si>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</si>
  <si>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</si>
  <si>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</si>
  <si>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</si>
  <si>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</si>
  <si>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</si>
  <si>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</si>
  <si>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</si>
  <si>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</si>
  <si>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</si>
  <si>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</si>
  <si>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</si>
  <si>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</si>
  <si>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</si>
  <si>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</si>
  <si>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</si>
  <si>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</si>
  <si>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</si>
  <si>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</si>
  <si>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</si>
  <si>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</si>
  <si>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</si>
  <si>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</si>
  <si>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</si>
  <si>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</si>
  <si>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</si>
  <si>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</si>
  <si>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</si>
  <si>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</si>
  <si>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</si>
  <si>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</si>
  <si>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</si>
  <si>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</si>
  <si>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</si>
  <si>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</si>
  <si>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</si>
  <si>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</si>
  <si>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</si>
  <si>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</si>
  <si>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</si>
  <si>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</si>
  <si>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</si>
  <si>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</si>
  <si>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</si>
  <si>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</si>
  <si>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</si>
  <si>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</si>
  <si>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</si>
  <si>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</si>
  <si>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</si>
  <si>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</si>
  <si>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</si>
  <si>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</si>
  <si>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</si>
  <si>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</si>
  <si>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</si>
  <si>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</si>
  <si>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</si>
  <si>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</si>
  <si>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</si>
  <si>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</si>
  <si>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</si>
  <si>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</si>
  <si>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</si>
  <si>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</si>
  <si>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</si>
  <si>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</si>
  <si>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</si>
  <si>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</si>
  <si>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</si>
  <si>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</si>
  <si>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</si>
  <si>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</si>
  <si>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</si>
  <si>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</si>
  <si>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</si>
  <si>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</si>
  <si>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</si>
  <si>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</si>
  <si>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</si>
  <si>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</si>
  <si>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</si>
  <si>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</si>
  <si>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</si>
  <si>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</si>
  <si>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</si>
  <si>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</si>
  <si>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</si>
  <si>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</si>
  <si>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</si>
  <si>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</si>
  <si>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</si>
  <si>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</si>
  <si>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</si>
  <si>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</si>
  <si>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</si>
  <si>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</si>
  <si>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</si>
  <si>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</si>
  <si>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</si>
  <si>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</si>
  <si>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</si>
  <si>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</si>
  <si>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</si>
  <si>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</si>
  <si>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</si>
  <si>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</si>
  <si>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</si>
  <si>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The Indian Hotels Company Ltd.</t>
  </si>
  <si>
    <t>DATE</t>
  </si>
  <si>
    <t>ADJHIGH</t>
  </si>
  <si>
    <t>ADJCLOSE</t>
  </si>
  <si>
    <t>ADJLOW</t>
  </si>
  <si>
    <t>ADJOPEN</t>
  </si>
  <si>
    <t>CLOSE</t>
  </si>
  <si>
    <t>VOLUME</t>
  </si>
  <si>
    <t>Hotel</t>
  </si>
  <si>
    <t>Rooms (operational)</t>
  </si>
  <si>
    <t>Total Keys</t>
  </si>
  <si>
    <t>Taj</t>
  </si>
  <si>
    <t>Selection</t>
  </si>
  <si>
    <t>Vivanta</t>
  </si>
  <si>
    <t>Ginger</t>
  </si>
  <si>
    <t>Gateway</t>
  </si>
  <si>
    <t>Tree of life</t>
  </si>
  <si>
    <t xml:space="preserve">The Claridges </t>
  </si>
  <si>
    <t>Inventory</t>
  </si>
  <si>
    <t>Sales</t>
  </si>
  <si>
    <t>Cost</t>
  </si>
  <si>
    <t>Brij</t>
  </si>
  <si>
    <t>Per day Metrics-</t>
  </si>
  <si>
    <t>Growth of Per Day Metrics %</t>
  </si>
  <si>
    <t>Sales Growth YoY %</t>
  </si>
  <si>
    <t>Cost Growth YoY %</t>
  </si>
  <si>
    <t>Atmantan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</si>
</sst>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02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65" fontId="18" fillId="2" borderId="0" xfId="2" applyNumberFormat="1" applyFont="1" applyFill="1" applyBorder="1"/>
    <xf numFmtId="165" fontId="20" fillId="2" borderId="0" xfId="2" applyNumberFormat="1" applyFont="1" applyFill="1" applyBorder="1"/>
    <xf numFmtId="43" fontId="18" fillId="2" borderId="0" xfId="2" applyFont="1" applyFill="1" applyAlignment="1">
      <alignment horizontal="right"/>
    </xf>
    <xf numFmtId="9" fontId="20" fillId="2" borderId="0" xfId="1" applyFont="1" applyFill="1" applyAlignment="1">
      <alignment horizontal="right"/>
    </xf>
    <xf numFmtId="165" fontId="20" fillId="2" borderId="0" xfId="2" applyNumberFormat="1" applyFont="1" applyFill="1"/>
    <xf numFmtId="165" fontId="20" fillId="7" borderId="0" xfId="2" applyNumberFormat="1" applyFont="1" applyFill="1" applyAlignment="1">
      <alignment horizontal="center"/>
    </xf>
    <xf numFmtId="43" fontId="20" fillId="2" borderId="0" xfId="2" applyFont="1" applyFill="1" applyBorder="1"/>
    <xf numFmtId="43" fontId="18" fillId="2" borderId="0" xfId="2" applyFont="1" applyFill="1" applyBorder="1"/>
    <xf numFmtId="43" fontId="18" fillId="2" borderId="0" xfId="2" applyFont="1" applyFill="1" applyAlignment="1">
      <alignment horizontal="left"/>
    </xf>
    <xf numFmtId="9" fontId="20" fillId="7" borderId="0" xfId="2" applyNumberFormat="1" applyFont="1" applyFill="1" applyAlignment="1">
      <alignment horizontal="right"/>
    </xf>
    <xf numFmtId="165" fontId="20" fillId="2" borderId="0" xfId="2" applyNumberFormat="1" applyFont="1" applyFill="1" applyAlignment="1">
      <alignment horizontal="center"/>
    </xf>
    <xf numFmtId="165" fontId="7" fillId="0" borderId="0" xfId="2" applyNumberFormat="1" applyFont="1" applyAlignment="1">
      <alignment horizontal="center"/>
    </xf>
    <xf numFmtId="165" fontId="20" fillId="0" borderId="0" xfId="2" applyNumberFormat="1" applyFont="1" applyFill="1" applyAlignment="1">
      <alignment horizontal="center"/>
    </xf>
    <xf numFmtId="165" fontId="20" fillId="2" borderId="0" xfId="2" applyNumberFormat="1" applyFont="1" applyFill="1" applyAlignment="1">
      <alignment horizontal="left"/>
    </xf>
    <xf numFmtId="9" fontId="20" fillId="2" borderId="0" xfId="2" applyNumberFormat="1" applyFont="1" applyFill="1" applyAlignment="1">
      <alignment horizontal="center"/>
    </xf>
    <xf numFmtId="17" fontId="5" fillId="0" borderId="0" xfId="0" applyNumberFormat="1" applyFont="1" applyAlignment="1">
      <alignment horizontal="center"/>
    </xf>
    <xf numFmtId="9" fontId="7" fillId="0" borderId="0" xfId="2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8"/>
  <sheetViews>
    <sheetView tabSelected="1" zoomScaleNormal="100" workbookViewId="0">
      <pane xSplit="1" ySplit="1" topLeftCell="CG2" activePane="bottomRight" state="frozen"/>
      <selection pane="topRight" activeCell="B1" sqref="B1"/>
      <selection pane="bottomLeft" activeCell="A2" sqref="A2"/>
      <selection pane="bottomRight" activeCell="CQ72" sqref="CQ72:CT72"/>
    </sheetView>
  </sheetViews>
  <sheetFormatPr defaultColWidth="11.140625" defaultRowHeight="12" outlineLevelRow="1" x14ac:dyDescent="0.2"/>
  <cols>
    <col min="1" max="1" width="35.85546875" style="2" customWidth="1"/>
    <col min="2" max="18" width="0" style="2" hidden="1" customWidth="1"/>
    <col min="19" max="26" width="11.140625" style="2"/>
    <col min="27" max="29" width="11.140625" style="19"/>
    <col min="30" max="31" width="12.140625" style="19" bestFit="1" customWidth="1"/>
    <col min="32" max="34" width="11.140625" style="2"/>
    <col min="35" max="65" width="0" style="2" hidden="1" customWidth="1"/>
    <col min="66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The Indian Hotels Company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200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85" t="s">
        <v>523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89">
        <v>119</v>
      </c>
      <c r="CH4" s="189">
        <v>376</v>
      </c>
      <c r="CI4" s="189">
        <v>379</v>
      </c>
      <c r="CJ4" s="189">
        <v>435</v>
      </c>
      <c r="CK4" s="189">
        <v>617</v>
      </c>
      <c r="CL4" s="189">
        <v>630</v>
      </c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8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07">
        <f>BB5</f>
        <v>18361</v>
      </c>
      <c r="S5" s="107">
        <f>BF5</f>
        <v>18965</v>
      </c>
      <c r="T5" s="107">
        <f>BJ5</f>
        <v>22231</v>
      </c>
      <c r="U5" s="107">
        <f>BN5</f>
        <v>25000</v>
      </c>
      <c r="V5" s="107">
        <f>BR5</f>
        <v>27500</v>
      </c>
      <c r="W5" s="107">
        <f>BV5</f>
        <v>28200</v>
      </c>
      <c r="X5" s="107">
        <f>BZ5</f>
        <v>31585</v>
      </c>
      <c r="Y5" s="107">
        <f>CD5</f>
        <v>36912</v>
      </c>
      <c r="Z5" s="107">
        <f>CH5</f>
        <v>45994</v>
      </c>
      <c r="AA5" s="108">
        <f>CL5</f>
        <v>64391</v>
      </c>
      <c r="AB5" s="108">
        <f>CP5</f>
        <v>69621</v>
      </c>
      <c r="AC5" s="108">
        <f>CT5</f>
        <v>74497</v>
      </c>
      <c r="AD5" s="108">
        <f>CX5</f>
        <v>79373</v>
      </c>
      <c r="AE5" s="108">
        <f>DB5</f>
        <v>84249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87">
        <v>18361</v>
      </c>
      <c r="AZ5" s="187">
        <v>18361</v>
      </c>
      <c r="BA5" s="187">
        <v>18361</v>
      </c>
      <c r="BB5" s="187">
        <v>18361</v>
      </c>
      <c r="BC5" s="187">
        <v>18965</v>
      </c>
      <c r="BD5" s="187">
        <v>18965</v>
      </c>
      <c r="BE5" s="187">
        <v>18965</v>
      </c>
      <c r="BF5" s="187">
        <v>18965</v>
      </c>
      <c r="BG5" s="187">
        <v>22231</v>
      </c>
      <c r="BH5" s="187">
        <v>22231</v>
      </c>
      <c r="BI5" s="187">
        <v>22231</v>
      </c>
      <c r="BJ5" s="187">
        <v>22231</v>
      </c>
      <c r="BK5" s="187">
        <v>18596</v>
      </c>
      <c r="BL5" s="187">
        <v>18596</v>
      </c>
      <c r="BM5" s="187">
        <v>18596</v>
      </c>
      <c r="BN5" s="107">
        <f t="shared" ref="BN5:DB5" si="33">BN18</f>
        <v>25000</v>
      </c>
      <c r="BO5" s="107">
        <f t="shared" si="33"/>
        <v>25000</v>
      </c>
      <c r="BP5" s="107">
        <f t="shared" si="33"/>
        <v>25200</v>
      </c>
      <c r="BQ5" s="107">
        <f t="shared" si="33"/>
        <v>26100</v>
      </c>
      <c r="BR5" s="107">
        <f t="shared" si="33"/>
        <v>27500</v>
      </c>
      <c r="BS5" s="107">
        <f t="shared" si="33"/>
        <v>27500</v>
      </c>
      <c r="BT5" s="107">
        <f t="shared" si="33"/>
        <v>27700</v>
      </c>
      <c r="BU5" s="107">
        <f t="shared" si="33"/>
        <v>28000</v>
      </c>
      <c r="BV5" s="107">
        <f t="shared" si="33"/>
        <v>28200</v>
      </c>
      <c r="BW5" s="107">
        <f t="shared" si="33"/>
        <v>28650</v>
      </c>
      <c r="BX5" s="107">
        <f t="shared" si="33"/>
        <v>29400</v>
      </c>
      <c r="BY5" s="107">
        <f t="shared" si="33"/>
        <v>30000</v>
      </c>
      <c r="BZ5" s="107">
        <f t="shared" si="33"/>
        <v>31585</v>
      </c>
      <c r="CA5" s="107">
        <f t="shared" si="33"/>
        <v>33239</v>
      </c>
      <c r="CB5" s="107">
        <f t="shared" si="33"/>
        <v>33818</v>
      </c>
      <c r="CC5" s="107">
        <f t="shared" si="33"/>
        <v>34604</v>
      </c>
      <c r="CD5" s="107">
        <f t="shared" si="33"/>
        <v>36912</v>
      </c>
      <c r="CE5" s="107">
        <f t="shared" si="33"/>
        <v>38368</v>
      </c>
      <c r="CF5" s="107">
        <f t="shared" si="33"/>
        <v>42584</v>
      </c>
      <c r="CG5" s="107">
        <f t="shared" si="33"/>
        <v>43599</v>
      </c>
      <c r="CH5" s="107">
        <f t="shared" si="33"/>
        <v>45994</v>
      </c>
      <c r="CI5" s="107">
        <f t="shared" si="33"/>
        <v>47272</v>
      </c>
      <c r="CJ5" s="107">
        <f t="shared" si="33"/>
        <v>50273</v>
      </c>
      <c r="CK5" s="107">
        <f t="shared" si="33"/>
        <v>62499</v>
      </c>
      <c r="CL5" s="107">
        <f t="shared" si="33"/>
        <v>64391</v>
      </c>
      <c r="CM5" s="108">
        <f t="shared" si="33"/>
        <v>65964</v>
      </c>
      <c r="CN5" s="108">
        <f t="shared" si="33"/>
        <v>67183</v>
      </c>
      <c r="CO5" s="108">
        <f t="shared" si="33"/>
        <v>68402</v>
      </c>
      <c r="CP5" s="108">
        <f t="shared" si="33"/>
        <v>69621</v>
      </c>
      <c r="CQ5" s="108">
        <f t="shared" si="33"/>
        <v>70840</v>
      </c>
      <c r="CR5" s="108">
        <f t="shared" si="33"/>
        <v>72059</v>
      </c>
      <c r="CS5" s="108">
        <f t="shared" si="33"/>
        <v>73278</v>
      </c>
      <c r="CT5" s="108">
        <f t="shared" si="33"/>
        <v>74497</v>
      </c>
      <c r="CU5" s="108">
        <f t="shared" si="33"/>
        <v>75716</v>
      </c>
      <c r="CV5" s="108">
        <f t="shared" si="33"/>
        <v>76935</v>
      </c>
      <c r="CW5" s="108">
        <f t="shared" si="33"/>
        <v>78154</v>
      </c>
      <c r="CX5" s="108">
        <f t="shared" si="33"/>
        <v>79373</v>
      </c>
      <c r="CY5" s="108">
        <f t="shared" si="33"/>
        <v>80592</v>
      </c>
      <c r="CZ5" s="108">
        <f t="shared" si="33"/>
        <v>81811</v>
      </c>
      <c r="DA5" s="108">
        <f t="shared" si="33"/>
        <v>83030</v>
      </c>
      <c r="DB5" s="108">
        <f t="shared" si="33"/>
        <v>84249</v>
      </c>
      <c r="DE5" s="159"/>
      <c r="DF5" s="158">
        <v>64169</v>
      </c>
    </row>
    <row r="6" spans="1:110" s="158" customFormat="1" x14ac:dyDescent="0.2">
      <c r="A6" s="186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7"/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87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/>
      <c r="CD6" s="156"/>
      <c r="CE6" s="156"/>
      <c r="CF6" s="156"/>
      <c r="CG6" s="156"/>
      <c r="CH6" s="156"/>
      <c r="CI6" s="156"/>
      <c r="CJ6" s="156"/>
      <c r="CK6" s="156"/>
      <c r="CL6" s="156"/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58" customFormat="1" x14ac:dyDescent="0.2">
      <c r="A7" s="186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7"/>
      <c r="AB7" s="157"/>
      <c r="AC7" s="157"/>
      <c r="AD7" s="157"/>
      <c r="AE7" s="157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/>
      <c r="CG7" s="156"/>
      <c r="CH7" s="156"/>
      <c r="CI7" s="156"/>
      <c r="CJ7" s="156"/>
      <c r="CK7" s="156"/>
      <c r="CL7" s="156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58" customFormat="1" x14ac:dyDescent="0.2">
      <c r="A8" s="185" t="s">
        <v>525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07"/>
      <c r="V8" s="107"/>
      <c r="W8" s="107"/>
      <c r="X8" s="107"/>
      <c r="Y8" s="107"/>
      <c r="Z8" s="107"/>
      <c r="AA8" s="108"/>
      <c r="AB8" s="108"/>
      <c r="AC8" s="108"/>
      <c r="AD8" s="108"/>
      <c r="AE8" s="108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  <c r="CI8" s="107"/>
      <c r="CJ8" s="107"/>
      <c r="CK8" s="107"/>
      <c r="CL8" s="107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E8" s="159"/>
    </row>
    <row r="9" spans="1:110" s="196" customFormat="1" x14ac:dyDescent="0.2">
      <c r="A9" s="186" t="s">
        <v>526</v>
      </c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>
        <f t="shared" ref="U9:U16" si="34">BN9</f>
        <v>12800</v>
      </c>
      <c r="V9" s="195">
        <f t="shared" ref="V9:V16" si="35">BR9</f>
        <v>13600</v>
      </c>
      <c r="W9" s="195">
        <f t="shared" ref="W9:W16" si="36">BV9</f>
        <v>13500</v>
      </c>
      <c r="X9" s="195">
        <f t="shared" ref="X9:X16" si="37">BZ9</f>
        <v>15111</v>
      </c>
      <c r="Y9" s="195">
        <f t="shared" ref="Y9:Y16" si="38">CD9</f>
        <v>16989</v>
      </c>
      <c r="Z9" s="195">
        <f t="shared" ref="Z9:Z16" si="39">CH9</f>
        <v>20752</v>
      </c>
      <c r="AA9" s="190">
        <f t="shared" ref="AA9:AA16" si="40">CL9</f>
        <v>23750</v>
      </c>
      <c r="AB9" s="190">
        <f t="shared" ref="AB9:AB16" si="41">CP9</f>
        <v>25850</v>
      </c>
      <c r="AC9" s="190">
        <f t="shared" ref="AC9:AC16" si="42">CT9</f>
        <v>27850</v>
      </c>
      <c r="AD9" s="190">
        <f t="shared" ref="AD9:AD16" si="43">CX9</f>
        <v>29850</v>
      </c>
      <c r="AE9" s="190">
        <f t="shared" ref="AE9:AE16" si="44">DB9</f>
        <v>31850</v>
      </c>
      <c r="AI9" s="195"/>
      <c r="AJ9" s="195"/>
      <c r="AK9" s="195"/>
      <c r="AL9" s="195"/>
      <c r="AM9" s="195"/>
      <c r="AN9" s="195"/>
      <c r="AO9" s="195"/>
      <c r="AP9" s="195"/>
      <c r="AQ9" s="195"/>
      <c r="AR9" s="195"/>
      <c r="AS9" s="195"/>
      <c r="AT9" s="195"/>
      <c r="AU9" s="195"/>
      <c r="AV9" s="195"/>
      <c r="AW9" s="195"/>
      <c r="AX9" s="195"/>
      <c r="AY9" s="195"/>
      <c r="AZ9" s="195"/>
      <c r="BA9" s="195"/>
      <c r="BB9" s="195"/>
      <c r="BC9" s="195"/>
      <c r="BD9" s="195"/>
      <c r="BE9" s="195"/>
      <c r="BF9" s="195"/>
      <c r="BG9" s="195"/>
      <c r="BH9" s="195"/>
      <c r="BI9" s="195"/>
      <c r="BJ9" s="195"/>
      <c r="BK9" s="195"/>
      <c r="BL9" s="195"/>
      <c r="BM9" s="195"/>
      <c r="BN9" s="195">
        <v>12800</v>
      </c>
      <c r="BO9" s="195">
        <v>12800</v>
      </c>
      <c r="BP9" s="195">
        <v>12800</v>
      </c>
      <c r="BQ9" s="195">
        <v>13100</v>
      </c>
      <c r="BR9" s="195">
        <v>13600</v>
      </c>
      <c r="BS9" s="195">
        <v>13600</v>
      </c>
      <c r="BT9" s="195">
        <v>13500</v>
      </c>
      <c r="BU9" s="195">
        <v>13500</v>
      </c>
      <c r="BV9" s="195">
        <v>13500</v>
      </c>
      <c r="BW9" s="195">
        <v>13100</v>
      </c>
      <c r="BX9" s="195">
        <v>14000</v>
      </c>
      <c r="BY9" s="195">
        <v>14300</v>
      </c>
      <c r="BZ9" s="195">
        <v>15111</v>
      </c>
      <c r="CA9" s="195">
        <v>15722</v>
      </c>
      <c r="CB9" s="195">
        <v>15853</v>
      </c>
      <c r="CC9" s="195">
        <v>15988</v>
      </c>
      <c r="CD9" s="195">
        <v>16989</v>
      </c>
      <c r="CE9" s="195">
        <v>16989</v>
      </c>
      <c r="CF9" s="195">
        <v>19214</v>
      </c>
      <c r="CG9" s="195">
        <v>19870</v>
      </c>
      <c r="CH9" s="195">
        <v>20752</v>
      </c>
      <c r="CI9" s="195">
        <v>21173</v>
      </c>
      <c r="CJ9" s="195">
        <f>13306+8200</f>
        <v>21506</v>
      </c>
      <c r="CK9" s="195">
        <f>13397+9700</f>
        <v>23097</v>
      </c>
      <c r="CL9" s="195">
        <f>13500+10250</f>
        <v>23750</v>
      </c>
      <c r="CM9" s="190">
        <f t="shared" ref="CM9" si="45">+CL9+500+100</f>
        <v>24350</v>
      </c>
      <c r="CN9" s="190">
        <f t="shared" ref="CN9:CQ9" si="46">+CM9+500</f>
        <v>24850</v>
      </c>
      <c r="CO9" s="190">
        <f t="shared" si="46"/>
        <v>25350</v>
      </c>
      <c r="CP9" s="190">
        <f t="shared" si="46"/>
        <v>25850</v>
      </c>
      <c r="CQ9" s="190">
        <f t="shared" si="46"/>
        <v>26350</v>
      </c>
      <c r="CR9" s="190">
        <f t="shared" ref="CR9" si="47">+CQ9+500</f>
        <v>26850</v>
      </c>
      <c r="CS9" s="190">
        <f t="shared" ref="CS9" si="48">+CR9+500</f>
        <v>27350</v>
      </c>
      <c r="CT9" s="190">
        <f t="shared" ref="CT9" si="49">+CS9+500</f>
        <v>27850</v>
      </c>
      <c r="CU9" s="190">
        <f t="shared" ref="CU9" si="50">+CT9+500</f>
        <v>28350</v>
      </c>
      <c r="CV9" s="190">
        <f t="shared" ref="CV9" si="51">+CU9+500</f>
        <v>28850</v>
      </c>
      <c r="CW9" s="190">
        <f t="shared" ref="CW9" si="52">+CV9+500</f>
        <v>29350</v>
      </c>
      <c r="CX9" s="190">
        <f t="shared" ref="CX9" si="53">+CW9+500</f>
        <v>29850</v>
      </c>
      <c r="CY9" s="190">
        <f t="shared" ref="CY9" si="54">+CX9+500</f>
        <v>30350</v>
      </c>
      <c r="CZ9" s="190">
        <f t="shared" ref="CZ9" si="55">+CY9+500</f>
        <v>30850</v>
      </c>
      <c r="DA9" s="190">
        <f t="shared" ref="DA9" si="56">+CZ9+500</f>
        <v>31350</v>
      </c>
      <c r="DB9" s="190">
        <f t="shared" ref="DB9" si="57">+DA9+500</f>
        <v>31850</v>
      </c>
      <c r="DE9" s="197"/>
      <c r="DF9" s="196">
        <v>23697</v>
      </c>
    </row>
    <row r="10" spans="1:110" s="196" customFormat="1" x14ac:dyDescent="0.2">
      <c r="A10" s="186" t="s">
        <v>527</v>
      </c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>
        <f t="shared" si="34"/>
        <v>1400</v>
      </c>
      <c r="V10" s="195">
        <f t="shared" si="35"/>
        <v>1400</v>
      </c>
      <c r="W10" s="195">
        <f t="shared" si="36"/>
        <v>2000</v>
      </c>
      <c r="X10" s="195">
        <f t="shared" si="37"/>
        <v>2332</v>
      </c>
      <c r="Y10" s="195">
        <f t="shared" si="38"/>
        <v>7837</v>
      </c>
      <c r="Z10" s="195">
        <f t="shared" si="39"/>
        <v>3475</v>
      </c>
      <c r="AA10" s="190">
        <f t="shared" si="40"/>
        <v>4799</v>
      </c>
      <c r="AB10" s="190">
        <f t="shared" si="41"/>
        <v>5306</v>
      </c>
      <c r="AC10" s="190">
        <f t="shared" si="42"/>
        <v>5782</v>
      </c>
      <c r="AD10" s="190">
        <f t="shared" si="43"/>
        <v>6258</v>
      </c>
      <c r="AE10" s="190">
        <f t="shared" si="44"/>
        <v>6734</v>
      </c>
      <c r="AI10" s="195"/>
      <c r="AJ10" s="195"/>
      <c r="AK10" s="195"/>
      <c r="AL10" s="195"/>
      <c r="AM10" s="195"/>
      <c r="AN10" s="195"/>
      <c r="AO10" s="195"/>
      <c r="AP10" s="195"/>
      <c r="AQ10" s="195"/>
      <c r="AR10" s="195"/>
      <c r="AS10" s="195"/>
      <c r="AT10" s="195"/>
      <c r="AU10" s="195"/>
      <c r="AV10" s="195"/>
      <c r="AW10" s="195"/>
      <c r="AX10" s="195"/>
      <c r="AY10" s="195"/>
      <c r="AZ10" s="195"/>
      <c r="BA10" s="195"/>
      <c r="BB10" s="195"/>
      <c r="BC10" s="195"/>
      <c r="BD10" s="195"/>
      <c r="BE10" s="195"/>
      <c r="BF10" s="195"/>
      <c r="BG10" s="195"/>
      <c r="BH10" s="195"/>
      <c r="BI10" s="195"/>
      <c r="BJ10" s="195"/>
      <c r="BK10" s="195"/>
      <c r="BL10" s="195"/>
      <c r="BM10" s="195"/>
      <c r="BN10" s="195">
        <v>1400</v>
      </c>
      <c r="BO10" s="195">
        <v>1400</v>
      </c>
      <c r="BP10" s="195">
        <v>1400</v>
      </c>
      <c r="BQ10" s="195">
        <v>1400</v>
      </c>
      <c r="BR10" s="195">
        <v>1400</v>
      </c>
      <c r="BS10" s="195">
        <v>1400</v>
      </c>
      <c r="BT10" s="195">
        <v>1700</v>
      </c>
      <c r="BU10" s="195">
        <v>1850</v>
      </c>
      <c r="BV10" s="195">
        <v>2000</v>
      </c>
      <c r="BW10" s="195">
        <v>2250</v>
      </c>
      <c r="BX10" s="195">
        <v>2300</v>
      </c>
      <c r="BY10" s="195">
        <v>2400</v>
      </c>
      <c r="BZ10" s="195">
        <v>2332</v>
      </c>
      <c r="CA10" s="195">
        <v>6745</v>
      </c>
      <c r="CB10" s="195">
        <v>6846</v>
      </c>
      <c r="CC10" s="195">
        <v>6846</v>
      </c>
      <c r="CD10" s="195">
        <v>7837</v>
      </c>
      <c r="CE10" s="195">
        <v>7198</v>
      </c>
      <c r="CF10" s="195">
        <v>6995</v>
      </c>
      <c r="CG10" s="195">
        <v>3370</v>
      </c>
      <c r="CH10" s="195">
        <v>3475</v>
      </c>
      <c r="CI10" s="195">
        <v>3611</v>
      </c>
      <c r="CJ10" s="195">
        <f>2749+1720</f>
        <v>4469</v>
      </c>
      <c r="CK10" s="195">
        <f>2941+1600</f>
        <v>4541</v>
      </c>
      <c r="CL10" s="195">
        <f>3049+1750</f>
        <v>4799</v>
      </c>
      <c r="CM10" s="190">
        <f t="shared" ref="CM10" si="58">+CL10+150</f>
        <v>4949</v>
      </c>
      <c r="CN10" s="190">
        <f t="shared" ref="CN10:CQ10" si="59">+CM10+119</f>
        <v>5068</v>
      </c>
      <c r="CO10" s="190">
        <f t="shared" si="59"/>
        <v>5187</v>
      </c>
      <c r="CP10" s="190">
        <f t="shared" si="59"/>
        <v>5306</v>
      </c>
      <c r="CQ10" s="190">
        <f t="shared" si="59"/>
        <v>5425</v>
      </c>
      <c r="CR10" s="190">
        <f t="shared" ref="CR10" si="60">+CQ10+119</f>
        <v>5544</v>
      </c>
      <c r="CS10" s="190">
        <f t="shared" ref="CS10" si="61">+CR10+119</f>
        <v>5663</v>
      </c>
      <c r="CT10" s="190">
        <f t="shared" ref="CT10" si="62">+CS10+119</f>
        <v>5782</v>
      </c>
      <c r="CU10" s="190">
        <f t="shared" ref="CU10" si="63">+CT10+119</f>
        <v>5901</v>
      </c>
      <c r="CV10" s="190">
        <f t="shared" ref="CV10" si="64">+CU10+119</f>
        <v>6020</v>
      </c>
      <c r="CW10" s="190">
        <f t="shared" ref="CW10" si="65">+CV10+119</f>
        <v>6139</v>
      </c>
      <c r="CX10" s="190">
        <f t="shared" ref="CX10" si="66">+CW10+119</f>
        <v>6258</v>
      </c>
      <c r="CY10" s="190">
        <f t="shared" ref="CY10" si="67">+CX10+119</f>
        <v>6377</v>
      </c>
      <c r="CZ10" s="190">
        <f t="shared" ref="CZ10" si="68">+CY10+119</f>
        <v>6496</v>
      </c>
      <c r="DA10" s="190">
        <f t="shared" ref="DA10" si="69">+CZ10+119</f>
        <v>6615</v>
      </c>
      <c r="DB10" s="190">
        <f t="shared" ref="DB10" si="70">+DA10+119</f>
        <v>6734</v>
      </c>
      <c r="DE10" s="197"/>
      <c r="DF10" s="196">
        <v>4691</v>
      </c>
    </row>
    <row r="11" spans="1:110" s="196" customFormat="1" x14ac:dyDescent="0.2">
      <c r="A11" s="186" t="s">
        <v>528</v>
      </c>
      <c r="B11" s="195"/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>
        <f t="shared" si="34"/>
        <v>4400</v>
      </c>
      <c r="V11" s="195">
        <f t="shared" si="35"/>
        <v>5300</v>
      </c>
      <c r="W11" s="195">
        <f t="shared" si="36"/>
        <v>5000</v>
      </c>
      <c r="X11" s="195">
        <f t="shared" si="37"/>
        <v>6435</v>
      </c>
      <c r="Y11" s="195">
        <f t="shared" si="38"/>
        <v>3341</v>
      </c>
      <c r="Z11" s="195">
        <f t="shared" si="39"/>
        <v>7031</v>
      </c>
      <c r="AA11" s="190">
        <f t="shared" si="40"/>
        <v>7534</v>
      </c>
      <c r="AB11" s="190">
        <f t="shared" si="41"/>
        <v>7984</v>
      </c>
      <c r="AC11" s="190">
        <f t="shared" si="42"/>
        <v>8384</v>
      </c>
      <c r="AD11" s="190">
        <f t="shared" si="43"/>
        <v>8784</v>
      </c>
      <c r="AE11" s="190">
        <f t="shared" si="44"/>
        <v>9184</v>
      </c>
      <c r="AI11" s="195"/>
      <c r="AJ11" s="195"/>
      <c r="AK11" s="195"/>
      <c r="AL11" s="195"/>
      <c r="AM11" s="195"/>
      <c r="AN11" s="195"/>
      <c r="AO11" s="195"/>
      <c r="AP11" s="195"/>
      <c r="AQ11" s="195"/>
      <c r="AR11" s="195"/>
      <c r="AS11" s="195"/>
      <c r="AT11" s="195"/>
      <c r="AU11" s="195"/>
      <c r="AV11" s="195"/>
      <c r="AW11" s="195"/>
      <c r="AX11" s="195"/>
      <c r="AY11" s="195"/>
      <c r="AZ11" s="195"/>
      <c r="BA11" s="195"/>
      <c r="BB11" s="195"/>
      <c r="BC11" s="195"/>
      <c r="BD11" s="195"/>
      <c r="BE11" s="195"/>
      <c r="BF11" s="195"/>
      <c r="BG11" s="195"/>
      <c r="BH11" s="195"/>
      <c r="BI11" s="195"/>
      <c r="BJ11" s="195"/>
      <c r="BK11" s="195"/>
      <c r="BL11" s="195"/>
      <c r="BM11" s="195"/>
      <c r="BN11" s="195">
        <v>4400</v>
      </c>
      <c r="BO11" s="195">
        <v>4400</v>
      </c>
      <c r="BP11" s="195">
        <v>4200</v>
      </c>
      <c r="BQ11" s="195">
        <v>4600</v>
      </c>
      <c r="BR11" s="195">
        <v>5300</v>
      </c>
      <c r="BS11" s="195">
        <v>5300</v>
      </c>
      <c r="BT11" s="195">
        <v>5200</v>
      </c>
      <c r="BU11" s="195">
        <v>5000</v>
      </c>
      <c r="BV11" s="195">
        <v>5000</v>
      </c>
      <c r="BW11" s="195">
        <v>5200</v>
      </c>
      <c r="BX11" s="195">
        <v>5650</v>
      </c>
      <c r="BY11" s="195">
        <v>5800</v>
      </c>
      <c r="BZ11" s="195">
        <v>6435</v>
      </c>
      <c r="CA11" s="195">
        <v>2760</v>
      </c>
      <c r="CB11" s="195">
        <v>2858</v>
      </c>
      <c r="CC11" s="195">
        <v>2938</v>
      </c>
      <c r="CD11" s="195">
        <v>3341</v>
      </c>
      <c r="CE11" s="195">
        <v>3201</v>
      </c>
      <c r="CF11" s="195">
        <v>3414</v>
      </c>
      <c r="CG11" s="195">
        <v>6741</v>
      </c>
      <c r="CH11" s="195">
        <v>7031</v>
      </c>
      <c r="CI11" s="195">
        <v>7211</v>
      </c>
      <c r="CJ11" s="195">
        <f>3780+3430</f>
        <v>7210</v>
      </c>
      <c r="CK11" s="195">
        <f>3500+3999</f>
        <v>7499</v>
      </c>
      <c r="CL11" s="195">
        <f>4134+3400</f>
        <v>7534</v>
      </c>
      <c r="CM11" s="190">
        <f t="shared" ref="CM11" si="71">+CL11+100+50</f>
        <v>7684</v>
      </c>
      <c r="CN11" s="190">
        <f t="shared" ref="CN11:CQ11" si="72">+CM11+100</f>
        <v>7784</v>
      </c>
      <c r="CO11" s="190">
        <f t="shared" si="72"/>
        <v>7884</v>
      </c>
      <c r="CP11" s="190">
        <f t="shared" si="72"/>
        <v>7984</v>
      </c>
      <c r="CQ11" s="190">
        <f t="shared" si="72"/>
        <v>8084</v>
      </c>
      <c r="CR11" s="190">
        <f t="shared" ref="CR11" si="73">+CQ11+100</f>
        <v>8184</v>
      </c>
      <c r="CS11" s="190">
        <f t="shared" ref="CS11" si="74">+CR11+100</f>
        <v>8284</v>
      </c>
      <c r="CT11" s="190">
        <f t="shared" ref="CT11" si="75">+CS11+100</f>
        <v>8384</v>
      </c>
      <c r="CU11" s="190">
        <f t="shared" ref="CU11" si="76">+CT11+100</f>
        <v>8484</v>
      </c>
      <c r="CV11" s="190">
        <f t="shared" ref="CV11" si="77">+CU11+100</f>
        <v>8584</v>
      </c>
      <c r="CW11" s="190">
        <f t="shared" ref="CW11" si="78">+CV11+100</f>
        <v>8684</v>
      </c>
      <c r="CX11" s="190">
        <f t="shared" ref="CX11" si="79">+CW11+100</f>
        <v>8784</v>
      </c>
      <c r="CY11" s="190">
        <f t="shared" ref="CY11" si="80">+CX11+100</f>
        <v>8884</v>
      </c>
      <c r="CZ11" s="190">
        <f t="shared" ref="CZ11" si="81">+CY11+100</f>
        <v>8984</v>
      </c>
      <c r="DA11" s="190">
        <f t="shared" ref="DA11" si="82">+CZ11+100</f>
        <v>9084</v>
      </c>
      <c r="DB11" s="190">
        <f t="shared" ref="DB11" si="83">+DA11+100</f>
        <v>9184</v>
      </c>
      <c r="DE11" s="197"/>
      <c r="DF11" s="196">
        <v>7649</v>
      </c>
    </row>
    <row r="12" spans="1:110" s="196" customFormat="1" x14ac:dyDescent="0.2">
      <c r="A12" s="186" t="s">
        <v>529</v>
      </c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>
        <f t="shared" si="34"/>
        <v>6400</v>
      </c>
      <c r="V12" s="195">
        <f t="shared" si="35"/>
        <v>7200</v>
      </c>
      <c r="W12" s="195">
        <f t="shared" si="36"/>
        <v>7700</v>
      </c>
      <c r="X12" s="195">
        <f t="shared" si="37"/>
        <v>7707</v>
      </c>
      <c r="Y12" s="195">
        <f t="shared" si="38"/>
        <v>8731</v>
      </c>
      <c r="Z12" s="195">
        <f t="shared" si="39"/>
        <v>10385</v>
      </c>
      <c r="AA12" s="190">
        <f t="shared" si="40"/>
        <v>19226</v>
      </c>
      <c r="AB12" s="190">
        <f t="shared" si="41"/>
        <v>21326</v>
      </c>
      <c r="AC12" s="190">
        <f t="shared" si="42"/>
        <v>23326</v>
      </c>
      <c r="AD12" s="190">
        <f t="shared" si="43"/>
        <v>25326</v>
      </c>
      <c r="AE12" s="190">
        <f t="shared" si="44"/>
        <v>27326</v>
      </c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5"/>
      <c r="AX12" s="195"/>
      <c r="AY12" s="195"/>
      <c r="AZ12" s="195"/>
      <c r="BA12" s="195"/>
      <c r="BB12" s="195"/>
      <c r="BC12" s="195"/>
      <c r="BD12" s="195"/>
      <c r="BE12" s="195"/>
      <c r="BF12" s="195"/>
      <c r="BG12" s="195"/>
      <c r="BH12" s="195"/>
      <c r="BI12" s="195"/>
      <c r="BJ12" s="195"/>
      <c r="BK12" s="195"/>
      <c r="BL12" s="195"/>
      <c r="BM12" s="195"/>
      <c r="BN12" s="195">
        <v>6400</v>
      </c>
      <c r="BO12" s="195">
        <v>6400</v>
      </c>
      <c r="BP12" s="195">
        <v>6800</v>
      </c>
      <c r="BQ12" s="195">
        <v>7000</v>
      </c>
      <c r="BR12" s="195">
        <v>7200</v>
      </c>
      <c r="BS12" s="195">
        <v>7200</v>
      </c>
      <c r="BT12" s="195">
        <v>7300</v>
      </c>
      <c r="BU12" s="195">
        <v>7650</v>
      </c>
      <c r="BV12" s="195">
        <v>7700</v>
      </c>
      <c r="BW12" s="195">
        <v>8100</v>
      </c>
      <c r="BX12" s="195">
        <v>7450</v>
      </c>
      <c r="BY12" s="195">
        <v>7500</v>
      </c>
      <c r="BZ12" s="195">
        <v>7707</v>
      </c>
      <c r="CA12" s="195">
        <v>8012</v>
      </c>
      <c r="CB12" s="195">
        <v>8261</v>
      </c>
      <c r="CC12" s="195">
        <v>8832</v>
      </c>
      <c r="CD12" s="195">
        <v>8731</v>
      </c>
      <c r="CE12" s="195">
        <v>9065</v>
      </c>
      <c r="CF12" s="195">
        <v>10097</v>
      </c>
      <c r="CG12" s="195">
        <v>10300</v>
      </c>
      <c r="CH12" s="195">
        <v>10385</v>
      </c>
      <c r="CI12" s="195">
        <v>10589</v>
      </c>
      <c r="CJ12" s="195">
        <f>6649+4500</f>
        <v>11149</v>
      </c>
      <c r="CK12" s="195">
        <f>10046+9400</f>
        <v>19446</v>
      </c>
      <c r="CL12" s="195">
        <f>10226+9000</f>
        <v>19226</v>
      </c>
      <c r="CM12" s="190">
        <f t="shared" ref="CM12" si="84">+CL12+500+100</f>
        <v>19826</v>
      </c>
      <c r="CN12" s="190">
        <f t="shared" ref="CN12:CQ12" si="85">+CM12+500</f>
        <v>20326</v>
      </c>
      <c r="CO12" s="190">
        <f t="shared" si="85"/>
        <v>20826</v>
      </c>
      <c r="CP12" s="190">
        <f t="shared" si="85"/>
        <v>21326</v>
      </c>
      <c r="CQ12" s="190">
        <f t="shared" si="85"/>
        <v>21826</v>
      </c>
      <c r="CR12" s="190">
        <f>+CQ12+500</f>
        <v>22326</v>
      </c>
      <c r="CS12" s="190">
        <f>+CR12+500</f>
        <v>22826</v>
      </c>
      <c r="CT12" s="190">
        <f>+CS12+500</f>
        <v>23326</v>
      </c>
      <c r="CU12" s="190">
        <f>+CT12+500</f>
        <v>23826</v>
      </c>
      <c r="CV12" s="190">
        <f t="shared" ref="CV12" si="86">+CU12+500</f>
        <v>24326</v>
      </c>
      <c r="CW12" s="190">
        <f t="shared" ref="CW12" si="87">+CV12+500</f>
        <v>24826</v>
      </c>
      <c r="CX12" s="190">
        <f t="shared" ref="CX12" si="88">+CW12+500</f>
        <v>25326</v>
      </c>
      <c r="CY12" s="190">
        <f t="shared" ref="CY12" si="89">+CX12+500</f>
        <v>25826</v>
      </c>
      <c r="CZ12" s="190">
        <f t="shared" ref="CZ12" si="90">+CY12+500</f>
        <v>26326</v>
      </c>
      <c r="DA12" s="190">
        <f t="shared" ref="DA12" si="91">+CZ12+500</f>
        <v>26826</v>
      </c>
      <c r="DB12" s="190">
        <f t="shared" ref="DB12" si="92">+DA12+500</f>
        <v>27326</v>
      </c>
      <c r="DE12" s="197"/>
      <c r="DF12" s="196">
        <v>20046</v>
      </c>
    </row>
    <row r="13" spans="1:110" s="196" customFormat="1" x14ac:dyDescent="0.2">
      <c r="A13" s="186" t="s">
        <v>530</v>
      </c>
      <c r="B13" s="195"/>
      <c r="C13" s="195"/>
      <c r="D13" s="195"/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>
        <f t="shared" si="34"/>
        <v>0</v>
      </c>
      <c r="V13" s="195">
        <f t="shared" si="35"/>
        <v>0</v>
      </c>
      <c r="W13" s="195">
        <f t="shared" si="36"/>
        <v>0</v>
      </c>
      <c r="X13" s="195">
        <f t="shared" si="37"/>
        <v>0</v>
      </c>
      <c r="Y13" s="195">
        <f t="shared" si="38"/>
        <v>0</v>
      </c>
      <c r="Z13" s="195">
        <f t="shared" si="39"/>
        <v>3676</v>
      </c>
      <c r="AA13" s="190">
        <f t="shared" si="40"/>
        <v>7248</v>
      </c>
      <c r="AB13" s="190">
        <f t="shared" si="41"/>
        <v>7398</v>
      </c>
      <c r="AC13" s="190">
        <f t="shared" si="42"/>
        <v>7398</v>
      </c>
      <c r="AD13" s="190">
        <f t="shared" si="43"/>
        <v>7398</v>
      </c>
      <c r="AE13" s="190">
        <f t="shared" si="44"/>
        <v>7398</v>
      </c>
      <c r="AI13" s="195"/>
      <c r="AJ13" s="195"/>
      <c r="AK13" s="195"/>
      <c r="AL13" s="195"/>
      <c r="AM13" s="195"/>
      <c r="AN13" s="195"/>
      <c r="AO13" s="195"/>
      <c r="AP13" s="195"/>
      <c r="AQ13" s="195"/>
      <c r="AR13" s="195"/>
      <c r="AS13" s="195"/>
      <c r="AT13" s="195"/>
      <c r="AU13" s="195"/>
      <c r="AV13" s="195"/>
      <c r="AW13" s="195"/>
      <c r="AX13" s="195"/>
      <c r="AY13" s="195"/>
      <c r="AZ13" s="195"/>
      <c r="BA13" s="195"/>
      <c r="BB13" s="195"/>
      <c r="BC13" s="195"/>
      <c r="BD13" s="195"/>
      <c r="BE13" s="195"/>
      <c r="BF13" s="195"/>
      <c r="BG13" s="195"/>
      <c r="BH13" s="195"/>
      <c r="BI13" s="195"/>
      <c r="BJ13" s="195"/>
      <c r="BK13" s="195"/>
      <c r="BL13" s="195"/>
      <c r="BM13" s="195"/>
      <c r="BN13" s="195"/>
      <c r="BO13" s="195"/>
      <c r="BP13" s="195"/>
      <c r="BQ13" s="195"/>
      <c r="BR13" s="195"/>
      <c r="BS13" s="195"/>
      <c r="BT13" s="195"/>
      <c r="BU13" s="195"/>
      <c r="BV13" s="195"/>
      <c r="BW13" s="195"/>
      <c r="BX13" s="195"/>
      <c r="BY13" s="195"/>
      <c r="BZ13" s="195"/>
      <c r="CA13" s="195"/>
      <c r="CB13" s="195"/>
      <c r="CC13" s="195"/>
      <c r="CD13" s="195"/>
      <c r="CE13" s="195">
        <v>1710</v>
      </c>
      <c r="CF13" s="195">
        <v>2588</v>
      </c>
      <c r="CG13" s="195">
        <v>2900</v>
      </c>
      <c r="CH13" s="195">
        <v>3676</v>
      </c>
      <c r="CI13" s="195">
        <v>3998</v>
      </c>
      <c r="CJ13" s="195">
        <f>1029+3800</f>
        <v>4829</v>
      </c>
      <c r="CK13" s="195">
        <f>1029+5400</f>
        <v>6429</v>
      </c>
      <c r="CL13" s="195">
        <f>1148+6100</f>
        <v>7248</v>
      </c>
      <c r="CM13" s="190">
        <f t="shared" ref="CM13" si="93">+CL13+150</f>
        <v>7398</v>
      </c>
      <c r="CN13" s="190">
        <f t="shared" ref="CN13:CQ15" si="94">+CM13</f>
        <v>7398</v>
      </c>
      <c r="CO13" s="190">
        <f t="shared" si="94"/>
        <v>7398</v>
      </c>
      <c r="CP13" s="190">
        <f t="shared" si="94"/>
        <v>7398</v>
      </c>
      <c r="CQ13" s="190">
        <f t="shared" si="94"/>
        <v>7398</v>
      </c>
      <c r="CR13" s="190">
        <f t="shared" ref="CR13:CR14" si="95">+CQ13</f>
        <v>7398</v>
      </c>
      <c r="CS13" s="190">
        <f t="shared" ref="CS13:CS14" si="96">+CR13</f>
        <v>7398</v>
      </c>
      <c r="CT13" s="190">
        <f t="shared" ref="CT13:CT14" si="97">+CS13</f>
        <v>7398</v>
      </c>
      <c r="CU13" s="190">
        <f t="shared" ref="CU13:CU14" si="98">+CT13</f>
        <v>7398</v>
      </c>
      <c r="CV13" s="190">
        <f t="shared" ref="CV13:CV14" si="99">+CU13</f>
        <v>7398</v>
      </c>
      <c r="CW13" s="190">
        <f t="shared" ref="CW13:CW14" si="100">+CV13</f>
        <v>7398</v>
      </c>
      <c r="CX13" s="190">
        <f t="shared" ref="CX13:CX14" si="101">+CW13</f>
        <v>7398</v>
      </c>
      <c r="CY13" s="190">
        <f t="shared" ref="CY13:CY14" si="102">+CX13</f>
        <v>7398</v>
      </c>
      <c r="CZ13" s="190">
        <f t="shared" ref="CZ13:CZ14" si="103">+CY13</f>
        <v>7398</v>
      </c>
      <c r="DA13" s="190">
        <f t="shared" ref="DA13:DA14" si="104">+CZ13</f>
        <v>7398</v>
      </c>
      <c r="DB13" s="190">
        <f t="shared" ref="DB13:DB14" si="105">+DA13</f>
        <v>7398</v>
      </c>
      <c r="DE13" s="197"/>
      <c r="DF13" s="196">
        <v>6579</v>
      </c>
    </row>
    <row r="14" spans="1:110" s="196" customFormat="1" x14ac:dyDescent="0.2">
      <c r="A14" s="186" t="s">
        <v>531</v>
      </c>
      <c r="B14" s="195"/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>
        <f t="shared" si="34"/>
        <v>0</v>
      </c>
      <c r="V14" s="195">
        <f t="shared" si="35"/>
        <v>0</v>
      </c>
      <c r="W14" s="195">
        <f t="shared" si="36"/>
        <v>0</v>
      </c>
      <c r="X14" s="195">
        <f t="shared" si="37"/>
        <v>0</v>
      </c>
      <c r="Y14" s="195">
        <f t="shared" si="38"/>
        <v>14</v>
      </c>
      <c r="Z14" s="195">
        <f t="shared" si="39"/>
        <v>299</v>
      </c>
      <c r="AA14" s="190">
        <f t="shared" si="40"/>
        <v>823</v>
      </c>
      <c r="AB14" s="190">
        <f t="shared" si="41"/>
        <v>843</v>
      </c>
      <c r="AC14" s="190">
        <f t="shared" si="42"/>
        <v>843</v>
      </c>
      <c r="AD14" s="190">
        <f t="shared" si="43"/>
        <v>843</v>
      </c>
      <c r="AE14" s="190">
        <f t="shared" si="44"/>
        <v>843</v>
      </c>
      <c r="AI14" s="195"/>
      <c r="AJ14" s="195"/>
      <c r="AK14" s="195"/>
      <c r="AL14" s="195"/>
      <c r="AM14" s="195"/>
      <c r="AN14" s="195"/>
      <c r="AO14" s="195"/>
      <c r="AP14" s="195"/>
      <c r="AQ14" s="195"/>
      <c r="AR14" s="195"/>
      <c r="AS14" s="195"/>
      <c r="AT14" s="195"/>
      <c r="AU14" s="195"/>
      <c r="AV14" s="195"/>
      <c r="AW14" s="195"/>
      <c r="AX14" s="195"/>
      <c r="AY14" s="195"/>
      <c r="AZ14" s="195"/>
      <c r="BA14" s="195"/>
      <c r="BB14" s="195"/>
      <c r="BC14" s="195"/>
      <c r="BD14" s="195"/>
      <c r="BE14" s="195"/>
      <c r="BF14" s="195"/>
      <c r="BG14" s="195"/>
      <c r="BH14" s="195"/>
      <c r="BI14" s="195"/>
      <c r="BJ14" s="195"/>
      <c r="BK14" s="195"/>
      <c r="BL14" s="195"/>
      <c r="BM14" s="195"/>
      <c r="BN14" s="195"/>
      <c r="BO14" s="195"/>
      <c r="BP14" s="195"/>
      <c r="BQ14" s="195"/>
      <c r="BR14" s="195"/>
      <c r="BS14" s="195"/>
      <c r="BT14" s="195"/>
      <c r="BU14" s="195"/>
      <c r="BV14" s="195"/>
      <c r="BW14" s="195"/>
      <c r="BX14" s="195"/>
      <c r="BY14" s="195"/>
      <c r="BZ14" s="195"/>
      <c r="CA14" s="195"/>
      <c r="CB14" s="195"/>
      <c r="CC14" s="195"/>
      <c r="CD14" s="195">
        <v>14</v>
      </c>
      <c r="CE14" s="195">
        <v>205</v>
      </c>
      <c r="CF14" s="195">
        <v>276</v>
      </c>
      <c r="CG14" s="195">
        <v>299</v>
      </c>
      <c r="CH14" s="195">
        <v>299</v>
      </c>
      <c r="CI14" s="195">
        <v>311</v>
      </c>
      <c r="CJ14" s="195">
        <f>251+100</f>
        <v>351</v>
      </c>
      <c r="CK14" s="195">
        <f>273+300</f>
        <v>573</v>
      </c>
      <c r="CL14" s="195">
        <f>423+400</f>
        <v>823</v>
      </c>
      <c r="CM14" s="190">
        <f t="shared" ref="CM14" si="106">+CL14+20</f>
        <v>843</v>
      </c>
      <c r="CN14" s="190">
        <f t="shared" si="94"/>
        <v>843</v>
      </c>
      <c r="CO14" s="190">
        <f t="shared" si="94"/>
        <v>843</v>
      </c>
      <c r="CP14" s="190">
        <f t="shared" si="94"/>
        <v>843</v>
      </c>
      <c r="CQ14" s="190">
        <f t="shared" si="94"/>
        <v>843</v>
      </c>
      <c r="CR14" s="190">
        <f t="shared" si="95"/>
        <v>843</v>
      </c>
      <c r="CS14" s="190">
        <f t="shared" si="96"/>
        <v>843</v>
      </c>
      <c r="CT14" s="190">
        <f t="shared" si="97"/>
        <v>843</v>
      </c>
      <c r="CU14" s="190">
        <f t="shared" si="98"/>
        <v>843</v>
      </c>
      <c r="CV14" s="190">
        <f t="shared" si="99"/>
        <v>843</v>
      </c>
      <c r="CW14" s="190">
        <f t="shared" si="100"/>
        <v>843</v>
      </c>
      <c r="CX14" s="190">
        <f t="shared" si="101"/>
        <v>843</v>
      </c>
      <c r="CY14" s="190">
        <f t="shared" si="102"/>
        <v>843</v>
      </c>
      <c r="CZ14" s="190">
        <f t="shared" si="103"/>
        <v>843</v>
      </c>
      <c r="DA14" s="190">
        <f t="shared" si="104"/>
        <v>843</v>
      </c>
      <c r="DB14" s="190">
        <f t="shared" si="105"/>
        <v>843</v>
      </c>
      <c r="DE14" s="197"/>
      <c r="DF14" s="196">
        <v>593</v>
      </c>
    </row>
    <row r="15" spans="1:110" s="196" customFormat="1" x14ac:dyDescent="0.2">
      <c r="A15" s="186" t="s">
        <v>532</v>
      </c>
      <c r="B15" s="195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>
        <f t="shared" si="34"/>
        <v>0</v>
      </c>
      <c r="V15" s="195">
        <f t="shared" si="35"/>
        <v>0</v>
      </c>
      <c r="W15" s="195">
        <f t="shared" si="36"/>
        <v>0</v>
      </c>
      <c r="X15" s="195">
        <f t="shared" si="37"/>
        <v>0</v>
      </c>
      <c r="Y15" s="195">
        <f t="shared" si="38"/>
        <v>0</v>
      </c>
      <c r="Z15" s="195">
        <f t="shared" si="39"/>
        <v>376</v>
      </c>
      <c r="AA15" s="190">
        <f t="shared" si="40"/>
        <v>479</v>
      </c>
      <c r="AB15" s="190">
        <f t="shared" si="41"/>
        <v>479</v>
      </c>
      <c r="AC15" s="190">
        <f t="shared" si="42"/>
        <v>479</v>
      </c>
      <c r="AD15" s="190">
        <f t="shared" si="43"/>
        <v>479</v>
      </c>
      <c r="AE15" s="190">
        <f t="shared" si="44"/>
        <v>479</v>
      </c>
      <c r="AI15" s="195"/>
      <c r="AJ15" s="195"/>
      <c r="AK15" s="195"/>
      <c r="AL15" s="195"/>
      <c r="AM15" s="195"/>
      <c r="AN15" s="195"/>
      <c r="AO15" s="195"/>
      <c r="AP15" s="195"/>
      <c r="AQ15" s="195"/>
      <c r="AR15" s="195"/>
      <c r="AS15" s="195"/>
      <c r="AT15" s="195"/>
      <c r="AU15" s="195"/>
      <c r="AV15" s="195"/>
      <c r="AW15" s="195"/>
      <c r="AX15" s="195"/>
      <c r="AY15" s="195"/>
      <c r="AZ15" s="195"/>
      <c r="BA15" s="195"/>
      <c r="BB15" s="195"/>
      <c r="BC15" s="195"/>
      <c r="BD15" s="195"/>
      <c r="BE15" s="195"/>
      <c r="BF15" s="195"/>
      <c r="BG15" s="195"/>
      <c r="BH15" s="195"/>
      <c r="BI15" s="195"/>
      <c r="BJ15" s="195"/>
      <c r="BK15" s="195"/>
      <c r="BL15" s="195"/>
      <c r="BM15" s="195"/>
      <c r="BN15" s="195"/>
      <c r="BO15" s="195"/>
      <c r="BP15" s="195"/>
      <c r="BQ15" s="195"/>
      <c r="BR15" s="195"/>
      <c r="BS15" s="195"/>
      <c r="BT15" s="195"/>
      <c r="BU15" s="195"/>
      <c r="BV15" s="195"/>
      <c r="BW15" s="195"/>
      <c r="BX15" s="195"/>
      <c r="BY15" s="195"/>
      <c r="BZ15" s="195"/>
      <c r="CA15" s="195"/>
      <c r="CB15" s="195"/>
      <c r="CC15" s="195"/>
      <c r="CD15" s="195"/>
      <c r="CE15" s="195"/>
      <c r="CF15" s="195"/>
      <c r="CG15" s="195">
        <v>119</v>
      </c>
      <c r="CH15" s="195">
        <v>376</v>
      </c>
      <c r="CI15" s="195">
        <v>379</v>
      </c>
      <c r="CJ15" s="195">
        <v>379</v>
      </c>
      <c r="CK15" s="195">
        <f>379+100</f>
        <v>479</v>
      </c>
      <c r="CL15" s="195">
        <f>379+100</f>
        <v>479</v>
      </c>
      <c r="CM15" s="190">
        <f t="shared" ref="CM15" si="107">+CL15</f>
        <v>479</v>
      </c>
      <c r="CN15" s="190">
        <f t="shared" si="94"/>
        <v>479</v>
      </c>
      <c r="CO15" s="190">
        <f t="shared" si="94"/>
        <v>479</v>
      </c>
      <c r="CP15" s="190">
        <f t="shared" si="94"/>
        <v>479</v>
      </c>
      <c r="CQ15" s="190">
        <f t="shared" si="94"/>
        <v>479</v>
      </c>
      <c r="CR15" s="190">
        <f t="shared" ref="CR15:DB15" si="108">+CQ15</f>
        <v>479</v>
      </c>
      <c r="CS15" s="190">
        <f t="shared" si="108"/>
        <v>479</v>
      </c>
      <c r="CT15" s="190">
        <f t="shared" si="108"/>
        <v>479</v>
      </c>
      <c r="CU15" s="190">
        <f t="shared" si="108"/>
        <v>479</v>
      </c>
      <c r="CV15" s="190">
        <f t="shared" si="108"/>
        <v>479</v>
      </c>
      <c r="CW15" s="190">
        <f t="shared" si="108"/>
        <v>479</v>
      </c>
      <c r="CX15" s="190">
        <f t="shared" si="108"/>
        <v>479</v>
      </c>
      <c r="CY15" s="190">
        <f t="shared" si="108"/>
        <v>479</v>
      </c>
      <c r="CZ15" s="190">
        <f t="shared" si="108"/>
        <v>479</v>
      </c>
      <c r="DA15" s="190">
        <f t="shared" si="108"/>
        <v>479</v>
      </c>
      <c r="DB15" s="190">
        <f t="shared" si="108"/>
        <v>479</v>
      </c>
      <c r="DE15" s="197"/>
      <c r="DF15" s="196">
        <v>479</v>
      </c>
    </row>
    <row r="16" spans="1:110" s="196" customFormat="1" x14ac:dyDescent="0.2">
      <c r="A16" s="198" t="s">
        <v>536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>
        <f t="shared" si="34"/>
        <v>0</v>
      </c>
      <c r="V16" s="195">
        <f t="shared" si="35"/>
        <v>0</v>
      </c>
      <c r="W16" s="195">
        <f t="shared" si="36"/>
        <v>0</v>
      </c>
      <c r="X16" s="195">
        <f t="shared" si="37"/>
        <v>0</v>
      </c>
      <c r="Y16" s="195">
        <f t="shared" si="38"/>
        <v>0</v>
      </c>
      <c r="Z16" s="195">
        <f t="shared" si="39"/>
        <v>0</v>
      </c>
      <c r="AA16" s="190">
        <f t="shared" si="40"/>
        <v>435</v>
      </c>
      <c r="AB16" s="190">
        <f t="shared" si="41"/>
        <v>435</v>
      </c>
      <c r="AC16" s="190">
        <f t="shared" si="42"/>
        <v>435</v>
      </c>
      <c r="AD16" s="190">
        <f t="shared" si="43"/>
        <v>435</v>
      </c>
      <c r="AE16" s="190">
        <f t="shared" si="44"/>
        <v>435</v>
      </c>
      <c r="AI16" s="195"/>
      <c r="AJ16" s="195"/>
      <c r="AK16" s="195"/>
      <c r="AL16" s="195"/>
      <c r="AM16" s="195"/>
      <c r="AN16" s="195"/>
      <c r="AO16" s="195"/>
      <c r="AP16" s="195"/>
      <c r="AQ16" s="195"/>
      <c r="AR16" s="195"/>
      <c r="AS16" s="195"/>
      <c r="AT16" s="195"/>
      <c r="AU16" s="195"/>
      <c r="AV16" s="195"/>
      <c r="AW16" s="195"/>
      <c r="AX16" s="195"/>
      <c r="AY16" s="195"/>
      <c r="AZ16" s="195"/>
      <c r="BA16" s="195"/>
      <c r="BB16" s="195"/>
      <c r="BC16" s="195"/>
      <c r="BD16" s="195"/>
      <c r="BE16" s="195"/>
      <c r="BF16" s="195"/>
      <c r="BG16" s="195"/>
      <c r="BH16" s="195"/>
      <c r="BI16" s="195"/>
      <c r="BJ16" s="195"/>
      <c r="BK16" s="195"/>
      <c r="BL16" s="195"/>
      <c r="BM16" s="195"/>
      <c r="BN16" s="195"/>
      <c r="BO16" s="195"/>
      <c r="BP16" s="195"/>
      <c r="BQ16" s="195"/>
      <c r="BR16" s="195"/>
      <c r="BS16" s="195"/>
      <c r="BT16" s="195"/>
      <c r="BU16" s="195"/>
      <c r="BV16" s="195"/>
      <c r="BW16" s="195"/>
      <c r="BX16" s="195"/>
      <c r="BY16" s="195"/>
      <c r="BZ16" s="195"/>
      <c r="CA16" s="195"/>
      <c r="CB16" s="195"/>
      <c r="CC16" s="195"/>
      <c r="CD16" s="195"/>
      <c r="CE16" s="195"/>
      <c r="CF16" s="195"/>
      <c r="CG16" s="195"/>
      <c r="CH16" s="195"/>
      <c r="CI16" s="195"/>
      <c r="CJ16" s="195">
        <f>130+250</f>
        <v>380</v>
      </c>
      <c r="CK16" s="195">
        <f>135+300</f>
        <v>435</v>
      </c>
      <c r="CL16" s="195">
        <f>135+300</f>
        <v>435</v>
      </c>
      <c r="CM16" s="190">
        <f t="shared" ref="CM16:DB16" si="109">CL16</f>
        <v>435</v>
      </c>
      <c r="CN16" s="190">
        <f t="shared" si="109"/>
        <v>435</v>
      </c>
      <c r="CO16" s="190">
        <f t="shared" si="109"/>
        <v>435</v>
      </c>
      <c r="CP16" s="190">
        <f t="shared" si="109"/>
        <v>435</v>
      </c>
      <c r="CQ16" s="190">
        <f t="shared" si="109"/>
        <v>435</v>
      </c>
      <c r="CR16" s="190">
        <f t="shared" si="109"/>
        <v>435</v>
      </c>
      <c r="CS16" s="190">
        <f t="shared" si="109"/>
        <v>435</v>
      </c>
      <c r="CT16" s="190">
        <f t="shared" si="109"/>
        <v>435</v>
      </c>
      <c r="CU16" s="190">
        <f t="shared" si="109"/>
        <v>435</v>
      </c>
      <c r="CV16" s="190">
        <f t="shared" si="109"/>
        <v>435</v>
      </c>
      <c r="CW16" s="190">
        <f t="shared" si="109"/>
        <v>435</v>
      </c>
      <c r="CX16" s="190">
        <f t="shared" si="109"/>
        <v>435</v>
      </c>
      <c r="CY16" s="190">
        <f t="shared" si="109"/>
        <v>435</v>
      </c>
      <c r="CZ16" s="190">
        <f t="shared" si="109"/>
        <v>435</v>
      </c>
      <c r="DA16" s="190">
        <f t="shared" si="109"/>
        <v>435</v>
      </c>
      <c r="DB16" s="190">
        <f t="shared" si="109"/>
        <v>435</v>
      </c>
      <c r="DE16" s="197"/>
      <c r="DF16" s="196">
        <v>435</v>
      </c>
    </row>
    <row r="17" spans="1:110" s="196" customFormat="1" x14ac:dyDescent="0.2">
      <c r="A17" s="198" t="s">
        <v>541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0"/>
      <c r="AB17" s="190"/>
      <c r="AC17" s="190"/>
      <c r="AD17" s="190"/>
      <c r="AE17" s="190"/>
      <c r="AI17" s="195"/>
      <c r="AJ17" s="195"/>
      <c r="AK17" s="195"/>
      <c r="AL17" s="195"/>
      <c r="AM17" s="195"/>
      <c r="AN17" s="195"/>
      <c r="AO17" s="195"/>
      <c r="AP17" s="195"/>
      <c r="AQ17" s="195"/>
      <c r="AR17" s="195"/>
      <c r="AS17" s="195"/>
      <c r="AT17" s="195"/>
      <c r="AU17" s="195"/>
      <c r="AV17" s="195"/>
      <c r="AW17" s="195"/>
      <c r="AX17" s="195"/>
      <c r="AY17" s="195"/>
      <c r="AZ17" s="195"/>
      <c r="BA17" s="195"/>
      <c r="BB17" s="195"/>
      <c r="BC17" s="195"/>
      <c r="BD17" s="195"/>
      <c r="BE17" s="195"/>
      <c r="BF17" s="195"/>
      <c r="BG17" s="195"/>
      <c r="BH17" s="195"/>
      <c r="BI17" s="195"/>
      <c r="BJ17" s="195"/>
      <c r="BK17" s="195"/>
      <c r="BL17" s="195"/>
      <c r="BM17" s="195"/>
      <c r="BN17" s="195"/>
      <c r="BO17" s="195"/>
      <c r="BP17" s="195"/>
      <c r="BQ17" s="195"/>
      <c r="BR17" s="195"/>
      <c r="BS17" s="195"/>
      <c r="BT17" s="195"/>
      <c r="BU17" s="195"/>
      <c r="BV17" s="195"/>
      <c r="BW17" s="195"/>
      <c r="BX17" s="195"/>
      <c r="BY17" s="195"/>
      <c r="BZ17" s="195"/>
      <c r="CA17" s="195"/>
      <c r="CB17" s="195"/>
      <c r="CC17" s="195"/>
      <c r="CD17" s="195"/>
      <c r="CE17" s="195"/>
      <c r="CF17" s="195"/>
      <c r="CG17" s="195"/>
      <c r="CH17" s="195"/>
      <c r="CI17" s="195"/>
      <c r="CJ17" s="195"/>
      <c r="CK17" s="195"/>
      <c r="CL17" s="195">
        <v>97</v>
      </c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E17" s="197"/>
    </row>
    <row r="18" spans="1:110" s="158" customFormat="1" x14ac:dyDescent="0.2">
      <c r="A18" s="185" t="s">
        <v>533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07">
        <f t="shared" ref="T18:AE18" si="110">+SUM(T9:T16)</f>
        <v>0</v>
      </c>
      <c r="U18" s="107">
        <f t="shared" si="110"/>
        <v>25000</v>
      </c>
      <c r="V18" s="107">
        <f t="shared" si="110"/>
        <v>27500</v>
      </c>
      <c r="W18" s="107">
        <f t="shared" si="110"/>
        <v>28200</v>
      </c>
      <c r="X18" s="107">
        <f t="shared" si="110"/>
        <v>31585</v>
      </c>
      <c r="Y18" s="107">
        <f t="shared" si="110"/>
        <v>36912</v>
      </c>
      <c r="Z18" s="107">
        <f t="shared" si="110"/>
        <v>45994</v>
      </c>
      <c r="AA18" s="108">
        <f t="shared" si="110"/>
        <v>64294</v>
      </c>
      <c r="AB18" s="108">
        <f t="shared" si="110"/>
        <v>69621</v>
      </c>
      <c r="AC18" s="108">
        <f t="shared" si="110"/>
        <v>74497</v>
      </c>
      <c r="AD18" s="108">
        <f t="shared" si="110"/>
        <v>79373</v>
      </c>
      <c r="AE18" s="108">
        <f t="shared" si="110"/>
        <v>84249</v>
      </c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07"/>
      <c r="BJ18" s="107"/>
      <c r="BK18" s="107"/>
      <c r="BL18" s="107"/>
      <c r="BM18" s="107"/>
      <c r="BN18" s="107">
        <f t="shared" ref="BN18:CK18" si="111">+SUM(BN9:BN17)</f>
        <v>25000</v>
      </c>
      <c r="BO18" s="107">
        <f t="shared" si="111"/>
        <v>25000</v>
      </c>
      <c r="BP18" s="107">
        <f t="shared" si="111"/>
        <v>25200</v>
      </c>
      <c r="BQ18" s="107">
        <f t="shared" si="111"/>
        <v>26100</v>
      </c>
      <c r="BR18" s="107">
        <f t="shared" si="111"/>
        <v>27500</v>
      </c>
      <c r="BS18" s="107">
        <f t="shared" si="111"/>
        <v>27500</v>
      </c>
      <c r="BT18" s="107">
        <f t="shared" si="111"/>
        <v>27700</v>
      </c>
      <c r="BU18" s="107">
        <f t="shared" si="111"/>
        <v>28000</v>
      </c>
      <c r="BV18" s="107">
        <f t="shared" si="111"/>
        <v>28200</v>
      </c>
      <c r="BW18" s="107">
        <f t="shared" si="111"/>
        <v>28650</v>
      </c>
      <c r="BX18" s="107">
        <f t="shared" si="111"/>
        <v>29400</v>
      </c>
      <c r="BY18" s="107">
        <f t="shared" si="111"/>
        <v>30000</v>
      </c>
      <c r="BZ18" s="107">
        <f t="shared" si="111"/>
        <v>31585</v>
      </c>
      <c r="CA18" s="107">
        <f t="shared" si="111"/>
        <v>33239</v>
      </c>
      <c r="CB18" s="107">
        <f t="shared" si="111"/>
        <v>33818</v>
      </c>
      <c r="CC18" s="107">
        <f t="shared" si="111"/>
        <v>34604</v>
      </c>
      <c r="CD18" s="107">
        <f t="shared" si="111"/>
        <v>36912</v>
      </c>
      <c r="CE18" s="107">
        <f t="shared" si="111"/>
        <v>38368</v>
      </c>
      <c r="CF18" s="107">
        <f t="shared" si="111"/>
        <v>42584</v>
      </c>
      <c r="CG18" s="107">
        <f t="shared" si="111"/>
        <v>43599</v>
      </c>
      <c r="CH18" s="107">
        <f t="shared" si="111"/>
        <v>45994</v>
      </c>
      <c r="CI18" s="107">
        <f t="shared" si="111"/>
        <v>47272</v>
      </c>
      <c r="CJ18" s="107">
        <f t="shared" si="111"/>
        <v>50273</v>
      </c>
      <c r="CK18" s="107">
        <f t="shared" si="111"/>
        <v>62499</v>
      </c>
      <c r="CL18" s="107">
        <f>+SUM(CL9:CL17)</f>
        <v>64391</v>
      </c>
      <c r="CM18" s="108">
        <f t="shared" ref="CM18:DB18" si="112">+SUM(CM9:CM16)</f>
        <v>65964</v>
      </c>
      <c r="CN18" s="108">
        <f t="shared" si="112"/>
        <v>67183</v>
      </c>
      <c r="CO18" s="108">
        <f t="shared" si="112"/>
        <v>68402</v>
      </c>
      <c r="CP18" s="108">
        <f t="shared" si="112"/>
        <v>69621</v>
      </c>
      <c r="CQ18" s="108">
        <f t="shared" si="112"/>
        <v>70840</v>
      </c>
      <c r="CR18" s="108">
        <f t="shared" si="112"/>
        <v>72059</v>
      </c>
      <c r="CS18" s="108">
        <f t="shared" si="112"/>
        <v>73278</v>
      </c>
      <c r="CT18" s="108">
        <f t="shared" si="112"/>
        <v>74497</v>
      </c>
      <c r="CU18" s="108">
        <f t="shared" si="112"/>
        <v>75716</v>
      </c>
      <c r="CV18" s="108">
        <f t="shared" si="112"/>
        <v>76935</v>
      </c>
      <c r="CW18" s="108">
        <f t="shared" si="112"/>
        <v>78154</v>
      </c>
      <c r="CX18" s="108">
        <f t="shared" si="112"/>
        <v>79373</v>
      </c>
      <c r="CY18" s="108">
        <f t="shared" si="112"/>
        <v>80592</v>
      </c>
      <c r="CZ18" s="108">
        <f t="shared" si="112"/>
        <v>81811</v>
      </c>
      <c r="DA18" s="108">
        <f t="shared" si="112"/>
        <v>83030</v>
      </c>
      <c r="DB18" s="108">
        <f t="shared" si="112"/>
        <v>84249</v>
      </c>
      <c r="DE18" s="159"/>
      <c r="DF18" s="158">
        <v>64169</v>
      </c>
    </row>
    <row r="19" spans="1:110" s="158" customFormat="1" x14ac:dyDescent="0.2">
      <c r="A19" s="186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7"/>
      <c r="AB19" s="157"/>
      <c r="AC19" s="157"/>
      <c r="AD19" s="157"/>
      <c r="AE19" s="157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56"/>
      <c r="CI19" s="156"/>
      <c r="CJ19" s="156"/>
      <c r="CK19" s="156"/>
      <c r="CL19" s="156"/>
      <c r="CM19" s="157"/>
      <c r="CN19" s="157"/>
      <c r="CO19" s="157"/>
      <c r="CP19" s="157"/>
      <c r="CQ19" s="157"/>
      <c r="CR19" s="157"/>
      <c r="CS19" s="157"/>
      <c r="CT19" s="157"/>
      <c r="CU19" s="157"/>
      <c r="CV19" s="157"/>
      <c r="CW19" s="157"/>
      <c r="CX19" s="157"/>
      <c r="CY19" s="157"/>
      <c r="CZ19" s="157"/>
      <c r="DA19" s="157"/>
      <c r="DB19" s="157"/>
      <c r="DE19" s="159"/>
    </row>
    <row r="20" spans="1:110" s="109" customFormat="1" x14ac:dyDescent="0.2">
      <c r="A20" s="185" t="s">
        <v>537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8"/>
      <c r="AB20" s="108"/>
      <c r="AC20" s="108"/>
      <c r="AD20" s="108"/>
      <c r="AE20" s="108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  <c r="CI20" s="107"/>
      <c r="CJ20" s="107"/>
      <c r="CK20" s="107"/>
      <c r="CL20" s="107"/>
      <c r="CM20" s="108"/>
      <c r="CN20" s="108"/>
      <c r="CO20" s="108"/>
      <c r="CP20" s="108"/>
      <c r="CQ20" s="108"/>
      <c r="CR20" s="108"/>
      <c r="CS20" s="108"/>
      <c r="CT20" s="108"/>
      <c r="CU20" s="108"/>
      <c r="CV20" s="108"/>
      <c r="CW20" s="108"/>
      <c r="CX20" s="108"/>
      <c r="CY20" s="108"/>
      <c r="CZ20" s="108"/>
      <c r="DA20" s="108"/>
      <c r="DB20" s="108"/>
      <c r="DE20" s="117"/>
    </row>
    <row r="21" spans="1:110" s="158" customFormat="1" x14ac:dyDescent="0.2">
      <c r="A21" s="191" t="s">
        <v>534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 t="e">
        <f t="shared" ref="T21:AE21" si="113">T32*10^7/T18/365</f>
        <v>#DIV/0!</v>
      </c>
      <c r="U21" s="156">
        <f t="shared" si="113"/>
        <v>4891.1123287671235</v>
      </c>
      <c r="V21" s="156">
        <f t="shared" si="113"/>
        <v>1569.2752179327522</v>
      </c>
      <c r="W21" s="156">
        <f t="shared" si="113"/>
        <v>2969.2218012241328</v>
      </c>
      <c r="X21" s="156">
        <f t="shared" si="113"/>
        <v>5039.5952647888607</v>
      </c>
      <c r="Y21" s="156">
        <f t="shared" si="113"/>
        <v>5023.9815095213498</v>
      </c>
      <c r="Z21" s="156">
        <f t="shared" si="113"/>
        <v>4964.638032000601</v>
      </c>
      <c r="AA21" s="157">
        <f t="shared" si="113"/>
        <v>4128.8157867263017</v>
      </c>
      <c r="AB21" s="157">
        <f t="shared" si="113"/>
        <v>4283.3947761027675</v>
      </c>
      <c r="AC21" s="157">
        <f t="shared" si="113"/>
        <v>4269.1162765525978</v>
      </c>
      <c r="AD21" s="157">
        <f t="shared" si="113"/>
        <v>4270.5115389261764</v>
      </c>
      <c r="AE21" s="157">
        <f t="shared" si="113"/>
        <v>4275.2840168570847</v>
      </c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>
        <f t="shared" ref="BN21:CK21" si="114">BN32*10^7/BN$18/90</f>
        <v>4724.3555555555558</v>
      </c>
      <c r="BO21" s="156">
        <f t="shared" si="114"/>
        <v>638.26666666666677</v>
      </c>
      <c r="BP21" s="156">
        <f t="shared" si="114"/>
        <v>1131.7019400352733</v>
      </c>
      <c r="BQ21" s="156">
        <f t="shared" si="114"/>
        <v>2383.3971902937419</v>
      </c>
      <c r="BR21" s="156">
        <f t="shared" si="114"/>
        <v>2484.9292929292928</v>
      </c>
      <c r="BS21" s="156">
        <f t="shared" si="114"/>
        <v>1392.121212121212</v>
      </c>
      <c r="BT21" s="156">
        <f t="shared" si="114"/>
        <v>2921.6606498194951</v>
      </c>
      <c r="BU21" s="156">
        <f t="shared" si="114"/>
        <v>4409.6031746031749</v>
      </c>
      <c r="BV21" s="156">
        <f t="shared" si="114"/>
        <v>3436.0914105594952</v>
      </c>
      <c r="BW21" s="156">
        <f t="shared" si="114"/>
        <v>4910.1027729299976</v>
      </c>
      <c r="BX21" s="156">
        <f t="shared" si="114"/>
        <v>4658.390022675736</v>
      </c>
      <c r="BY21" s="156">
        <f t="shared" si="114"/>
        <v>6243.7037037037044</v>
      </c>
      <c r="BZ21" s="156">
        <f t="shared" si="114"/>
        <v>5718.0096037148433</v>
      </c>
      <c r="CA21" s="156">
        <f t="shared" si="114"/>
        <v>4901.7720148018889</v>
      </c>
      <c r="CB21" s="156">
        <f t="shared" si="114"/>
        <v>4708.8664156497853</v>
      </c>
      <c r="CC21" s="156">
        <f t="shared" si="114"/>
        <v>6305.7578443083003</v>
      </c>
      <c r="CD21" s="156">
        <f t="shared" si="114"/>
        <v>5735.3826518325868</v>
      </c>
      <c r="CE21" s="156">
        <f t="shared" si="114"/>
        <v>4489.3603465851174</v>
      </c>
      <c r="CF21" s="156">
        <f t="shared" si="114"/>
        <v>4764.7525413822614</v>
      </c>
      <c r="CG21" s="156">
        <f t="shared" si="114"/>
        <v>6455.4232895249888</v>
      </c>
      <c r="CH21" s="156">
        <f t="shared" si="114"/>
        <v>5858.5902509022917</v>
      </c>
      <c r="CI21" s="156">
        <f t="shared" si="114"/>
        <v>4797.4840638573933</v>
      </c>
      <c r="CJ21" s="156">
        <f t="shared" si="114"/>
        <v>4510.6827831153014</v>
      </c>
      <c r="CK21" s="156">
        <f t="shared" si="114"/>
        <v>5052.4541726000953</v>
      </c>
      <c r="CL21" s="156">
        <f t="shared" ref="CL21" si="115">CL32*10^7/CL$18/90</f>
        <v>4771.6985983203313</v>
      </c>
      <c r="CM21" s="157">
        <f>+AVERAGE(CI21:CL21)*0.95</f>
        <v>4543.9259092496159</v>
      </c>
      <c r="CN21" s="157">
        <f t="shared" ref="CN21:CP21" si="116">+AVERAGE(CJ21:CM21)*0.95</f>
        <v>4483.7058475302692</v>
      </c>
      <c r="CO21" s="157">
        <f t="shared" si="116"/>
        <v>4477.298825328824</v>
      </c>
      <c r="CP21" s="157">
        <f t="shared" si="116"/>
        <v>4340.6994303518968</v>
      </c>
      <c r="CQ21" s="157">
        <f t="shared" ref="CQ21:DB21" si="117">+AVERAGE(CM21:CP21)</f>
        <v>4461.4075031151515</v>
      </c>
      <c r="CR21" s="157">
        <f t="shared" si="117"/>
        <v>4440.7779015815358</v>
      </c>
      <c r="CS21" s="157">
        <f t="shared" si="117"/>
        <v>4430.0459150943516</v>
      </c>
      <c r="CT21" s="157">
        <f t="shared" si="117"/>
        <v>4418.2326875357339</v>
      </c>
      <c r="CU21" s="157">
        <f t="shared" si="117"/>
        <v>4437.6160018316932</v>
      </c>
      <c r="CV21" s="157">
        <f t="shared" si="117"/>
        <v>4431.6681265108291</v>
      </c>
      <c r="CW21" s="157">
        <f t="shared" si="117"/>
        <v>4429.390682743152</v>
      </c>
      <c r="CX21" s="157">
        <f t="shared" si="117"/>
        <v>4429.2268746553518</v>
      </c>
      <c r="CY21" s="157">
        <f t="shared" si="117"/>
        <v>4431.975421435257</v>
      </c>
      <c r="CZ21" s="157">
        <f t="shared" si="117"/>
        <v>4430.5652763361477</v>
      </c>
      <c r="DA21" s="157">
        <f t="shared" si="117"/>
        <v>4430.2895637924767</v>
      </c>
      <c r="DB21" s="157">
        <f t="shared" si="117"/>
        <v>4430.5142840548087</v>
      </c>
      <c r="DE21" s="159"/>
      <c r="DF21" s="158">
        <v>4903.1587330902075</v>
      </c>
    </row>
    <row r="22" spans="1:110" s="158" customFormat="1" x14ac:dyDescent="0.2">
      <c r="A22" s="191" t="s">
        <v>535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 t="e">
        <f t="shared" ref="T22:AE22" si="118">T50*10^7/T18/365</f>
        <v>#DIV/0!</v>
      </c>
      <c r="U22" s="156">
        <f t="shared" si="118"/>
        <v>3424.7123287671225</v>
      </c>
      <c r="V22" s="156">
        <f t="shared" si="118"/>
        <v>1786.40099626401</v>
      </c>
      <c r="W22" s="156">
        <f t="shared" si="118"/>
        <v>2326.0856893034097</v>
      </c>
      <c r="X22" s="156">
        <f t="shared" si="118"/>
        <v>3064.2168013687788</v>
      </c>
      <c r="Y22" s="156">
        <f t="shared" si="118"/>
        <v>3036.3144331427284</v>
      </c>
      <c r="Z22" s="156">
        <f t="shared" si="118"/>
        <v>2854.1304672854885</v>
      </c>
      <c r="AA22" s="157">
        <f t="shared" si="118"/>
        <v>2362.2988744768786</v>
      </c>
      <c r="AB22" s="157">
        <f t="shared" si="118"/>
        <v>2429.319504898162</v>
      </c>
      <c r="AC22" s="157">
        <f t="shared" si="118"/>
        <v>2308.1710557130873</v>
      </c>
      <c r="AD22" s="157">
        <f t="shared" si="118"/>
        <v>2299.091684532656</v>
      </c>
      <c r="AE22" s="157">
        <f t="shared" si="118"/>
        <v>2299.6223488384926</v>
      </c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>
        <f t="shared" ref="BN22:CK22" si="119">BN50*10^7/BN$18/90</f>
        <v>3428.4444444444443</v>
      </c>
      <c r="BO22" s="156">
        <f t="shared" si="119"/>
        <v>1779.6888888888889</v>
      </c>
      <c r="BP22" s="156">
        <f t="shared" si="119"/>
        <v>1698.3686067019403</v>
      </c>
      <c r="BQ22" s="156">
        <f t="shared" si="119"/>
        <v>2216.4325244785014</v>
      </c>
      <c r="BR22" s="156">
        <f t="shared" si="119"/>
        <v>1967.030303030303</v>
      </c>
      <c r="BS22" s="156">
        <f t="shared" si="119"/>
        <v>1880</v>
      </c>
      <c r="BT22" s="156">
        <f t="shared" si="119"/>
        <v>2377.6574408343363</v>
      </c>
      <c r="BU22" s="156">
        <f t="shared" si="119"/>
        <v>2746.468253968254</v>
      </c>
      <c r="BV22" s="156">
        <f t="shared" si="119"/>
        <v>2537.7462568951928</v>
      </c>
      <c r="BW22" s="156">
        <f t="shared" si="119"/>
        <v>3041.5357766143106</v>
      </c>
      <c r="BX22" s="156">
        <f t="shared" si="119"/>
        <v>3158.2766439909296</v>
      </c>
      <c r="BY22" s="156">
        <f t="shared" si="119"/>
        <v>3511.5555555555547</v>
      </c>
      <c r="BZ22" s="156">
        <f t="shared" si="119"/>
        <v>3392.6090091991628</v>
      </c>
      <c r="CA22" s="156">
        <f t="shared" si="119"/>
        <v>3144.7329275182101</v>
      </c>
      <c r="CB22" s="156">
        <f t="shared" si="119"/>
        <v>3174.0821784585464</v>
      </c>
      <c r="CC22" s="156">
        <f t="shared" si="119"/>
        <v>3462.2522765512017</v>
      </c>
      <c r="CD22" s="156">
        <f t="shared" si="119"/>
        <v>3328.3364639021333</v>
      </c>
      <c r="CE22" s="156">
        <f t="shared" si="119"/>
        <v>2856.3444073765172</v>
      </c>
      <c r="CF22" s="156">
        <f t="shared" si="119"/>
        <v>3002.7709938004887</v>
      </c>
      <c r="CG22" s="156">
        <f t="shared" si="119"/>
        <v>3366.2087050926239</v>
      </c>
      <c r="CH22" s="156">
        <f t="shared" si="119"/>
        <v>3221.2655757031112</v>
      </c>
      <c r="CI22" s="156">
        <f t="shared" si="119"/>
        <v>2954.2975874842518</v>
      </c>
      <c r="CJ22" s="156">
        <f t="shared" si="119"/>
        <v>2790.4309138768986</v>
      </c>
      <c r="CK22" s="156">
        <f t="shared" si="119"/>
        <v>2647.5801390600027</v>
      </c>
      <c r="CL22" s="156">
        <f t="shared" ref="CL22" si="120">CL50*10^7/CL$18/90</f>
        <v>2648.7311028628915</v>
      </c>
      <c r="CM22" s="157">
        <f t="shared" ref="CM22:DB22" si="121">CM50*10^7/CM$18/90</f>
        <v>2628.1375783325734</v>
      </c>
      <c r="CN22" s="157">
        <f t="shared" si="121"/>
        <v>2551.3658865002058</v>
      </c>
      <c r="CO22" s="157">
        <f t="shared" si="121"/>
        <v>2492.2054457551535</v>
      </c>
      <c r="CP22" s="157">
        <f t="shared" si="121"/>
        <v>2451.560556297733</v>
      </c>
      <c r="CQ22" s="157">
        <f t="shared" si="121"/>
        <v>2454.6291585001641</v>
      </c>
      <c r="CR22" s="157">
        <f t="shared" si="121"/>
        <v>2412.9180653969029</v>
      </c>
      <c r="CS22" s="157">
        <f t="shared" si="121"/>
        <v>2379.5036376360049</v>
      </c>
      <c r="CT22" s="157">
        <f t="shared" si="121"/>
        <v>2352.2624450584995</v>
      </c>
      <c r="CU22" s="157">
        <f t="shared" si="121"/>
        <v>2399.7227882020466</v>
      </c>
      <c r="CV22" s="157">
        <f t="shared" si="121"/>
        <v>2386.0662555534559</v>
      </c>
      <c r="CW22" s="157">
        <f t="shared" si="121"/>
        <v>2379.3673724291593</v>
      </c>
      <c r="CX22" s="157">
        <f t="shared" si="121"/>
        <v>2379.3332961571377</v>
      </c>
      <c r="CY22" s="157">
        <f t="shared" si="121"/>
        <v>2386.1174670662431</v>
      </c>
      <c r="CZ22" s="157">
        <f t="shared" si="121"/>
        <v>2382.7203347367158</v>
      </c>
      <c r="DA22" s="157">
        <f t="shared" si="121"/>
        <v>2381.8840686128324</v>
      </c>
      <c r="DB22" s="157">
        <f t="shared" si="121"/>
        <v>2382.5133716132382</v>
      </c>
      <c r="DE22" s="159"/>
      <c r="DF22" s="158">
        <v>2657.8946912752954</v>
      </c>
    </row>
    <row r="23" spans="1:110" s="158" customFormat="1" x14ac:dyDescent="0.2">
      <c r="A23" s="192" t="s">
        <v>13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07" t="e">
        <f t="shared" ref="T23:AE23" si="122">T21-T22</f>
        <v>#DIV/0!</v>
      </c>
      <c r="U23" s="107">
        <f t="shared" si="122"/>
        <v>1466.400000000001</v>
      </c>
      <c r="V23" s="107">
        <f t="shared" si="122"/>
        <v>-217.12577833125783</v>
      </c>
      <c r="W23" s="107">
        <f t="shared" si="122"/>
        <v>643.13611192072312</v>
      </c>
      <c r="X23" s="107">
        <f t="shared" si="122"/>
        <v>1975.378463420082</v>
      </c>
      <c r="Y23" s="107">
        <f t="shared" si="122"/>
        <v>1987.6670763786215</v>
      </c>
      <c r="Z23" s="107">
        <f t="shared" si="122"/>
        <v>2110.5075647151125</v>
      </c>
      <c r="AA23" s="108">
        <f>AA21-AA22</f>
        <v>1766.5169122494231</v>
      </c>
      <c r="AB23" s="108">
        <f t="shared" si="122"/>
        <v>1854.0752712046055</v>
      </c>
      <c r="AC23" s="108">
        <f t="shared" si="122"/>
        <v>1960.9452208395105</v>
      </c>
      <c r="AD23" s="108">
        <f>AD21-AD22</f>
        <v>1971.4198543935204</v>
      </c>
      <c r="AE23" s="108">
        <f t="shared" si="122"/>
        <v>1975.6616680185921</v>
      </c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07"/>
      <c r="BJ23" s="107"/>
      <c r="BK23" s="107"/>
      <c r="BL23" s="107"/>
      <c r="BM23" s="107"/>
      <c r="BN23" s="107">
        <f t="shared" ref="BN23:CI23" si="123">BN21-BN22</f>
        <v>1295.9111111111115</v>
      </c>
      <c r="BO23" s="107">
        <f t="shared" si="123"/>
        <v>-1141.422222222222</v>
      </c>
      <c r="BP23" s="107">
        <f t="shared" si="123"/>
        <v>-566.66666666666697</v>
      </c>
      <c r="BQ23" s="107">
        <f t="shared" si="123"/>
        <v>166.96466581524055</v>
      </c>
      <c r="BR23" s="107">
        <f t="shared" si="123"/>
        <v>517.89898989898984</v>
      </c>
      <c r="BS23" s="107">
        <f t="shared" si="123"/>
        <v>-487.87878787878799</v>
      </c>
      <c r="BT23" s="107">
        <f t="shared" si="123"/>
        <v>544.00320898515884</v>
      </c>
      <c r="BU23" s="107">
        <f t="shared" si="123"/>
        <v>1663.1349206349209</v>
      </c>
      <c r="BV23" s="107">
        <f t="shared" si="123"/>
        <v>898.34515366430242</v>
      </c>
      <c r="BW23" s="107">
        <f t="shared" si="123"/>
        <v>1868.566996315687</v>
      </c>
      <c r="BX23" s="107">
        <f t="shared" si="123"/>
        <v>1500.1133786848063</v>
      </c>
      <c r="BY23" s="107">
        <f t="shared" si="123"/>
        <v>2732.1481481481496</v>
      </c>
      <c r="BZ23" s="107">
        <f t="shared" si="123"/>
        <v>2325.4005945156805</v>
      </c>
      <c r="CA23" s="107">
        <f t="shared" si="123"/>
        <v>1757.0390872836788</v>
      </c>
      <c r="CB23" s="107">
        <f t="shared" si="123"/>
        <v>1534.7842371912388</v>
      </c>
      <c r="CC23" s="107">
        <f t="shared" si="123"/>
        <v>2843.5055677570986</v>
      </c>
      <c r="CD23" s="107">
        <f t="shared" si="123"/>
        <v>2407.0461879304535</v>
      </c>
      <c r="CE23" s="107">
        <f t="shared" si="123"/>
        <v>1633.0159392086002</v>
      </c>
      <c r="CF23" s="107">
        <f t="shared" si="123"/>
        <v>1761.9815475817727</v>
      </c>
      <c r="CG23" s="107">
        <f t="shared" si="123"/>
        <v>3089.214584432365</v>
      </c>
      <c r="CH23" s="107">
        <f t="shared" si="123"/>
        <v>2637.3246751991805</v>
      </c>
      <c r="CI23" s="107">
        <f t="shared" si="123"/>
        <v>1843.1864763731414</v>
      </c>
      <c r="CJ23" s="107">
        <f>CJ21-CJ22</f>
        <v>1720.2518692384028</v>
      </c>
      <c r="CK23" s="107">
        <f>CK21-CK22</f>
        <v>2404.8740335400926</v>
      </c>
      <c r="CL23" s="107">
        <f>CL21-CL22</f>
        <v>2122.9674954574398</v>
      </c>
      <c r="CM23" s="108">
        <f>CM21-CM22</f>
        <v>1915.7883309170425</v>
      </c>
      <c r="CN23" s="108">
        <f t="shared" ref="CN23:DB23" si="124">CN21-CN22</f>
        <v>1932.3399610300635</v>
      </c>
      <c r="CO23" s="108">
        <f t="shared" si="124"/>
        <v>1985.0933795736705</v>
      </c>
      <c r="CP23" s="108">
        <f t="shared" si="124"/>
        <v>1889.1388740541638</v>
      </c>
      <c r="CQ23" s="108">
        <f t="shared" si="124"/>
        <v>2006.7783446149874</v>
      </c>
      <c r="CR23" s="108">
        <f t="shared" si="124"/>
        <v>2027.859836184633</v>
      </c>
      <c r="CS23" s="108">
        <f t="shared" si="124"/>
        <v>2050.5422774583467</v>
      </c>
      <c r="CT23" s="108">
        <f t="shared" si="124"/>
        <v>2065.9702424772345</v>
      </c>
      <c r="CU23" s="108">
        <f t="shared" si="124"/>
        <v>2037.8932136296467</v>
      </c>
      <c r="CV23" s="108">
        <f t="shared" si="124"/>
        <v>2045.6018709573732</v>
      </c>
      <c r="CW23" s="108">
        <f t="shared" si="124"/>
        <v>2050.0233103139926</v>
      </c>
      <c r="CX23" s="108">
        <f t="shared" si="124"/>
        <v>2049.8935784982141</v>
      </c>
      <c r="CY23" s="108">
        <f t="shared" si="124"/>
        <v>2045.8579543690139</v>
      </c>
      <c r="CZ23" s="108">
        <f t="shared" si="124"/>
        <v>2047.8449415994319</v>
      </c>
      <c r="DA23" s="108">
        <f t="shared" si="124"/>
        <v>2048.4054951796443</v>
      </c>
      <c r="DB23" s="108">
        <f t="shared" si="124"/>
        <v>2048.0009124415706</v>
      </c>
      <c r="DE23" s="159"/>
      <c r="DF23" s="158">
        <v>2245.2640418149122</v>
      </c>
    </row>
    <row r="24" spans="1:110" s="158" customFormat="1" x14ac:dyDescent="0.2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7"/>
      <c r="AB24" s="157"/>
      <c r="AC24" s="157"/>
      <c r="AD24" s="157"/>
      <c r="AE24" s="157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/>
      <c r="CC24" s="156"/>
      <c r="CD24" s="156"/>
      <c r="CE24" s="156"/>
      <c r="CF24" s="156"/>
      <c r="CG24" s="156"/>
      <c r="CH24" s="156"/>
      <c r="CI24" s="156"/>
      <c r="CJ24" s="156"/>
      <c r="CK24" s="156"/>
      <c r="CL24" s="156"/>
      <c r="CM24" s="157"/>
      <c r="CN24" s="157"/>
      <c r="CO24" s="157"/>
      <c r="CP24" s="157"/>
      <c r="CQ24" s="157"/>
      <c r="CR24" s="157"/>
      <c r="CS24" s="157"/>
      <c r="CT24" s="157"/>
      <c r="CU24" s="157"/>
      <c r="CV24" s="157"/>
      <c r="CW24" s="157"/>
      <c r="CX24" s="157"/>
      <c r="CY24" s="157"/>
      <c r="CZ24" s="157"/>
      <c r="DA24" s="157"/>
      <c r="DB24" s="157"/>
      <c r="DE24" s="159"/>
    </row>
    <row r="25" spans="1:110" s="109" customFormat="1" x14ac:dyDescent="0.2">
      <c r="A25" s="193" t="s">
        <v>538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8"/>
      <c r="AB25" s="108"/>
      <c r="AC25" s="108"/>
      <c r="AD25" s="108"/>
      <c r="AE25" s="108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7"/>
      <c r="BS25" s="107"/>
      <c r="BT25" s="107"/>
      <c r="BU25" s="107"/>
      <c r="BV25" s="107"/>
      <c r="BW25" s="107"/>
      <c r="BX25" s="107"/>
      <c r="BY25" s="107"/>
      <c r="BZ25" s="107"/>
      <c r="CA25" s="107"/>
      <c r="CB25" s="107"/>
      <c r="CC25" s="107"/>
      <c r="CD25" s="107"/>
      <c r="CE25" s="107"/>
      <c r="CF25" s="107"/>
      <c r="CG25" s="107"/>
      <c r="CH25" s="107"/>
      <c r="CI25" s="107"/>
      <c r="CJ25" s="107"/>
      <c r="CK25" s="107"/>
      <c r="CL25" s="107"/>
      <c r="CM25" s="108"/>
      <c r="CN25" s="108"/>
      <c r="CO25" s="108"/>
      <c r="CP25" s="108"/>
      <c r="CQ25" s="108"/>
      <c r="CR25" s="108"/>
      <c r="CS25" s="108"/>
      <c r="CT25" s="108"/>
      <c r="CU25" s="108"/>
      <c r="CV25" s="108"/>
      <c r="CW25" s="108"/>
      <c r="CX25" s="108"/>
      <c r="CY25" s="108"/>
      <c r="CZ25" s="108"/>
      <c r="DA25" s="108"/>
      <c r="DB25" s="108"/>
      <c r="DE25" s="117"/>
    </row>
    <row r="26" spans="1:110" s="158" customFormat="1" x14ac:dyDescent="0.2">
      <c r="A26" s="155" t="s">
        <v>539</v>
      </c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99">
        <f t="shared" ref="V26:Y26" si="125">+V21/U21-1</f>
        <v>-0.67915780451349583</v>
      </c>
      <c r="W26" s="199">
        <f t="shared" si="125"/>
        <v>0.89209755388577872</v>
      </c>
      <c r="X26" s="199">
        <f t="shared" si="125"/>
        <v>0.69727814295017199</v>
      </c>
      <c r="Y26" s="199">
        <f t="shared" si="125"/>
        <v>-3.0982161160049149E-3</v>
      </c>
      <c r="Z26" s="188">
        <f>+Z21/Y21-1</f>
        <v>-1.1812041387549321E-2</v>
      </c>
      <c r="AA26" s="194">
        <f t="shared" ref="AA26:AE26" si="126">+AA21/Z21-1</f>
        <v>-0.16835512274748621</v>
      </c>
      <c r="AB26" s="194">
        <f t="shared" si="126"/>
        <v>3.7439061794285022E-2</v>
      </c>
      <c r="AC26" s="194">
        <f t="shared" si="126"/>
        <v>-3.3334540233904697E-3</v>
      </c>
      <c r="AD26" s="194">
        <f t="shared" si="126"/>
        <v>3.2682697851127429E-4</v>
      </c>
      <c r="AE26" s="194">
        <f t="shared" si="126"/>
        <v>1.1175424506892906E-3</v>
      </c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88"/>
      <c r="BN26" s="188"/>
      <c r="BO26" s="188"/>
      <c r="BP26" s="188"/>
      <c r="BQ26" s="188"/>
      <c r="BR26" s="188">
        <f t="shared" ref="BR26:CH26" si="127">BR21/BN21-1</f>
        <v>-0.47401729956434657</v>
      </c>
      <c r="BS26" s="188">
        <f t="shared" si="127"/>
        <v>1.1810965303758278</v>
      </c>
      <c r="BT26" s="188">
        <f t="shared" si="127"/>
        <v>1.5816520644370651</v>
      </c>
      <c r="BU26" s="188">
        <f t="shared" si="127"/>
        <v>0.85013357931319589</v>
      </c>
      <c r="BV26" s="188">
        <f t="shared" si="127"/>
        <v>0.38277230677616192</v>
      </c>
      <c r="BW26" s="188">
        <f t="shared" si="127"/>
        <v>2.5270655530407038</v>
      </c>
      <c r="BX26" s="188">
        <f t="shared" si="127"/>
        <v>0.59443227021027889</v>
      </c>
      <c r="BY26" s="188">
        <f t="shared" si="127"/>
        <v>0.41593323854262287</v>
      </c>
      <c r="BZ26" s="188">
        <f t="shared" si="127"/>
        <v>0.66410287751447972</v>
      </c>
      <c r="CA26" s="188">
        <f t="shared" si="127"/>
        <v>-1.6966565698048885E-3</v>
      </c>
      <c r="CB26" s="188">
        <f t="shared" si="127"/>
        <v>1.0835587558865711E-2</v>
      </c>
      <c r="CC26" s="188">
        <f t="shared" si="127"/>
        <v>9.9386747913399187E-3</v>
      </c>
      <c r="CD26" s="188">
        <f t="shared" si="127"/>
        <v>3.0383034170591294E-3</v>
      </c>
      <c r="CE26" s="188">
        <f t="shared" si="127"/>
        <v>-8.4135220277771205E-2</v>
      </c>
      <c r="CF26" s="188">
        <f t="shared" si="127"/>
        <v>1.1868275886260049E-2</v>
      </c>
      <c r="CG26" s="188">
        <f t="shared" si="127"/>
        <v>2.3734727674609157E-2</v>
      </c>
      <c r="CH26" s="188">
        <f t="shared" si="127"/>
        <v>2.1482018994902985E-2</v>
      </c>
      <c r="CI26" s="188">
        <f>CI21/CE21-1</f>
        <v>6.8634213670696775E-2</v>
      </c>
      <c r="CJ26" s="188">
        <f>CJ21/CF21-1</f>
        <v>-5.3322760428866633E-2</v>
      </c>
      <c r="CK26" s="188">
        <f>CK21/CG21-1</f>
        <v>-0.21733185478347283</v>
      </c>
      <c r="CL26" s="188">
        <f>CL21/CH21-1</f>
        <v>-0.18552102229961664</v>
      </c>
      <c r="CM26" s="194">
        <f t="shared" ref="CM26:DB26" si="128">CM21/CI21-1</f>
        <v>-5.2852318263649445E-2</v>
      </c>
      <c r="CN26" s="194">
        <f t="shared" si="128"/>
        <v>-5.9806767361283431E-3</v>
      </c>
      <c r="CO26" s="194">
        <f t="shared" si="128"/>
        <v>-0.11383682614884261</v>
      </c>
      <c r="CP26" s="194">
        <f t="shared" si="128"/>
        <v>-9.0324055278795057E-2</v>
      </c>
      <c r="CQ26" s="194">
        <f t="shared" si="128"/>
        <v>-1.8160156609615896E-2</v>
      </c>
      <c r="CR26" s="194">
        <f t="shared" si="128"/>
        <v>-9.5742110228705934E-3</v>
      </c>
      <c r="CS26" s="194">
        <f t="shared" si="128"/>
        <v>-1.0553887975302212E-2</v>
      </c>
      <c r="CT26" s="194">
        <f t="shared" si="128"/>
        <v>1.7861927191201943E-2</v>
      </c>
      <c r="CU26" s="194">
        <f t="shared" si="128"/>
        <v>-5.3327344042986002E-3</v>
      </c>
      <c r="CV26" s="194">
        <f t="shared" si="128"/>
        <v>-2.051391731944574E-3</v>
      </c>
      <c r="CW26" s="194">
        <f t="shared" si="128"/>
        <v>-1.4790644696638378E-4</v>
      </c>
      <c r="CX26" s="194">
        <f t="shared" si="128"/>
        <v>2.4883676114735298E-3</v>
      </c>
      <c r="CY26" s="194">
        <f t="shared" si="128"/>
        <v>-1.2710834813349781E-3</v>
      </c>
      <c r="CZ26" s="194">
        <f t="shared" si="128"/>
        <v>-2.4885667049023841E-4</v>
      </c>
      <c r="DA26" s="194">
        <f t="shared" si="128"/>
        <v>2.0293559852979648E-4</v>
      </c>
      <c r="DB26" s="194">
        <f t="shared" si="128"/>
        <v>2.9066232909036316E-4</v>
      </c>
      <c r="DE26" s="159"/>
      <c r="DF26" s="201">
        <v>-0.16308215404976245</v>
      </c>
    </row>
    <row r="27" spans="1:110" s="158" customFormat="1" x14ac:dyDescent="0.2">
      <c r="A27" s="155" t="s">
        <v>540</v>
      </c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99">
        <f t="shared" ref="V27:Y27" si="129">+V22/U22-1</f>
        <v>-0.47837925502282863</v>
      </c>
      <c r="W27" s="199">
        <f t="shared" si="129"/>
        <v>0.30210725036991648</v>
      </c>
      <c r="X27" s="199">
        <f t="shared" si="129"/>
        <v>0.3173275668474691</v>
      </c>
      <c r="Y27" s="199">
        <f t="shared" si="129"/>
        <v>-9.1058727351100988E-3</v>
      </c>
      <c r="Z27" s="188">
        <f>+Z22/Y22-1</f>
        <v>-6.0001679624685944E-2</v>
      </c>
      <c r="AA27" s="194">
        <f t="shared" ref="AA27:AE27" si="130">+AA22/Z22-1</f>
        <v>-0.1723227436328032</v>
      </c>
      <c r="AB27" s="194">
        <f t="shared" si="130"/>
        <v>2.837093610186181E-2</v>
      </c>
      <c r="AC27" s="194">
        <f t="shared" si="130"/>
        <v>-4.9869294236845718E-2</v>
      </c>
      <c r="AD27" s="194">
        <f t="shared" si="130"/>
        <v>-3.9335781279981052E-3</v>
      </c>
      <c r="AE27" s="194">
        <f t="shared" si="130"/>
        <v>2.3081476454667182E-4</v>
      </c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56"/>
      <c r="BK27" s="156"/>
      <c r="BL27" s="156"/>
      <c r="BM27" s="188"/>
      <c r="BN27" s="188"/>
      <c r="BO27" s="188"/>
      <c r="BP27" s="188"/>
      <c r="BQ27" s="188"/>
      <c r="BR27" s="188">
        <f t="shared" ref="BR27:CI27" si="131">BR22/BN22-1</f>
        <v>-0.42626157871166948</v>
      </c>
      <c r="BS27" s="188">
        <f t="shared" si="131"/>
        <v>5.6364408261119214E-2</v>
      </c>
      <c r="BT27" s="188">
        <f t="shared" si="131"/>
        <v>0.3999654912672379</v>
      </c>
      <c r="BU27" s="188">
        <f t="shared" si="131"/>
        <v>0.23913912272807103</v>
      </c>
      <c r="BV27" s="188">
        <f t="shared" si="131"/>
        <v>0.29014090580387863</v>
      </c>
      <c r="BW27" s="188">
        <f t="shared" si="131"/>
        <v>0.61783817905016525</v>
      </c>
      <c r="BX27" s="188">
        <f t="shared" si="131"/>
        <v>0.32831441138243567</v>
      </c>
      <c r="BY27" s="188">
        <f t="shared" si="131"/>
        <v>0.27857132536735452</v>
      </c>
      <c r="BZ27" s="188">
        <f t="shared" si="131"/>
        <v>0.33685903386962424</v>
      </c>
      <c r="CA27" s="188">
        <f t="shared" si="131"/>
        <v>3.3929290491125919E-2</v>
      </c>
      <c r="CB27" s="188">
        <f t="shared" si="131"/>
        <v>5.0044806865443547E-3</v>
      </c>
      <c r="CC27" s="188">
        <f t="shared" si="131"/>
        <v>-1.4040295881507903E-2</v>
      </c>
      <c r="CD27" s="188">
        <f t="shared" si="131"/>
        <v>-1.8944872551700631E-2</v>
      </c>
      <c r="CE27" s="188">
        <f t="shared" si="131"/>
        <v>-9.1705250267241634E-2</v>
      </c>
      <c r="CF27" s="188">
        <f t="shared" si="131"/>
        <v>-5.3971880696943031E-2</v>
      </c>
      <c r="CG27" s="188">
        <f t="shared" si="131"/>
        <v>-2.7740200247408975E-2</v>
      </c>
      <c r="CH27" s="188">
        <f t="shared" si="131"/>
        <v>-3.2169490482789831E-2</v>
      </c>
      <c r="CI27" s="188">
        <f t="shared" si="131"/>
        <v>3.4293196525870817E-2</v>
      </c>
      <c r="CJ27" s="188">
        <f>CJ22/CF22-1</f>
        <v>-7.0714709966889555E-2</v>
      </c>
      <c r="CK27" s="188">
        <f>CK22/CG22-1</f>
        <v>-0.2134830692302091</v>
      </c>
      <c r="CL27" s="188">
        <f>CL22/CH22-1</f>
        <v>-0.17773588031941501</v>
      </c>
      <c r="CM27" s="194">
        <f t="shared" ref="CM27:DB27" si="132">CM22/CI22-1</f>
        <v>-0.11040188047860866</v>
      </c>
      <c r="CN27" s="194">
        <f t="shared" si="132"/>
        <v>-8.5673157571404146E-2</v>
      </c>
      <c r="CO27" s="194">
        <f t="shared" si="132"/>
        <v>-5.8685548744149996E-2</v>
      </c>
      <c r="CP27" s="194">
        <f t="shared" si="132"/>
        <v>-7.4439623694547929E-2</v>
      </c>
      <c r="CQ27" s="194">
        <f t="shared" si="132"/>
        <v>-6.601953461754928E-2</v>
      </c>
      <c r="CR27" s="194">
        <f t="shared" si="132"/>
        <v>-5.4264197007516057E-2</v>
      </c>
      <c r="CS27" s="194">
        <f t="shared" si="132"/>
        <v>-4.5221716496570474E-2</v>
      </c>
      <c r="CT27" s="194">
        <f t="shared" si="132"/>
        <v>-4.0504041796622148E-2</v>
      </c>
      <c r="CU27" s="194">
        <f t="shared" si="132"/>
        <v>-2.2368499171445788E-2</v>
      </c>
      <c r="CV27" s="194">
        <f t="shared" si="132"/>
        <v>-1.1128355425127134E-2</v>
      </c>
      <c r="CW27" s="194">
        <f t="shared" si="132"/>
        <v>-5.7266231784813826E-5</v>
      </c>
      <c r="CX27" s="194">
        <f t="shared" si="132"/>
        <v>1.1508431448840728E-2</v>
      </c>
      <c r="CY27" s="194">
        <f t="shared" si="132"/>
        <v>-5.6695386661711478E-3</v>
      </c>
      <c r="CZ27" s="194">
        <f t="shared" si="132"/>
        <v>-1.4022748986758371E-3</v>
      </c>
      <c r="DA27" s="194">
        <f t="shared" si="132"/>
        <v>1.057716522818275E-3</v>
      </c>
      <c r="DB27" s="194">
        <f t="shared" si="132"/>
        <v>1.3365405600116453E-3</v>
      </c>
      <c r="DE27" s="159"/>
      <c r="DF27" s="201">
        <v>-0.17489116348466482</v>
      </c>
    </row>
    <row r="28" spans="1:110" s="158" customFormat="1" x14ac:dyDescent="0.2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7"/>
      <c r="AB28" s="157"/>
      <c r="AC28" s="157"/>
      <c r="AD28" s="157"/>
      <c r="AE28" s="157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  <c r="BQ28" s="156"/>
      <c r="BR28" s="156"/>
      <c r="BS28" s="156"/>
      <c r="BT28" s="156"/>
      <c r="BU28" s="156"/>
      <c r="BV28" s="156"/>
      <c r="BW28" s="156"/>
      <c r="BX28" s="156"/>
      <c r="BY28" s="156"/>
      <c r="BZ28" s="156"/>
      <c r="CA28" s="156"/>
      <c r="CB28" s="156"/>
      <c r="CC28" s="156"/>
      <c r="CD28" s="156"/>
      <c r="CE28" s="156"/>
      <c r="CF28" s="156"/>
      <c r="CG28" s="156"/>
      <c r="CH28" s="156"/>
      <c r="CI28" s="156"/>
      <c r="CJ28" s="156"/>
      <c r="CK28" s="156"/>
      <c r="CL28" s="156"/>
      <c r="CM28" s="157"/>
      <c r="CN28" s="157"/>
      <c r="CO28" s="157"/>
      <c r="CP28" s="157"/>
      <c r="CQ28" s="157"/>
      <c r="CR28" s="157"/>
      <c r="CS28" s="157"/>
      <c r="CT28" s="157"/>
      <c r="CU28" s="157"/>
      <c r="CV28" s="157"/>
      <c r="CW28" s="157"/>
      <c r="CX28" s="157"/>
      <c r="CY28" s="157"/>
      <c r="CZ28" s="157"/>
      <c r="DA28" s="157"/>
      <c r="DB28" s="157"/>
      <c r="DE28" s="159"/>
    </row>
    <row r="29" spans="1:110" s="158" customFormat="1" x14ac:dyDescent="0.2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7"/>
      <c r="AB29" s="157"/>
      <c r="AC29" s="157"/>
      <c r="AD29" s="157"/>
      <c r="AE29" s="157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6"/>
      <c r="BV29" s="156"/>
      <c r="BW29" s="156"/>
      <c r="BX29" s="156"/>
      <c r="BY29" s="156"/>
      <c r="BZ29" s="156"/>
      <c r="CA29" s="156"/>
      <c r="CB29" s="156"/>
      <c r="CC29" s="156"/>
      <c r="CD29" s="156"/>
      <c r="CE29" s="156"/>
      <c r="CF29" s="156"/>
      <c r="CG29" s="156"/>
      <c r="CH29" s="156"/>
      <c r="CI29" s="156"/>
      <c r="CJ29" s="156"/>
      <c r="CK29" s="156"/>
      <c r="CL29" s="156"/>
      <c r="CM29" s="157"/>
      <c r="CN29" s="157"/>
      <c r="CO29" s="157"/>
      <c r="CP29" s="157"/>
      <c r="CQ29" s="157"/>
      <c r="CR29" s="157"/>
      <c r="CS29" s="157"/>
      <c r="CT29" s="157"/>
      <c r="CU29" s="157"/>
      <c r="CV29" s="157"/>
      <c r="CW29" s="157"/>
      <c r="CX29" s="157"/>
      <c r="CY29" s="157"/>
      <c r="CZ29" s="157"/>
      <c r="DA29" s="157"/>
      <c r="DB29" s="157"/>
      <c r="DE29" s="159"/>
    </row>
    <row r="30" spans="1:110" s="106" customFormat="1" x14ac:dyDescent="0.2">
      <c r="A30" s="151" t="s">
        <v>500</v>
      </c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5"/>
      <c r="AB30" s="105"/>
      <c r="AC30" s="105"/>
      <c r="AD30" s="105"/>
      <c r="AE30" s="105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104"/>
      <c r="BS30" s="104"/>
      <c r="BT30" s="104"/>
      <c r="BU30" s="104"/>
      <c r="BV30" s="104"/>
      <c r="BW30" s="104"/>
      <c r="BX30" s="104"/>
      <c r="BY30" s="104"/>
      <c r="BZ30" s="104"/>
      <c r="CA30" s="104"/>
      <c r="CB30" s="104"/>
      <c r="CC30" s="104"/>
      <c r="CD30" s="104"/>
      <c r="CE30" s="104"/>
      <c r="CF30" s="104"/>
      <c r="CG30" s="104"/>
      <c r="CH30" s="104"/>
      <c r="CI30" s="104"/>
      <c r="CJ30" s="104"/>
      <c r="CK30" s="104"/>
      <c r="CL30" s="104"/>
      <c r="CM30" s="105"/>
      <c r="CN30" s="105"/>
      <c r="CO30" s="105"/>
      <c r="CP30" s="105"/>
      <c r="CQ30" s="105"/>
      <c r="CR30" s="105"/>
      <c r="CS30" s="105"/>
      <c r="CT30" s="105"/>
      <c r="CU30" s="105"/>
      <c r="CV30" s="105"/>
      <c r="CW30" s="105"/>
      <c r="CX30" s="105"/>
      <c r="CY30" s="105"/>
      <c r="CZ30" s="105"/>
      <c r="DA30" s="105"/>
      <c r="DB30" s="105"/>
      <c r="DE30" s="118"/>
    </row>
    <row r="31" spans="1:110" s="106" customFormat="1" x14ac:dyDescent="0.2">
      <c r="A31" s="151" t="s">
        <v>485</v>
      </c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05"/>
      <c r="AC31" s="105"/>
      <c r="AD31" s="105"/>
      <c r="AE31" s="105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  <c r="BI31" s="118"/>
      <c r="BJ31" s="118"/>
      <c r="BK31" s="118"/>
      <c r="BL31" s="118"/>
      <c r="BM31" s="118"/>
      <c r="BN31" s="118"/>
      <c r="BO31" s="118"/>
      <c r="BP31" s="118"/>
      <c r="BQ31" s="118"/>
      <c r="BR31" s="118"/>
      <c r="BS31" s="118"/>
      <c r="BT31" s="118"/>
      <c r="BU31" s="118"/>
      <c r="BV31" s="118"/>
      <c r="BW31" s="118"/>
      <c r="BX31" s="118"/>
      <c r="BY31" s="118"/>
      <c r="BZ31" s="118"/>
      <c r="CA31" s="118"/>
      <c r="CB31" s="118"/>
      <c r="CC31" s="118"/>
      <c r="CD31" s="118"/>
      <c r="CE31" s="118"/>
      <c r="CF31" s="118"/>
      <c r="CG31" s="118"/>
      <c r="CH31" s="118"/>
      <c r="CI31" s="118"/>
      <c r="CJ31" s="160"/>
      <c r="CK31" s="160"/>
      <c r="CL31" s="160"/>
      <c r="CM31" s="105"/>
      <c r="CN31" s="105"/>
      <c r="CO31" s="105"/>
      <c r="CP31" s="105"/>
      <c r="CQ31" s="105"/>
      <c r="CR31" s="105"/>
      <c r="CS31" s="105"/>
      <c r="CT31" s="105"/>
      <c r="CU31" s="105"/>
      <c r="CV31" s="105"/>
      <c r="CW31" s="105"/>
      <c r="CX31" s="105"/>
      <c r="CY31" s="105"/>
      <c r="CZ31" s="105"/>
      <c r="DA31" s="105"/>
      <c r="DB31" s="105"/>
      <c r="DE31" s="118"/>
    </row>
    <row r="32" spans="1:110" s="25" customFormat="1" outlineLevel="1" x14ac:dyDescent="0.2">
      <c r="A32" s="25" t="s">
        <v>430</v>
      </c>
      <c r="B32" s="25">
        <f>'Annual Raw'!C6</f>
        <v>687.5</v>
      </c>
      <c r="C32" s="25">
        <f>'Annual Raw'!D6</f>
        <v>792.22</v>
      </c>
      <c r="D32" s="25">
        <f>'Annual Raw'!E6</f>
        <v>866.61</v>
      </c>
      <c r="E32" s="25">
        <f>'Annual Raw'!F6</f>
        <v>1002.34</v>
      </c>
      <c r="F32" s="25">
        <f>'Annual Raw'!G6</f>
        <v>1313.53</v>
      </c>
      <c r="G32" s="25">
        <f>'Annual Raw'!H6</f>
        <v>1837.31</v>
      </c>
      <c r="H32" s="25">
        <f>'Annual Raw'!I6</f>
        <v>2506.25</v>
      </c>
      <c r="I32" s="25">
        <f>'Annual Raw'!J6</f>
        <v>2920.03</v>
      </c>
      <c r="J32" s="25">
        <f>'Annual Raw'!K6</f>
        <v>2686.13</v>
      </c>
      <c r="K32" s="25">
        <f>'Annual Raw'!L6</f>
        <v>2521.02</v>
      </c>
      <c r="L32" s="25">
        <f>'Annual Raw'!M6</f>
        <v>2862.47</v>
      </c>
      <c r="M32" s="25">
        <f>'Annual Raw'!N6</f>
        <v>3443.52</v>
      </c>
      <c r="N32" s="25">
        <f>'Annual Raw'!O6</f>
        <v>3743.36</v>
      </c>
      <c r="O32" s="25">
        <f>'Annual Raw'!P6</f>
        <v>4066.19</v>
      </c>
      <c r="P32" s="25">
        <f>'Annual Raw'!Q6</f>
        <v>4188.6400000000003</v>
      </c>
      <c r="Q32" s="25">
        <f>'Annual Raw'!R6</f>
        <v>4023.02</v>
      </c>
      <c r="R32" s="25">
        <f>'Annual Raw'!S6</f>
        <v>4020.57</v>
      </c>
      <c r="S32" s="25">
        <f>'Annual Raw'!T6</f>
        <v>4103.55</v>
      </c>
      <c r="T32" s="25">
        <f>'Annual Raw'!U6</f>
        <v>4512</v>
      </c>
      <c r="U32" s="25">
        <f>'Annual Raw'!V6</f>
        <v>4463.1400000000003</v>
      </c>
      <c r="V32" s="25">
        <f>'Annual Raw'!W6</f>
        <v>1575.16</v>
      </c>
      <c r="W32" s="25">
        <f>'Annual Raw'!X6</f>
        <v>3056.22</v>
      </c>
      <c r="X32" s="25">
        <f>'Annual Raw'!Y6</f>
        <v>5809.91</v>
      </c>
      <c r="Y32" s="25">
        <f>'Annual Raw'!Z6</f>
        <v>6768.75</v>
      </c>
      <c r="Z32" s="25">
        <f>'Annual Raw'!AA6</f>
        <v>8334.5400000000009</v>
      </c>
      <c r="AA32" s="25">
        <f>'Annual Raw'!AB6</f>
        <v>9689.2199999999993</v>
      </c>
      <c r="AB32" s="17">
        <f>+SUM(CM32:CP32)</f>
        <v>10884.819311307354</v>
      </c>
      <c r="AC32" s="17">
        <f>+SUM(CQ32:CT32)</f>
        <v>11608.32696678337</v>
      </c>
      <c r="AD32" s="17">
        <f>+SUM(CU32:CX32)</f>
        <v>12372.16090184034</v>
      </c>
      <c r="AE32" s="17">
        <f>+SUM(CY32:DB32)</f>
        <v>13146.876714471027</v>
      </c>
      <c r="AI32" s="25">
        <f>'QTR Raw'!C6+'QTR Raw'!C8</f>
        <v>852.57</v>
      </c>
      <c r="AJ32" s="25">
        <f>'QTR Raw'!D6+'QTR Raw'!D8</f>
        <v>813.8</v>
      </c>
      <c r="AK32" s="25">
        <f>'QTR Raw'!E6+'QTR Raw'!E8</f>
        <v>544.54999999999995</v>
      </c>
      <c r="AL32" s="25">
        <f>'QTR Raw'!F6+'QTR Raw'!F8</f>
        <v>1016.52</v>
      </c>
      <c r="AM32" s="25">
        <f>'QTR Raw'!G6+'QTR Raw'!G8</f>
        <v>908.7</v>
      </c>
      <c r="AN32" s="25">
        <f>'QTR Raw'!H6+'QTR Raw'!H8</f>
        <v>895.92</v>
      </c>
      <c r="AO32" s="25">
        <f>'QTR Raw'!I6+'QTR Raw'!I8</f>
        <v>1167.6099999999999</v>
      </c>
      <c r="AP32" s="25">
        <f>'QTR Raw'!J6+'QTR Raw'!J8</f>
        <v>1093.96</v>
      </c>
      <c r="AQ32" s="25">
        <f>'QTR Raw'!K6+'QTR Raw'!K8</f>
        <v>937.46</v>
      </c>
      <c r="AR32" s="25">
        <f>'QTR Raw'!L6+'QTR Raw'!L8</f>
        <v>937</v>
      </c>
      <c r="AS32" s="25">
        <f>'QTR Raw'!M6+'QTR Raw'!M8</f>
        <v>1206.8800000000001</v>
      </c>
      <c r="AT32" s="25">
        <f>'QTR Raw'!N6+'QTR Raw'!N8</f>
        <v>1107.3</v>
      </c>
      <c r="AU32" s="25">
        <f>'QTR Raw'!O6+'QTR Raw'!O8</f>
        <v>1032.92</v>
      </c>
      <c r="AV32" s="25">
        <f>'QTR Raw'!P6+'QTR Raw'!P8</f>
        <v>894.37</v>
      </c>
      <c r="AW32" s="25">
        <f>'QTR Raw'!Q6+'QTR Raw'!Q8</f>
        <v>1162.19</v>
      </c>
      <c r="AX32" s="25">
        <f>'QTR Raw'!R6+'QTR Raw'!R8</f>
        <v>1228.45</v>
      </c>
      <c r="AY32" s="25">
        <f>'QTR Raw'!S6+'QTR Raw'!S8</f>
        <v>946.63</v>
      </c>
      <c r="AZ32" s="25">
        <f>'QTR Raw'!T6+'QTR Raw'!T8</f>
        <v>887.27</v>
      </c>
      <c r="BA32" s="25">
        <f>'QTR Raw'!U6+'QTR Raw'!U8</f>
        <v>1132.0899999999999</v>
      </c>
      <c r="BB32" s="25">
        <f>'QTR Raw'!V6+'QTR Raw'!V8</f>
        <v>1052.22</v>
      </c>
      <c r="BC32" s="25">
        <f>'QTR Raw'!W6+'QTR Raw'!W8</f>
        <v>911.16</v>
      </c>
      <c r="BD32" s="25">
        <f>'QTR Raw'!X6+'QTR Raw'!X8</f>
        <v>851.67</v>
      </c>
      <c r="BE32" s="25">
        <f>'QTR Raw'!Y6+'QTR Raw'!Y8</f>
        <v>1197.26</v>
      </c>
      <c r="BF32" s="25">
        <f>'QTR Raw'!Z6+'QTR Raw'!Z8</f>
        <v>1143.46</v>
      </c>
      <c r="BG32" s="25">
        <f>'QTR Raw'!AA6+'QTR Raw'!AA8</f>
        <v>979.7</v>
      </c>
      <c r="BH32" s="25">
        <f>'QTR Raw'!AB6+'QTR Raw'!AB8</f>
        <v>964.53</v>
      </c>
      <c r="BI32" s="25">
        <f>'QTR Raw'!AC6+'QTR Raw'!AC8</f>
        <v>1323.45</v>
      </c>
      <c r="BJ32" s="25">
        <f>'QTR Raw'!AD6+'QTR Raw'!AD8</f>
        <v>1244.32</v>
      </c>
      <c r="BK32" s="25">
        <f>'QTR Raw'!AE6+'QTR Raw'!AE8</f>
        <v>1020</v>
      </c>
      <c r="BL32" s="25">
        <f>'QTR Raw'!AF6+'QTR Raw'!AF8</f>
        <v>1007.44</v>
      </c>
      <c r="BM32" s="25">
        <f>'QTR Raw'!AG6+'QTR Raw'!AG8</f>
        <v>1372.72</v>
      </c>
      <c r="BN32" s="25">
        <f>'QTR Raw'!AH6+'QTR Raw'!AH8</f>
        <v>1062.98</v>
      </c>
      <c r="BO32" s="25">
        <f>'QTR Raw'!AI6+'QTR Raw'!AI8</f>
        <v>143.61000000000001</v>
      </c>
      <c r="BP32" s="25">
        <f>'QTR Raw'!AJ6+'QTR Raw'!AJ8</f>
        <v>256.67</v>
      </c>
      <c r="BQ32" s="25">
        <f>'QTR Raw'!AK6+'QTR Raw'!AK8</f>
        <v>559.86</v>
      </c>
      <c r="BR32" s="25">
        <f>'QTR Raw'!AL6+'QTR Raw'!AL8</f>
        <v>615.02</v>
      </c>
      <c r="BS32" s="25">
        <f>'QTR Raw'!AM6+'QTR Raw'!AM8</f>
        <v>344.55</v>
      </c>
      <c r="BT32" s="25">
        <f>'QTR Raw'!AN6+'QTR Raw'!AN8</f>
        <v>728.37</v>
      </c>
      <c r="BU32" s="25">
        <f>'QTR Raw'!AO6+'QTR Raw'!AO8</f>
        <v>1111.22</v>
      </c>
      <c r="BV32" s="25">
        <f>'QTR Raw'!AP6+'QTR Raw'!AP8</f>
        <v>872.08</v>
      </c>
      <c r="BW32" s="25">
        <f>'QTR Raw'!AQ6+'QTR Raw'!AQ8</f>
        <v>1266.07</v>
      </c>
      <c r="BX32" s="25">
        <f>'QTR Raw'!AR6+'QTR Raw'!AR8</f>
        <v>1232.6099999999999</v>
      </c>
      <c r="BY32" s="25">
        <f>'QTR Raw'!AS6+'QTR Raw'!AS8</f>
        <v>1685.8</v>
      </c>
      <c r="BZ32" s="25">
        <f>'QTR Raw'!AT6+'QTR Raw'!AT8</f>
        <v>1625.43</v>
      </c>
      <c r="CA32" s="25">
        <f>'QTR Raw'!AU6+'QTR Raw'!AU8</f>
        <v>1466.37</v>
      </c>
      <c r="CB32" s="25">
        <f>'QTR Raw'!AV6+'QTR Raw'!AV8</f>
        <v>1433.2</v>
      </c>
      <c r="CC32" s="25">
        <f>'QTR Raw'!AW6+'QTR Raw'!AW8</f>
        <v>1963.84</v>
      </c>
      <c r="CD32" s="25">
        <f>'QTR Raw'!AX6+'QTR Raw'!AX8</f>
        <v>1905.34</v>
      </c>
      <c r="CE32" s="25">
        <f>'QTR Raw'!AY6+'QTR Raw'!AY8</f>
        <v>1550.23</v>
      </c>
      <c r="CF32" s="25">
        <f>'QTR Raw'!AZ6+'QTR Raw'!AZ8</f>
        <v>1826.12</v>
      </c>
      <c r="CG32" s="25">
        <f>'QTR Raw'!BA6+'QTR Raw'!BA8</f>
        <v>2533.0500000000002</v>
      </c>
      <c r="CH32" s="25">
        <f>'QTR Raw'!BB6+'QTR Raw'!BB8</f>
        <v>2425.14</v>
      </c>
      <c r="CI32" s="25">
        <f>'QTR Raw'!BC6+'QTR Raw'!BC8</f>
        <v>2041.08</v>
      </c>
      <c r="CJ32" s="25">
        <f>'QTR Raw'!BD6+'QTR Raw'!BD8</f>
        <v>2040.89</v>
      </c>
      <c r="CK32" s="25">
        <f>'QTR Raw'!BE6+'QTR Raw'!BE8</f>
        <v>2841.96</v>
      </c>
      <c r="CL32" s="25">
        <f>'QTR Raw'!BF6+'QTR Raw'!BF8</f>
        <v>2765.29</v>
      </c>
      <c r="CM32" s="17">
        <f t="shared" ref="CM32:DB32" si="133">CM21*CM18*90/10^7</f>
        <v>2697.619758099675</v>
      </c>
      <c r="CN32" s="17">
        <f t="shared" si="133"/>
        <v>2711.0592895916348</v>
      </c>
      <c r="CO32" s="17">
        <f t="shared" si="133"/>
        <v>2756.30574825128</v>
      </c>
      <c r="CP32" s="17">
        <f t="shared" si="133"/>
        <v>2719.8345153647647</v>
      </c>
      <c r="CQ32" s="17">
        <f t="shared" si="133"/>
        <v>2844.4149676860957</v>
      </c>
      <c r="CR32" s="17">
        <f t="shared" si="133"/>
        <v>2879.9821332905749</v>
      </c>
      <c r="CS32" s="17">
        <f t="shared" si="133"/>
        <v>2921.6241410965549</v>
      </c>
      <c r="CT32" s="17">
        <f t="shared" si="133"/>
        <v>2962.3057247101465</v>
      </c>
      <c r="CU32" s="17">
        <f t="shared" si="133"/>
        <v>3023.9867987521966</v>
      </c>
      <c r="CV32" s="17">
        <f t="shared" si="133"/>
        <v>3068.5534858179958</v>
      </c>
      <c r="CW32" s="17">
        <f t="shared" si="133"/>
        <v>3115.5713947719746</v>
      </c>
      <c r="CX32" s="17">
        <f t="shared" si="133"/>
        <v>3164.0492224981731</v>
      </c>
      <c r="CY32" s="17">
        <f t="shared" si="133"/>
        <v>3214.635868478792</v>
      </c>
      <c r="CZ32" s="17">
        <f t="shared" si="133"/>
        <v>3262.2207824010288</v>
      </c>
      <c r="DA32" s="17">
        <f t="shared" si="133"/>
        <v>3310.622482335204</v>
      </c>
      <c r="DB32" s="17">
        <f t="shared" si="133"/>
        <v>3359.3975812560025</v>
      </c>
      <c r="DE32" s="119"/>
      <c r="DF32" s="25">
        <v>2831.6771346929895</v>
      </c>
    </row>
    <row r="33" spans="1:110" s="92" customFormat="1" outlineLevel="1" x14ac:dyDescent="0.2">
      <c r="A33" s="92" t="s">
        <v>109</v>
      </c>
      <c r="B33" s="92">
        <f>'Annual Raw'!C7+'Annual Raw'!C8+'Annual Raw'!C9</f>
        <v>0</v>
      </c>
      <c r="C33" s="92">
        <f>'Annual Raw'!D7+'Annual Raw'!D8+'Annual Raw'!D9</f>
        <v>0</v>
      </c>
      <c r="D33" s="92">
        <f>'Annual Raw'!E7+'Annual Raw'!E8+'Annual Raw'!E9</f>
        <v>0</v>
      </c>
      <c r="E33" s="92">
        <f>'Annual Raw'!F7+'Annual Raw'!F8+'Annual Raw'!F9</f>
        <v>0</v>
      </c>
      <c r="F33" s="92">
        <f>'Annual Raw'!G7+'Annual Raw'!G8+'Annual Raw'!G9</f>
        <v>0</v>
      </c>
      <c r="G33" s="92">
        <f>'Annual Raw'!H7+'Annual Raw'!H8+'Annual Raw'!H9</f>
        <v>0</v>
      </c>
      <c r="H33" s="92">
        <f>'Annual Raw'!I7+'Annual Raw'!I8+'Annual Raw'!I9</f>
        <v>0</v>
      </c>
      <c r="I33" s="92">
        <f>'Annual Raw'!J7+'Annual Raw'!J8+'Annual Raw'!J9</f>
        <v>0</v>
      </c>
      <c r="J33" s="92">
        <f>'Annual Raw'!K7+'Annual Raw'!K8+'Annual Raw'!K9</f>
        <v>0</v>
      </c>
      <c r="K33" s="92">
        <f>'Annual Raw'!L7+'Annual Raw'!L8+'Annual Raw'!L9</f>
        <v>0</v>
      </c>
      <c r="L33" s="92">
        <f>'Annual Raw'!M7+'Annual Raw'!M8+'Annual Raw'!M9</f>
        <v>0</v>
      </c>
      <c r="M33" s="92">
        <f>'Annual Raw'!N7+'Annual Raw'!N8+'Annual Raw'!N9</f>
        <v>0</v>
      </c>
      <c r="N33" s="92">
        <f>'Annual Raw'!O7+'Annual Raw'!O8+'Annual Raw'!O9</f>
        <v>0</v>
      </c>
      <c r="O33" s="92">
        <f>'Annual Raw'!P7+'Annual Raw'!P8+'Annual Raw'!P9</f>
        <v>0</v>
      </c>
      <c r="P33" s="92">
        <f>'Annual Raw'!Q7+'Annual Raw'!Q8+'Annual Raw'!Q9</f>
        <v>0</v>
      </c>
      <c r="Q33" s="92">
        <f>'Annual Raw'!R7+'Annual Raw'!R8+'Annual Raw'!R9</f>
        <v>0</v>
      </c>
      <c r="R33" s="92">
        <f>'Annual Raw'!S7+'Annual Raw'!S8+'Annual Raw'!S9</f>
        <v>0</v>
      </c>
      <c r="S33" s="92">
        <f>'Annual Raw'!T7+'Annual Raw'!T8+'Annual Raw'!T9</f>
        <v>0</v>
      </c>
      <c r="T33" s="92">
        <f>'Annual Raw'!U7+'Annual Raw'!U8+'Annual Raw'!U9</f>
        <v>0</v>
      </c>
      <c r="U33" s="92">
        <f>'Annual Raw'!V7+'Annual Raw'!V8+'Annual Raw'!V9</f>
        <v>0</v>
      </c>
      <c r="V33" s="92">
        <f>'Annual Raw'!W7+'Annual Raw'!W8+'Annual Raw'!W9</f>
        <v>0</v>
      </c>
      <c r="W33" s="92">
        <f>'Annual Raw'!X7+'Annual Raw'!X8+'Annual Raw'!X9</f>
        <v>0</v>
      </c>
      <c r="X33" s="92">
        <f>'Annual Raw'!Y7+'Annual Raw'!Y8+'Annual Raw'!Y9</f>
        <v>0</v>
      </c>
      <c r="Y33" s="92">
        <f>'Annual Raw'!Z7+'Annual Raw'!Z8+'Annual Raw'!Z9</f>
        <v>0</v>
      </c>
      <c r="Z33" s="92">
        <f>'Annual Raw'!AA7+'Annual Raw'!AA8+'Annual Raw'!AA9</f>
        <v>0</v>
      </c>
      <c r="AA33" s="92">
        <f>'Annual Raw'!AB7+'Annual Raw'!AB8+'Annual Raw'!AB9</f>
        <v>0</v>
      </c>
      <c r="AB33" s="76">
        <f>+SUM(CM33:CP33)</f>
        <v>0</v>
      </c>
      <c r="AC33" s="76">
        <f>+SUM(CQ33:CT33)</f>
        <v>0</v>
      </c>
      <c r="AD33" s="76">
        <f>+SUM(CU33:CX33)</f>
        <v>0</v>
      </c>
      <c r="AE33" s="76">
        <f>+SUM(CY33:DB33)</f>
        <v>0</v>
      </c>
      <c r="AI33" s="92">
        <f>+'QTR Raw'!C20+'QTR Raw'!C19+'QTR Raw'!C13+'QTR Raw'!C7</f>
        <v>0</v>
      </c>
      <c r="AJ33" s="92">
        <f>+'QTR Raw'!D20+'QTR Raw'!D19+'QTR Raw'!D13+'QTR Raw'!D7</f>
        <v>0</v>
      </c>
      <c r="AK33" s="92">
        <f>+'QTR Raw'!E20+'QTR Raw'!E19+'QTR Raw'!E13+'QTR Raw'!E7</f>
        <v>0</v>
      </c>
      <c r="AL33" s="92">
        <f>+'QTR Raw'!F20+'QTR Raw'!F19+'QTR Raw'!F13+'QTR Raw'!F7</f>
        <v>0</v>
      </c>
      <c r="AM33" s="92">
        <f>+'QTR Raw'!G20+'QTR Raw'!G19+'QTR Raw'!G13+'QTR Raw'!G7</f>
        <v>0</v>
      </c>
      <c r="AN33" s="92">
        <f>+'QTR Raw'!H20+'QTR Raw'!H19+'QTR Raw'!H13+'QTR Raw'!H7</f>
        <v>0</v>
      </c>
      <c r="AO33" s="92">
        <f>+'QTR Raw'!I20+'QTR Raw'!I19+'QTR Raw'!I13+'QTR Raw'!I7</f>
        <v>0</v>
      </c>
      <c r="AP33" s="92">
        <f>+'QTR Raw'!J20+'QTR Raw'!J19+'QTR Raw'!J13+'QTR Raw'!J7</f>
        <v>0</v>
      </c>
      <c r="AQ33" s="92">
        <f>+'QTR Raw'!K20+'QTR Raw'!K19+'QTR Raw'!K13+'QTR Raw'!K7</f>
        <v>0</v>
      </c>
      <c r="AR33" s="92">
        <f>+'QTR Raw'!L20+'QTR Raw'!L19+'QTR Raw'!L13+'QTR Raw'!L7</f>
        <v>0</v>
      </c>
      <c r="AS33" s="92">
        <f>+'QTR Raw'!M20+'QTR Raw'!M19+'QTR Raw'!M13+'QTR Raw'!M7</f>
        <v>0</v>
      </c>
      <c r="AT33" s="92">
        <f>+'QTR Raw'!N20+'QTR Raw'!N19+'QTR Raw'!N13+'QTR Raw'!N7</f>
        <v>0</v>
      </c>
      <c r="AU33" s="92">
        <f>+'QTR Raw'!O20+'QTR Raw'!O19+'QTR Raw'!O13+'QTR Raw'!O7</f>
        <v>0</v>
      </c>
      <c r="AV33" s="92">
        <f>+'QTR Raw'!P20+'QTR Raw'!P19+'QTR Raw'!P13+'QTR Raw'!P7</f>
        <v>0</v>
      </c>
      <c r="AW33" s="92">
        <f>+'QTR Raw'!Q20+'QTR Raw'!Q19+'QTR Raw'!Q13+'QTR Raw'!Q7</f>
        <v>0</v>
      </c>
      <c r="AX33" s="92">
        <f>+'QTR Raw'!R20+'QTR Raw'!R19+'QTR Raw'!R13+'QTR Raw'!R7</f>
        <v>0</v>
      </c>
      <c r="AY33" s="92">
        <f>+'QTR Raw'!S20+'QTR Raw'!S19+'QTR Raw'!S13+'QTR Raw'!S7</f>
        <v>0</v>
      </c>
      <c r="AZ33" s="92">
        <f>+'QTR Raw'!T20+'QTR Raw'!T19+'QTR Raw'!T13+'QTR Raw'!T7</f>
        <v>0</v>
      </c>
      <c r="BA33" s="92">
        <f>+'QTR Raw'!U20+'QTR Raw'!U19+'QTR Raw'!U13+'QTR Raw'!U7</f>
        <v>0</v>
      </c>
      <c r="BB33" s="92">
        <f>+'QTR Raw'!V20+'QTR Raw'!V19+'QTR Raw'!V13+'QTR Raw'!V7</f>
        <v>0</v>
      </c>
      <c r="BC33" s="92">
        <f>+'QTR Raw'!W20+'QTR Raw'!W19+'QTR Raw'!W13+'QTR Raw'!W7</f>
        <v>0</v>
      </c>
      <c r="BD33" s="92">
        <f>+'QTR Raw'!X20+'QTR Raw'!X19+'QTR Raw'!X13+'QTR Raw'!X7</f>
        <v>0</v>
      </c>
      <c r="BE33" s="92">
        <f>+'QTR Raw'!Y20+'QTR Raw'!Y19+'QTR Raw'!Y13+'QTR Raw'!Y7</f>
        <v>0</v>
      </c>
      <c r="BF33" s="92">
        <f>+'QTR Raw'!Z20+'QTR Raw'!Z19+'QTR Raw'!Z13+'QTR Raw'!Z7</f>
        <v>0</v>
      </c>
      <c r="BG33" s="92">
        <f>+'QTR Raw'!AA20+'QTR Raw'!AA19+'QTR Raw'!AA13+'QTR Raw'!AA7</f>
        <v>0</v>
      </c>
      <c r="BH33" s="92">
        <f>+'QTR Raw'!AB20+'QTR Raw'!AB19+'QTR Raw'!AB13+'QTR Raw'!AB7</f>
        <v>0</v>
      </c>
      <c r="BI33" s="92">
        <f>+'QTR Raw'!AC20+'QTR Raw'!AC19+'QTR Raw'!AC13+'QTR Raw'!AC7</f>
        <v>0</v>
      </c>
      <c r="BJ33" s="92">
        <f>+'QTR Raw'!AD20+'QTR Raw'!AD19+'QTR Raw'!AD13+'QTR Raw'!AD7</f>
        <v>0</v>
      </c>
      <c r="BK33" s="92">
        <f>+'QTR Raw'!AE20+'QTR Raw'!AE19+'QTR Raw'!AE13+'QTR Raw'!AE7</f>
        <v>0</v>
      </c>
      <c r="BL33" s="92">
        <f>+'QTR Raw'!AF20+'QTR Raw'!AF19+'QTR Raw'!AF13+'QTR Raw'!AF7</f>
        <v>0</v>
      </c>
      <c r="BM33" s="92">
        <f>+'QTR Raw'!AG20+'QTR Raw'!AG19+'QTR Raw'!AG13+'QTR Raw'!AG7</f>
        <v>0</v>
      </c>
      <c r="BN33" s="92">
        <f>+'QTR Raw'!AH20+'QTR Raw'!AH19+'QTR Raw'!AH13+'QTR Raw'!AH7</f>
        <v>0</v>
      </c>
      <c r="BO33" s="92">
        <f>+'QTR Raw'!AI20+'QTR Raw'!AI19+'QTR Raw'!AI13+'QTR Raw'!AI7</f>
        <v>0</v>
      </c>
      <c r="BP33" s="92">
        <f>+'QTR Raw'!AJ20+'QTR Raw'!AJ19+'QTR Raw'!AJ13+'QTR Raw'!AJ7</f>
        <v>0</v>
      </c>
      <c r="BQ33" s="92">
        <f>+'QTR Raw'!AK20+'QTR Raw'!AK19+'QTR Raw'!AK13+'QTR Raw'!AK7</f>
        <v>0</v>
      </c>
      <c r="BR33" s="92">
        <f>+'QTR Raw'!AL20+'QTR Raw'!AL19+'QTR Raw'!AL13+'QTR Raw'!AL7</f>
        <v>0</v>
      </c>
      <c r="BS33" s="92">
        <f>+'QTR Raw'!AM20+'QTR Raw'!AM19+'QTR Raw'!AM13+'QTR Raw'!AM7</f>
        <v>0</v>
      </c>
      <c r="BT33" s="92">
        <f>+'QTR Raw'!AN20+'QTR Raw'!AN19+'QTR Raw'!AN13+'QTR Raw'!AN7</f>
        <v>0</v>
      </c>
      <c r="BU33" s="92">
        <f>+'QTR Raw'!AO20+'QTR Raw'!AO19+'QTR Raw'!AO13+'QTR Raw'!AO7</f>
        <v>0</v>
      </c>
      <c r="BV33" s="92">
        <f>+'QTR Raw'!AP20+'QTR Raw'!AP19+'QTR Raw'!AP13+'QTR Raw'!AP7</f>
        <v>0</v>
      </c>
      <c r="BW33" s="92">
        <f>+'QTR Raw'!AQ20+'QTR Raw'!AQ19+'QTR Raw'!AQ13+'QTR Raw'!AQ7</f>
        <v>0</v>
      </c>
      <c r="BX33" s="92">
        <f>+'QTR Raw'!AR20+'QTR Raw'!AR19+'QTR Raw'!AR13+'QTR Raw'!AR7</f>
        <v>0</v>
      </c>
      <c r="BY33" s="92">
        <f>+'QTR Raw'!AS20+'QTR Raw'!AS19+'QTR Raw'!AS13+'QTR Raw'!AS7</f>
        <v>0</v>
      </c>
      <c r="BZ33" s="92">
        <f>+'QTR Raw'!AT20+'QTR Raw'!AT19+'QTR Raw'!AT13+'QTR Raw'!AT7</f>
        <v>0</v>
      </c>
      <c r="CA33" s="92">
        <f>+'QTR Raw'!AU20+'QTR Raw'!AU19+'QTR Raw'!AU13+'QTR Raw'!AU7</f>
        <v>0</v>
      </c>
      <c r="CB33" s="92">
        <f>+'QTR Raw'!AV20+'QTR Raw'!AV19+'QTR Raw'!AV13+'QTR Raw'!AV7</f>
        <v>0</v>
      </c>
      <c r="CC33" s="92">
        <f>+'QTR Raw'!AW20+'QTR Raw'!AW19+'QTR Raw'!AW13+'QTR Raw'!AW7</f>
        <v>0</v>
      </c>
      <c r="CD33" s="92">
        <f>+'QTR Raw'!AX20+'QTR Raw'!AX19+'QTR Raw'!AX13+'QTR Raw'!AX7</f>
        <v>0</v>
      </c>
      <c r="CE33" s="92">
        <f>+'QTR Raw'!AY20+'QTR Raw'!AY19+'QTR Raw'!AY13+'QTR Raw'!AY7</f>
        <v>0</v>
      </c>
      <c r="CF33" s="92">
        <f>+'QTR Raw'!AZ20+'QTR Raw'!AZ19+'QTR Raw'!AZ13+'QTR Raw'!AZ7</f>
        <v>0</v>
      </c>
      <c r="CG33" s="92">
        <f>+'QTR Raw'!BA20+'QTR Raw'!BA19+'QTR Raw'!BA13+'QTR Raw'!BA7</f>
        <v>0</v>
      </c>
      <c r="CH33" s="92">
        <f>+'QTR Raw'!BB20+'QTR Raw'!BB19+'QTR Raw'!BB13+'QTR Raw'!BB7</f>
        <v>0</v>
      </c>
      <c r="CI33" s="92">
        <f>+'QTR Raw'!BC20+'QTR Raw'!BC19+'QTR Raw'!BC13+'QTR Raw'!BC7</f>
        <v>0</v>
      </c>
      <c r="CJ33" s="92">
        <f>+'QTR Raw'!BD20+'QTR Raw'!BD19+'QTR Raw'!BD13+'QTR Raw'!BD7</f>
        <v>0</v>
      </c>
      <c r="CK33" s="92">
        <f>+'QTR Raw'!BE20+'QTR Raw'!BE19+'QTR Raw'!BE13+'QTR Raw'!BE7</f>
        <v>0</v>
      </c>
      <c r="CL33" s="92">
        <f>+'QTR Raw'!BF20+'QTR Raw'!BF19+'QTR Raw'!BF13+'QTR Raw'!BF7</f>
        <v>0</v>
      </c>
      <c r="CM33" s="74"/>
      <c r="CN33" s="74"/>
      <c r="CO33" s="74"/>
      <c r="CP33" s="74"/>
      <c r="CQ33" s="74"/>
      <c r="CR33" s="74"/>
      <c r="CS33" s="74"/>
      <c r="CT33" s="74"/>
      <c r="CU33" s="74"/>
      <c r="CV33" s="74"/>
      <c r="CW33" s="74"/>
      <c r="CX33" s="74"/>
      <c r="CY33" s="74"/>
      <c r="CZ33" s="74"/>
      <c r="DA33" s="74"/>
      <c r="DB33" s="74"/>
      <c r="DE33" s="120"/>
      <c r="DF33" s="92">
        <v>0</v>
      </c>
    </row>
    <row r="34" spans="1:110" s="26" customFormat="1" x14ac:dyDescent="0.2">
      <c r="A34" s="26" t="s">
        <v>431</v>
      </c>
      <c r="B34" s="26">
        <f>+B32-B33</f>
        <v>687.5</v>
      </c>
      <c r="C34" s="26">
        <f>+C32-C33</f>
        <v>792.22</v>
      </c>
      <c r="D34" s="26">
        <f t="shared" ref="D34:U34" si="134">+D32-D33</f>
        <v>866.61</v>
      </c>
      <c r="E34" s="26">
        <f t="shared" si="134"/>
        <v>1002.34</v>
      </c>
      <c r="F34" s="26">
        <f t="shared" si="134"/>
        <v>1313.53</v>
      </c>
      <c r="G34" s="26">
        <f t="shared" si="134"/>
        <v>1837.31</v>
      </c>
      <c r="H34" s="26">
        <f t="shared" si="134"/>
        <v>2506.25</v>
      </c>
      <c r="I34" s="26">
        <f t="shared" si="134"/>
        <v>2920.03</v>
      </c>
      <c r="J34" s="26">
        <f t="shared" si="134"/>
        <v>2686.13</v>
      </c>
      <c r="K34" s="26">
        <f t="shared" si="134"/>
        <v>2521.02</v>
      </c>
      <c r="L34" s="26">
        <f t="shared" si="134"/>
        <v>2862.47</v>
      </c>
      <c r="M34" s="26">
        <f t="shared" si="134"/>
        <v>3443.52</v>
      </c>
      <c r="N34" s="26">
        <f t="shared" si="134"/>
        <v>3743.36</v>
      </c>
      <c r="O34" s="26">
        <f t="shared" si="134"/>
        <v>4066.19</v>
      </c>
      <c r="P34" s="26">
        <f t="shared" si="134"/>
        <v>4188.6400000000003</v>
      </c>
      <c r="Q34" s="26">
        <f t="shared" si="134"/>
        <v>4023.02</v>
      </c>
      <c r="R34" s="26">
        <f t="shared" si="134"/>
        <v>4020.57</v>
      </c>
      <c r="S34" s="26">
        <f t="shared" si="134"/>
        <v>4103.55</v>
      </c>
      <c r="T34" s="26">
        <f t="shared" si="134"/>
        <v>4512</v>
      </c>
      <c r="U34" s="26">
        <f t="shared" si="134"/>
        <v>4463.1400000000003</v>
      </c>
      <c r="V34" s="26">
        <f>+V32-V33</f>
        <v>1575.16</v>
      </c>
      <c r="W34" s="26">
        <f>+W32-W33</f>
        <v>3056.22</v>
      </c>
      <c r="X34" s="26">
        <f>+X32-X33</f>
        <v>5809.91</v>
      </c>
      <c r="Y34" s="26">
        <f>+Y32-Y33</f>
        <v>6768.75</v>
      </c>
      <c r="Z34" s="26">
        <f>+Z32-Z33</f>
        <v>8334.5400000000009</v>
      </c>
      <c r="AA34" s="26">
        <f>+AA32-AA33</f>
        <v>9689.2199999999993</v>
      </c>
      <c r="AB34" s="27">
        <f t="shared" ref="AB34:AD34" si="135">+AB32-AB33</f>
        <v>10884.819311307354</v>
      </c>
      <c r="AC34" s="27">
        <f t="shared" si="135"/>
        <v>11608.32696678337</v>
      </c>
      <c r="AD34" s="27">
        <f t="shared" si="135"/>
        <v>12372.16090184034</v>
      </c>
      <c r="AE34" s="27">
        <f t="shared" ref="AE34" si="136">+AE32-AE33</f>
        <v>13146.876714471027</v>
      </c>
      <c r="AI34" s="26">
        <f t="shared" ref="AI34" si="137">+AI32-AI33</f>
        <v>852.57</v>
      </c>
      <c r="AJ34" s="26">
        <f t="shared" ref="AJ34" si="138">+AJ32-AJ33</f>
        <v>813.8</v>
      </c>
      <c r="AK34" s="26">
        <f t="shared" ref="AK34:AM34" si="139">+AK32-AK33</f>
        <v>544.54999999999995</v>
      </c>
      <c r="AL34" s="26">
        <f t="shared" si="139"/>
        <v>1016.52</v>
      </c>
      <c r="AM34" s="26">
        <f t="shared" si="139"/>
        <v>908.7</v>
      </c>
      <c r="AN34" s="26">
        <f t="shared" ref="AN34:AO34" si="140">+AN32-AN33</f>
        <v>895.92</v>
      </c>
      <c r="AO34" s="26">
        <f t="shared" si="140"/>
        <v>1167.6099999999999</v>
      </c>
      <c r="AP34" s="26">
        <f t="shared" ref="AP34:AW34" si="141">+AP32-AP33</f>
        <v>1093.96</v>
      </c>
      <c r="AQ34" s="26">
        <f t="shared" si="141"/>
        <v>937.46</v>
      </c>
      <c r="AR34" s="26">
        <f t="shared" si="141"/>
        <v>937</v>
      </c>
      <c r="AS34" s="26">
        <f t="shared" si="141"/>
        <v>1206.8800000000001</v>
      </c>
      <c r="AT34" s="26">
        <f t="shared" si="141"/>
        <v>1107.3</v>
      </c>
      <c r="AU34" s="26">
        <f t="shared" si="141"/>
        <v>1032.92</v>
      </c>
      <c r="AV34" s="26">
        <f t="shared" si="141"/>
        <v>894.37</v>
      </c>
      <c r="AW34" s="26">
        <f t="shared" si="141"/>
        <v>1162.19</v>
      </c>
      <c r="AX34" s="26">
        <f t="shared" ref="AX34:CF34" si="142">+AX32-AX33</f>
        <v>1228.45</v>
      </c>
      <c r="AY34" s="26">
        <f t="shared" si="142"/>
        <v>946.63</v>
      </c>
      <c r="AZ34" s="26">
        <f t="shared" si="142"/>
        <v>887.27</v>
      </c>
      <c r="BA34" s="26">
        <f t="shared" si="142"/>
        <v>1132.0899999999999</v>
      </c>
      <c r="BB34" s="26">
        <f t="shared" si="142"/>
        <v>1052.22</v>
      </c>
      <c r="BC34" s="26">
        <f t="shared" si="142"/>
        <v>911.16</v>
      </c>
      <c r="BD34" s="26">
        <f t="shared" si="142"/>
        <v>851.67</v>
      </c>
      <c r="BE34" s="26">
        <f t="shared" si="142"/>
        <v>1197.26</v>
      </c>
      <c r="BF34" s="26">
        <f t="shared" si="142"/>
        <v>1143.46</v>
      </c>
      <c r="BG34" s="26">
        <f t="shared" si="142"/>
        <v>979.7</v>
      </c>
      <c r="BH34" s="26">
        <f t="shared" si="142"/>
        <v>964.53</v>
      </c>
      <c r="BI34" s="26">
        <f t="shared" si="142"/>
        <v>1323.45</v>
      </c>
      <c r="BJ34" s="26">
        <f t="shared" si="142"/>
        <v>1244.32</v>
      </c>
      <c r="BK34" s="26">
        <f t="shared" si="142"/>
        <v>1020</v>
      </c>
      <c r="BL34" s="26">
        <f t="shared" si="142"/>
        <v>1007.44</v>
      </c>
      <c r="BM34" s="26">
        <f t="shared" si="142"/>
        <v>1372.72</v>
      </c>
      <c r="BN34" s="26">
        <f t="shared" si="142"/>
        <v>1062.98</v>
      </c>
      <c r="BO34" s="26">
        <f t="shared" si="142"/>
        <v>143.61000000000001</v>
      </c>
      <c r="BP34" s="26">
        <f t="shared" si="142"/>
        <v>256.67</v>
      </c>
      <c r="BQ34" s="26">
        <f t="shared" si="142"/>
        <v>559.86</v>
      </c>
      <c r="BR34" s="26">
        <f t="shared" si="142"/>
        <v>615.02</v>
      </c>
      <c r="BS34" s="26">
        <f t="shared" si="142"/>
        <v>344.55</v>
      </c>
      <c r="BT34" s="26">
        <f t="shared" si="142"/>
        <v>728.37</v>
      </c>
      <c r="BU34" s="26">
        <f t="shared" si="142"/>
        <v>1111.22</v>
      </c>
      <c r="BV34" s="26">
        <f t="shared" si="142"/>
        <v>872.08</v>
      </c>
      <c r="BW34" s="26">
        <f t="shared" si="142"/>
        <v>1266.07</v>
      </c>
      <c r="BX34" s="26">
        <f t="shared" si="142"/>
        <v>1232.6099999999999</v>
      </c>
      <c r="BY34" s="26">
        <f t="shared" si="142"/>
        <v>1685.8</v>
      </c>
      <c r="BZ34" s="26">
        <f t="shared" si="142"/>
        <v>1625.43</v>
      </c>
      <c r="CA34" s="26">
        <f t="shared" si="142"/>
        <v>1466.37</v>
      </c>
      <c r="CB34" s="26">
        <f t="shared" si="142"/>
        <v>1433.2</v>
      </c>
      <c r="CC34" s="26">
        <f t="shared" si="142"/>
        <v>1963.84</v>
      </c>
      <c r="CD34" s="26">
        <f t="shared" si="142"/>
        <v>1905.34</v>
      </c>
      <c r="CE34" s="26">
        <f t="shared" si="142"/>
        <v>1550.23</v>
      </c>
      <c r="CF34" s="26">
        <f t="shared" si="142"/>
        <v>1826.12</v>
      </c>
      <c r="CG34" s="26">
        <f t="shared" ref="CG34:CH34" si="143">+CG32-CG33</f>
        <v>2533.0500000000002</v>
      </c>
      <c r="CH34" s="26">
        <f t="shared" si="143"/>
        <v>2425.14</v>
      </c>
      <c r="CI34" s="26">
        <f t="shared" ref="CI34:CJ34" si="144">+CI32-CI33</f>
        <v>2041.08</v>
      </c>
      <c r="CJ34" s="26">
        <f t="shared" si="144"/>
        <v>2040.89</v>
      </c>
      <c r="CK34" s="26">
        <f t="shared" ref="CK34:CL34" si="145">+CK32-CK33</f>
        <v>2841.96</v>
      </c>
      <c r="CL34" s="26">
        <f t="shared" si="145"/>
        <v>2765.29</v>
      </c>
      <c r="CM34" s="27">
        <f t="shared" ref="CM34:DB34" si="146">+CM32-CM33</f>
        <v>2697.619758099675</v>
      </c>
      <c r="CN34" s="27">
        <f t="shared" si="146"/>
        <v>2711.0592895916348</v>
      </c>
      <c r="CO34" s="27">
        <f t="shared" si="146"/>
        <v>2756.30574825128</v>
      </c>
      <c r="CP34" s="27">
        <f t="shared" si="146"/>
        <v>2719.8345153647647</v>
      </c>
      <c r="CQ34" s="27">
        <f t="shared" si="146"/>
        <v>2844.4149676860957</v>
      </c>
      <c r="CR34" s="27">
        <f t="shared" si="146"/>
        <v>2879.9821332905749</v>
      </c>
      <c r="CS34" s="27">
        <f t="shared" si="146"/>
        <v>2921.6241410965549</v>
      </c>
      <c r="CT34" s="27">
        <f t="shared" si="146"/>
        <v>2962.3057247101465</v>
      </c>
      <c r="CU34" s="27">
        <f t="shared" si="146"/>
        <v>3023.9867987521966</v>
      </c>
      <c r="CV34" s="27">
        <f t="shared" si="146"/>
        <v>3068.5534858179958</v>
      </c>
      <c r="CW34" s="27">
        <f t="shared" si="146"/>
        <v>3115.5713947719746</v>
      </c>
      <c r="CX34" s="27">
        <f t="shared" si="146"/>
        <v>3164.0492224981731</v>
      </c>
      <c r="CY34" s="27">
        <f t="shared" si="146"/>
        <v>3214.635868478792</v>
      </c>
      <c r="CZ34" s="27">
        <f t="shared" si="146"/>
        <v>3262.2207824010288</v>
      </c>
      <c r="DA34" s="27">
        <f t="shared" si="146"/>
        <v>3310.622482335204</v>
      </c>
      <c r="DB34" s="27">
        <f t="shared" si="146"/>
        <v>3359.3975812560025</v>
      </c>
      <c r="DE34" s="121"/>
      <c r="DF34" s="26">
        <v>2831.6771346929895</v>
      </c>
    </row>
    <row r="35" spans="1:110" s="39" customFormat="1" x14ac:dyDescent="0.2">
      <c r="A35" s="39" t="s">
        <v>484</v>
      </c>
      <c r="C35" s="39">
        <f t="shared" ref="C35" si="147">C34/B34-1</f>
        <v>0.15232000000000001</v>
      </c>
      <c r="D35" s="39">
        <f t="shared" ref="D35" si="148">D34/C34-1</f>
        <v>9.3900684153391811E-2</v>
      </c>
      <c r="E35" s="39">
        <f t="shared" ref="E35" si="149">E34/D34-1</f>
        <v>0.15662177911632691</v>
      </c>
      <c r="F35" s="39">
        <f t="shared" ref="F35:R35" si="150">F34/E34-1</f>
        <v>0.31046351537402472</v>
      </c>
      <c r="G35" s="39">
        <f t="shared" si="150"/>
        <v>0.39875754645877892</v>
      </c>
      <c r="H35" s="39">
        <f t="shared" si="150"/>
        <v>0.36408662664438785</v>
      </c>
      <c r="I35" s="39">
        <f t="shared" si="150"/>
        <v>0.16509925187032426</v>
      </c>
      <c r="J35" s="39">
        <f t="shared" si="150"/>
        <v>-8.010191676112921E-2</v>
      </c>
      <c r="K35" s="39">
        <f>K34/J34-1</f>
        <v>-6.1467613257735199E-2</v>
      </c>
      <c r="L35" s="39">
        <f t="shared" si="150"/>
        <v>0.13544121030376588</v>
      </c>
      <c r="M35" s="39">
        <f t="shared" si="150"/>
        <v>0.20298902695923449</v>
      </c>
      <c r="N35" s="39">
        <f t="shared" si="150"/>
        <v>8.7073692036056194E-2</v>
      </c>
      <c r="O35" s="39">
        <f t="shared" si="150"/>
        <v>8.6240703539066432E-2</v>
      </c>
      <c r="P35" s="39">
        <f t="shared" si="150"/>
        <v>3.0114185515187408E-2</v>
      </c>
      <c r="Q35" s="39">
        <f t="shared" si="150"/>
        <v>-3.954028037740176E-2</v>
      </c>
      <c r="R35" s="39">
        <f t="shared" si="150"/>
        <v>-6.089952324372927E-4</v>
      </c>
      <c r="S35" s="39">
        <f t="shared" ref="S35:AA35" si="151">S34/R34-1</f>
        <v>2.0638864638595988E-2</v>
      </c>
      <c r="T35" s="39">
        <f t="shared" si="151"/>
        <v>9.9535767810797982E-2</v>
      </c>
      <c r="U35" s="39">
        <f t="shared" si="151"/>
        <v>-1.0828900709219824E-2</v>
      </c>
      <c r="V35" s="39">
        <f t="shared" si="151"/>
        <v>-0.64707358496484546</v>
      </c>
      <c r="W35" s="39">
        <f t="shared" si="151"/>
        <v>0.94026003707559846</v>
      </c>
      <c r="X35" s="39">
        <f t="shared" si="151"/>
        <v>0.90101170727238222</v>
      </c>
      <c r="Y35" s="39">
        <f t="shared" si="151"/>
        <v>0.16503525872173586</v>
      </c>
      <c r="Z35" s="39">
        <f t="shared" si="151"/>
        <v>0.23132631578947382</v>
      </c>
      <c r="AA35" s="39">
        <f t="shared" si="151"/>
        <v>0.16253806448826191</v>
      </c>
      <c r="AB35" s="40">
        <f t="shared" ref="AB35" si="152">AB34/AA34-1</f>
        <v>0.12339479455594504</v>
      </c>
      <c r="AC35" s="40">
        <f t="shared" ref="AC35" si="153">AC34/AB34-1</f>
        <v>6.6469422668727463E-2</v>
      </c>
      <c r="AD35" s="40">
        <f t="shared" ref="AD35" si="154">AD34/AC34-1</f>
        <v>6.5800518648608142E-2</v>
      </c>
      <c r="AE35" s="40">
        <f t="shared" ref="AE35" si="155">AE34/AD34-1</f>
        <v>6.2617663864640738E-2</v>
      </c>
      <c r="AM35" s="39">
        <f t="shared" ref="AM35:CI35" si="156">+IF(AI34&lt;0,1-AM34/AI34,AM34/AI34-1)</f>
        <v>6.5836236320771402E-2</v>
      </c>
      <c r="AN35" s="39">
        <f t="shared" si="156"/>
        <v>0.10090931432784478</v>
      </c>
      <c r="AO35" s="39">
        <f t="shared" si="156"/>
        <v>1.1441740886970893</v>
      </c>
      <c r="AP35" s="39">
        <f t="shared" si="156"/>
        <v>7.6181481918702998E-2</v>
      </c>
      <c r="AQ35" s="39">
        <f t="shared" si="156"/>
        <v>3.1649609332012663E-2</v>
      </c>
      <c r="AR35" s="39">
        <f t="shared" si="156"/>
        <v>4.5852308241807416E-2</v>
      </c>
      <c r="AS35" s="39">
        <f t="shared" si="156"/>
        <v>3.3632805474430816E-2</v>
      </c>
      <c r="AT35" s="39">
        <f t="shared" si="156"/>
        <v>1.2194230136385098E-2</v>
      </c>
      <c r="AU35" s="39">
        <f t="shared" si="156"/>
        <v>0.10182834467603952</v>
      </c>
      <c r="AV35" s="39">
        <f t="shared" si="156"/>
        <v>-4.5496264674493081E-2</v>
      </c>
      <c r="AW35" s="39">
        <f t="shared" si="156"/>
        <v>-3.7029364974148216E-2</v>
      </c>
      <c r="AX35" s="39">
        <f t="shared" si="156"/>
        <v>0.10941027725097086</v>
      </c>
      <c r="AY35" s="39">
        <f t="shared" si="156"/>
        <v>-8.3539867559927261E-2</v>
      </c>
      <c r="AZ35" s="39">
        <f t="shared" si="156"/>
        <v>-7.9385489227054018E-3</v>
      </c>
      <c r="BA35" s="39">
        <f t="shared" si="156"/>
        <v>-2.5899379619511609E-2</v>
      </c>
      <c r="BB35" s="39">
        <f t="shared" si="156"/>
        <v>-0.14345720216533031</v>
      </c>
      <c r="BC35" s="39">
        <f t="shared" si="156"/>
        <v>-3.7469761152720715E-2</v>
      </c>
      <c r="BD35" s="39">
        <f t="shared" si="156"/>
        <v>-4.0123074148793569E-2</v>
      </c>
      <c r="BE35" s="39">
        <f t="shared" si="156"/>
        <v>5.7566094568453074E-2</v>
      </c>
      <c r="BF35" s="39">
        <f t="shared" si="156"/>
        <v>8.6711904354602742E-2</v>
      </c>
      <c r="BG35" s="39">
        <f t="shared" si="156"/>
        <v>7.5222792923306692E-2</v>
      </c>
      <c r="BH35" s="39">
        <f t="shared" si="156"/>
        <v>0.13251611539680863</v>
      </c>
      <c r="BI35" s="39">
        <f t="shared" si="156"/>
        <v>0.10539899437047939</v>
      </c>
      <c r="BJ35" s="39">
        <f t="shared" si="156"/>
        <v>8.8205971350112655E-2</v>
      </c>
      <c r="BK35" s="39">
        <f t="shared" si="156"/>
        <v>4.113504133918533E-2</v>
      </c>
      <c r="BL35" s="39">
        <f t="shared" si="156"/>
        <v>4.4487988968720638E-2</v>
      </c>
      <c r="BM35" s="39">
        <f t="shared" si="156"/>
        <v>3.7228455929577908E-2</v>
      </c>
      <c r="BN35" s="39">
        <f t="shared" si="156"/>
        <v>-0.1457342162787707</v>
      </c>
      <c r="BO35" s="39">
        <f t="shared" si="156"/>
        <v>-0.85920588235294115</v>
      </c>
      <c r="BP35" s="39">
        <f t="shared" si="156"/>
        <v>-0.74522552211546089</v>
      </c>
      <c r="BQ35" s="39">
        <f t="shared" si="156"/>
        <v>-0.59215280610758203</v>
      </c>
      <c r="BR35" s="39">
        <f t="shared" si="156"/>
        <v>-0.42141902952078125</v>
      </c>
      <c r="BS35" s="39">
        <f t="shared" si="156"/>
        <v>1.3992061834134111</v>
      </c>
      <c r="BT35" s="39">
        <f t="shared" si="156"/>
        <v>1.8377683406709</v>
      </c>
      <c r="BU35" s="39">
        <f t="shared" si="156"/>
        <v>0.9848176329796734</v>
      </c>
      <c r="BV35" s="39">
        <f t="shared" si="156"/>
        <v>0.41797014731228255</v>
      </c>
      <c r="BW35" s="39">
        <f t="shared" si="156"/>
        <v>2.6745610216224058</v>
      </c>
      <c r="BX35" s="39">
        <f t="shared" si="156"/>
        <v>0.69228551423040474</v>
      </c>
      <c r="BY35" s="39">
        <f t="shared" si="156"/>
        <v>0.51707132700995295</v>
      </c>
      <c r="BZ35" s="39">
        <f t="shared" si="156"/>
        <v>0.86385423355655444</v>
      </c>
      <c r="CA35" s="39">
        <f t="shared" si="156"/>
        <v>0.15820610234821131</v>
      </c>
      <c r="CB35" s="39">
        <f t="shared" si="156"/>
        <v>0.16273598299543268</v>
      </c>
      <c r="CC35" s="39">
        <f t="shared" si="156"/>
        <v>0.16493059674931776</v>
      </c>
      <c r="CD35" s="39">
        <f t="shared" si="156"/>
        <v>0.17220673913979678</v>
      </c>
      <c r="CE35" s="39">
        <f t="shared" si="156"/>
        <v>5.7188840470004276E-2</v>
      </c>
      <c r="CF35" s="39">
        <f t="shared" si="156"/>
        <v>0.27415573541724791</v>
      </c>
      <c r="CG35" s="39">
        <f t="shared" si="156"/>
        <v>0.28984540492097133</v>
      </c>
      <c r="CH35" s="39">
        <f t="shared" si="156"/>
        <v>0.27281220149684571</v>
      </c>
      <c r="CI35" s="39">
        <f t="shared" si="156"/>
        <v>0.31663043548376679</v>
      </c>
      <c r="CJ35" s="39">
        <f>+IF(CF34&lt;0,1-CJ34/CF34,CJ34/CF34-1)</f>
        <v>0.11761001467592513</v>
      </c>
      <c r="CK35" s="39">
        <f>+IF(CG34&lt;0,1-CK34/CG34,CK34/CG34-1)</f>
        <v>0.12195179724048089</v>
      </c>
      <c r="CL35" s="39">
        <f>+IF(CH34&lt;0,1-CL34/CH34,CL34/CH34-1)</f>
        <v>0.14025994375582451</v>
      </c>
      <c r="CM35" s="40">
        <f t="shared" ref="CM35:DB35" si="157">+IF(CI34&lt;0,1-CM34/CI34,CM34/CI34-1)</f>
        <v>0.32166292261923846</v>
      </c>
      <c r="CN35" s="40">
        <f t="shared" si="157"/>
        <v>0.32837109770327388</v>
      </c>
      <c r="CO35" s="40">
        <f t="shared" si="157"/>
        <v>-3.0139147542090683E-2</v>
      </c>
      <c r="CP35" s="40">
        <f t="shared" si="157"/>
        <v>-1.6437872568604073E-2</v>
      </c>
      <c r="CQ35" s="40">
        <f t="shared" si="157"/>
        <v>5.441656821561458E-2</v>
      </c>
      <c r="CR35" s="40">
        <f t="shared" si="157"/>
        <v>6.2308797283583184E-2</v>
      </c>
      <c r="CS35" s="40">
        <f t="shared" si="157"/>
        <v>5.9978249129350125E-2</v>
      </c>
      <c r="CT35" s="40">
        <f t="shared" si="157"/>
        <v>8.9149250800232283E-2</v>
      </c>
      <c r="CU35" s="40">
        <f t="shared" si="157"/>
        <v>6.3131376084756274E-2</v>
      </c>
      <c r="CV35" s="40">
        <f t="shared" si="157"/>
        <v>6.547657027023468E-2</v>
      </c>
      <c r="CW35" s="40">
        <f t="shared" si="157"/>
        <v>6.6383369081358445E-2</v>
      </c>
      <c r="CX35" s="40">
        <f t="shared" si="157"/>
        <v>6.8103537087741639E-2</v>
      </c>
      <c r="CY35" s="40">
        <f t="shared" si="157"/>
        <v>6.3045602515614085E-2</v>
      </c>
      <c r="CZ35" s="40">
        <f t="shared" si="157"/>
        <v>6.3113547630213818E-2</v>
      </c>
      <c r="DA35" s="40">
        <f t="shared" si="157"/>
        <v>6.2605237642934908E-2</v>
      </c>
      <c r="DB35" s="40">
        <f t="shared" si="157"/>
        <v>6.1739987282369846E-2</v>
      </c>
      <c r="DE35" s="122"/>
      <c r="DF35" s="39">
        <v>0.16763450138671976</v>
      </c>
    </row>
    <row r="36" spans="1:110" s="39" customFormat="1" x14ac:dyDescent="0.2">
      <c r="A36" s="39" t="s">
        <v>446</v>
      </c>
      <c r="AB36" s="40"/>
      <c r="AC36" s="40"/>
      <c r="AD36" s="40"/>
      <c r="AE36" s="40"/>
      <c r="AJ36" s="39">
        <f t="shared" ref="AJ36:AL36" si="158">+IF(AI34&lt;0,1-AJ34/AI34,AJ34/AI34-1)</f>
        <v>-4.5474271907292141E-2</v>
      </c>
      <c r="AK36" s="39">
        <f t="shared" si="158"/>
        <v>-0.33085524698943236</v>
      </c>
      <c r="AL36" s="39">
        <f t="shared" si="158"/>
        <v>0.86671563676430097</v>
      </c>
      <c r="AM36" s="39">
        <f t="shared" ref="AM36:CI36" si="159">+IF(AL34&lt;0,1-AM34/AL34,AM34/AL34-1)</f>
        <v>-0.10606776059497103</v>
      </c>
      <c r="AN36" s="39">
        <f t="shared" si="159"/>
        <v>-1.4064047540442437E-2</v>
      </c>
      <c r="AO36" s="39">
        <f t="shared" si="159"/>
        <v>0.3032525225466558</v>
      </c>
      <c r="AP36" s="39">
        <f t="shared" si="159"/>
        <v>-6.3077568708729714E-2</v>
      </c>
      <c r="AQ36" s="39">
        <f t="shared" si="159"/>
        <v>-0.14305824710227066</v>
      </c>
      <c r="AR36" s="39">
        <f t="shared" si="159"/>
        <v>-4.9068760267112488E-4</v>
      </c>
      <c r="AS36" s="39">
        <f t="shared" si="159"/>
        <v>0.28802561366061918</v>
      </c>
      <c r="AT36" s="39">
        <f t="shared" si="159"/>
        <v>-8.2510274426620844E-2</v>
      </c>
      <c r="AU36" s="39">
        <f t="shared" si="159"/>
        <v>-6.717240133658442E-2</v>
      </c>
      <c r="AV36" s="39">
        <f t="shared" si="159"/>
        <v>-0.13413429888084272</v>
      </c>
      <c r="AW36" s="39">
        <f t="shared" si="159"/>
        <v>0.299451010208303</v>
      </c>
      <c r="AX36" s="39">
        <f t="shared" si="159"/>
        <v>5.7013052943150511E-2</v>
      </c>
      <c r="AY36" s="39">
        <f t="shared" si="159"/>
        <v>-0.22941104644063659</v>
      </c>
      <c r="AZ36" s="39">
        <f t="shared" si="159"/>
        <v>-6.2706654130969874E-2</v>
      </c>
      <c r="BA36" s="39">
        <f t="shared" si="159"/>
        <v>0.2759250284580792</v>
      </c>
      <c r="BB36" s="39">
        <f t="shared" si="159"/>
        <v>-7.0550927929758145E-2</v>
      </c>
      <c r="BC36" s="39">
        <f t="shared" si="159"/>
        <v>-0.13405941723213777</v>
      </c>
      <c r="BD36" s="39">
        <f t="shared" si="159"/>
        <v>-6.5290399051758263E-2</v>
      </c>
      <c r="BE36" s="39">
        <f t="shared" si="159"/>
        <v>0.40577923374076819</v>
      </c>
      <c r="BF36" s="39">
        <f t="shared" si="159"/>
        <v>-4.4935937056278519E-2</v>
      </c>
      <c r="BG36" s="39">
        <f t="shared" si="159"/>
        <v>-0.14321445437531699</v>
      </c>
      <c r="BH36" s="39">
        <f t="shared" si="159"/>
        <v>-1.5484331938348528E-2</v>
      </c>
      <c r="BI36" s="39">
        <f t="shared" si="159"/>
        <v>0.37211906317066346</v>
      </c>
      <c r="BJ36" s="39">
        <f t="shared" si="159"/>
        <v>-5.9790698553024324E-2</v>
      </c>
      <c r="BK36" s="39">
        <f t="shared" si="159"/>
        <v>-0.18027517037418028</v>
      </c>
      <c r="BL36" s="39">
        <f t="shared" si="159"/>
        <v>-1.2313725490196048E-2</v>
      </c>
      <c r="BM36" s="39">
        <f t="shared" si="159"/>
        <v>0.36258238704041923</v>
      </c>
      <c r="BN36" s="39">
        <f t="shared" si="159"/>
        <v>-0.22563960603764788</v>
      </c>
      <c r="BO36" s="39">
        <f t="shared" si="159"/>
        <v>-0.86489868106643586</v>
      </c>
      <c r="BP36" s="39">
        <f t="shared" si="159"/>
        <v>0.78727108140101665</v>
      </c>
      <c r="BQ36" s="39">
        <f t="shared" si="159"/>
        <v>1.1812443994233841</v>
      </c>
      <c r="BR36" s="39">
        <f t="shared" si="159"/>
        <v>9.8524631157789422E-2</v>
      </c>
      <c r="BS36" s="39">
        <f t="shared" si="159"/>
        <v>-0.43977431628239727</v>
      </c>
      <c r="BT36" s="39">
        <f t="shared" si="159"/>
        <v>1.1139747496734871</v>
      </c>
      <c r="BU36" s="39">
        <f t="shared" si="159"/>
        <v>0.52562571220670806</v>
      </c>
      <c r="BV36" s="39">
        <f t="shared" si="159"/>
        <v>-0.2152049099188279</v>
      </c>
      <c r="BW36" s="39">
        <f t="shared" si="159"/>
        <v>0.4517819466104025</v>
      </c>
      <c r="BX36" s="39">
        <f t="shared" si="159"/>
        <v>-2.6428238565008311E-2</v>
      </c>
      <c r="BY36" s="39">
        <f t="shared" si="159"/>
        <v>0.36766698306844825</v>
      </c>
      <c r="BZ36" s="39">
        <f t="shared" si="159"/>
        <v>-3.581089097164547E-2</v>
      </c>
      <c r="CA36" s="39">
        <f t="shared" si="159"/>
        <v>-9.7857182407116938E-2</v>
      </c>
      <c r="CB36" s="39">
        <f t="shared" si="159"/>
        <v>-2.2620484598020907E-2</v>
      </c>
      <c r="CC36" s="39">
        <f t="shared" si="159"/>
        <v>0.37024839519955344</v>
      </c>
      <c r="CD36" s="39">
        <f t="shared" si="159"/>
        <v>-2.9788577480853839E-2</v>
      </c>
      <c r="CE36" s="39">
        <f t="shared" si="159"/>
        <v>-0.18637618482790463</v>
      </c>
      <c r="CF36" s="39">
        <f t="shared" si="159"/>
        <v>0.17796714035981753</v>
      </c>
      <c r="CG36" s="39">
        <f t="shared" si="159"/>
        <v>0.38712132828072643</v>
      </c>
      <c r="CH36" s="39">
        <f t="shared" si="159"/>
        <v>-4.2600817196660312E-2</v>
      </c>
      <c r="CI36" s="39">
        <f t="shared" si="159"/>
        <v>-0.15836611494594122</v>
      </c>
      <c r="CJ36" s="39">
        <f>+IF(CI34&lt;0,1-CJ34/CI34,CJ34/CI34-1)</f>
        <v>-9.3087973033756377E-5</v>
      </c>
      <c r="CK36" s="39">
        <f>+IF(CJ34&lt;0,1-CK34/CJ34,CK34/CJ34-1)</f>
        <v>0.39251013038429305</v>
      </c>
      <c r="CL36" s="39">
        <f>+IF(CK34&lt;0,1-CL34/CK34,CL34/CK34-1)</f>
        <v>-2.6977860349899352E-2</v>
      </c>
      <c r="CM36" s="40">
        <f t="shared" ref="CM36" si="160">+CM34/CL34-1</f>
        <v>-2.4471300261572959E-2</v>
      </c>
      <c r="CN36" s="40">
        <f t="shared" ref="CN36" si="161">+CN34/CM34-1</f>
        <v>4.9819962400583506E-3</v>
      </c>
      <c r="CO36" s="40">
        <f t="shared" ref="CO36" si="162">+CO34/CN34-1</f>
        <v>1.6689586551410507E-2</v>
      </c>
      <c r="CP36" s="40">
        <f t="shared" ref="CP36" si="163">+CP34/CO34-1</f>
        <v>-1.3231925706955527E-2</v>
      </c>
      <c r="CQ36" s="40">
        <f t="shared" ref="CQ36" si="164">+CQ34/CP34-1</f>
        <v>4.5804423621200741E-2</v>
      </c>
      <c r="CR36" s="40">
        <f t="shared" ref="CR36" si="165">+CR34/CQ34-1</f>
        <v>1.2504211238001162E-2</v>
      </c>
      <c r="CS36" s="40">
        <f t="shared" ref="CS36" si="166">+CS34/CR34-1</f>
        <v>1.4459120188499597E-2</v>
      </c>
      <c r="CT36" s="40">
        <f t="shared" ref="CT36" si="167">+CT34/CS34-1</f>
        <v>1.3924304307782354E-2</v>
      </c>
      <c r="CU36" s="40">
        <f t="shared" ref="CU36" si="168">+CU34/CT34-1</f>
        <v>2.0821981177545634E-2</v>
      </c>
      <c r="CV36" s="40">
        <f t="shared" ref="CV36" si="169">+CV34/CU34-1</f>
        <v>1.4737725404154967E-2</v>
      </c>
      <c r="CW36" s="40">
        <f t="shared" ref="CW36" si="170">+CW34/CV34-1</f>
        <v>1.5322499402823597E-2</v>
      </c>
      <c r="CX36" s="40">
        <f t="shared" ref="CX36" si="171">+CX34/CW34-1</f>
        <v>1.5559851334989716E-2</v>
      </c>
      <c r="CY36" s="40">
        <f t="shared" ref="CY36" si="172">+CY34/CX34-1</f>
        <v>1.5987945326804365E-2</v>
      </c>
      <c r="CZ36" s="40">
        <f t="shared" ref="CZ36" si="173">+CZ34/CY34-1</f>
        <v>1.4802582895572236E-2</v>
      </c>
      <c r="DA36" s="40">
        <f t="shared" ref="DA36" si="174">+DA34/CZ34-1</f>
        <v>1.4837039907075633E-2</v>
      </c>
      <c r="DB36" s="40">
        <f t="shared" ref="DB36" si="175">+DB34/DA34-1</f>
        <v>1.473290874482136E-2</v>
      </c>
      <c r="DE36" s="122"/>
      <c r="DF36" s="39">
        <v>-3.6182301323771648E-3</v>
      </c>
    </row>
    <row r="37" spans="1:110" s="23" customFormat="1" outlineLevel="1" x14ac:dyDescent="0.2">
      <c r="A37" s="23" t="s">
        <v>2</v>
      </c>
      <c r="B37" s="23">
        <f>'Annual Raw'!C11</f>
        <v>0</v>
      </c>
      <c r="C37" s="23">
        <f>'Annual Raw'!D11</f>
        <v>0</v>
      </c>
      <c r="D37" s="23">
        <f>'Annual Raw'!E11</f>
        <v>0</v>
      </c>
      <c r="E37" s="23">
        <f>'Annual Raw'!F11</f>
        <v>0</v>
      </c>
      <c r="F37" s="23">
        <f>'Annual Raw'!G11</f>
        <v>0</v>
      </c>
      <c r="G37" s="23">
        <f>'Annual Raw'!H11</f>
        <v>0</v>
      </c>
      <c r="H37" s="23">
        <f>'Annual Raw'!I11</f>
        <v>0</v>
      </c>
      <c r="I37" s="23">
        <f>'Annual Raw'!J11</f>
        <v>0</v>
      </c>
      <c r="J37" s="23">
        <f>'Annual Raw'!K11</f>
        <v>0</v>
      </c>
      <c r="K37" s="23">
        <f>'Annual Raw'!L11</f>
        <v>0</v>
      </c>
      <c r="L37" s="23">
        <f>'Annual Raw'!M11</f>
        <v>0</v>
      </c>
      <c r="M37" s="23">
        <f>'Annual Raw'!N11</f>
        <v>0</v>
      </c>
      <c r="N37" s="23">
        <f>'Annual Raw'!O11</f>
        <v>0</v>
      </c>
      <c r="O37" s="23">
        <f>'Annual Raw'!P11</f>
        <v>0</v>
      </c>
      <c r="P37" s="23">
        <f>'Annual Raw'!Q11</f>
        <v>0</v>
      </c>
      <c r="Q37" s="23">
        <f>'Annual Raw'!R11</f>
        <v>0</v>
      </c>
      <c r="R37" s="23">
        <f>'Annual Raw'!S11</f>
        <v>0</v>
      </c>
      <c r="S37" s="23">
        <f>'Annual Raw'!T11</f>
        <v>0</v>
      </c>
      <c r="T37" s="23">
        <f>'Annual Raw'!U11</f>
        <v>0</v>
      </c>
      <c r="U37" s="23">
        <f>'Annual Raw'!V11</f>
        <v>0</v>
      </c>
      <c r="V37" s="23">
        <f>'Annual Raw'!W11</f>
        <v>0</v>
      </c>
      <c r="W37" s="23">
        <f>'Annual Raw'!X11</f>
        <v>0</v>
      </c>
      <c r="X37" s="23">
        <f>'Annual Raw'!Y11</f>
        <v>0</v>
      </c>
      <c r="Y37" s="23">
        <f>'Annual Raw'!Z11</f>
        <v>0</v>
      </c>
      <c r="Z37" s="23">
        <f>'Annual Raw'!AA11</f>
        <v>0</v>
      </c>
      <c r="AA37" s="23">
        <f>'Annual Raw'!AB11</f>
        <v>0</v>
      </c>
      <c r="AB37" s="76">
        <f>+SUM(CM37:CP37)</f>
        <v>0</v>
      </c>
      <c r="AC37" s="76">
        <f>+SUM(CQ37:CT37)</f>
        <v>0</v>
      </c>
      <c r="AD37" s="76">
        <f>+SUM(CU37:CX37)</f>
        <v>0</v>
      </c>
      <c r="AE37" s="76">
        <f>+SUM(CY37:DB37)</f>
        <v>0</v>
      </c>
      <c r="AI37" s="23">
        <f>'QTR Raw'!C10</f>
        <v>0</v>
      </c>
      <c r="AJ37" s="23">
        <f>'QTR Raw'!D10</f>
        <v>0</v>
      </c>
      <c r="AK37" s="23">
        <f>'QTR Raw'!E10</f>
        <v>0</v>
      </c>
      <c r="AL37" s="23">
        <f>'QTR Raw'!F10</f>
        <v>0</v>
      </c>
      <c r="AM37" s="23">
        <f>'QTR Raw'!G10</f>
        <v>0</v>
      </c>
      <c r="AN37" s="23">
        <f>'QTR Raw'!H10</f>
        <v>0</v>
      </c>
      <c r="AO37" s="23">
        <f>'QTR Raw'!I10</f>
        <v>0</v>
      </c>
      <c r="AP37" s="23">
        <f>'QTR Raw'!J10</f>
        <v>0</v>
      </c>
      <c r="AQ37" s="23">
        <f>'QTR Raw'!K10</f>
        <v>0</v>
      </c>
      <c r="AR37" s="23">
        <f>'QTR Raw'!L10</f>
        <v>0</v>
      </c>
      <c r="AS37" s="23">
        <f>'QTR Raw'!M10</f>
        <v>0</v>
      </c>
      <c r="AT37" s="23">
        <f>'QTR Raw'!N10</f>
        <v>0</v>
      </c>
      <c r="AU37" s="23">
        <f>'QTR Raw'!O10</f>
        <v>0</v>
      </c>
      <c r="AV37" s="23">
        <f>'QTR Raw'!P10</f>
        <v>0</v>
      </c>
      <c r="AW37" s="23">
        <f>'QTR Raw'!Q10</f>
        <v>0</v>
      </c>
      <c r="AX37" s="23">
        <f>'QTR Raw'!R10</f>
        <v>0</v>
      </c>
      <c r="AY37" s="23">
        <f>'QTR Raw'!S10</f>
        <v>0</v>
      </c>
      <c r="AZ37" s="23">
        <f>'QTR Raw'!T10</f>
        <v>0</v>
      </c>
      <c r="BA37" s="23">
        <f>'QTR Raw'!U10</f>
        <v>0</v>
      </c>
      <c r="BB37" s="23">
        <f>'QTR Raw'!V10</f>
        <v>0</v>
      </c>
      <c r="BC37" s="23">
        <f>'QTR Raw'!W10</f>
        <v>0</v>
      </c>
      <c r="BD37" s="23">
        <f>'QTR Raw'!X10</f>
        <v>0</v>
      </c>
      <c r="BE37" s="23">
        <f>'QTR Raw'!Y10</f>
        <v>0</v>
      </c>
      <c r="BF37" s="23">
        <f>'QTR Raw'!Z10</f>
        <v>0</v>
      </c>
      <c r="BG37" s="23">
        <f>'QTR Raw'!AA10</f>
        <v>0</v>
      </c>
      <c r="BH37" s="23">
        <f>'QTR Raw'!AB10</f>
        <v>0</v>
      </c>
      <c r="BI37" s="23">
        <f>'QTR Raw'!AC10</f>
        <v>0</v>
      </c>
      <c r="BJ37" s="23">
        <f>'QTR Raw'!AD10</f>
        <v>0</v>
      </c>
      <c r="BK37" s="23">
        <f>'QTR Raw'!AE10</f>
        <v>0</v>
      </c>
      <c r="BL37" s="23">
        <f>'QTR Raw'!AF10</f>
        <v>0</v>
      </c>
      <c r="BM37" s="23">
        <f>'QTR Raw'!AG10</f>
        <v>0</v>
      </c>
      <c r="BN37" s="23">
        <f>'QTR Raw'!AH10</f>
        <v>0</v>
      </c>
      <c r="BO37" s="23">
        <f>'QTR Raw'!AI10</f>
        <v>0</v>
      </c>
      <c r="BP37" s="23">
        <f>'QTR Raw'!AJ10</f>
        <v>0</v>
      </c>
      <c r="BQ37" s="23">
        <f>'QTR Raw'!AK10</f>
        <v>0</v>
      </c>
      <c r="BR37" s="23">
        <f>'QTR Raw'!AL10</f>
        <v>0</v>
      </c>
      <c r="BS37" s="23">
        <f>'QTR Raw'!AM10</f>
        <v>0</v>
      </c>
      <c r="BT37" s="23">
        <f>'QTR Raw'!AN10</f>
        <v>0</v>
      </c>
      <c r="BU37" s="23">
        <f>'QTR Raw'!AO10</f>
        <v>0</v>
      </c>
      <c r="BV37" s="23">
        <f>'QTR Raw'!AP10</f>
        <v>0</v>
      </c>
      <c r="BW37" s="23">
        <f>'QTR Raw'!AQ10</f>
        <v>0</v>
      </c>
      <c r="BX37" s="23">
        <f>'QTR Raw'!AR10</f>
        <v>0</v>
      </c>
      <c r="BY37" s="23">
        <f>'QTR Raw'!AS10</f>
        <v>0</v>
      </c>
      <c r="BZ37" s="23">
        <f>'QTR Raw'!AT10</f>
        <v>0</v>
      </c>
      <c r="CA37" s="23">
        <f>'QTR Raw'!AU10</f>
        <v>0</v>
      </c>
      <c r="CB37" s="23">
        <f>'QTR Raw'!AV10</f>
        <v>0</v>
      </c>
      <c r="CC37" s="23">
        <f>'QTR Raw'!AW10</f>
        <v>0</v>
      </c>
      <c r="CD37" s="23">
        <f>'QTR Raw'!AX10</f>
        <v>0</v>
      </c>
      <c r="CE37" s="23">
        <f>'QTR Raw'!AY10</f>
        <v>0</v>
      </c>
      <c r="CF37" s="23">
        <f>'QTR Raw'!AZ10</f>
        <v>0</v>
      </c>
      <c r="CG37" s="23">
        <f>'QTR Raw'!BA10</f>
        <v>0</v>
      </c>
      <c r="CH37" s="23">
        <f>'QTR Raw'!BB10</f>
        <v>0</v>
      </c>
      <c r="CI37" s="23">
        <f>'QTR Raw'!BC10</f>
        <v>0</v>
      </c>
      <c r="CJ37" s="23">
        <f>'QTR Raw'!BD10</f>
        <v>0</v>
      </c>
      <c r="CK37" s="23">
        <f>'QTR Raw'!BE10</f>
        <v>0</v>
      </c>
      <c r="CL37" s="23">
        <f>'QTR Raw'!BF10</f>
        <v>0</v>
      </c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E37" s="123"/>
      <c r="DF37" s="23">
        <v>0</v>
      </c>
    </row>
    <row r="38" spans="1:110" s="23" customFormat="1" outlineLevel="1" x14ac:dyDescent="0.2">
      <c r="A38" s="23" t="s">
        <v>3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76">
        <f>+SUM(CM38:CP38)</f>
        <v>0</v>
      </c>
      <c r="AC38" s="76">
        <f>+SUM(CQ38:CT38)</f>
        <v>0</v>
      </c>
      <c r="AD38" s="76">
        <f>+SUM(CU38:CX38)</f>
        <v>0</v>
      </c>
      <c r="AE38" s="76">
        <f>+SUM(CY38:DB38)</f>
        <v>0</v>
      </c>
      <c r="AI38" s="23">
        <f>'QTR Raw'!C12</f>
        <v>0</v>
      </c>
      <c r="AJ38" s="23">
        <f>'QTR Raw'!D12</f>
        <v>0</v>
      </c>
      <c r="AK38" s="23">
        <f>'QTR Raw'!E12</f>
        <v>0</v>
      </c>
      <c r="AL38" s="23">
        <f>'QTR Raw'!F12</f>
        <v>0</v>
      </c>
      <c r="AM38" s="23">
        <f>'QTR Raw'!G12</f>
        <v>0</v>
      </c>
      <c r="AN38" s="23">
        <f>'QTR Raw'!H12</f>
        <v>0</v>
      </c>
      <c r="AO38" s="23">
        <f>'QTR Raw'!I12</f>
        <v>0</v>
      </c>
      <c r="AP38" s="23">
        <f>'QTR Raw'!J12</f>
        <v>0</v>
      </c>
      <c r="AQ38" s="23">
        <f>'QTR Raw'!K12</f>
        <v>0</v>
      </c>
      <c r="AR38" s="23">
        <f>'QTR Raw'!L12</f>
        <v>0</v>
      </c>
      <c r="AS38" s="23">
        <f>'QTR Raw'!M12</f>
        <v>0</v>
      </c>
      <c r="AT38" s="23">
        <f>'QTR Raw'!N12</f>
        <v>0</v>
      </c>
      <c r="AU38" s="23">
        <f>'QTR Raw'!O12</f>
        <v>0</v>
      </c>
      <c r="AV38" s="23">
        <f>'QTR Raw'!P12</f>
        <v>0</v>
      </c>
      <c r="AW38" s="23">
        <f>'QTR Raw'!Q12</f>
        <v>0</v>
      </c>
      <c r="AX38" s="23">
        <f>'QTR Raw'!R12</f>
        <v>0</v>
      </c>
      <c r="AY38" s="23">
        <f>'QTR Raw'!S12</f>
        <v>0</v>
      </c>
      <c r="AZ38" s="23">
        <f>'QTR Raw'!T12</f>
        <v>0</v>
      </c>
      <c r="BA38" s="23">
        <f>'QTR Raw'!U12</f>
        <v>0</v>
      </c>
      <c r="BB38" s="23">
        <f>'QTR Raw'!V12</f>
        <v>0</v>
      </c>
      <c r="BC38" s="23">
        <f>'QTR Raw'!W12</f>
        <v>0</v>
      </c>
      <c r="BD38" s="23">
        <f>'QTR Raw'!X12</f>
        <v>0</v>
      </c>
      <c r="BE38" s="23">
        <f>'QTR Raw'!Y12</f>
        <v>0</v>
      </c>
      <c r="BF38" s="23">
        <f>'QTR Raw'!Z12</f>
        <v>0</v>
      </c>
      <c r="BG38" s="23">
        <f>'QTR Raw'!AA12</f>
        <v>0</v>
      </c>
      <c r="BH38" s="23">
        <f>'QTR Raw'!AB12</f>
        <v>0</v>
      </c>
      <c r="BI38" s="23">
        <f>'QTR Raw'!AC12</f>
        <v>0</v>
      </c>
      <c r="BJ38" s="23">
        <f>'QTR Raw'!AD12</f>
        <v>0</v>
      </c>
      <c r="BK38" s="23">
        <f>'QTR Raw'!AE12</f>
        <v>0</v>
      </c>
      <c r="BL38" s="23">
        <f>'QTR Raw'!AF12</f>
        <v>0</v>
      </c>
      <c r="BM38" s="23">
        <f>'QTR Raw'!AG12</f>
        <v>0</v>
      </c>
      <c r="BN38" s="23">
        <f>'QTR Raw'!AH12</f>
        <v>0</v>
      </c>
      <c r="BO38" s="23">
        <f>'QTR Raw'!AI12</f>
        <v>0</v>
      </c>
      <c r="BP38" s="23">
        <f>'QTR Raw'!AJ12</f>
        <v>0</v>
      </c>
      <c r="BQ38" s="23">
        <f>'QTR Raw'!AK12</f>
        <v>0</v>
      </c>
      <c r="BR38" s="23">
        <f>'QTR Raw'!AL12</f>
        <v>0</v>
      </c>
      <c r="BS38" s="23">
        <f>'QTR Raw'!AM12</f>
        <v>0</v>
      </c>
      <c r="BT38" s="23">
        <f>'QTR Raw'!AN12</f>
        <v>0</v>
      </c>
      <c r="BU38" s="23">
        <f>'QTR Raw'!AO12</f>
        <v>0</v>
      </c>
      <c r="BV38" s="23">
        <f>'QTR Raw'!AP12</f>
        <v>0</v>
      </c>
      <c r="BW38" s="23">
        <f>'QTR Raw'!AQ12</f>
        <v>0</v>
      </c>
      <c r="BX38" s="23">
        <f>'QTR Raw'!AR12</f>
        <v>0</v>
      </c>
      <c r="BY38" s="23">
        <f>'QTR Raw'!AS12</f>
        <v>0</v>
      </c>
      <c r="BZ38" s="23">
        <f>'QTR Raw'!AT12</f>
        <v>0</v>
      </c>
      <c r="CA38" s="23">
        <f>'QTR Raw'!AU12</f>
        <v>0</v>
      </c>
      <c r="CB38" s="23">
        <f>'QTR Raw'!AV12</f>
        <v>0</v>
      </c>
      <c r="CC38" s="23">
        <f>'QTR Raw'!AW12</f>
        <v>0</v>
      </c>
      <c r="CD38" s="23">
        <f>'QTR Raw'!AX12</f>
        <v>0</v>
      </c>
      <c r="CE38" s="23">
        <f>'QTR Raw'!AY12</f>
        <v>0</v>
      </c>
      <c r="CF38" s="23">
        <f>'QTR Raw'!AZ12</f>
        <v>0</v>
      </c>
      <c r="CG38" s="23">
        <f>'QTR Raw'!BA12</f>
        <v>0</v>
      </c>
      <c r="CH38" s="23">
        <f>'QTR Raw'!BB12</f>
        <v>0</v>
      </c>
      <c r="CI38" s="23">
        <f>'QTR Raw'!BC12</f>
        <v>0</v>
      </c>
      <c r="CJ38" s="23">
        <f>'QTR Raw'!BD12</f>
        <v>0</v>
      </c>
      <c r="CK38" s="23">
        <f>'QTR Raw'!BE12</f>
        <v>0</v>
      </c>
      <c r="CL38" s="23">
        <f>'QTR Raw'!BF12</f>
        <v>0</v>
      </c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E38" s="123"/>
      <c r="DF38" s="23">
        <v>0</v>
      </c>
    </row>
    <row r="39" spans="1:110" s="23" customFormat="1" outlineLevel="1" x14ac:dyDescent="0.2">
      <c r="A39" s="23" t="s">
        <v>4</v>
      </c>
      <c r="B39" s="23">
        <f>'Annual Raw'!C12</f>
        <v>83</v>
      </c>
      <c r="C39" s="23">
        <f>'Annual Raw'!D12</f>
        <v>91.47</v>
      </c>
      <c r="D39" s="23">
        <f>'Annual Raw'!E12</f>
        <v>97.81</v>
      </c>
      <c r="E39" s="23">
        <f>'Annual Raw'!F12</f>
        <v>105.6</v>
      </c>
      <c r="F39" s="23">
        <f>'Annual Raw'!G12</f>
        <v>140.43</v>
      </c>
      <c r="G39" s="23">
        <f>'Annual Raw'!H12</f>
        <v>184.19</v>
      </c>
      <c r="H39" s="23">
        <f>'Annual Raw'!I12</f>
        <v>253.76</v>
      </c>
      <c r="I39" s="23">
        <f>'Annual Raw'!J12</f>
        <v>278.19</v>
      </c>
      <c r="J39" s="23">
        <f>'Annual Raw'!K12</f>
        <v>277.22000000000003</v>
      </c>
      <c r="K39" s="23">
        <f>'Annual Raw'!L12</f>
        <v>254.69</v>
      </c>
      <c r="L39" s="23">
        <f>'Annual Raw'!M12</f>
        <v>296.52</v>
      </c>
      <c r="M39" s="23">
        <f>'Annual Raw'!N12</f>
        <v>362.57</v>
      </c>
      <c r="N39" s="23">
        <f>'Annual Raw'!O12</f>
        <v>381.55</v>
      </c>
      <c r="O39" s="23">
        <f>'Annual Raw'!P12</f>
        <v>427.07</v>
      </c>
      <c r="P39" s="23">
        <f>'Annual Raw'!Q12</f>
        <v>443.09</v>
      </c>
      <c r="Q39" s="23">
        <f>'Annual Raw'!R12</f>
        <v>366.93</v>
      </c>
      <c r="R39" s="23">
        <f>'Annual Raw'!S12</f>
        <v>363.95</v>
      </c>
      <c r="S39" s="23">
        <f>'Annual Raw'!T12</f>
        <v>376.44</v>
      </c>
      <c r="T39" s="23">
        <f>'Annual Raw'!U12</f>
        <v>404.05</v>
      </c>
      <c r="U39" s="23">
        <f>'Annual Raw'!V12</f>
        <v>370.56</v>
      </c>
      <c r="V39" s="23">
        <f>'Annual Raw'!W12</f>
        <v>143.82</v>
      </c>
      <c r="W39" s="23">
        <f>'Annual Raw'!X12</f>
        <v>257.23</v>
      </c>
      <c r="X39" s="23">
        <f>'Annual Raw'!Y12</f>
        <v>472.89</v>
      </c>
      <c r="Y39" s="23">
        <f>'Annual Raw'!Z12</f>
        <v>520.83000000000004</v>
      </c>
      <c r="Z39" s="23">
        <f>'Annual Raw'!AA12</f>
        <v>773.75</v>
      </c>
      <c r="AA39" s="23">
        <f>'Annual Raw'!AB12</f>
        <v>950.89</v>
      </c>
      <c r="AB39" s="24">
        <f>+SUM(CM39:CP39)</f>
        <v>1060.7551888581934</v>
      </c>
      <c r="AC39" s="24">
        <f>+SUM(CQ39:CT39)</f>
        <v>1127.9129835141994</v>
      </c>
      <c r="AD39" s="24">
        <f>+SUM(CU39:CX39)</f>
        <v>1201.4388205253954</v>
      </c>
      <c r="AE39" s="24">
        <f>+SUM(CY39:DB39)</f>
        <v>1276.5475989784777</v>
      </c>
      <c r="AI39" s="23">
        <f>'QTR Raw'!C11</f>
        <v>89.92</v>
      </c>
      <c r="AJ39" s="23">
        <f>'QTR Raw'!D11</f>
        <v>84.65</v>
      </c>
      <c r="AK39" s="23">
        <f>'QTR Raw'!E11</f>
        <v>47.01</v>
      </c>
      <c r="AL39" s="23">
        <f>'QTR Raw'!F11</f>
        <v>101.64</v>
      </c>
      <c r="AM39" s="23">
        <f>'QTR Raw'!G11</f>
        <v>95.18</v>
      </c>
      <c r="AN39" s="23">
        <f>'QTR Raw'!H11</f>
        <v>97.94</v>
      </c>
      <c r="AO39" s="23">
        <f>'QTR Raw'!I11</f>
        <v>122.93</v>
      </c>
      <c r="AP39" s="23">
        <f>'QTR Raw'!J11</f>
        <v>111.02</v>
      </c>
      <c r="AQ39" s="23">
        <f>'QTR Raw'!K11</f>
        <v>101.19</v>
      </c>
      <c r="AR39" s="23">
        <f>'QTR Raw'!L11</f>
        <v>100.87</v>
      </c>
      <c r="AS39" s="23">
        <f>'QTR Raw'!M11</f>
        <v>127.06</v>
      </c>
      <c r="AT39" s="23">
        <f>'QTR Raw'!N11</f>
        <v>113.97</v>
      </c>
      <c r="AU39" s="23">
        <f>'QTR Raw'!O11</f>
        <v>117.19</v>
      </c>
      <c r="AV39" s="23">
        <f>'QTR Raw'!P11</f>
        <v>82.88</v>
      </c>
      <c r="AW39" s="23">
        <f>'QTR Raw'!Q11</f>
        <v>106.46</v>
      </c>
      <c r="AX39" s="23">
        <f>'QTR Raw'!R11</f>
        <v>129.5</v>
      </c>
      <c r="AY39" s="23">
        <f>'QTR Raw'!S11</f>
        <v>85.74</v>
      </c>
      <c r="AZ39" s="23">
        <f>'QTR Raw'!T11</f>
        <v>82.49</v>
      </c>
      <c r="BA39" s="23">
        <f>'QTR Raw'!U11</f>
        <v>101.29</v>
      </c>
      <c r="BB39" s="23">
        <f>'QTR Raw'!V11</f>
        <v>94.43</v>
      </c>
      <c r="BC39" s="23">
        <f>'QTR Raw'!W11</f>
        <v>83.87</v>
      </c>
      <c r="BD39" s="23">
        <f>'QTR Raw'!X11</f>
        <v>82.93</v>
      </c>
      <c r="BE39" s="23">
        <f>'QTR Raw'!Y11</f>
        <v>111.44</v>
      </c>
      <c r="BF39" s="23">
        <f>'QTR Raw'!Z11</f>
        <v>98.2</v>
      </c>
      <c r="BG39" s="23">
        <f>'QTR Raw'!AA11</f>
        <v>90.13</v>
      </c>
      <c r="BH39" s="23">
        <f>'QTR Raw'!AB11</f>
        <v>87.45</v>
      </c>
      <c r="BI39" s="23">
        <f>'QTR Raw'!AC11</f>
        <v>118.78</v>
      </c>
      <c r="BJ39" s="23">
        <f>'QTR Raw'!AD11</f>
        <v>107.69</v>
      </c>
      <c r="BK39" s="23">
        <f>'QTR Raw'!AE11</f>
        <v>84.93</v>
      </c>
      <c r="BL39" s="23">
        <f>'QTR Raw'!AF11</f>
        <v>84.78</v>
      </c>
      <c r="BM39" s="23">
        <f>'QTR Raw'!AG11</f>
        <v>117.18</v>
      </c>
      <c r="BN39" s="23">
        <f>'QTR Raw'!AH11</f>
        <v>83.67</v>
      </c>
      <c r="BO39" s="23">
        <f>'QTR Raw'!AI11</f>
        <v>9.17</v>
      </c>
      <c r="BP39" s="23">
        <f>'QTR Raw'!AJ11</f>
        <v>21.82</v>
      </c>
      <c r="BQ39" s="23">
        <f>'QTR Raw'!AK11</f>
        <v>55.96</v>
      </c>
      <c r="BR39" s="23">
        <f>'QTR Raw'!AL11</f>
        <v>56.87</v>
      </c>
      <c r="BS39" s="23">
        <f>'QTR Raw'!AM11</f>
        <v>28.07</v>
      </c>
      <c r="BT39" s="23">
        <f>'QTR Raw'!AN11</f>
        <v>62.78</v>
      </c>
      <c r="BU39" s="23">
        <f>'QTR Raw'!AO11</f>
        <v>97.36</v>
      </c>
      <c r="BV39" s="23">
        <f>'QTR Raw'!AP11</f>
        <v>69.02</v>
      </c>
      <c r="BW39" s="23">
        <f>'QTR Raw'!AQ11</f>
        <v>103.93</v>
      </c>
      <c r="BX39" s="23">
        <f>'QTR Raw'!AR11</f>
        <v>102.95</v>
      </c>
      <c r="BY39" s="23">
        <f>'QTR Raw'!AS11</f>
        <v>140.47</v>
      </c>
      <c r="BZ39" s="23">
        <f>'QTR Raw'!AT11</f>
        <v>125.54</v>
      </c>
      <c r="CA39" s="23">
        <f>'QTR Raw'!AU11</f>
        <v>115.45</v>
      </c>
      <c r="CB39" s="23">
        <f>'QTR Raw'!AV11</f>
        <v>112.35</v>
      </c>
      <c r="CC39" s="23">
        <f>'QTR Raw'!AW11</f>
        <v>153.19</v>
      </c>
      <c r="CD39" s="23">
        <f>'QTR Raw'!AX11</f>
        <v>139.84</v>
      </c>
      <c r="CE39" s="23">
        <f>'QTR Raw'!AY11</f>
        <v>114.3</v>
      </c>
      <c r="CF39" s="23">
        <f>'QTR Raw'!AZ11</f>
        <v>174.02</v>
      </c>
      <c r="CG39" s="23">
        <f>'QTR Raw'!BA11</f>
        <v>250.5</v>
      </c>
      <c r="CH39" s="23">
        <f>'QTR Raw'!BB11</f>
        <v>234.93</v>
      </c>
      <c r="CI39" s="23">
        <f>'QTR Raw'!BC11</f>
        <v>208.15</v>
      </c>
      <c r="CJ39" s="23">
        <f>'QTR Raw'!BD11</f>
        <v>208.22</v>
      </c>
      <c r="CK39" s="23">
        <f>'QTR Raw'!BE11</f>
        <v>276.89999999999998</v>
      </c>
      <c r="CL39" s="23">
        <f>'QTR Raw'!BF11</f>
        <v>257.62</v>
      </c>
      <c r="CM39" s="24">
        <f t="shared" ref="CM39:DB39" si="176">+CM34-CM40</f>
        <v>266.11966169736252</v>
      </c>
      <c r="CN39" s="24">
        <f t="shared" si="176"/>
        <v>265.18815978391467</v>
      </c>
      <c r="CO39" s="24">
        <f t="shared" si="176"/>
        <v>266.71513567312013</v>
      </c>
      <c r="CP39" s="24">
        <f t="shared" si="176"/>
        <v>262.73223170379606</v>
      </c>
      <c r="CQ39" s="24">
        <f t="shared" si="176"/>
        <v>277.21030224045853</v>
      </c>
      <c r="CR39" s="24">
        <f t="shared" si="176"/>
        <v>279.81832943267545</v>
      </c>
      <c r="CS39" s="24">
        <f t="shared" si="176"/>
        <v>283.38406570594498</v>
      </c>
      <c r="CT39" s="24">
        <f t="shared" si="176"/>
        <v>287.5002861351204</v>
      </c>
      <c r="CU39" s="24">
        <f t="shared" si="176"/>
        <v>293.83003477852935</v>
      </c>
      <c r="CV39" s="24">
        <f t="shared" si="176"/>
        <v>297.93694157411437</v>
      </c>
      <c r="CW39" s="24">
        <f t="shared" si="176"/>
        <v>302.4505697335494</v>
      </c>
      <c r="CX39" s="24">
        <f t="shared" si="176"/>
        <v>307.22127443920226</v>
      </c>
      <c r="CY39" s="24">
        <f t="shared" si="176"/>
        <v>312.16897623638579</v>
      </c>
      <c r="CZ39" s="24">
        <f t="shared" si="176"/>
        <v>316.74275845867123</v>
      </c>
      <c r="DA39" s="24">
        <f t="shared" si="176"/>
        <v>321.44278055754194</v>
      </c>
      <c r="DB39" s="24">
        <f t="shared" si="176"/>
        <v>326.19308372587875</v>
      </c>
      <c r="DE39" s="123"/>
      <c r="DF39" s="23">
        <v>281.97129916127915</v>
      </c>
    </row>
    <row r="40" spans="1:110" s="31" customFormat="1" x14ac:dyDescent="0.2">
      <c r="A40" s="31" t="s">
        <v>5</v>
      </c>
      <c r="B40" s="31">
        <f t="shared" ref="B40:T40" si="177">B34-B37-B39-B38</f>
        <v>604.5</v>
      </c>
      <c r="C40" s="31">
        <f t="shared" si="177"/>
        <v>700.75</v>
      </c>
      <c r="D40" s="31">
        <f t="shared" si="177"/>
        <v>768.8</v>
      </c>
      <c r="E40" s="31">
        <f t="shared" si="177"/>
        <v>896.74</v>
      </c>
      <c r="F40" s="31">
        <f t="shared" si="177"/>
        <v>1173.0999999999999</v>
      </c>
      <c r="G40" s="31">
        <f t="shared" si="177"/>
        <v>1653.12</v>
      </c>
      <c r="H40" s="31">
        <f t="shared" si="177"/>
        <v>2252.4899999999998</v>
      </c>
      <c r="I40" s="31">
        <f t="shared" si="177"/>
        <v>2641.84</v>
      </c>
      <c r="J40" s="31">
        <f t="shared" si="177"/>
        <v>2408.91</v>
      </c>
      <c r="K40" s="31">
        <f t="shared" si="177"/>
        <v>2266.33</v>
      </c>
      <c r="L40" s="31">
        <f t="shared" si="177"/>
        <v>2565.9499999999998</v>
      </c>
      <c r="M40" s="31">
        <f t="shared" si="177"/>
        <v>3080.95</v>
      </c>
      <c r="N40" s="31">
        <f t="shared" si="177"/>
        <v>3361.81</v>
      </c>
      <c r="O40" s="31">
        <f t="shared" si="177"/>
        <v>3639.12</v>
      </c>
      <c r="P40" s="31">
        <f t="shared" si="177"/>
        <v>3745.55</v>
      </c>
      <c r="Q40" s="31">
        <f t="shared" si="177"/>
        <v>3656.09</v>
      </c>
      <c r="R40" s="31">
        <f t="shared" si="177"/>
        <v>3656.6200000000003</v>
      </c>
      <c r="S40" s="31">
        <f t="shared" si="177"/>
        <v>3727.11</v>
      </c>
      <c r="T40" s="31">
        <f t="shared" si="177"/>
        <v>4107.95</v>
      </c>
      <c r="U40" s="31">
        <f t="shared" ref="U40:Z40" si="178">U34-U37-U39-U38</f>
        <v>4092.5800000000004</v>
      </c>
      <c r="V40" s="31">
        <f t="shared" si="178"/>
        <v>1431.3400000000001</v>
      </c>
      <c r="W40" s="31">
        <f t="shared" si="178"/>
        <v>2798.99</v>
      </c>
      <c r="X40" s="31">
        <f t="shared" si="178"/>
        <v>5337.0199999999995</v>
      </c>
      <c r="Y40" s="31">
        <f t="shared" si="178"/>
        <v>6247.92</v>
      </c>
      <c r="Z40" s="31">
        <f t="shared" si="178"/>
        <v>7560.7900000000009</v>
      </c>
      <c r="AA40" s="31">
        <f t="shared" ref="AA40" si="179">AA34-AA37-AA39-AA38</f>
        <v>8738.33</v>
      </c>
      <c r="AB40" s="32">
        <f t="shared" ref="AA40:AD40" si="180">AB34-AB37-AB39-AB38</f>
        <v>9824.064122449161</v>
      </c>
      <c r="AC40" s="32">
        <f t="shared" si="180"/>
        <v>10480.413983269171</v>
      </c>
      <c r="AD40" s="32">
        <f t="shared" si="180"/>
        <v>11170.722081314943</v>
      </c>
      <c r="AE40" s="32">
        <f t="shared" ref="AE40" si="181">AE34-AE37-AE39-AE38</f>
        <v>11870.32911549255</v>
      </c>
      <c r="AI40" s="31">
        <f t="shared" ref="AI40" si="182">AI34-AI37-AI39-AI38</f>
        <v>762.65000000000009</v>
      </c>
      <c r="AJ40" s="31">
        <f t="shared" ref="AJ40" si="183">AJ34-AJ37-AJ39-AJ38</f>
        <v>729.15</v>
      </c>
      <c r="AK40" s="31">
        <f t="shared" ref="AK40:AM40" si="184">AK34-AK37-AK39-AK38</f>
        <v>497.53999999999996</v>
      </c>
      <c r="AL40" s="31">
        <f t="shared" si="184"/>
        <v>914.88</v>
      </c>
      <c r="AM40" s="31">
        <f t="shared" si="184"/>
        <v>813.52</v>
      </c>
      <c r="AN40" s="31">
        <f t="shared" ref="AN40:AO40" si="185">AN34-AN37-AN39-AN38</f>
        <v>797.98</v>
      </c>
      <c r="AO40" s="31">
        <f t="shared" si="185"/>
        <v>1044.6799999999998</v>
      </c>
      <c r="AP40" s="31">
        <f t="shared" ref="AP40:CD40" si="186">AP34-AP37-AP39-AP38</f>
        <v>982.94</v>
      </c>
      <c r="AQ40" s="31">
        <f t="shared" si="186"/>
        <v>836.27</v>
      </c>
      <c r="AR40" s="31">
        <f t="shared" si="186"/>
        <v>836.13</v>
      </c>
      <c r="AS40" s="31">
        <f t="shared" si="186"/>
        <v>1079.8200000000002</v>
      </c>
      <c r="AT40" s="31">
        <f t="shared" si="186"/>
        <v>993.32999999999993</v>
      </c>
      <c r="AU40" s="31">
        <f t="shared" si="186"/>
        <v>915.73</v>
      </c>
      <c r="AV40" s="31">
        <f t="shared" si="186"/>
        <v>811.49</v>
      </c>
      <c r="AW40" s="31">
        <f t="shared" si="186"/>
        <v>1055.73</v>
      </c>
      <c r="AX40" s="31">
        <f t="shared" si="186"/>
        <v>1098.95</v>
      </c>
      <c r="AY40" s="31">
        <f t="shared" si="186"/>
        <v>860.89</v>
      </c>
      <c r="AZ40" s="31">
        <f t="shared" si="186"/>
        <v>804.78</v>
      </c>
      <c r="BA40" s="31">
        <f t="shared" si="186"/>
        <v>1030.8</v>
      </c>
      <c r="BB40" s="31">
        <f t="shared" si="186"/>
        <v>957.79</v>
      </c>
      <c r="BC40" s="31">
        <f t="shared" si="186"/>
        <v>827.29</v>
      </c>
      <c r="BD40" s="31">
        <f t="shared" si="186"/>
        <v>768.74</v>
      </c>
      <c r="BE40" s="31">
        <f t="shared" si="186"/>
        <v>1085.82</v>
      </c>
      <c r="BF40" s="31">
        <f t="shared" si="186"/>
        <v>1045.26</v>
      </c>
      <c r="BG40" s="31">
        <f t="shared" si="186"/>
        <v>889.57</v>
      </c>
      <c r="BH40" s="31">
        <f t="shared" si="186"/>
        <v>877.07999999999993</v>
      </c>
      <c r="BI40" s="31">
        <f t="shared" si="186"/>
        <v>1204.67</v>
      </c>
      <c r="BJ40" s="31">
        <f t="shared" si="186"/>
        <v>1136.6299999999999</v>
      </c>
      <c r="BK40" s="31">
        <f t="shared" si="186"/>
        <v>935.06999999999994</v>
      </c>
      <c r="BL40" s="31">
        <f t="shared" si="186"/>
        <v>922.66000000000008</v>
      </c>
      <c r="BM40" s="31">
        <f t="shared" si="186"/>
        <v>1255.54</v>
      </c>
      <c r="BN40" s="31">
        <f t="shared" si="186"/>
        <v>979.31000000000006</v>
      </c>
      <c r="BO40" s="31">
        <f t="shared" si="186"/>
        <v>134.44000000000003</v>
      </c>
      <c r="BP40" s="31">
        <f t="shared" si="186"/>
        <v>234.85000000000002</v>
      </c>
      <c r="BQ40" s="31">
        <f t="shared" si="186"/>
        <v>503.90000000000003</v>
      </c>
      <c r="BR40" s="31">
        <f t="shared" si="186"/>
        <v>558.15</v>
      </c>
      <c r="BS40" s="31">
        <f t="shared" si="186"/>
        <v>316.48</v>
      </c>
      <c r="BT40" s="31">
        <f t="shared" si="186"/>
        <v>665.59</v>
      </c>
      <c r="BU40" s="31">
        <f t="shared" si="186"/>
        <v>1013.86</v>
      </c>
      <c r="BV40" s="31">
        <f t="shared" si="186"/>
        <v>803.06000000000006</v>
      </c>
      <c r="BW40" s="31">
        <f t="shared" si="186"/>
        <v>1162.1399999999999</v>
      </c>
      <c r="BX40" s="31">
        <f t="shared" si="186"/>
        <v>1129.6599999999999</v>
      </c>
      <c r="BY40" s="31">
        <f t="shared" si="186"/>
        <v>1545.33</v>
      </c>
      <c r="BZ40" s="31">
        <f t="shared" si="186"/>
        <v>1499.89</v>
      </c>
      <c r="CA40" s="31">
        <f t="shared" si="186"/>
        <v>1350.9199999999998</v>
      </c>
      <c r="CB40" s="31">
        <f t="shared" si="186"/>
        <v>1320.8500000000001</v>
      </c>
      <c r="CC40" s="31">
        <f t="shared" si="186"/>
        <v>1810.6499999999999</v>
      </c>
      <c r="CD40" s="31">
        <f t="shared" si="186"/>
        <v>1765.5</v>
      </c>
      <c r="CE40" s="31">
        <f t="shared" ref="CE40:CF40" si="187">CE34-CE37-CE39-CE38</f>
        <v>1435.93</v>
      </c>
      <c r="CF40" s="31">
        <f t="shared" si="187"/>
        <v>1652.1</v>
      </c>
      <c r="CG40" s="31">
        <f t="shared" ref="CG40:CH40" si="188">CG34-CG37-CG39-CG38</f>
        <v>2282.5500000000002</v>
      </c>
      <c r="CH40" s="31">
        <f t="shared" si="188"/>
        <v>2190.21</v>
      </c>
      <c r="CI40" s="31">
        <f t="shared" ref="CI40:CJ40" si="189">CI34-CI37-CI39-CI38</f>
        <v>1832.9299999999998</v>
      </c>
      <c r="CJ40" s="31">
        <f t="shared" si="189"/>
        <v>1832.67</v>
      </c>
      <c r="CK40" s="31">
        <f t="shared" ref="CK40:CL40" si="190">CK34-CK37-CK39-CK38</f>
        <v>2565.06</v>
      </c>
      <c r="CL40" s="31">
        <f t="shared" si="190"/>
        <v>2507.67</v>
      </c>
      <c r="CM40" s="32">
        <f t="shared" ref="CM40:DB40" si="191">+CM41*CM34</f>
        <v>2431.5000964023125</v>
      </c>
      <c r="CN40" s="32">
        <f t="shared" si="191"/>
        <v>2445.8711298077201</v>
      </c>
      <c r="CO40" s="32">
        <f t="shared" si="191"/>
        <v>2489.5906125781598</v>
      </c>
      <c r="CP40" s="32">
        <f t="shared" si="191"/>
        <v>2457.1022836609686</v>
      </c>
      <c r="CQ40" s="32">
        <f t="shared" si="191"/>
        <v>2567.2046654456371</v>
      </c>
      <c r="CR40" s="32">
        <f t="shared" si="191"/>
        <v>2600.1638038578994</v>
      </c>
      <c r="CS40" s="32">
        <f t="shared" si="191"/>
        <v>2638.2400753906099</v>
      </c>
      <c r="CT40" s="32">
        <f t="shared" si="191"/>
        <v>2674.8054385750261</v>
      </c>
      <c r="CU40" s="32">
        <f t="shared" si="191"/>
        <v>2730.1567639736672</v>
      </c>
      <c r="CV40" s="32">
        <f t="shared" si="191"/>
        <v>2770.6165442438814</v>
      </c>
      <c r="CW40" s="32">
        <f t="shared" si="191"/>
        <v>2813.1208250384252</v>
      </c>
      <c r="CX40" s="32">
        <f t="shared" si="191"/>
        <v>2856.8279480589708</v>
      </c>
      <c r="CY40" s="32">
        <f t="shared" si="191"/>
        <v>2902.4668922424062</v>
      </c>
      <c r="CZ40" s="32">
        <f t="shared" si="191"/>
        <v>2945.4780239423576</v>
      </c>
      <c r="DA40" s="32">
        <f t="shared" si="191"/>
        <v>2989.1797017776621</v>
      </c>
      <c r="DB40" s="32">
        <f t="shared" si="191"/>
        <v>3033.2044975301237</v>
      </c>
      <c r="DE40" s="124"/>
      <c r="DF40" s="31">
        <v>2549.7058355317104</v>
      </c>
    </row>
    <row r="41" spans="1:110" s="41" customFormat="1" x14ac:dyDescent="0.2">
      <c r="A41" s="41" t="s">
        <v>6</v>
      </c>
      <c r="B41" s="41">
        <f>B40/B34</f>
        <v>0.87927272727272732</v>
      </c>
      <c r="C41" s="41">
        <f t="shared" ref="C41:U41" si="192">C40/C34</f>
        <v>0.88453964807755414</v>
      </c>
      <c r="D41" s="41">
        <f t="shared" si="192"/>
        <v>0.88713492805298799</v>
      </c>
      <c r="E41" s="41">
        <f t="shared" si="192"/>
        <v>0.89464652712652393</v>
      </c>
      <c r="F41" s="41">
        <f t="shared" si="192"/>
        <v>0.89308961348427518</v>
      </c>
      <c r="G41" s="41">
        <f t="shared" si="192"/>
        <v>0.8997501782497237</v>
      </c>
      <c r="H41" s="41">
        <f t="shared" si="192"/>
        <v>0.8987491271820448</v>
      </c>
      <c r="I41" s="41">
        <f t="shared" si="192"/>
        <v>0.90473043085173777</v>
      </c>
      <c r="J41" s="41">
        <f t="shared" si="192"/>
        <v>0.89679576193259436</v>
      </c>
      <c r="K41" s="41">
        <f t="shared" si="192"/>
        <v>0.8989734313888823</v>
      </c>
      <c r="L41" s="41">
        <f t="shared" si="192"/>
        <v>0.89641114142680967</v>
      </c>
      <c r="M41" s="41">
        <f t="shared" si="192"/>
        <v>0.89470948331939404</v>
      </c>
      <c r="N41" s="41">
        <f t="shared" si="192"/>
        <v>0.89807285433407413</v>
      </c>
      <c r="O41" s="41">
        <f t="shared" si="192"/>
        <v>0.89497047604760227</v>
      </c>
      <c r="P41" s="41">
        <f t="shared" si="192"/>
        <v>0.89421626112532948</v>
      </c>
      <c r="Q41" s="41">
        <f t="shared" si="192"/>
        <v>0.90879239973949921</v>
      </c>
      <c r="R41" s="41">
        <f t="shared" si="192"/>
        <v>0.90947800933698464</v>
      </c>
      <c r="S41" s="41">
        <f t="shared" si="192"/>
        <v>0.90826479511642355</v>
      </c>
      <c r="T41" s="41">
        <f t="shared" si="192"/>
        <v>0.91044991134751774</v>
      </c>
      <c r="U41" s="41">
        <f t="shared" si="192"/>
        <v>0.91697325201539726</v>
      </c>
      <c r="V41" s="41">
        <f>V40/V34</f>
        <v>0.90869498971533058</v>
      </c>
      <c r="W41" s="41">
        <f>W40/W34</f>
        <v>0.91583393865624851</v>
      </c>
      <c r="X41" s="41">
        <f>X40/X34</f>
        <v>0.91860631231809098</v>
      </c>
      <c r="Y41" s="41">
        <f>Y40/Y34</f>
        <v>0.9230537396121884</v>
      </c>
      <c r="Z41" s="41">
        <f>Z40/Z34</f>
        <v>0.90716344273349225</v>
      </c>
      <c r="AA41" s="41">
        <f>AA40/AA34</f>
        <v>0.90186103731776146</v>
      </c>
      <c r="AB41" s="42">
        <f t="shared" ref="AA41:AD41" si="193">AB40/AB34</f>
        <v>0.9025472854881238</v>
      </c>
      <c r="AC41" s="42">
        <f t="shared" si="193"/>
        <v>0.90283587060033166</v>
      </c>
      <c r="AD41" s="42">
        <f t="shared" si="193"/>
        <v>0.90289175593030935</v>
      </c>
      <c r="AE41" s="42">
        <f t="shared" ref="AE41" si="194">AE40/AE34</f>
        <v>0.90290107477973414</v>
      </c>
      <c r="AI41" s="41">
        <f t="shared" ref="AI41" si="195">AI40/AI34</f>
        <v>0.89453065437442092</v>
      </c>
      <c r="AJ41" s="41">
        <f t="shared" ref="AJ41" si="196">AJ40/AJ34</f>
        <v>0.8959818137134431</v>
      </c>
      <c r="AK41" s="41">
        <f t="shared" ref="AK41:AM41" si="197">AK40/AK34</f>
        <v>0.91367183913322925</v>
      </c>
      <c r="AL41" s="41">
        <f t="shared" si="197"/>
        <v>0.9000118049817023</v>
      </c>
      <c r="AM41" s="41">
        <f t="shared" si="197"/>
        <v>0.89525696049301196</v>
      </c>
      <c r="AN41" s="41">
        <f t="shared" ref="AN41:AO41" si="198">AN40/AN34</f>
        <v>0.89068220376819363</v>
      </c>
      <c r="AO41" s="41">
        <f t="shared" si="198"/>
        <v>0.89471655775472969</v>
      </c>
      <c r="AP41" s="41">
        <f t="shared" ref="AP41:CD41" si="199">AP40/AP34</f>
        <v>0.89851548502687484</v>
      </c>
      <c r="AQ41" s="41">
        <f t="shared" si="199"/>
        <v>0.89205939453416672</v>
      </c>
      <c r="AR41" s="41">
        <f t="shared" si="199"/>
        <v>0.8923479188900747</v>
      </c>
      <c r="AS41" s="41">
        <f t="shared" si="199"/>
        <v>0.89472027044942337</v>
      </c>
      <c r="AT41" s="41">
        <f t="shared" si="199"/>
        <v>0.89707396369547543</v>
      </c>
      <c r="AU41" s="41">
        <f t="shared" si="199"/>
        <v>0.88654494055686783</v>
      </c>
      <c r="AV41" s="41">
        <f t="shared" si="199"/>
        <v>0.90733141764594072</v>
      </c>
      <c r="AW41" s="41">
        <f t="shared" si="199"/>
        <v>0.90839707793045887</v>
      </c>
      <c r="AX41" s="41">
        <f t="shared" si="199"/>
        <v>0.89458260409459078</v>
      </c>
      <c r="AY41" s="41">
        <f t="shared" si="199"/>
        <v>0.90942606931958636</v>
      </c>
      <c r="AZ41" s="41">
        <f t="shared" si="199"/>
        <v>0.90702942734455128</v>
      </c>
      <c r="BA41" s="41">
        <f t="shared" si="199"/>
        <v>0.91052831488662567</v>
      </c>
      <c r="BB41" s="41">
        <f t="shared" si="199"/>
        <v>0.91025641025641024</v>
      </c>
      <c r="BC41" s="41">
        <f t="shared" si="199"/>
        <v>0.90795250010975015</v>
      </c>
      <c r="BD41" s="41">
        <f t="shared" si="199"/>
        <v>0.90262660420115781</v>
      </c>
      <c r="BE41" s="41">
        <f t="shared" si="199"/>
        <v>0.90692080249903939</v>
      </c>
      <c r="BF41" s="41">
        <f t="shared" si="199"/>
        <v>0.91412030154093715</v>
      </c>
      <c r="BG41" s="41">
        <f t="shared" si="199"/>
        <v>0.90800244972950905</v>
      </c>
      <c r="BH41" s="41">
        <f t="shared" si="199"/>
        <v>0.90933407981089232</v>
      </c>
      <c r="BI41" s="41">
        <f t="shared" si="199"/>
        <v>0.9102497260946768</v>
      </c>
      <c r="BJ41" s="41">
        <f t="shared" si="199"/>
        <v>0.9134547383309759</v>
      </c>
      <c r="BK41" s="41">
        <f t="shared" si="199"/>
        <v>0.91673529411764698</v>
      </c>
      <c r="BL41" s="41">
        <f t="shared" si="199"/>
        <v>0.91584610497895658</v>
      </c>
      <c r="BM41" s="41">
        <f t="shared" si="199"/>
        <v>0.91463663383647065</v>
      </c>
      <c r="BN41" s="41">
        <f t="shared" si="199"/>
        <v>0.92128732431466254</v>
      </c>
      <c r="BO41" s="41">
        <f t="shared" si="199"/>
        <v>0.93614650790334941</v>
      </c>
      <c r="BP41" s="41">
        <f t="shared" si="199"/>
        <v>0.9149881170374411</v>
      </c>
      <c r="BQ41" s="41">
        <f t="shared" si="199"/>
        <v>0.90004644018147395</v>
      </c>
      <c r="BR41" s="41">
        <f t="shared" si="199"/>
        <v>0.90753146239146698</v>
      </c>
      <c r="BS41" s="41">
        <f t="shared" si="199"/>
        <v>0.91853141779132208</v>
      </c>
      <c r="BT41" s="41">
        <f t="shared" si="199"/>
        <v>0.91380754286969534</v>
      </c>
      <c r="BU41" s="41">
        <f t="shared" si="199"/>
        <v>0.91238458631054153</v>
      </c>
      <c r="BV41" s="41">
        <f t="shared" si="199"/>
        <v>0.92085588478121272</v>
      </c>
      <c r="BW41" s="41">
        <f t="shared" si="199"/>
        <v>0.91791133191687657</v>
      </c>
      <c r="BX41" s="41">
        <f t="shared" si="199"/>
        <v>0.91647804252764453</v>
      </c>
      <c r="BY41" s="41">
        <f t="shared" si="199"/>
        <v>0.91667457586902357</v>
      </c>
      <c r="BZ41" s="41">
        <f t="shared" si="199"/>
        <v>0.92276505293983746</v>
      </c>
      <c r="CA41" s="41">
        <f t="shared" si="199"/>
        <v>0.92126816560622482</v>
      </c>
      <c r="CB41" s="41">
        <f t="shared" si="199"/>
        <v>0.92160898688250081</v>
      </c>
      <c r="CC41" s="41">
        <f t="shared" si="199"/>
        <v>0.92199466351637605</v>
      </c>
      <c r="CD41" s="41">
        <f t="shared" si="199"/>
        <v>0.92660627499553894</v>
      </c>
      <c r="CE41" s="41">
        <f t="shared" ref="CE41:CF41" si="200">CE40/CE34</f>
        <v>0.92626900524438316</v>
      </c>
      <c r="CF41" s="41">
        <f t="shared" si="200"/>
        <v>0.90470505771800325</v>
      </c>
      <c r="CG41" s="41">
        <f t="shared" ref="CG41:CH41" si="201">CG40/CG34</f>
        <v>0.90110736069165631</v>
      </c>
      <c r="CH41" s="41">
        <f t="shared" si="201"/>
        <v>0.9031272421385983</v>
      </c>
      <c r="CI41" s="41">
        <f t="shared" ref="CI41:CJ41" si="202">CI40/CI34</f>
        <v>0.89801967585787912</v>
      </c>
      <c r="CJ41" s="41">
        <f t="shared" si="202"/>
        <v>0.89797588307062115</v>
      </c>
      <c r="CK41" s="41">
        <f t="shared" ref="CK41:CL41" si="203">CK40/CK34</f>
        <v>0.90256724232571883</v>
      </c>
      <c r="CL41" s="41">
        <f t="shared" si="203"/>
        <v>0.90683798082660416</v>
      </c>
      <c r="CM41" s="42">
        <f t="shared" ref="CM41:DB41" si="204">AVERAGE(CI41:CL41)</f>
        <v>0.9013501955202059</v>
      </c>
      <c r="CN41" s="42">
        <f t="shared" si="204"/>
        <v>0.90218282543578754</v>
      </c>
      <c r="CO41" s="42">
        <f t="shared" si="204"/>
        <v>0.90323456102707911</v>
      </c>
      <c r="CP41" s="42">
        <f t="shared" si="204"/>
        <v>0.9034013907024192</v>
      </c>
      <c r="CQ41" s="42">
        <f t="shared" si="204"/>
        <v>0.90254224317137299</v>
      </c>
      <c r="CR41" s="42">
        <f t="shared" si="204"/>
        <v>0.90284025508416477</v>
      </c>
      <c r="CS41" s="42">
        <f t="shared" si="204"/>
        <v>0.90300461249625896</v>
      </c>
      <c r="CT41" s="42">
        <f t="shared" si="204"/>
        <v>0.90294712536355393</v>
      </c>
      <c r="CU41" s="42">
        <f t="shared" si="204"/>
        <v>0.90283355902883766</v>
      </c>
      <c r="CV41" s="42">
        <f t="shared" si="204"/>
        <v>0.90290638799320377</v>
      </c>
      <c r="CW41" s="42">
        <f t="shared" si="204"/>
        <v>0.90292292122046347</v>
      </c>
      <c r="CX41" s="42">
        <f t="shared" si="204"/>
        <v>0.90290249840151482</v>
      </c>
      <c r="CY41" s="42">
        <f t="shared" si="204"/>
        <v>0.90289134166100493</v>
      </c>
      <c r="CZ41" s="42">
        <f t="shared" si="204"/>
        <v>0.90290578731904669</v>
      </c>
      <c r="DA41" s="42">
        <f t="shared" si="204"/>
        <v>0.90290563715050753</v>
      </c>
      <c r="DB41" s="42">
        <f t="shared" si="204"/>
        <v>0.90290131613301849</v>
      </c>
      <c r="DE41" s="125"/>
      <c r="DF41" s="41">
        <v>0.90042251084820435</v>
      </c>
    </row>
    <row r="42" spans="1:110" s="39" customFormat="1" x14ac:dyDescent="0.2">
      <c r="A42" s="39" t="s">
        <v>447</v>
      </c>
      <c r="C42" s="39">
        <f t="shared" ref="C42:AE42" si="205">+IF(B40&lt;0,1-C40/B40,C40/B40-1)</f>
        <v>0.15922249793217524</v>
      </c>
      <c r="D42" s="39">
        <f t="shared" si="205"/>
        <v>9.7110239029611023E-2</v>
      </c>
      <c r="E42" s="39">
        <f t="shared" si="205"/>
        <v>0.16641519250780434</v>
      </c>
      <c r="F42" s="39">
        <f t="shared" si="205"/>
        <v>0.30818297388317673</v>
      </c>
      <c r="G42" s="39">
        <f t="shared" si="205"/>
        <v>0.40918932742306713</v>
      </c>
      <c r="H42" s="39">
        <f t="shared" si="205"/>
        <v>0.3625689605110336</v>
      </c>
      <c r="I42" s="39">
        <f t="shared" si="205"/>
        <v>0.17285315362110398</v>
      </c>
      <c r="J42" s="39">
        <f t="shared" si="205"/>
        <v>-8.8169609060351983E-2</v>
      </c>
      <c r="K42" s="39">
        <f t="shared" si="205"/>
        <v>-5.9188595671901378E-2</v>
      </c>
      <c r="L42" s="39">
        <f t="shared" si="205"/>
        <v>0.13220493043819737</v>
      </c>
      <c r="M42" s="39">
        <f t="shared" si="205"/>
        <v>0.20070539176523305</v>
      </c>
      <c r="N42" s="39">
        <f t="shared" si="205"/>
        <v>9.1160194095976976E-2</v>
      </c>
      <c r="O42" s="39">
        <f t="shared" si="205"/>
        <v>8.2488302432320637E-2</v>
      </c>
      <c r="P42" s="39">
        <f t="shared" si="205"/>
        <v>2.9246081470245544E-2</v>
      </c>
      <c r="Q42" s="39">
        <f t="shared" si="205"/>
        <v>-2.3884342753400678E-2</v>
      </c>
      <c r="R42" s="39">
        <f t="shared" si="205"/>
        <v>1.4496360866389502E-4</v>
      </c>
      <c r="S42" s="39">
        <f t="shared" si="205"/>
        <v>1.9277365435839577E-2</v>
      </c>
      <c r="T42" s="39">
        <f t="shared" si="205"/>
        <v>0.10218104644080794</v>
      </c>
      <c r="U42" s="39">
        <f t="shared" si="205"/>
        <v>-3.7415255784514212E-3</v>
      </c>
      <c r="V42" s="39">
        <f t="shared" si="205"/>
        <v>-0.65025973835575601</v>
      </c>
      <c r="W42" s="39">
        <f t="shared" si="205"/>
        <v>0.95550323473109078</v>
      </c>
      <c r="X42" s="39">
        <f t="shared" si="205"/>
        <v>0.90676636929749654</v>
      </c>
      <c r="Y42" s="39">
        <f t="shared" si="205"/>
        <v>0.17067577037372939</v>
      </c>
      <c r="Z42" s="39">
        <f t="shared" si="205"/>
        <v>0.21012913097478858</v>
      </c>
      <c r="AA42" s="39">
        <f t="shared" si="205"/>
        <v>0.15574298452939428</v>
      </c>
      <c r="AB42" s="40">
        <f t="shared" si="205"/>
        <v>0.12424961319258498</v>
      </c>
      <c r="AC42" s="40">
        <f t="shared" si="205"/>
        <v>6.6810421088373317E-2</v>
      </c>
      <c r="AD42" s="40">
        <f t="shared" si="205"/>
        <v>6.5866491452319931E-2</v>
      </c>
      <c r="AE42" s="40">
        <f t="shared" si="205"/>
        <v>6.2628631263490719E-2</v>
      </c>
      <c r="AM42" s="39">
        <f>+IF(AI40&lt;0,1-AM40/AI40,AM40/AI40-1)</f>
        <v>6.6701632465744343E-2</v>
      </c>
      <c r="AN42" s="39">
        <f t="shared" ref="AN42" si="206">+IF(AJ40&lt;0,1-AN40/AJ40,AN40/AJ40-1)</f>
        <v>9.4397586230542396E-2</v>
      </c>
      <c r="AO42" s="39">
        <f t="shared" ref="AO42" si="207">+IF(AK40&lt;0,1-AO40/AK40,AO40/AK40-1)</f>
        <v>1.0996904771475657</v>
      </c>
      <c r="AP42" s="39">
        <f t="shared" ref="AP42" si="208">+IF(AL40&lt;0,1-AP40/AL40,AP40/AL40-1)</f>
        <v>7.439227002448412E-2</v>
      </c>
      <c r="AQ42" s="39">
        <f t="shared" ref="AQ42" si="209">+IF(AM40&lt;0,1-AQ40/AM40,AQ40/AM40-1)</f>
        <v>2.7964893303176419E-2</v>
      </c>
      <c r="AR42" s="39">
        <f t="shared" ref="AR42" si="210">+IF(AN40&lt;0,1-AR40/AN40,AR40/AN40-1)</f>
        <v>4.7808215744755467E-2</v>
      </c>
      <c r="AS42" s="39">
        <f t="shared" ref="AS42" si="211">+IF(AO40&lt;0,1-AS40/AO40,AS40/AO40-1)</f>
        <v>3.3637094612704699E-2</v>
      </c>
      <c r="AT42" s="39">
        <f t="shared" ref="AT42" si="212">+IF(AP40&lt;0,1-AT40/AP40,AT40/AP40-1)</f>
        <v>1.0570329826845803E-2</v>
      </c>
      <c r="AU42" s="39">
        <f t="shared" ref="AU42" si="213">+IF(AQ40&lt;0,1-AU40/AQ40,AU40/AQ40-1)</f>
        <v>9.5017159529817041E-2</v>
      </c>
      <c r="AV42" s="39">
        <f t="shared" ref="AV42" si="214">+IF(AR40&lt;0,1-AV40/AR40,AV40/AR40-1)</f>
        <v>-2.9469101694712507E-2</v>
      </c>
      <c r="AW42" s="39">
        <f t="shared" ref="AW42" si="215">+IF(AS40&lt;0,1-AW40/AS40,AW40/AS40-1)</f>
        <v>-2.2309273767850302E-2</v>
      </c>
      <c r="AX42" s="39">
        <f t="shared" ref="AX42" si="216">+IF(AT40&lt;0,1-AX40/AT40,AX40/AT40-1)</f>
        <v>0.10632921586985211</v>
      </c>
      <c r="AY42" s="39">
        <f t="shared" ref="AY42" si="217">+IF(AU40&lt;0,1-AY40/AU40,AY40/AU40-1)</f>
        <v>-5.9886647811036031E-2</v>
      </c>
      <c r="AZ42" s="39">
        <f t="shared" ref="AZ42" si="218">+IF(AV40&lt;0,1-AZ40/AV40,AZ40/AV40-1)</f>
        <v>-8.2687402186102377E-3</v>
      </c>
      <c r="BA42" s="39">
        <f t="shared" ref="BA42" si="219">+IF(AW40&lt;0,1-BA40/AW40,BA40/AW40-1)</f>
        <v>-2.3613992213918356E-2</v>
      </c>
      <c r="BB42" s="39">
        <f t="shared" ref="BB42" si="220">+IF(AX40&lt;0,1-BB40/AX40,BB40/AX40-1)</f>
        <v>-0.12844988398016299</v>
      </c>
      <c r="BC42" s="39">
        <f t="shared" ref="BC42" si="221">+IF(AY40&lt;0,1-BC40/AY40,BC40/AY40-1)</f>
        <v>-3.9029376575404506E-2</v>
      </c>
      <c r="BD42" s="39">
        <f t="shared" ref="BD42" si="222">+IF(AZ40&lt;0,1-BD40/AZ40,BD40/AZ40-1)</f>
        <v>-4.4782425010561844E-2</v>
      </c>
      <c r="BE42" s="39">
        <f t="shared" ref="BE42" si="223">+IF(BA40&lt;0,1-BE40/BA40,BE40/BA40-1)</f>
        <v>5.3376018626309696E-2</v>
      </c>
      <c r="BF42" s="39">
        <f t="shared" ref="BF42" si="224">+IF(BB40&lt;0,1-BF40/BB40,BF40/BB40-1)</f>
        <v>9.132482068094272E-2</v>
      </c>
      <c r="BG42" s="39">
        <f t="shared" ref="BG42" si="225">+IF(BC40&lt;0,1-BG40/BC40,BG40/BC40-1)</f>
        <v>7.5281944662694E-2</v>
      </c>
      <c r="BH42" s="39">
        <f t="shared" ref="BH42" si="226">+IF(BD40&lt;0,1-BH40/BD40,BH40/BD40-1)</f>
        <v>0.14093191456149001</v>
      </c>
      <c r="BI42" s="39">
        <f t="shared" ref="BI42" si="227">+IF(BE40&lt;0,1-BI40/BE40,BI40/BE40-1)</f>
        <v>0.10945644766167528</v>
      </c>
      <c r="BJ42" s="39">
        <f t="shared" ref="BJ42" si="228">+IF(BF40&lt;0,1-BJ40/BF40,BJ40/BF40-1)</f>
        <v>8.741365784589461E-2</v>
      </c>
      <c r="BK42" s="39">
        <f t="shared" ref="BK42" si="229">+IF(BG40&lt;0,1-BK40/BG40,BK40/BG40-1)</f>
        <v>5.114830760929423E-2</v>
      </c>
      <c r="BL42" s="39">
        <f t="shared" ref="BL42" si="230">+IF(BH40&lt;0,1-BL40/BH40,BL40/BH40-1)</f>
        <v>5.1967893464678339E-2</v>
      </c>
      <c r="BM42" s="39">
        <f t="shared" ref="BM42" si="231">+IF(BI40&lt;0,1-BM40/BI40,BM40/BI40-1)</f>
        <v>4.2227331966430581E-2</v>
      </c>
      <c r="BN42" s="39">
        <f t="shared" ref="BN42" si="232">+IF(BJ40&lt;0,1-BN40/BJ40,BN40/BJ40-1)</f>
        <v>-0.13840915689362399</v>
      </c>
      <c r="BO42" s="39">
        <f t="shared" ref="BO42" si="233">+IF(BK40&lt;0,1-BO40/BK40,BO40/BK40-1)</f>
        <v>-0.85622466767193894</v>
      </c>
      <c r="BP42" s="39">
        <f t="shared" ref="BP42" si="234">+IF(BL40&lt;0,1-BP40/BL40,BP40/BL40-1)</f>
        <v>-0.7454642013309345</v>
      </c>
      <c r="BQ42" s="39">
        <f t="shared" ref="BQ42" si="235">+IF(BM40&lt;0,1-BQ40/BM40,BQ40/BM40-1)</f>
        <v>-0.59865874444462142</v>
      </c>
      <c r="BR42" s="39">
        <f t="shared" ref="BR42" si="236">+IF(BN40&lt;0,1-BR40/BN40,BR40/BN40-1)</f>
        <v>-0.43005789790771054</v>
      </c>
      <c r="BS42" s="39">
        <f t="shared" ref="BS42" si="237">+IF(BO40&lt;0,1-BS40/BO40,BS40/BO40-1)</f>
        <v>1.3540612912823562</v>
      </c>
      <c r="BT42" s="39">
        <f t="shared" ref="BT42" si="238">+IF(BP40&lt;0,1-BT40/BP40,BT40/BP40-1)</f>
        <v>1.8341068767298272</v>
      </c>
      <c r="BU42" s="39">
        <f t="shared" ref="BU42" si="239">+IF(BQ40&lt;0,1-BU40/BQ40,BU40/BQ40-1)</f>
        <v>1.0120261956737449</v>
      </c>
      <c r="BV42" s="39">
        <f t="shared" ref="BV42" si="240">+IF(BR40&lt;0,1-BV40/BR40,BV40/BR40-1)</f>
        <v>0.43878885604228279</v>
      </c>
      <c r="BW42" s="39">
        <f t="shared" ref="BW42" si="241">+IF(BS40&lt;0,1-BW40/BS40,BW40/BS40-1)</f>
        <v>2.6720803842264909</v>
      </c>
      <c r="BX42" s="39">
        <f t="shared" ref="BX42" si="242">+IF(BT40&lt;0,1-BX40/BT40,BX40/BT40-1)</f>
        <v>0.69723102811039794</v>
      </c>
      <c r="BY42" s="39">
        <f t="shared" ref="BY42" si="243">+IF(BU40&lt;0,1-BY40/BU40,BY40/BU40-1)</f>
        <v>0.52420452527962436</v>
      </c>
      <c r="BZ42" s="39">
        <f t="shared" ref="BZ42" si="244">+IF(BV40&lt;0,1-BZ40/BV40,BZ40/BV40-1)</f>
        <v>0.8677184768261399</v>
      </c>
      <c r="CA42" s="39">
        <f t="shared" ref="CA42" si="245">+IF(BW40&lt;0,1-CA40/BW40,CA40/BW40-1)</f>
        <v>0.16244170237665001</v>
      </c>
      <c r="CB42" s="39">
        <f t="shared" ref="CB42" si="246">+IF(BX40&lt;0,1-CB40/BX40,CB40/BX40-1)</f>
        <v>0.16924561372448377</v>
      </c>
      <c r="CC42" s="39">
        <f t="shared" ref="CC42" si="247">+IF(BY40&lt;0,1-CC40/BY40,CC40/BY40-1)</f>
        <v>0.17169148337248341</v>
      </c>
      <c r="CD42" s="39">
        <f t="shared" ref="CD42" si="248">+IF(BZ40&lt;0,1-CD40/BZ40,CD40/BZ40-1)</f>
        <v>0.17708631966344202</v>
      </c>
      <c r="CE42" s="39">
        <f t="shared" ref="CE42" si="249">+IF(CA40&lt;0,1-CE40/CA40,CE40/CA40-1)</f>
        <v>6.2927486453676185E-2</v>
      </c>
      <c r="CF42" s="39">
        <f t="shared" ref="CF42" si="250">+IF(CB40&lt;0,1-CF40/CB40,CF40/CB40-1)</f>
        <v>0.25078547904758275</v>
      </c>
      <c r="CG42" s="39">
        <f t="shared" ref="CG42" si="251">+IF(CC40&lt;0,1-CG40/CC40,CG40/CC40-1)</f>
        <v>0.26062463756109699</v>
      </c>
      <c r="CH42" s="39">
        <f t="shared" ref="CH42:CL42" si="252">+IF(CD40&lt;0,1-CH40/CD40,CH40/CD40-1)</f>
        <v>0.2405607476635514</v>
      </c>
      <c r="CI42" s="39">
        <f t="shared" si="252"/>
        <v>0.27647587277931351</v>
      </c>
      <c r="CJ42" s="39">
        <f t="shared" si="252"/>
        <v>0.10929725803522805</v>
      </c>
      <c r="CK42" s="39">
        <f t="shared" si="252"/>
        <v>0.12376946835775771</v>
      </c>
      <c r="CL42" s="39">
        <f t="shared" si="252"/>
        <v>0.14494500527346688</v>
      </c>
      <c r="CM42" s="40">
        <f t="shared" ref="CM42" si="253">+CM40/CI40-1</f>
        <v>0.32656462407310305</v>
      </c>
      <c r="CN42" s="40">
        <f t="shared" ref="CN42" si="254">+CN40/CJ40-1</f>
        <v>0.33459440587106237</v>
      </c>
      <c r="CO42" s="40">
        <f t="shared" ref="CO42" si="255">+CO40/CK40-1</f>
        <v>-2.9422074891753081E-2</v>
      </c>
      <c r="CP42" s="40">
        <f t="shared" ref="CP42" si="256">+CP40/CL40-1</f>
        <v>-2.0165219641751664E-2</v>
      </c>
      <c r="CQ42" s="40">
        <f t="shared" ref="CQ42" si="257">+CQ40/CM40-1</f>
        <v>5.5811048185486545E-2</v>
      </c>
      <c r="CR42" s="40">
        <f t="shared" ref="CR42" si="258">+CR40/CN40-1</f>
        <v>6.3082912329198937E-2</v>
      </c>
      <c r="CS42" s="40">
        <f t="shared" ref="CS42" si="259">+CS40/CO40-1</f>
        <v>5.9708396256568541E-2</v>
      </c>
      <c r="CT42" s="40">
        <f t="shared" ref="CT42" si="260">+CT40/CP40-1</f>
        <v>8.860158421638431E-2</v>
      </c>
      <c r="CU42" s="40">
        <f t="shared" ref="CU42" si="261">+CU40/CQ40-1</f>
        <v>6.3474525705469409E-2</v>
      </c>
      <c r="CV42" s="40">
        <f t="shared" ref="CV42" si="262">+CV40/CR40-1</f>
        <v>6.5554616264205778E-2</v>
      </c>
      <c r="CW42" s="40">
        <f t="shared" ref="CW42" si="263">+CW40/CS40-1</f>
        <v>6.6286897572019887E-2</v>
      </c>
      <c r="CX42" s="40">
        <f t="shared" ref="CX42" si="264">+CX40/CT40-1</f>
        <v>6.8050747489475372E-2</v>
      </c>
      <c r="CY42" s="40">
        <f t="shared" ref="CY42" si="265">+CY40/CU40-1</f>
        <v>6.3113638946485473E-2</v>
      </c>
      <c r="CZ42" s="40">
        <f t="shared" ref="CZ42" si="266">+CZ40/CV40-1</f>
        <v>6.3112840375461277E-2</v>
      </c>
      <c r="DA42" s="40">
        <f t="shared" ref="DA42" si="267">+DA40/CW40-1</f>
        <v>6.2584896877592167E-2</v>
      </c>
      <c r="DB42" s="40">
        <f t="shared" ref="DB42" si="268">+DB40/CX40-1</f>
        <v>6.1738597030664533E-2</v>
      </c>
      <c r="DE42" s="122"/>
      <c r="DF42" s="39">
        <v>0.16413761033494967</v>
      </c>
    </row>
    <row r="43" spans="1:110" s="39" customFormat="1" x14ac:dyDescent="0.2">
      <c r="A43" s="39" t="s">
        <v>448</v>
      </c>
      <c r="AB43" s="40"/>
      <c r="AC43" s="40"/>
      <c r="AD43" s="40"/>
      <c r="AE43" s="40"/>
      <c r="AJ43" s="39">
        <f>+IF(AI40&lt;0,1-AJ40/AI40,AJ40/AI40-1)</f>
        <v>-4.3925785091457614E-2</v>
      </c>
      <c r="AK43" s="39">
        <f t="shared" ref="AK43" si="269">+IF(AJ40&lt;0,1-AK40/AJ40,AK40/AJ40-1)</f>
        <v>-0.3176438318590139</v>
      </c>
      <c r="AL43" s="39">
        <f t="shared" ref="AL43" si="270">+IF(AK40&lt;0,1-AL40/AK40,AL40/AK40-1)</f>
        <v>0.83880693009607277</v>
      </c>
      <c r="AM43" s="39">
        <f t="shared" ref="AM43" si="271">+IF(AL40&lt;0,1-AM40/AL40,AM40/AL40-1)</f>
        <v>-0.11079048618398046</v>
      </c>
      <c r="AN43" s="39">
        <f t="shared" ref="AN43" si="272">+IF(AM40&lt;0,1-AN40/AM40,AN40/AM40-1)</f>
        <v>-1.9102173271708045E-2</v>
      </c>
      <c r="AO43" s="39">
        <f t="shared" ref="AO43" si="273">+IF(AN40&lt;0,1-AO40/AN40,AO40/AN40-1)</f>
        <v>0.30915561793528634</v>
      </c>
      <c r="AP43" s="39">
        <f t="shared" ref="AP43" si="274">+IF(AO40&lt;0,1-AP40/AO40,AP40/AO40-1)</f>
        <v>-5.9099437148217415E-2</v>
      </c>
      <c r="AQ43" s="39">
        <f t="shared" ref="AQ43" si="275">+IF(AP40&lt;0,1-AQ40/AP40,AQ40/AP40-1)</f>
        <v>-0.14921561845077025</v>
      </c>
      <c r="AR43" s="39">
        <f t="shared" ref="AR43" si="276">+IF(AQ40&lt;0,1-AR40/AQ40,AR40/AQ40-1)</f>
        <v>-1.6741004699438733E-4</v>
      </c>
      <c r="AS43" s="39">
        <f t="shared" ref="AS43" si="277">+IF(AR40&lt;0,1-AS40/AR40,AS40/AR40-1)</f>
        <v>0.29144989415521527</v>
      </c>
      <c r="AT43" s="39">
        <f t="shared" ref="AT43" si="278">+IF(AS40&lt;0,1-AT40/AS40,AT40/AS40-1)</f>
        <v>-8.0096682780463668E-2</v>
      </c>
      <c r="AU43" s="39">
        <f t="shared" ref="AU43" si="279">+IF(AT40&lt;0,1-AU40/AT40,AU40/AT40-1)</f>
        <v>-7.8121067520360743E-2</v>
      </c>
      <c r="AV43" s="39">
        <f t="shared" ref="AV43" si="280">+IF(AU40&lt;0,1-AV40/AU40,AV40/AU40-1)</f>
        <v>-0.11383267993840984</v>
      </c>
      <c r="AW43" s="39">
        <f t="shared" ref="AW43" si="281">+IF(AV40&lt;0,1-AW40/AV40,AW40/AV40-1)</f>
        <v>0.30097721475310846</v>
      </c>
      <c r="AX43" s="39">
        <f t="shared" ref="AX43" si="282">+IF(AW40&lt;0,1-AX40/AW40,AX40/AW40-1)</f>
        <v>4.0938497532513107E-2</v>
      </c>
      <c r="AY43" s="39">
        <f t="shared" ref="AY43" si="283">+IF(AX40&lt;0,1-AY40/AX40,AY40/AX40-1)</f>
        <v>-0.21662496018927158</v>
      </c>
      <c r="AZ43" s="39">
        <f t="shared" ref="AZ43" si="284">+IF(AY40&lt;0,1-AZ40/AY40,AZ40/AY40-1)</f>
        <v>-6.517673570374849E-2</v>
      </c>
      <c r="BA43" s="39">
        <f t="shared" ref="BA43" si="285">+IF(AZ40&lt;0,1-BA40/AZ40,BA40/AZ40-1)</f>
        <v>0.28084693953627071</v>
      </c>
      <c r="BB43" s="39">
        <f t="shared" ref="BB43" si="286">+IF(BA40&lt;0,1-BB40/BA40,BB40/BA40-1)</f>
        <v>-7.0828482731858711E-2</v>
      </c>
      <c r="BC43" s="39">
        <f t="shared" ref="BC43" si="287">+IF(BB40&lt;0,1-BC40/BB40,BC40/BB40-1)</f>
        <v>-0.13625116152810113</v>
      </c>
      <c r="BD43" s="39">
        <f t="shared" ref="BD43" si="288">+IF(BC40&lt;0,1-BD40/BC40,BD40/BC40-1)</f>
        <v>-7.0773247591533806E-2</v>
      </c>
      <c r="BE43" s="39">
        <f t="shared" ref="BE43" si="289">+IF(BD40&lt;0,1-BE40/BD40,BE40/BD40-1)</f>
        <v>0.41246715404428014</v>
      </c>
      <c r="BF43" s="39">
        <f t="shared" ref="BF43" si="290">+IF(BE40&lt;0,1-BF40/BE40,BF40/BE40-1)</f>
        <v>-3.7354257611758812E-2</v>
      </c>
      <c r="BG43" s="39">
        <f t="shared" ref="BG43" si="291">+IF(BF40&lt;0,1-BG40/BF40,BG40/BF40-1)</f>
        <v>-0.14894858695444191</v>
      </c>
      <c r="BH43" s="39">
        <f t="shared" ref="BH43" si="292">+IF(BG40&lt;0,1-BH40/BG40,BH40/BG40-1)</f>
        <v>-1.4040491473408689E-2</v>
      </c>
      <c r="BI43" s="39">
        <f t="shared" ref="BI43" si="293">+IF(BH40&lt;0,1-BI40/BH40,BI40/BH40-1)</f>
        <v>0.37350070689104786</v>
      </c>
      <c r="BJ43" s="39">
        <f t="shared" ref="BJ43" si="294">+IF(BI40&lt;0,1-BJ40/BI40,BJ40/BI40-1)</f>
        <v>-5.648019789651948E-2</v>
      </c>
      <c r="BK43" s="39">
        <f t="shared" ref="BK43" si="295">+IF(BJ40&lt;0,1-BK40/BJ40,BK40/BJ40-1)</f>
        <v>-0.17733123355885383</v>
      </c>
      <c r="BL43" s="39">
        <f t="shared" ref="BL43" si="296">+IF(BK40&lt;0,1-BL40/BK40,BL40/BK40-1)</f>
        <v>-1.3271733666998076E-2</v>
      </c>
      <c r="BM43" s="39">
        <f t="shared" ref="BM43" si="297">+IF(BL40&lt;0,1-BM40/BL40,BM40/BL40-1)</f>
        <v>0.36078295363405788</v>
      </c>
      <c r="BN43" s="39">
        <f t="shared" ref="BN43" si="298">+IF(BM40&lt;0,1-BN40/BM40,BN40/BM40-1)</f>
        <v>-0.22000892046450127</v>
      </c>
      <c r="BO43" s="39">
        <f t="shared" ref="BO43" si="299">+IF(BN40&lt;0,1-BO40/BN40,BO40/BN40-1)</f>
        <v>-0.86271966997171479</v>
      </c>
      <c r="BP43" s="39">
        <f t="shared" ref="BP43" si="300">+IF(BO40&lt;0,1-BP40/BO40,BP40/BO40-1)</f>
        <v>0.74687592978280248</v>
      </c>
      <c r="BQ43" s="39">
        <f t="shared" ref="BQ43" si="301">+IF(BP40&lt;0,1-BQ40/BP40,BQ40/BP40-1)</f>
        <v>1.1456248669363425</v>
      </c>
      <c r="BR43" s="39">
        <f t="shared" ref="BR43" si="302">+IF(BQ40&lt;0,1-BR40/BQ40,BR40/BQ40-1)</f>
        <v>0.10766025004961288</v>
      </c>
      <c r="BS43" s="39">
        <f t="shared" ref="BS43" si="303">+IF(BR40&lt;0,1-BS40/BR40,BS40/BR40-1)</f>
        <v>-0.43298396488399171</v>
      </c>
      <c r="BT43" s="39">
        <f t="shared" ref="BT43" si="304">+IF(BS40&lt;0,1-BT40/BS40,BT40/BS40-1)</f>
        <v>1.1031028816986854</v>
      </c>
      <c r="BU43" s="39">
        <f t="shared" ref="BU43" si="305">+IF(BT40&lt;0,1-BU40/BT40,BU40/BT40-1)</f>
        <v>0.5232500488288585</v>
      </c>
      <c r="BV43" s="39">
        <f t="shared" ref="BV43" si="306">+IF(BU40&lt;0,1-BV40/BU40,BV40/BU40-1)</f>
        <v>-0.20791825301323652</v>
      </c>
      <c r="BW43" s="39">
        <f t="shared" ref="BW43" si="307">+IF(BV40&lt;0,1-BW40/BV40,BW40/BV40-1)</f>
        <v>0.44713969068313664</v>
      </c>
      <c r="BX43" s="39">
        <f t="shared" ref="BX43" si="308">+IF(BW40&lt;0,1-BX40/BW40,BX40/BW40-1)</f>
        <v>-2.7948439946994363E-2</v>
      </c>
      <c r="BY43" s="39">
        <f t="shared" ref="BY43" si="309">+IF(BX40&lt;0,1-BY40/BX40,BY40/BX40-1)</f>
        <v>0.36796027123205222</v>
      </c>
      <c r="BZ43" s="39">
        <f t="shared" ref="BZ43" si="310">+IF(BY40&lt;0,1-BZ40/BY40,BZ40/BY40-1)</f>
        <v>-2.940472261588134E-2</v>
      </c>
      <c r="CA43" s="39">
        <f t="shared" ref="CA43" si="311">+IF(BZ40&lt;0,1-CA40/BZ40,CA40/BZ40-1)</f>
        <v>-9.9320616845235521E-2</v>
      </c>
      <c r="CB43" s="39">
        <f t="shared" ref="CB43" si="312">+IF(CA40&lt;0,1-CB40/CA40,CB40/CA40-1)</f>
        <v>-2.2258905042489396E-2</v>
      </c>
      <c r="CC43" s="39">
        <f t="shared" ref="CC43" si="313">+IF(CB40&lt;0,1-CC40/CB40,CC40/CB40-1)</f>
        <v>0.37082181928303726</v>
      </c>
      <c r="CD43" s="39">
        <f t="shared" ref="CD43" si="314">+IF(CC40&lt;0,1-CD40/CC40,CD40/CC40-1)</f>
        <v>-2.4935796537155053E-2</v>
      </c>
      <c r="CE43" s="39">
        <f t="shared" ref="CE43" si="315">+IF(CD40&lt;0,1-CE40/CD40,CE40/CD40-1)</f>
        <v>-0.18667233078448031</v>
      </c>
      <c r="CF43" s="39">
        <f t="shared" ref="CF43" si="316">+IF(CE40&lt;0,1-CF40/CE40,CF40/CE40-1)</f>
        <v>0.15054355017305854</v>
      </c>
      <c r="CG43" s="39">
        <f t="shared" ref="CG43" si="317">+IF(CF40&lt;0,1-CG40/CF40,CG40/CF40-1)</f>
        <v>0.3816052297076451</v>
      </c>
      <c r="CH43" s="39">
        <f t="shared" ref="CH43:CL43" si="318">+IF(CG40&lt;0,1-CH40/CG40,CH40/CG40-1)</f>
        <v>-4.0454754550831362E-2</v>
      </c>
      <c r="CI43" s="39">
        <f t="shared" si="318"/>
        <v>-0.16312591030083878</v>
      </c>
      <c r="CJ43" s="39">
        <f t="shared" si="318"/>
        <v>-1.4184938868355701E-4</v>
      </c>
      <c r="CK43" s="39">
        <f t="shared" si="318"/>
        <v>0.39963004796280832</v>
      </c>
      <c r="CL43" s="39">
        <f t="shared" si="318"/>
        <v>-2.2373745643376686E-2</v>
      </c>
      <c r="CM43" s="40">
        <f t="shared" ref="CM43" si="319">+CM40/CL40-1</f>
        <v>-3.0374771639684495E-2</v>
      </c>
      <c r="CN43" s="40">
        <f t="shared" ref="CN43" si="320">+CN40/CM40-1</f>
        <v>5.9103569136893519E-3</v>
      </c>
      <c r="CO43" s="40">
        <f t="shared" ref="CO43" si="321">+CO40/CN40-1</f>
        <v>1.7874810425468679E-2</v>
      </c>
      <c r="CP43" s="40">
        <f t="shared" ref="CP43" si="322">+CP40/CO40-1</f>
        <v>-1.3049667183451907E-2</v>
      </c>
      <c r="CQ43" s="40">
        <f t="shared" ref="CQ43" si="323">+CQ40/CP40-1</f>
        <v>4.4809848786848683E-2</v>
      </c>
      <c r="CR43" s="40">
        <f t="shared" ref="CR43" si="324">+CR40/CQ40-1</f>
        <v>1.283853167450566E-2</v>
      </c>
      <c r="CS43" s="40">
        <f t="shared" ref="CS43" si="325">+CS40/CR40-1</f>
        <v>1.4643797239318523E-2</v>
      </c>
      <c r="CT43" s="40">
        <f t="shared" ref="CT43" si="326">+CT40/CS40-1</f>
        <v>1.3859755799139117E-2</v>
      </c>
      <c r="CU43" s="40">
        <f t="shared" ref="CU43" si="327">+CU40/CT40-1</f>
        <v>2.0693589373038224E-2</v>
      </c>
      <c r="CV43" s="40">
        <f t="shared" ref="CV43" si="328">+CV40/CU40-1</f>
        <v>1.4819581353023192E-2</v>
      </c>
      <c r="CW43" s="40">
        <f t="shared" ref="CW43" si="329">+CW40/CV40-1</f>
        <v>1.5341091094994264E-2</v>
      </c>
      <c r="CX43" s="40">
        <f t="shared" ref="CX43" si="330">+CX40/CW40-1</f>
        <v>1.5536880830544719E-2</v>
      </c>
      <c r="CY43" s="40">
        <f t="shared" ref="CY43" si="331">+CY40/CX40-1</f>
        <v>1.5975391242739612E-2</v>
      </c>
      <c r="CZ43" s="40">
        <f t="shared" ref="CZ43" si="332">+CZ40/CY40-1</f>
        <v>1.4818819058680655E-2</v>
      </c>
      <c r="DA43" s="40">
        <f t="shared" ref="DA43" si="333">+DA40/CZ40-1</f>
        <v>1.483687112247134E-2</v>
      </c>
      <c r="DB43" s="40">
        <f t="shared" ref="DB43" si="334">+DB40/DA40-1</f>
        <v>1.4728052557790416E-2</v>
      </c>
      <c r="DE43" s="122"/>
      <c r="DF43" s="39">
        <v>-5.98588901167596E-3</v>
      </c>
    </row>
    <row r="44" spans="1:110" s="23" customFormat="1" outlineLevel="1" x14ac:dyDescent="0.2">
      <c r="A44" s="23" t="s">
        <v>8</v>
      </c>
      <c r="B44" s="23">
        <f>'Annual Raw'!C14</f>
        <v>132.22</v>
      </c>
      <c r="C44" s="23">
        <f>'Annual Raw'!D14</f>
        <v>207.99</v>
      </c>
      <c r="D44" s="23">
        <f>'Annual Raw'!E14</f>
        <v>225.62</v>
      </c>
      <c r="E44" s="23">
        <f>'Annual Raw'!F14</f>
        <v>263.55</v>
      </c>
      <c r="F44" s="23">
        <f>'Annual Raw'!G14</f>
        <v>336.14</v>
      </c>
      <c r="G44" s="23">
        <f>'Annual Raw'!H14</f>
        <v>479.73</v>
      </c>
      <c r="H44" s="23">
        <f>'Annual Raw'!I14</f>
        <v>647.42999999999995</v>
      </c>
      <c r="I44" s="23">
        <f>'Annual Raw'!J14</f>
        <v>759.28</v>
      </c>
      <c r="J44" s="23">
        <f>'Annual Raw'!K14</f>
        <v>847.94</v>
      </c>
      <c r="K44" s="23">
        <f>'Annual Raw'!L14</f>
        <v>835.38</v>
      </c>
      <c r="L44" s="23">
        <f>'Annual Raw'!M14</f>
        <v>962.98</v>
      </c>
      <c r="M44" s="23">
        <f>'Annual Raw'!N14</f>
        <v>1148.77</v>
      </c>
      <c r="N44" s="23">
        <f>'Annual Raw'!O14</f>
        <v>1271.75</v>
      </c>
      <c r="O44" s="23">
        <f>'Annual Raw'!P14</f>
        <v>1372.19</v>
      </c>
      <c r="P44" s="23">
        <f>'Annual Raw'!Q14</f>
        <v>1462.46</v>
      </c>
      <c r="Q44" s="23">
        <f>'Annual Raw'!R14</f>
        <v>1423.26</v>
      </c>
      <c r="R44" s="23">
        <f>'Annual Raw'!S14</f>
        <v>1364.65</v>
      </c>
      <c r="S44" s="23">
        <f>'Annual Raw'!T14</f>
        <v>1346.62</v>
      </c>
      <c r="T44" s="23">
        <f>'Annual Raw'!U14</f>
        <v>1470.79</v>
      </c>
      <c r="U44" s="23">
        <f>'Annual Raw'!V14</f>
        <v>1494.6</v>
      </c>
      <c r="V44" s="23">
        <f>'Annual Raw'!W14</f>
        <v>894.01</v>
      </c>
      <c r="W44" s="23">
        <f>'Annual Raw'!X14</f>
        <v>1150.24</v>
      </c>
      <c r="X44" s="23">
        <f>'Annual Raw'!Y14</f>
        <v>1582.25</v>
      </c>
      <c r="Y44" s="23">
        <f>'Annual Raw'!Z14</f>
        <v>1805.21</v>
      </c>
      <c r="Z44" s="23">
        <f>'Annual Raw'!AA14</f>
        <v>2150.6799999999998</v>
      </c>
      <c r="AA44" s="23">
        <f>'Annual Raw'!AB14</f>
        <v>2486.65</v>
      </c>
      <c r="AB44" s="76">
        <f t="shared" ref="AB44:AB49" si="335">+SUM(CM44:CP44)</f>
        <v>2660.7155000000002</v>
      </c>
      <c r="AC44" s="76">
        <f t="shared" ref="AC44:AC49" si="336">+SUM(CQ44:CT44)</f>
        <v>2846.9655850000004</v>
      </c>
      <c r="AD44" s="76">
        <f t="shared" ref="AD44:AD49" si="337">+SUM(CU44:CX44)</f>
        <v>3046.2531759500007</v>
      </c>
      <c r="AE44" s="76">
        <f t="shared" ref="AE44:AE49" si="338">+SUM(CY44:DB44)</f>
        <v>3259.4908982665006</v>
      </c>
      <c r="AI44" s="23">
        <f>'QTR Raw'!C16</f>
        <v>311.61</v>
      </c>
      <c r="AJ44" s="23">
        <f>'QTR Raw'!D16</f>
        <v>317.44</v>
      </c>
      <c r="AK44" s="23">
        <f>'QTR Raw'!E16</f>
        <v>112.27</v>
      </c>
      <c r="AL44" s="23">
        <f>'QTR Raw'!F16</f>
        <v>325.52999999999997</v>
      </c>
      <c r="AM44" s="23">
        <f>'QTR Raw'!G16</f>
        <v>329.04</v>
      </c>
      <c r="AN44" s="23">
        <f>'QTR Raw'!H16</f>
        <v>336.06</v>
      </c>
      <c r="AO44" s="23">
        <f>'QTR Raw'!I16</f>
        <v>354.38</v>
      </c>
      <c r="AP44" s="23">
        <f>'QTR Raw'!J16</f>
        <v>352.71</v>
      </c>
      <c r="AQ44" s="23">
        <f>'QTR Raw'!K16</f>
        <v>351.97</v>
      </c>
      <c r="AR44" s="23">
        <f>'QTR Raw'!L16</f>
        <v>358.04</v>
      </c>
      <c r="AS44" s="23">
        <f>'QTR Raw'!M16</f>
        <v>383.35</v>
      </c>
      <c r="AT44" s="23">
        <f>'QTR Raw'!N16</f>
        <v>369.1</v>
      </c>
      <c r="AU44" s="23">
        <f>'QTR Raw'!O16</f>
        <v>381.48</v>
      </c>
      <c r="AV44" s="23">
        <f>'QTR Raw'!P16</f>
        <v>353.67</v>
      </c>
      <c r="AW44" s="23">
        <f>'QTR Raw'!Q16</f>
        <v>365.51</v>
      </c>
      <c r="AX44" s="23">
        <f>'QTR Raw'!R16</f>
        <v>413.3</v>
      </c>
      <c r="AY44" s="23">
        <f>'QTR Raw'!S16</f>
        <v>363.04</v>
      </c>
      <c r="AZ44" s="23">
        <f>'QTR Raw'!T16</f>
        <v>333.95</v>
      </c>
      <c r="BA44" s="23">
        <f>'QTR Raw'!U16</f>
        <v>339.92</v>
      </c>
      <c r="BB44" s="23">
        <f>'QTR Raw'!V16</f>
        <v>327.74</v>
      </c>
      <c r="BC44" s="23">
        <f>'QTR Raw'!W16</f>
        <v>339.59</v>
      </c>
      <c r="BD44" s="23">
        <f>'QTR Raw'!X16</f>
        <v>326.45</v>
      </c>
      <c r="BE44" s="23">
        <f>'QTR Raw'!Y16</f>
        <v>346.17</v>
      </c>
      <c r="BF44" s="23">
        <f>'QTR Raw'!Z16</f>
        <v>334.41</v>
      </c>
      <c r="BG44" s="23">
        <f>'QTR Raw'!AA16</f>
        <v>358.84</v>
      </c>
      <c r="BH44" s="23">
        <f>'QTR Raw'!AB16</f>
        <v>348.73</v>
      </c>
      <c r="BI44" s="23">
        <f>'QTR Raw'!AC16</f>
        <v>384.49</v>
      </c>
      <c r="BJ44" s="23">
        <f>'QTR Raw'!AD16</f>
        <v>378.73</v>
      </c>
      <c r="BK44" s="23">
        <f>'QTR Raw'!AE16</f>
        <v>370.62</v>
      </c>
      <c r="BL44" s="23">
        <f>'QTR Raw'!AF16</f>
        <v>365.18</v>
      </c>
      <c r="BM44" s="23">
        <f>'QTR Raw'!AG16</f>
        <v>390.29</v>
      </c>
      <c r="BN44" s="23">
        <f>'QTR Raw'!AH16</f>
        <v>368.51</v>
      </c>
      <c r="BO44" s="23">
        <f>'QTR Raw'!AI16</f>
        <v>239.78</v>
      </c>
      <c r="BP44" s="23">
        <f>'QTR Raw'!AJ16</f>
        <v>204.32</v>
      </c>
      <c r="BQ44" s="23">
        <f>'QTR Raw'!AK16</f>
        <v>241.96</v>
      </c>
      <c r="BR44" s="23">
        <f>'QTR Raw'!AL16</f>
        <v>207.95</v>
      </c>
      <c r="BS44" s="23">
        <f>'QTR Raw'!AM16</f>
        <v>248.61</v>
      </c>
      <c r="BT44" s="23">
        <f>'QTR Raw'!AN16</f>
        <v>278.8</v>
      </c>
      <c r="BU44" s="23">
        <f>'QTR Raw'!AO16</f>
        <v>312.61</v>
      </c>
      <c r="BV44" s="23">
        <f>'QTR Raw'!AP16</f>
        <v>310.22000000000003</v>
      </c>
      <c r="BW44" s="23">
        <f>'QTR Raw'!AQ16</f>
        <v>359.6</v>
      </c>
      <c r="BX44" s="23">
        <f>'QTR Raw'!AR16</f>
        <v>376.4</v>
      </c>
      <c r="BY44" s="23">
        <f>'QTR Raw'!AS16</f>
        <v>424.44</v>
      </c>
      <c r="BZ44" s="23">
        <f>'QTR Raw'!AT16</f>
        <v>421.81</v>
      </c>
      <c r="CA44" s="23">
        <f>'QTR Raw'!AU16</f>
        <v>428.67</v>
      </c>
      <c r="CB44" s="23">
        <f>'QTR Raw'!AV16</f>
        <v>440.54</v>
      </c>
      <c r="CC44" s="23">
        <f>'QTR Raw'!AW16</f>
        <v>468.64</v>
      </c>
      <c r="CD44" s="23">
        <f>'QTR Raw'!AX16</f>
        <v>467.36</v>
      </c>
      <c r="CE44" s="23">
        <f>'QTR Raw'!AY16</f>
        <v>460.47</v>
      </c>
      <c r="CF44" s="23">
        <f>'QTR Raw'!AZ16</f>
        <v>522.52</v>
      </c>
      <c r="CG44" s="23">
        <f>'QTR Raw'!BA16</f>
        <v>579.45000000000005</v>
      </c>
      <c r="CH44" s="23">
        <f>'QTR Raw'!BB16</f>
        <v>588.24</v>
      </c>
      <c r="CI44" s="23">
        <f>'QTR Raw'!BC16</f>
        <v>597.63</v>
      </c>
      <c r="CJ44" s="23">
        <f>'QTR Raw'!BD16</f>
        <v>591.05999999999995</v>
      </c>
      <c r="CK44" s="23">
        <f>'QTR Raw'!BE16</f>
        <v>641.5</v>
      </c>
      <c r="CL44" s="23">
        <f>'QTR Raw'!BF16</f>
        <v>656.46</v>
      </c>
      <c r="CM44" s="24">
        <f t="shared" ref="CM44:DB44" si="339">CI44*107%</f>
        <v>639.46410000000003</v>
      </c>
      <c r="CN44" s="24">
        <f t="shared" si="339"/>
        <v>632.43420000000003</v>
      </c>
      <c r="CO44" s="24">
        <f t="shared" si="339"/>
        <v>686.40500000000009</v>
      </c>
      <c r="CP44" s="24">
        <f t="shared" si="339"/>
        <v>702.4122000000001</v>
      </c>
      <c r="CQ44" s="24">
        <f t="shared" si="339"/>
        <v>684.22658700000011</v>
      </c>
      <c r="CR44" s="24">
        <f t="shared" si="339"/>
        <v>676.70459400000004</v>
      </c>
      <c r="CS44" s="24">
        <f t="shared" si="339"/>
        <v>734.45335000000011</v>
      </c>
      <c r="CT44" s="24">
        <f t="shared" si="339"/>
        <v>751.58105400000011</v>
      </c>
      <c r="CU44" s="24">
        <f t="shared" si="339"/>
        <v>732.12244809000015</v>
      </c>
      <c r="CV44" s="24">
        <f t="shared" si="339"/>
        <v>724.07391558000006</v>
      </c>
      <c r="CW44" s="24">
        <f t="shared" si="339"/>
        <v>785.86508450000019</v>
      </c>
      <c r="CX44" s="24">
        <f t="shared" si="339"/>
        <v>804.19172778000018</v>
      </c>
      <c r="CY44" s="24">
        <f t="shared" si="339"/>
        <v>783.37101945630025</v>
      </c>
      <c r="CZ44" s="24">
        <f t="shared" si="339"/>
        <v>774.75908967060013</v>
      </c>
      <c r="DA44" s="24">
        <f t="shared" si="339"/>
        <v>840.87564041500025</v>
      </c>
      <c r="DB44" s="24">
        <f t="shared" si="339"/>
        <v>860.48514872460021</v>
      </c>
      <c r="DE44" s="123"/>
      <c r="DF44" s="23">
        <v>629.41680000000008</v>
      </c>
    </row>
    <row r="45" spans="1:110" s="23" customFormat="1" outlineLevel="1" x14ac:dyDescent="0.2">
      <c r="A45" s="23" t="s">
        <v>10</v>
      </c>
      <c r="B45" s="23">
        <f>'Annual Raw'!C17</f>
        <v>147.07</v>
      </c>
      <c r="C45" s="23">
        <f>'Annual Raw'!D17</f>
        <v>191.86</v>
      </c>
      <c r="D45" s="23">
        <f>'Annual Raw'!E17</f>
        <v>220.88</v>
      </c>
      <c r="E45" s="23">
        <f>'Annual Raw'!F17</f>
        <v>274.85000000000002</v>
      </c>
      <c r="F45" s="23">
        <f>'Annual Raw'!G17</f>
        <v>284.36</v>
      </c>
      <c r="G45" s="23">
        <f>'Annual Raw'!H17</f>
        <v>349.54</v>
      </c>
      <c r="H45" s="23">
        <f>'Annual Raw'!I17</f>
        <v>416.84</v>
      </c>
      <c r="I45" s="23">
        <f>'Annual Raw'!J17</f>
        <v>456.05</v>
      </c>
      <c r="J45" s="23">
        <f>'Annual Raw'!K17</f>
        <v>454.21</v>
      </c>
      <c r="K45" s="23">
        <f>'Annual Raw'!L17</f>
        <v>470.26</v>
      </c>
      <c r="L45" s="23">
        <f>'Annual Raw'!M17</f>
        <v>491.78</v>
      </c>
      <c r="M45" s="23">
        <f>'Annual Raw'!N17</f>
        <v>546.59</v>
      </c>
      <c r="N45" s="23">
        <f>'Annual Raw'!O17</f>
        <v>577</v>
      </c>
      <c r="O45" s="23">
        <f>'Annual Raw'!P17</f>
        <v>638.64</v>
      </c>
      <c r="P45" s="23">
        <f>'Annual Raw'!Q17</f>
        <v>684.38</v>
      </c>
      <c r="Q45" s="23">
        <f>'Annual Raw'!R17</f>
        <v>668.8</v>
      </c>
      <c r="R45" s="23">
        <f>'Annual Raw'!S17</f>
        <v>674.82</v>
      </c>
      <c r="S45" s="23">
        <f>'Annual Raw'!T17</f>
        <v>674.41</v>
      </c>
      <c r="T45" s="23">
        <f>'Annual Raw'!U17</f>
        <v>703.97</v>
      </c>
      <c r="U45" s="23">
        <f>'Annual Raw'!V17</f>
        <v>559.39</v>
      </c>
      <c r="V45" s="23">
        <f>'Annual Raw'!W17</f>
        <v>355.34</v>
      </c>
      <c r="W45" s="23">
        <f>'Annual Raw'!X17</f>
        <v>447.88</v>
      </c>
      <c r="X45" s="23">
        <f>'Annual Raw'!Y17</f>
        <v>671.67</v>
      </c>
      <c r="Y45" s="23">
        <f>'Annual Raw'!Z17</f>
        <v>806.51</v>
      </c>
      <c r="Z45" s="23">
        <f>'Annual Raw'!AA17</f>
        <v>952.74</v>
      </c>
      <c r="AA45" s="23">
        <f>'Annual Raw'!AB17</f>
        <v>1168.29</v>
      </c>
      <c r="AB45" s="76">
        <f t="shared" si="335"/>
        <v>0</v>
      </c>
      <c r="AC45" s="76">
        <f t="shared" si="336"/>
        <v>0</v>
      </c>
      <c r="AD45" s="76">
        <f t="shared" si="337"/>
        <v>0</v>
      </c>
      <c r="AE45" s="76">
        <f t="shared" si="338"/>
        <v>0</v>
      </c>
      <c r="AI45" s="23">
        <f>'QTR Raw'!C17</f>
        <v>42.38</v>
      </c>
      <c r="AJ45" s="23">
        <f>'QTR Raw'!D17</f>
        <v>45.88</v>
      </c>
      <c r="AK45" s="23">
        <f>'QTR Raw'!E17</f>
        <v>40.83</v>
      </c>
      <c r="AL45" s="23">
        <f>'QTR Raw'!F17</f>
        <v>43.37</v>
      </c>
      <c r="AM45" s="23">
        <f>'QTR Raw'!G17</f>
        <v>45.47</v>
      </c>
      <c r="AN45" s="23">
        <f>'QTR Raw'!H17</f>
        <v>47.72</v>
      </c>
      <c r="AO45" s="23">
        <f>'QTR Raw'!I17</f>
        <v>57.68</v>
      </c>
      <c r="AP45" s="23">
        <f>'QTR Raw'!J17</f>
        <v>57.28</v>
      </c>
      <c r="AQ45" s="23">
        <f>'QTR Raw'!K17</f>
        <v>44.25</v>
      </c>
      <c r="AR45" s="23">
        <f>'QTR Raw'!L17</f>
        <v>47.76</v>
      </c>
      <c r="AS45" s="23">
        <f>'QTR Raw'!M17</f>
        <v>58.09</v>
      </c>
      <c r="AT45" s="23">
        <f>'QTR Raw'!N17</f>
        <v>59.51</v>
      </c>
      <c r="AU45" s="23">
        <f>'QTR Raw'!O17</f>
        <v>50.33</v>
      </c>
      <c r="AV45" s="23">
        <f>'QTR Raw'!P17</f>
        <v>54.43</v>
      </c>
      <c r="AW45" s="23">
        <f>'QTR Raw'!Q17</f>
        <v>67.91</v>
      </c>
      <c r="AX45" s="23">
        <f>'QTR Raw'!R17</f>
        <v>64.790000000000006</v>
      </c>
      <c r="AY45" s="23">
        <f>'QTR Raw'!S17</f>
        <v>0</v>
      </c>
      <c r="AZ45" s="23">
        <f>'QTR Raw'!T17</f>
        <v>0</v>
      </c>
      <c r="BA45" s="23">
        <f>'QTR Raw'!U17</f>
        <v>0</v>
      </c>
      <c r="BB45" s="23">
        <f>'QTR Raw'!V17</f>
        <v>0</v>
      </c>
      <c r="BC45" s="23">
        <f>'QTR Raw'!W17</f>
        <v>0</v>
      </c>
      <c r="BD45" s="23">
        <f>'QTR Raw'!X17</f>
        <v>0</v>
      </c>
      <c r="BE45" s="23">
        <f>'QTR Raw'!Y17</f>
        <v>0</v>
      </c>
      <c r="BF45" s="23">
        <f>'QTR Raw'!Z17</f>
        <v>0</v>
      </c>
      <c r="BG45" s="23">
        <f>'QTR Raw'!AA17</f>
        <v>0</v>
      </c>
      <c r="BH45" s="23">
        <f>'QTR Raw'!AB17</f>
        <v>0</v>
      </c>
      <c r="BI45" s="23">
        <f>'QTR Raw'!AC17</f>
        <v>0</v>
      </c>
      <c r="BJ45" s="23">
        <f>'QTR Raw'!AD17</f>
        <v>0</v>
      </c>
      <c r="BK45" s="23">
        <f>'QTR Raw'!AE17</f>
        <v>0</v>
      </c>
      <c r="BL45" s="23">
        <f>'QTR Raw'!AF17</f>
        <v>0</v>
      </c>
      <c r="BM45" s="23">
        <f>'QTR Raw'!AG17</f>
        <v>0</v>
      </c>
      <c r="BN45" s="23">
        <f>'QTR Raw'!AH17</f>
        <v>0</v>
      </c>
      <c r="BO45" s="23">
        <f>'QTR Raw'!AI17</f>
        <v>0</v>
      </c>
      <c r="BP45" s="23">
        <f>'QTR Raw'!AJ17</f>
        <v>0</v>
      </c>
      <c r="BQ45" s="23">
        <f>'QTR Raw'!AK17</f>
        <v>0</v>
      </c>
      <c r="BR45" s="23">
        <f>'QTR Raw'!AL17</f>
        <v>0</v>
      </c>
      <c r="BS45" s="23">
        <f>'QTR Raw'!AM17</f>
        <v>0</v>
      </c>
      <c r="BT45" s="23">
        <f>'QTR Raw'!AN17</f>
        <v>0</v>
      </c>
      <c r="BU45" s="23">
        <f>'QTR Raw'!AO17</f>
        <v>0</v>
      </c>
      <c r="BV45" s="23">
        <f>'QTR Raw'!AP17</f>
        <v>0</v>
      </c>
      <c r="BW45" s="23">
        <f>'QTR Raw'!AQ17</f>
        <v>0</v>
      </c>
      <c r="BX45" s="23">
        <f>'QTR Raw'!AR17</f>
        <v>0</v>
      </c>
      <c r="BY45" s="23">
        <f>'QTR Raw'!AS17</f>
        <v>0</v>
      </c>
      <c r="BZ45" s="23">
        <f>'QTR Raw'!AT17</f>
        <v>0</v>
      </c>
      <c r="CA45" s="23">
        <f>'QTR Raw'!AU17</f>
        <v>0</v>
      </c>
      <c r="CB45" s="23">
        <f>'QTR Raw'!AV17</f>
        <v>0</v>
      </c>
      <c r="CC45" s="23">
        <f>'QTR Raw'!AW17</f>
        <v>0</v>
      </c>
      <c r="CD45" s="23">
        <f>'QTR Raw'!AX17</f>
        <v>0</v>
      </c>
      <c r="CE45" s="23">
        <f>'QTR Raw'!AY17</f>
        <v>0</v>
      </c>
      <c r="CF45" s="23">
        <f>'QTR Raw'!AZ17</f>
        <v>0</v>
      </c>
      <c r="CG45" s="23">
        <f>'QTR Raw'!BA17</f>
        <v>0</v>
      </c>
      <c r="CH45" s="23">
        <f>'QTR Raw'!BB17</f>
        <v>0</v>
      </c>
      <c r="CI45" s="23">
        <f>'QTR Raw'!BC17</f>
        <v>0</v>
      </c>
      <c r="CJ45" s="23">
        <f>'QTR Raw'!BD17</f>
        <v>0</v>
      </c>
      <c r="CK45" s="23">
        <f>'QTR Raw'!BE17</f>
        <v>0</v>
      </c>
      <c r="CL45" s="23">
        <f>'QTR Raw'!BF17</f>
        <v>0</v>
      </c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E45" s="123"/>
      <c r="DF45" s="23">
        <v>0</v>
      </c>
    </row>
    <row r="46" spans="1:110" s="23" customFormat="1" outlineLevel="1" x14ac:dyDescent="0.2">
      <c r="A46" s="23" t="s">
        <v>12</v>
      </c>
      <c r="B46" s="23">
        <f>'Annual Raw'!C19-'Annual Raw'!C20</f>
        <v>3.3099999999999996</v>
      </c>
      <c r="C46" s="23">
        <f>'Annual Raw'!D19-'Annual Raw'!D20</f>
        <v>-4.5300000000000011</v>
      </c>
      <c r="D46" s="23">
        <f>'Annual Raw'!E19-'Annual Raw'!E20</f>
        <v>-6.9899999999999993</v>
      </c>
      <c r="E46" s="23">
        <f>'Annual Raw'!F19-'Annual Raw'!F20</f>
        <v>-13.85</v>
      </c>
      <c r="F46" s="23">
        <f>'Annual Raw'!G19-'Annual Raw'!G20</f>
        <v>3.33</v>
      </c>
      <c r="G46" s="23">
        <f>'Annual Raw'!H19-'Annual Raw'!H20</f>
        <v>-5.0599999999999996</v>
      </c>
      <c r="H46" s="23">
        <f>'Annual Raw'!I19-'Annual Raw'!I20</f>
        <v>-1.0399999999999991</v>
      </c>
      <c r="I46" s="23">
        <f>'Annual Raw'!J19-'Annual Raw'!J20</f>
        <v>-4.5399999999999991</v>
      </c>
      <c r="J46" s="23">
        <f>'Annual Raw'!K19-'Annual Raw'!K20</f>
        <v>28.84</v>
      </c>
      <c r="K46" s="23">
        <f>'Annual Raw'!L19-'Annual Raw'!L20</f>
        <v>-3.9000000000000004</v>
      </c>
      <c r="L46" s="23">
        <f>'Annual Raw'!M19-'Annual Raw'!M20</f>
        <v>8.23</v>
      </c>
      <c r="M46" s="23">
        <f>'Annual Raw'!N19-'Annual Raw'!N20</f>
        <v>10.36</v>
      </c>
      <c r="N46" s="23">
        <f>'Annual Raw'!O19-'Annual Raw'!O20</f>
        <v>13.47</v>
      </c>
      <c r="O46" s="23">
        <f>'Annual Raw'!P19-'Annual Raw'!P20</f>
        <v>6.95</v>
      </c>
      <c r="P46" s="23">
        <f>'Annual Raw'!Q19-'Annual Raw'!Q20</f>
        <v>16.46</v>
      </c>
      <c r="Q46" s="23">
        <f>'Annual Raw'!R19-'Annual Raw'!R20</f>
        <v>11.56</v>
      </c>
      <c r="R46" s="23">
        <f>'Annual Raw'!S19-'Annual Raw'!S20</f>
        <v>10.57</v>
      </c>
      <c r="S46" s="23">
        <f>'Annual Raw'!T19-'Annual Raw'!T20</f>
        <v>22.73</v>
      </c>
      <c r="T46" s="23">
        <f>'Annual Raw'!U19-'Annual Raw'!U20</f>
        <v>22.88</v>
      </c>
      <c r="U46" s="23">
        <f>'Annual Raw'!V19-'Annual Raw'!V20</f>
        <v>15.25</v>
      </c>
      <c r="V46" s="23">
        <f>'Annual Raw'!W19-'Annual Raw'!W20</f>
        <v>26.55</v>
      </c>
      <c r="W46" s="23">
        <f>'Annual Raw'!X19-'Annual Raw'!X20</f>
        <v>4.4800000000000004</v>
      </c>
      <c r="X46" s="23">
        <f>'Annual Raw'!Y19-'Annual Raw'!Y20</f>
        <v>0.94</v>
      </c>
      <c r="Y46" s="23">
        <f>'Annual Raw'!Z19-'Annual Raw'!Z20</f>
        <v>15.61</v>
      </c>
      <c r="Z46" s="23">
        <f>'Annual Raw'!AA19-'Annual Raw'!AA20</f>
        <v>27.33</v>
      </c>
      <c r="AA46" s="23">
        <f>'Annual Raw'!AB19-'Annual Raw'!AB20</f>
        <v>43.7</v>
      </c>
      <c r="AB46" s="76">
        <f t="shared" si="335"/>
        <v>0</v>
      </c>
      <c r="AC46" s="76">
        <f t="shared" si="336"/>
        <v>0</v>
      </c>
      <c r="AD46" s="76">
        <f t="shared" si="337"/>
        <v>0</v>
      </c>
      <c r="AE46" s="76">
        <f t="shared" si="338"/>
        <v>0</v>
      </c>
      <c r="AI46" s="23">
        <f>+'QTR Raw'!C21</f>
        <v>0</v>
      </c>
      <c r="AJ46" s="23">
        <f>+'QTR Raw'!D21</f>
        <v>0</v>
      </c>
      <c r="AK46" s="23">
        <f>+'QTR Raw'!E21</f>
        <v>0</v>
      </c>
      <c r="AL46" s="23">
        <f>+'QTR Raw'!F21</f>
        <v>0</v>
      </c>
      <c r="AM46" s="23">
        <f>+'QTR Raw'!G21</f>
        <v>0</v>
      </c>
      <c r="AN46" s="23">
        <f>+'QTR Raw'!H21</f>
        <v>0</v>
      </c>
      <c r="AO46" s="23">
        <f>+'QTR Raw'!I21</f>
        <v>0</v>
      </c>
      <c r="AP46" s="23">
        <f>+'QTR Raw'!J21</f>
        <v>0</v>
      </c>
      <c r="AQ46" s="23">
        <f>+'QTR Raw'!K21</f>
        <v>0</v>
      </c>
      <c r="AR46" s="23">
        <f>+'QTR Raw'!L21</f>
        <v>0</v>
      </c>
      <c r="AS46" s="23">
        <f>+'QTR Raw'!M21</f>
        <v>0</v>
      </c>
      <c r="AT46" s="23">
        <f>+'QTR Raw'!N21</f>
        <v>0</v>
      </c>
      <c r="AU46" s="23">
        <f>+'QTR Raw'!O21</f>
        <v>0</v>
      </c>
      <c r="AV46" s="23">
        <f>+'QTR Raw'!P21</f>
        <v>0</v>
      </c>
      <c r="AW46" s="23">
        <f>+'QTR Raw'!Q21</f>
        <v>0</v>
      </c>
      <c r="AX46" s="23">
        <f>+'QTR Raw'!R21</f>
        <v>0</v>
      </c>
      <c r="AY46" s="23">
        <f>+'QTR Raw'!S21</f>
        <v>0</v>
      </c>
      <c r="AZ46" s="23">
        <f>+'QTR Raw'!T21</f>
        <v>0</v>
      </c>
      <c r="BA46" s="23">
        <f>+'QTR Raw'!U21</f>
        <v>0</v>
      </c>
      <c r="BB46" s="23">
        <f>+'QTR Raw'!V21</f>
        <v>0</v>
      </c>
      <c r="BC46" s="23">
        <f>+'QTR Raw'!W21</f>
        <v>0</v>
      </c>
      <c r="BD46" s="23">
        <f>+'QTR Raw'!X21</f>
        <v>0</v>
      </c>
      <c r="BE46" s="23">
        <f>+'QTR Raw'!Y21</f>
        <v>0</v>
      </c>
      <c r="BF46" s="23">
        <f>+'QTR Raw'!Z21</f>
        <v>0</v>
      </c>
      <c r="BG46" s="23">
        <f>+'QTR Raw'!AA21</f>
        <v>0</v>
      </c>
      <c r="BH46" s="23">
        <f>+'QTR Raw'!AB21</f>
        <v>0</v>
      </c>
      <c r="BI46" s="23">
        <f>+'QTR Raw'!AC21</f>
        <v>0</v>
      </c>
      <c r="BJ46" s="23">
        <f>+'QTR Raw'!AD21</f>
        <v>0</v>
      </c>
      <c r="BK46" s="23">
        <f>+'QTR Raw'!AE21</f>
        <v>0</v>
      </c>
      <c r="BL46" s="23">
        <f>+'QTR Raw'!AF21</f>
        <v>0</v>
      </c>
      <c r="BM46" s="23">
        <f>+'QTR Raw'!AG21</f>
        <v>0</v>
      </c>
      <c r="BN46" s="23">
        <f>+'QTR Raw'!AH21</f>
        <v>0</v>
      </c>
      <c r="BO46" s="23">
        <f>+'QTR Raw'!AI21</f>
        <v>0</v>
      </c>
      <c r="BP46" s="23">
        <f>+'QTR Raw'!AJ21</f>
        <v>0</v>
      </c>
      <c r="BQ46" s="23">
        <f>+'QTR Raw'!AK21</f>
        <v>0</v>
      </c>
      <c r="BR46" s="23">
        <f>+'QTR Raw'!AL21</f>
        <v>0</v>
      </c>
      <c r="BS46" s="23">
        <f>+'QTR Raw'!AM21</f>
        <v>0</v>
      </c>
      <c r="BT46" s="23">
        <f>+'QTR Raw'!AN21</f>
        <v>0</v>
      </c>
      <c r="BU46" s="23">
        <f>+'QTR Raw'!AO21</f>
        <v>0</v>
      </c>
      <c r="BV46" s="23">
        <f>+'QTR Raw'!AP21</f>
        <v>0</v>
      </c>
      <c r="BW46" s="23">
        <f>+'QTR Raw'!AQ21</f>
        <v>0</v>
      </c>
      <c r="BX46" s="23">
        <f>+'QTR Raw'!AR21</f>
        <v>0</v>
      </c>
      <c r="BY46" s="23">
        <f>+'QTR Raw'!AS21</f>
        <v>0</v>
      </c>
      <c r="BZ46" s="23">
        <f>+'QTR Raw'!AT21</f>
        <v>0</v>
      </c>
      <c r="CA46" s="23">
        <f>+'QTR Raw'!AU21</f>
        <v>0</v>
      </c>
      <c r="CB46" s="23">
        <f>+'QTR Raw'!AV21</f>
        <v>0</v>
      </c>
      <c r="CC46" s="23">
        <f>+'QTR Raw'!AW21</f>
        <v>0</v>
      </c>
      <c r="CD46" s="23">
        <f>+'QTR Raw'!AX21</f>
        <v>0</v>
      </c>
      <c r="CE46" s="23">
        <f>+'QTR Raw'!AY21</f>
        <v>0</v>
      </c>
      <c r="CF46" s="23">
        <f>+'QTR Raw'!AZ21</f>
        <v>0</v>
      </c>
      <c r="CG46" s="23">
        <f>+'QTR Raw'!BA21</f>
        <v>0</v>
      </c>
      <c r="CH46" s="23">
        <f>+'QTR Raw'!BB21</f>
        <v>0</v>
      </c>
      <c r="CI46" s="23">
        <f>+'QTR Raw'!BC21</f>
        <v>0</v>
      </c>
      <c r="CJ46" s="23">
        <f>+'QTR Raw'!BD21</f>
        <v>0</v>
      </c>
      <c r="CK46" s="23">
        <f>+'QTR Raw'!BE21</f>
        <v>0</v>
      </c>
      <c r="CL46" s="23">
        <f>+'QTR Raw'!BF21</f>
        <v>0</v>
      </c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E46" s="123"/>
      <c r="DF46" s="23">
        <v>0</v>
      </c>
    </row>
    <row r="47" spans="1:110" s="23" customFormat="1" outlineLevel="1" x14ac:dyDescent="0.2">
      <c r="A47" s="23" t="s">
        <v>9</v>
      </c>
      <c r="B47" s="23">
        <f>'Annual Raw'!C15+'Annual Raw'!C16</f>
        <v>54.77</v>
      </c>
      <c r="C47" s="23">
        <f>'Annual Raw'!D15+'Annual Raw'!D16</f>
        <v>71.599999999999994</v>
      </c>
      <c r="D47" s="23">
        <f>'Annual Raw'!E15+'Annual Raw'!E16</f>
        <v>75.84</v>
      </c>
      <c r="E47" s="23">
        <f>'Annual Raw'!F15+'Annual Raw'!F16</f>
        <v>78.349999999999994</v>
      </c>
      <c r="F47" s="23">
        <f>'Annual Raw'!G15+'Annual Raw'!G16</f>
        <v>94.19</v>
      </c>
      <c r="G47" s="23">
        <f>'Annual Raw'!H15+'Annual Raw'!H16</f>
        <v>172.23</v>
      </c>
      <c r="H47" s="23">
        <f>'Annual Raw'!I15+'Annual Raw'!I16</f>
        <v>260.39999999999998</v>
      </c>
      <c r="I47" s="23">
        <f>'Annual Raw'!J15+'Annual Raw'!J16</f>
        <v>300.58999999999997</v>
      </c>
      <c r="J47" s="23">
        <f>'Annual Raw'!K15+'Annual Raw'!K16</f>
        <v>310.81</v>
      </c>
      <c r="K47" s="23">
        <f>'Annual Raw'!L15+'Annual Raw'!L16</f>
        <v>275.94</v>
      </c>
      <c r="L47" s="23">
        <f>'Annual Raw'!M15+'Annual Raw'!M16</f>
        <v>327.24</v>
      </c>
      <c r="M47" s="23">
        <f>'Annual Raw'!N15+'Annual Raw'!N16</f>
        <v>431.98</v>
      </c>
      <c r="N47" s="23">
        <f>'Annual Raw'!O15+'Annual Raw'!O16</f>
        <v>502.64</v>
      </c>
      <c r="O47" s="23">
        <f>'Annual Raw'!P15+'Annual Raw'!P16</f>
        <v>573</v>
      </c>
      <c r="P47" s="23">
        <f>'Annual Raw'!Q15+'Annual Raw'!Q16</f>
        <v>595.37</v>
      </c>
      <c r="Q47" s="23">
        <f>'Annual Raw'!R15+'Annual Raw'!R16</f>
        <v>561.85</v>
      </c>
      <c r="R47" s="23">
        <f>'Annual Raw'!S15+'Annual Raw'!S16</f>
        <v>578.55999999999995</v>
      </c>
      <c r="S47" s="23">
        <f>'Annual Raw'!T15+'Annual Raw'!T16</f>
        <v>585.84</v>
      </c>
      <c r="T47" s="23">
        <f>'Annual Raw'!U15+'Annual Raw'!U16</f>
        <v>647.62</v>
      </c>
      <c r="U47" s="23">
        <f>'Annual Raw'!V15+'Annual Raw'!V16</f>
        <v>633.01</v>
      </c>
      <c r="V47" s="23">
        <f>'Annual Raw'!W15+'Annual Raw'!W16</f>
        <v>301.62</v>
      </c>
      <c r="W47" s="23">
        <f>'Annual Raw'!X15+'Annual Raw'!X16</f>
        <v>473.26</v>
      </c>
      <c r="X47" s="23">
        <f>'Annual Raw'!Y15+'Annual Raw'!Y16</f>
        <v>809.76</v>
      </c>
      <c r="Y47" s="23">
        <f>'Annual Raw'!Z15+'Annual Raw'!Z16</f>
        <v>944.67</v>
      </c>
      <c r="Z47" s="23">
        <f>'Annual Raw'!AA15+'Annual Raw'!AA16</f>
        <v>1078.3800000000001</v>
      </c>
      <c r="AA47" s="23">
        <f>'Annual Raw'!AB15+'Annual Raw'!AB16</f>
        <v>1248.42</v>
      </c>
      <c r="AB47" s="76">
        <f t="shared" si="335"/>
        <v>3512.5898436437947</v>
      </c>
      <c r="AC47" s="76">
        <f t="shared" si="336"/>
        <v>3429.2758135172112</v>
      </c>
      <c r="AD47" s="76">
        <f t="shared" si="337"/>
        <v>3614.4786801389823</v>
      </c>
      <c r="AE47" s="76">
        <f t="shared" si="338"/>
        <v>3812.0513409897367</v>
      </c>
      <c r="AI47" s="23">
        <f>'QTR Raw'!C14</f>
        <v>238.08</v>
      </c>
      <c r="AJ47" s="23">
        <f>'QTR Raw'!D14</f>
        <v>253.26</v>
      </c>
      <c r="AK47" s="23">
        <f>'QTR Raw'!E14</f>
        <v>153.61000000000001</v>
      </c>
      <c r="AL47" s="23">
        <f>'QTR Raw'!F14</f>
        <v>284.92</v>
      </c>
      <c r="AM47" s="23">
        <f>'QTR Raw'!G14</f>
        <v>258.67</v>
      </c>
      <c r="AN47" s="23">
        <f>'QTR Raw'!H14</f>
        <v>296.62</v>
      </c>
      <c r="AO47" s="23">
        <f>'QTR Raw'!I14</f>
        <v>307.99</v>
      </c>
      <c r="AP47" s="23">
        <f>'QTR Raw'!J14</f>
        <v>324.77999999999997</v>
      </c>
      <c r="AQ47" s="23">
        <f>'QTR Raw'!K14</f>
        <v>278.17</v>
      </c>
      <c r="AR47" s="23">
        <f>'QTR Raw'!L14</f>
        <v>331.51</v>
      </c>
      <c r="AS47" s="23">
        <f>'QTR Raw'!M14</f>
        <v>322.37</v>
      </c>
      <c r="AT47" s="23">
        <f>'QTR Raw'!N14</f>
        <v>332.42</v>
      </c>
      <c r="AU47" s="23">
        <f>'QTR Raw'!O14</f>
        <v>293.45999999999998</v>
      </c>
      <c r="AV47" s="23">
        <f>'QTR Raw'!P14</f>
        <v>272.37</v>
      </c>
      <c r="AW47" s="23">
        <f>'QTR Raw'!Q14</f>
        <v>303.89999999999998</v>
      </c>
      <c r="AX47" s="23">
        <f>'QTR Raw'!R14</f>
        <v>363.48</v>
      </c>
      <c r="AY47" s="23">
        <f>'QTR Raw'!S14</f>
        <v>403.62</v>
      </c>
      <c r="AZ47" s="23">
        <f>'QTR Raw'!T14</f>
        <v>400.17</v>
      </c>
      <c r="BA47" s="23">
        <f>'QTR Raw'!U14</f>
        <v>423.84</v>
      </c>
      <c r="BB47" s="23">
        <f>'QTR Raw'!V14</f>
        <v>452.36</v>
      </c>
      <c r="BC47" s="23">
        <f>'QTR Raw'!W14</f>
        <v>397.11</v>
      </c>
      <c r="BD47" s="23">
        <f>'QTR Raw'!X14</f>
        <v>387.71</v>
      </c>
      <c r="BE47" s="23">
        <f>'QTR Raw'!Y14</f>
        <v>459.14</v>
      </c>
      <c r="BF47" s="23">
        <f>'QTR Raw'!Z14</f>
        <v>466.18</v>
      </c>
      <c r="BG47" s="23">
        <f>'QTR Raw'!AA14</f>
        <v>420.07</v>
      </c>
      <c r="BH47" s="23">
        <f>'QTR Raw'!AB14</f>
        <v>429.12</v>
      </c>
      <c r="BI47" s="23">
        <f>'QTR Raw'!AC14</f>
        <v>484.64</v>
      </c>
      <c r="BJ47" s="23">
        <f>'QTR Raw'!AD14</f>
        <v>473.6</v>
      </c>
      <c r="BK47" s="23">
        <f>'QTR Raw'!AE14</f>
        <v>391.01</v>
      </c>
      <c r="BL47" s="23">
        <f>'QTR Raw'!AF14</f>
        <v>397.02</v>
      </c>
      <c r="BM47" s="23">
        <f>'QTR Raw'!AG14</f>
        <v>439.53</v>
      </c>
      <c r="BN47" s="23">
        <f>'QTR Raw'!AH14</f>
        <v>402.89</v>
      </c>
      <c r="BO47" s="23">
        <f>'QTR Raw'!AI14</f>
        <v>160.65</v>
      </c>
      <c r="BP47" s="23">
        <f>'QTR Raw'!AJ14</f>
        <v>180.87</v>
      </c>
      <c r="BQ47" s="23">
        <f>'QTR Raw'!AK14</f>
        <v>278.68</v>
      </c>
      <c r="BR47" s="23">
        <f>'QTR Raw'!AL14</f>
        <v>278.89</v>
      </c>
      <c r="BS47" s="23">
        <f>'QTR Raw'!AM14</f>
        <v>216.69</v>
      </c>
      <c r="BT47" s="23">
        <f>'QTR Raw'!AN14</f>
        <v>313.95</v>
      </c>
      <c r="BU47" s="23">
        <f>'QTR Raw'!AO14</f>
        <v>379.5</v>
      </c>
      <c r="BV47" s="23">
        <f>'QTR Raw'!AP14</f>
        <v>333.86</v>
      </c>
      <c r="BW47" s="23">
        <f>'QTR Raw'!AQ14</f>
        <v>424.66</v>
      </c>
      <c r="BX47" s="23">
        <f>'QTR Raw'!AR14</f>
        <v>459.28</v>
      </c>
      <c r="BY47" s="23">
        <f>'QTR Raw'!AS14</f>
        <v>523.67999999999995</v>
      </c>
      <c r="BZ47" s="23">
        <f>'QTR Raw'!AT14</f>
        <v>542.59</v>
      </c>
      <c r="CA47" s="23">
        <f>'QTR Raw'!AU14</f>
        <v>512.08000000000004</v>
      </c>
      <c r="CB47" s="23">
        <f>'QTR Raw'!AV14</f>
        <v>525.53</v>
      </c>
      <c r="CC47" s="23">
        <f>'QTR Raw'!AW14</f>
        <v>609.63</v>
      </c>
      <c r="CD47" s="23">
        <f>'QTR Raw'!AX14</f>
        <v>638.34</v>
      </c>
      <c r="CE47" s="23">
        <f>'QTR Raw'!AY14</f>
        <v>525.86</v>
      </c>
      <c r="CF47" s="23">
        <f>'QTR Raw'!AZ14</f>
        <v>628.30999999999995</v>
      </c>
      <c r="CG47" s="23">
        <f>'QTR Raw'!BA14</f>
        <v>741.42</v>
      </c>
      <c r="CH47" s="23">
        <f>'QTR Raw'!BB14</f>
        <v>745.19</v>
      </c>
      <c r="CI47" s="23">
        <f>'QTR Raw'!BC14</f>
        <v>659.27</v>
      </c>
      <c r="CJ47" s="23">
        <f>'QTR Raw'!BD14</f>
        <v>671.49</v>
      </c>
      <c r="CK47" s="23">
        <f>'QTR Raw'!BE14</f>
        <v>847.74</v>
      </c>
      <c r="CL47" s="23">
        <f>'QTR Raw'!BF14</f>
        <v>878.53</v>
      </c>
      <c r="CM47" s="24">
        <f t="shared" ref="CM47:DB47" si="340">CM50-CM44-CM45-CM46-CM48-CM49</f>
        <v>920.79810495416893</v>
      </c>
      <c r="CN47" s="24">
        <f t="shared" si="340"/>
        <v>910.24152917468984</v>
      </c>
      <c r="CO47" s="24">
        <f t="shared" si="340"/>
        <v>847.84153210489592</v>
      </c>
      <c r="CP47" s="24">
        <f t="shared" si="340"/>
        <v>833.70867741003997</v>
      </c>
      <c r="CQ47" s="24">
        <f t="shared" si="340"/>
        <v>880.74677929336463</v>
      </c>
      <c r="CR47" s="24">
        <f t="shared" si="340"/>
        <v>888.14757186991869</v>
      </c>
      <c r="CS47" s="24">
        <f t="shared" si="340"/>
        <v>834.83405802822051</v>
      </c>
      <c r="CT47" s="24">
        <f t="shared" si="340"/>
        <v>825.54740432570713</v>
      </c>
      <c r="CU47" s="24">
        <f t="shared" si="340"/>
        <v>903.15424759355517</v>
      </c>
      <c r="CV47" s="24">
        <f t="shared" si="340"/>
        <v>928.07415075904612</v>
      </c>
      <c r="CW47" s="24">
        <f t="shared" si="340"/>
        <v>887.74861412345649</v>
      </c>
      <c r="CX47" s="24">
        <f t="shared" si="340"/>
        <v>895.50166766292421</v>
      </c>
      <c r="CY47" s="24">
        <f t="shared" si="340"/>
        <v>947.3467906959238</v>
      </c>
      <c r="CZ47" s="24">
        <f t="shared" si="340"/>
        <v>979.63551007570913</v>
      </c>
      <c r="DA47" s="24">
        <f t="shared" si="340"/>
        <v>939.03486753731102</v>
      </c>
      <c r="DB47" s="24">
        <f t="shared" si="340"/>
        <v>946.03417268079295</v>
      </c>
      <c r="DE47" s="123"/>
      <c r="DF47" s="23">
        <v>841.25378659519026</v>
      </c>
    </row>
    <row r="48" spans="1:110" s="23" customFormat="1" outlineLevel="1" x14ac:dyDescent="0.2">
      <c r="A48" s="23" t="s">
        <v>7</v>
      </c>
      <c r="B48" s="23">
        <f>'Annual Raw'!C13</f>
        <v>60.81</v>
      </c>
      <c r="C48" s="23">
        <f>'Annual Raw'!D13</f>
        <v>65.64</v>
      </c>
      <c r="D48" s="23">
        <f>'Annual Raw'!E13</f>
        <v>74.87</v>
      </c>
      <c r="E48" s="23">
        <f>'Annual Raw'!F13</f>
        <v>77.66</v>
      </c>
      <c r="F48" s="23">
        <f>'Annual Raw'!G13</f>
        <v>88.34</v>
      </c>
      <c r="G48" s="23">
        <f>'Annual Raw'!H13</f>
        <v>105.9</v>
      </c>
      <c r="H48" s="23">
        <f>'Annual Raw'!I13</f>
        <v>132.83000000000001</v>
      </c>
      <c r="I48" s="23">
        <f>'Annual Raw'!J13</f>
        <v>154.68</v>
      </c>
      <c r="J48" s="23">
        <f>'Annual Raw'!K13</f>
        <v>167.74</v>
      </c>
      <c r="K48" s="23">
        <f>'Annual Raw'!L13</f>
        <v>172.96</v>
      </c>
      <c r="L48" s="23">
        <f>'Annual Raw'!M13</f>
        <v>194.3</v>
      </c>
      <c r="M48" s="23">
        <f>'Annual Raw'!N13</f>
        <v>245.68</v>
      </c>
      <c r="N48" s="23">
        <f>'Annual Raw'!O13</f>
        <v>288.8</v>
      </c>
      <c r="O48" s="23">
        <f>'Annual Raw'!P13</f>
        <v>311.14999999999998</v>
      </c>
      <c r="P48" s="23">
        <f>'Annual Raw'!Q13</f>
        <v>320.43</v>
      </c>
      <c r="Q48" s="23">
        <f>'Annual Raw'!R13</f>
        <v>275.43</v>
      </c>
      <c r="R48" s="23">
        <f>'Annual Raw'!S13</f>
        <v>258.61</v>
      </c>
      <c r="S48" s="23">
        <f>'Annual Raw'!T13</f>
        <v>259.11</v>
      </c>
      <c r="T48" s="23">
        <f>'Annual Raw'!U13</f>
        <v>273.57</v>
      </c>
      <c r="U48" s="23">
        <f>'Annual Raw'!V13</f>
        <v>269.87</v>
      </c>
      <c r="V48" s="23">
        <f>'Annual Raw'!W13</f>
        <v>172.85</v>
      </c>
      <c r="W48" s="23">
        <f>'Annual Raw'!X13</f>
        <v>224.79</v>
      </c>
      <c r="X48" s="23">
        <f>'Annual Raw'!Y13</f>
        <v>303.08999999999997</v>
      </c>
      <c r="Y48" s="23">
        <f>'Annual Raw'!Z13</f>
        <v>308.99</v>
      </c>
      <c r="Z48" s="23">
        <f>'Annual Raw'!AA13</f>
        <v>360.66</v>
      </c>
      <c r="AA48" s="23">
        <f>'Annual Raw'!AB13</f>
        <v>377.1</v>
      </c>
      <c r="AB48" s="76">
        <f t="shared" si="335"/>
        <v>0</v>
      </c>
      <c r="AC48" s="76">
        <f t="shared" si="336"/>
        <v>0</v>
      </c>
      <c r="AD48" s="76">
        <f t="shared" si="337"/>
        <v>0</v>
      </c>
      <c r="AE48" s="76">
        <f t="shared" si="338"/>
        <v>0</v>
      </c>
      <c r="AI48" s="23">
        <f>'QTR Raw'!C15</f>
        <v>69.08</v>
      </c>
      <c r="AJ48" s="23">
        <f>'QTR Raw'!D15</f>
        <v>74.209999999999994</v>
      </c>
      <c r="AK48" s="23">
        <f>'QTR Raw'!E15</f>
        <v>39.42</v>
      </c>
      <c r="AL48" s="23">
        <f>'QTR Raw'!F15</f>
        <v>73.28</v>
      </c>
      <c r="AM48" s="23">
        <f>'QTR Raw'!G15</f>
        <v>73.959999999999994</v>
      </c>
      <c r="AN48" s="23">
        <f>'QTR Raw'!H15</f>
        <v>79.319999999999993</v>
      </c>
      <c r="AO48" s="23">
        <f>'QTR Raw'!I15</f>
        <v>79.13</v>
      </c>
      <c r="AP48" s="23">
        <f>'QTR Raw'!J15</f>
        <v>78.739999999999995</v>
      </c>
      <c r="AQ48" s="23">
        <f>'QTR Raw'!K15</f>
        <v>81.650000000000006</v>
      </c>
      <c r="AR48" s="23">
        <f>'QTR Raw'!L15</f>
        <v>84.03</v>
      </c>
      <c r="AS48" s="23">
        <f>'QTR Raw'!M15</f>
        <v>78.709999999999994</v>
      </c>
      <c r="AT48" s="23">
        <f>'QTR Raw'!N15</f>
        <v>76.040000000000006</v>
      </c>
      <c r="AU48" s="23">
        <f>'QTR Raw'!O15</f>
        <v>83.94</v>
      </c>
      <c r="AV48" s="23">
        <f>'QTR Raw'!P15</f>
        <v>73.27</v>
      </c>
      <c r="AW48" s="23">
        <f>'QTR Raw'!Q15</f>
        <v>66.989999999999995</v>
      </c>
      <c r="AX48" s="23">
        <f>'QTR Raw'!R15</f>
        <v>75.010000000000005</v>
      </c>
      <c r="AY48" s="23">
        <f>'QTR Raw'!S15</f>
        <v>0</v>
      </c>
      <c r="AZ48" s="23">
        <f>'QTR Raw'!T15</f>
        <v>0</v>
      </c>
      <c r="BA48" s="23">
        <f>'QTR Raw'!U15</f>
        <v>0</v>
      </c>
      <c r="BB48" s="23">
        <f>'QTR Raw'!V15</f>
        <v>0</v>
      </c>
      <c r="BC48" s="23">
        <f>'QTR Raw'!W15</f>
        <v>0</v>
      </c>
      <c r="BD48" s="23">
        <f>'QTR Raw'!X15</f>
        <v>0</v>
      </c>
      <c r="BE48" s="23">
        <f>'QTR Raw'!Y15</f>
        <v>0</v>
      </c>
      <c r="BF48" s="23">
        <f>'QTR Raw'!Z15</f>
        <v>0</v>
      </c>
      <c r="BG48" s="23">
        <f>'QTR Raw'!AA15</f>
        <v>0</v>
      </c>
      <c r="BH48" s="23">
        <f>'QTR Raw'!AB15</f>
        <v>0</v>
      </c>
      <c r="BI48" s="23">
        <f>'QTR Raw'!AC15</f>
        <v>0</v>
      </c>
      <c r="BJ48" s="23">
        <f>'QTR Raw'!AD15</f>
        <v>0</v>
      </c>
      <c r="BK48" s="23">
        <f>'QTR Raw'!AE15</f>
        <v>0</v>
      </c>
      <c r="BL48" s="23">
        <f>'QTR Raw'!AF15</f>
        <v>0</v>
      </c>
      <c r="BM48" s="23">
        <f>'QTR Raw'!AG15</f>
        <v>0</v>
      </c>
      <c r="BN48" s="23">
        <f>'QTR Raw'!AH15</f>
        <v>0</v>
      </c>
      <c r="BO48" s="23">
        <f>'QTR Raw'!AI15</f>
        <v>0</v>
      </c>
      <c r="BP48" s="23">
        <f>'QTR Raw'!AJ15</f>
        <v>0</v>
      </c>
      <c r="BQ48" s="23">
        <f>'QTR Raw'!AK15</f>
        <v>0</v>
      </c>
      <c r="BR48" s="23">
        <f>'QTR Raw'!AL15</f>
        <v>0</v>
      </c>
      <c r="BS48" s="23">
        <f>'QTR Raw'!AM15</f>
        <v>0</v>
      </c>
      <c r="BT48" s="23">
        <f>'QTR Raw'!AN15</f>
        <v>0</v>
      </c>
      <c r="BU48" s="23">
        <f>'QTR Raw'!AO15</f>
        <v>0</v>
      </c>
      <c r="BV48" s="23">
        <f>'QTR Raw'!AP15</f>
        <v>0</v>
      </c>
      <c r="BW48" s="23">
        <f>'QTR Raw'!AQ15</f>
        <v>0</v>
      </c>
      <c r="BX48" s="23">
        <f>'QTR Raw'!AR15</f>
        <v>0</v>
      </c>
      <c r="BY48" s="23">
        <f>'QTR Raw'!AS15</f>
        <v>0</v>
      </c>
      <c r="BZ48" s="23">
        <f>'QTR Raw'!AT15</f>
        <v>0</v>
      </c>
      <c r="CA48" s="23">
        <f>'QTR Raw'!AU15</f>
        <v>0</v>
      </c>
      <c r="CB48" s="23">
        <f>'QTR Raw'!AV15</f>
        <v>0</v>
      </c>
      <c r="CC48" s="23">
        <f>'QTR Raw'!AW15</f>
        <v>0</v>
      </c>
      <c r="CD48" s="23">
        <f>'QTR Raw'!AX15</f>
        <v>0</v>
      </c>
      <c r="CE48" s="23">
        <f>'QTR Raw'!AY15</f>
        <v>0</v>
      </c>
      <c r="CF48" s="23">
        <f>'QTR Raw'!AZ15</f>
        <v>0</v>
      </c>
      <c r="CG48" s="23">
        <f>'QTR Raw'!BA15</f>
        <v>0</v>
      </c>
      <c r="CH48" s="23">
        <f>'QTR Raw'!BB15</f>
        <v>0</v>
      </c>
      <c r="CI48" s="23">
        <f>'QTR Raw'!BC15</f>
        <v>0</v>
      </c>
      <c r="CJ48" s="23">
        <f>'QTR Raw'!BD15</f>
        <v>0</v>
      </c>
      <c r="CK48" s="23">
        <f>'QTR Raw'!BE15</f>
        <v>0</v>
      </c>
      <c r="CL48" s="23">
        <f>'QTR Raw'!BF15</f>
        <v>0</v>
      </c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E48" s="123"/>
      <c r="DF48" s="23">
        <v>0</v>
      </c>
    </row>
    <row r="49" spans="1:110" s="23" customFormat="1" outlineLevel="1" x14ac:dyDescent="0.2">
      <c r="A49" s="23" t="s">
        <v>11</v>
      </c>
      <c r="B49" s="23">
        <f>'Annual Raw'!C18</f>
        <v>21.56</v>
      </c>
      <c r="C49" s="23">
        <f>'Annual Raw'!D18</f>
        <v>32.25</v>
      </c>
      <c r="D49" s="23">
        <f>'Annual Raw'!E18</f>
        <v>34.89</v>
      </c>
      <c r="E49" s="23">
        <f>'Annual Raw'!F18</f>
        <v>40.51</v>
      </c>
      <c r="F49" s="23">
        <f>'Annual Raw'!G18</f>
        <v>34.61</v>
      </c>
      <c r="G49" s="23">
        <f>'Annual Raw'!H18</f>
        <v>42.42</v>
      </c>
      <c r="H49" s="23">
        <f>'Annual Raw'!I18</f>
        <v>75.540000000000006</v>
      </c>
      <c r="I49" s="23">
        <f>'Annual Raw'!J18</f>
        <v>83.75</v>
      </c>
      <c r="J49" s="23">
        <f>'Annual Raw'!K18</f>
        <v>88.86</v>
      </c>
      <c r="K49" s="23">
        <f>'Annual Raw'!L18</f>
        <v>117.54</v>
      </c>
      <c r="L49" s="23">
        <f>'Annual Raw'!M18</f>
        <v>130.6</v>
      </c>
      <c r="M49" s="23">
        <f>'Annual Raw'!N18</f>
        <v>152.32</v>
      </c>
      <c r="N49" s="23">
        <f>'Annual Raw'!O18</f>
        <v>170.51</v>
      </c>
      <c r="O49" s="23">
        <f>'Annual Raw'!P18</f>
        <v>177.62</v>
      </c>
      <c r="P49" s="23">
        <f>'Annual Raw'!Q18</f>
        <v>177.87</v>
      </c>
      <c r="Q49" s="23">
        <f>'Annual Raw'!R18</f>
        <v>163.03</v>
      </c>
      <c r="R49" s="23">
        <f>'Annual Raw'!S18</f>
        <v>159.79</v>
      </c>
      <c r="S49" s="23">
        <f>'Annual Raw'!T18</f>
        <v>168.05</v>
      </c>
      <c r="T49" s="23">
        <f>'Annual Raw'!U18</f>
        <v>159.38999999999999</v>
      </c>
      <c r="U49" s="23">
        <f>'Annual Raw'!V18</f>
        <v>152.93</v>
      </c>
      <c r="V49" s="23">
        <f>'Annual Raw'!W18</f>
        <v>42.73</v>
      </c>
      <c r="W49" s="23">
        <f>'Annual Raw'!X18</f>
        <v>93.59</v>
      </c>
      <c r="X49" s="23">
        <f>'Annual Raw'!Y18</f>
        <v>164.88</v>
      </c>
      <c r="Y49" s="23">
        <f>'Annual Raw'!Z18</f>
        <v>209.8</v>
      </c>
      <c r="Z49" s="23">
        <f>'Annual Raw'!AA18</f>
        <v>221.67</v>
      </c>
      <c r="AA49" s="23">
        <f>'Annual Raw'!AB18</f>
        <v>219.52</v>
      </c>
      <c r="AB49" s="76">
        <f t="shared" si="335"/>
        <v>0</v>
      </c>
      <c r="AC49" s="76">
        <f t="shared" si="336"/>
        <v>0</v>
      </c>
      <c r="AD49" s="76">
        <f t="shared" si="337"/>
        <v>0</v>
      </c>
      <c r="AE49" s="76">
        <f t="shared" si="338"/>
        <v>0</v>
      </c>
      <c r="AI49" s="23">
        <f>'QTR Raw'!C18</f>
        <v>0</v>
      </c>
      <c r="AJ49" s="23">
        <f>'QTR Raw'!D18</f>
        <v>0</v>
      </c>
      <c r="AK49" s="23">
        <f>'QTR Raw'!E18</f>
        <v>0</v>
      </c>
      <c r="AL49" s="23">
        <f>'QTR Raw'!F18</f>
        <v>0</v>
      </c>
      <c r="AM49" s="23">
        <f>'QTR Raw'!G18</f>
        <v>0</v>
      </c>
      <c r="AN49" s="23">
        <f>'QTR Raw'!H18</f>
        <v>0</v>
      </c>
      <c r="AO49" s="23">
        <f>'QTR Raw'!I18</f>
        <v>0</v>
      </c>
      <c r="AP49" s="23">
        <f>'QTR Raw'!J18</f>
        <v>0</v>
      </c>
      <c r="AQ49" s="23">
        <f>'QTR Raw'!K18</f>
        <v>0</v>
      </c>
      <c r="AR49" s="23">
        <f>'QTR Raw'!L18</f>
        <v>0</v>
      </c>
      <c r="AS49" s="23">
        <f>'QTR Raw'!M18</f>
        <v>0</v>
      </c>
      <c r="AT49" s="23">
        <f>'QTR Raw'!N18</f>
        <v>0</v>
      </c>
      <c r="AU49" s="23">
        <f>'QTR Raw'!O18</f>
        <v>0</v>
      </c>
      <c r="AV49" s="23">
        <f>'QTR Raw'!P18</f>
        <v>0</v>
      </c>
      <c r="AW49" s="23">
        <f>'QTR Raw'!Q18</f>
        <v>0</v>
      </c>
      <c r="AX49" s="23">
        <f>'QTR Raw'!R18</f>
        <v>0</v>
      </c>
      <c r="AY49" s="23">
        <f>'QTR Raw'!S18</f>
        <v>0</v>
      </c>
      <c r="AZ49" s="23">
        <f>'QTR Raw'!T18</f>
        <v>0</v>
      </c>
      <c r="BA49" s="23">
        <f>'QTR Raw'!U18</f>
        <v>0</v>
      </c>
      <c r="BB49" s="23">
        <f>'QTR Raw'!V18</f>
        <v>0</v>
      </c>
      <c r="BC49" s="23">
        <f>'QTR Raw'!W18</f>
        <v>0</v>
      </c>
      <c r="BD49" s="23">
        <f>'QTR Raw'!X18</f>
        <v>0</v>
      </c>
      <c r="BE49" s="23">
        <f>'QTR Raw'!Y18</f>
        <v>0</v>
      </c>
      <c r="BF49" s="23">
        <f>'QTR Raw'!Z18</f>
        <v>0</v>
      </c>
      <c r="BG49" s="23">
        <f>'QTR Raw'!AA18</f>
        <v>0</v>
      </c>
      <c r="BH49" s="23">
        <f>'QTR Raw'!AB18</f>
        <v>0</v>
      </c>
      <c r="BI49" s="23">
        <f>'QTR Raw'!AC18</f>
        <v>0</v>
      </c>
      <c r="BJ49" s="23">
        <f>'QTR Raw'!AD18</f>
        <v>0</v>
      </c>
      <c r="BK49" s="23">
        <f>'QTR Raw'!AE18</f>
        <v>0</v>
      </c>
      <c r="BL49" s="23">
        <f>'QTR Raw'!AF18</f>
        <v>0</v>
      </c>
      <c r="BM49" s="23">
        <f>'QTR Raw'!AG18</f>
        <v>0</v>
      </c>
      <c r="BN49" s="23">
        <f>'QTR Raw'!AH18</f>
        <v>0</v>
      </c>
      <c r="BO49" s="23">
        <f>'QTR Raw'!AI18</f>
        <v>0</v>
      </c>
      <c r="BP49" s="23">
        <f>'QTR Raw'!AJ18</f>
        <v>0</v>
      </c>
      <c r="BQ49" s="23">
        <f>'QTR Raw'!AK18</f>
        <v>0</v>
      </c>
      <c r="BR49" s="23">
        <f>'QTR Raw'!AL18</f>
        <v>0</v>
      </c>
      <c r="BS49" s="23">
        <f>'QTR Raw'!AM18</f>
        <v>0</v>
      </c>
      <c r="BT49" s="23">
        <f>'QTR Raw'!AN18</f>
        <v>0</v>
      </c>
      <c r="BU49" s="23">
        <f>'QTR Raw'!AO18</f>
        <v>0</v>
      </c>
      <c r="BV49" s="23">
        <f>'QTR Raw'!AP18</f>
        <v>0</v>
      </c>
      <c r="BW49" s="23">
        <f>'QTR Raw'!AQ18</f>
        <v>0</v>
      </c>
      <c r="BX49" s="23">
        <f>'QTR Raw'!AR18</f>
        <v>0</v>
      </c>
      <c r="BY49" s="23">
        <f>'QTR Raw'!AS18</f>
        <v>0</v>
      </c>
      <c r="BZ49" s="23">
        <f>'QTR Raw'!AT18</f>
        <v>0</v>
      </c>
      <c r="CA49" s="23">
        <f>'QTR Raw'!AU18</f>
        <v>0</v>
      </c>
      <c r="CB49" s="23">
        <f>'QTR Raw'!AV18</f>
        <v>0</v>
      </c>
      <c r="CC49" s="23">
        <f>'QTR Raw'!AW18</f>
        <v>0</v>
      </c>
      <c r="CD49" s="23">
        <f>'QTR Raw'!AX18</f>
        <v>0</v>
      </c>
      <c r="CE49" s="23">
        <f>'QTR Raw'!AY18</f>
        <v>0</v>
      </c>
      <c r="CF49" s="23">
        <f>'QTR Raw'!AZ18</f>
        <v>0</v>
      </c>
      <c r="CG49" s="23">
        <f>'QTR Raw'!BA18</f>
        <v>0</v>
      </c>
      <c r="CH49" s="23">
        <f>'QTR Raw'!BB18</f>
        <v>0</v>
      </c>
      <c r="CI49" s="23">
        <f>'QTR Raw'!BC18</f>
        <v>0</v>
      </c>
      <c r="CJ49" s="23">
        <f>'QTR Raw'!BD18</f>
        <v>0</v>
      </c>
      <c r="CK49" s="23">
        <f>'QTR Raw'!BE18</f>
        <v>0</v>
      </c>
      <c r="CL49" s="23">
        <f>'QTR Raw'!BF18</f>
        <v>0</v>
      </c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E49" s="123"/>
      <c r="DF49" s="23">
        <v>0</v>
      </c>
    </row>
    <row r="50" spans="1:110" s="22" customFormat="1" x14ac:dyDescent="0.2">
      <c r="A50" s="33" t="s">
        <v>348</v>
      </c>
      <c r="B50" s="22">
        <f t="shared" ref="B50:E50" si="341">+SUM(B44:B49)</f>
        <v>419.73999999999995</v>
      </c>
      <c r="C50" s="22">
        <f t="shared" si="341"/>
        <v>564.81000000000006</v>
      </c>
      <c r="D50" s="22">
        <f t="shared" si="341"/>
        <v>625.11</v>
      </c>
      <c r="E50" s="22">
        <f t="shared" si="341"/>
        <v>721.07</v>
      </c>
      <c r="F50" s="22">
        <f t="shared" ref="F50:AE50" si="342">+SUM(F44:F49)</f>
        <v>840.97</v>
      </c>
      <c r="G50" s="22">
        <f t="shared" si="342"/>
        <v>1144.7600000000002</v>
      </c>
      <c r="H50" s="22">
        <f t="shared" si="342"/>
        <v>1532</v>
      </c>
      <c r="I50" s="22">
        <f t="shared" si="342"/>
        <v>1749.81</v>
      </c>
      <c r="J50" s="22">
        <f t="shared" si="342"/>
        <v>1898.3999999999999</v>
      </c>
      <c r="K50" s="22">
        <f t="shared" si="342"/>
        <v>1868.1799999999998</v>
      </c>
      <c r="L50" s="22">
        <f t="shared" si="342"/>
        <v>2115.13</v>
      </c>
      <c r="M50" s="22">
        <f t="shared" si="342"/>
        <v>2535.6999999999998</v>
      </c>
      <c r="N50" s="22">
        <f t="shared" si="342"/>
        <v>2824.17</v>
      </c>
      <c r="O50" s="22">
        <f t="shared" si="342"/>
        <v>3079.5499999999997</v>
      </c>
      <c r="P50" s="22">
        <f t="shared" si="342"/>
        <v>3256.97</v>
      </c>
      <c r="Q50" s="22">
        <f t="shared" si="342"/>
        <v>3103.93</v>
      </c>
      <c r="R50" s="22">
        <f t="shared" si="342"/>
        <v>3047.0000000000005</v>
      </c>
      <c r="S50" s="22">
        <f t="shared" si="342"/>
        <v>3056.76</v>
      </c>
      <c r="T50" s="22">
        <f t="shared" si="342"/>
        <v>3278.2200000000003</v>
      </c>
      <c r="U50" s="22">
        <f t="shared" si="342"/>
        <v>3125.0499999999997</v>
      </c>
      <c r="V50" s="22">
        <f t="shared" si="342"/>
        <v>1793.1</v>
      </c>
      <c r="W50" s="22">
        <f t="shared" si="342"/>
        <v>2394.2399999999998</v>
      </c>
      <c r="X50" s="22">
        <f t="shared" si="342"/>
        <v>3532.59</v>
      </c>
      <c r="Y50" s="22">
        <f t="shared" si="342"/>
        <v>4090.7900000000009</v>
      </c>
      <c r="Z50" s="22">
        <f t="shared" ref="Z50:AA50" si="343">+SUM(Z44:Z49)</f>
        <v>4791.46</v>
      </c>
      <c r="AA50" s="22">
        <f t="shared" si="343"/>
        <v>5543.68</v>
      </c>
      <c r="AB50" s="21">
        <f t="shared" si="342"/>
        <v>6173.3053436437949</v>
      </c>
      <c r="AC50" s="21">
        <f t="shared" si="342"/>
        <v>6276.2413985172116</v>
      </c>
      <c r="AD50" s="21">
        <f t="shared" si="342"/>
        <v>6660.7318560889835</v>
      </c>
      <c r="AE50" s="21">
        <f t="shared" si="342"/>
        <v>7071.5422392562377</v>
      </c>
      <c r="AI50" s="22">
        <f t="shared" ref="AI50:BN50" si="344">+SUM(AI44:AI49)</f>
        <v>661.15000000000009</v>
      </c>
      <c r="AJ50" s="22">
        <f t="shared" si="344"/>
        <v>690.79</v>
      </c>
      <c r="AK50" s="22">
        <f t="shared" si="344"/>
        <v>346.13000000000005</v>
      </c>
      <c r="AL50" s="22">
        <f t="shared" si="344"/>
        <v>727.09999999999991</v>
      </c>
      <c r="AM50" s="22">
        <f t="shared" si="344"/>
        <v>707.1400000000001</v>
      </c>
      <c r="AN50" s="22">
        <f t="shared" si="344"/>
        <v>759.72</v>
      </c>
      <c r="AO50" s="22">
        <f t="shared" si="344"/>
        <v>799.18</v>
      </c>
      <c r="AP50" s="22">
        <f t="shared" si="344"/>
        <v>813.51</v>
      </c>
      <c r="AQ50" s="22">
        <f t="shared" si="344"/>
        <v>756.04000000000008</v>
      </c>
      <c r="AR50" s="22">
        <f t="shared" si="344"/>
        <v>821.33999999999992</v>
      </c>
      <c r="AS50" s="22">
        <f t="shared" si="344"/>
        <v>842.5200000000001</v>
      </c>
      <c r="AT50" s="22">
        <f t="shared" si="344"/>
        <v>837.06999999999994</v>
      </c>
      <c r="AU50" s="22">
        <f t="shared" si="344"/>
        <v>809.21</v>
      </c>
      <c r="AV50" s="22">
        <f t="shared" si="344"/>
        <v>753.74</v>
      </c>
      <c r="AW50" s="22">
        <f t="shared" si="344"/>
        <v>804.31</v>
      </c>
      <c r="AX50" s="22">
        <f t="shared" si="344"/>
        <v>916.58</v>
      </c>
      <c r="AY50" s="22">
        <f t="shared" si="344"/>
        <v>766.66000000000008</v>
      </c>
      <c r="AZ50" s="22">
        <f t="shared" si="344"/>
        <v>734.12</v>
      </c>
      <c r="BA50" s="22">
        <f t="shared" si="344"/>
        <v>763.76</v>
      </c>
      <c r="BB50" s="22">
        <f t="shared" si="344"/>
        <v>780.1</v>
      </c>
      <c r="BC50" s="22">
        <f t="shared" si="344"/>
        <v>736.7</v>
      </c>
      <c r="BD50" s="22">
        <f t="shared" si="344"/>
        <v>714.16</v>
      </c>
      <c r="BE50" s="22">
        <f t="shared" si="344"/>
        <v>805.31</v>
      </c>
      <c r="BF50" s="22">
        <f t="shared" si="344"/>
        <v>800.59</v>
      </c>
      <c r="BG50" s="22">
        <f t="shared" si="344"/>
        <v>778.91</v>
      </c>
      <c r="BH50" s="22">
        <f t="shared" si="344"/>
        <v>777.85</v>
      </c>
      <c r="BI50" s="22">
        <f t="shared" si="344"/>
        <v>869.13</v>
      </c>
      <c r="BJ50" s="22">
        <f t="shared" si="344"/>
        <v>852.33</v>
      </c>
      <c r="BK50" s="22">
        <f t="shared" si="344"/>
        <v>761.63</v>
      </c>
      <c r="BL50" s="22">
        <f t="shared" si="344"/>
        <v>762.2</v>
      </c>
      <c r="BM50" s="22">
        <f t="shared" si="344"/>
        <v>829.81999999999994</v>
      </c>
      <c r="BN50" s="22">
        <f t="shared" si="344"/>
        <v>771.4</v>
      </c>
      <c r="BO50" s="22">
        <f t="shared" ref="BO50:CH50" si="345">+SUM(BO44:BO49)</f>
        <v>400.43</v>
      </c>
      <c r="BP50" s="22">
        <f t="shared" si="345"/>
        <v>385.19</v>
      </c>
      <c r="BQ50" s="22">
        <f t="shared" si="345"/>
        <v>520.64</v>
      </c>
      <c r="BR50" s="22">
        <f t="shared" si="345"/>
        <v>486.84</v>
      </c>
      <c r="BS50" s="22">
        <f t="shared" si="345"/>
        <v>465.3</v>
      </c>
      <c r="BT50" s="22">
        <f t="shared" si="345"/>
        <v>592.75</v>
      </c>
      <c r="BU50" s="22">
        <f t="shared" si="345"/>
        <v>692.11</v>
      </c>
      <c r="BV50" s="22">
        <f t="shared" si="345"/>
        <v>644.08000000000004</v>
      </c>
      <c r="BW50" s="22">
        <f t="shared" si="345"/>
        <v>784.26</v>
      </c>
      <c r="BX50" s="22">
        <f t="shared" si="345"/>
        <v>835.68</v>
      </c>
      <c r="BY50" s="22">
        <f t="shared" si="345"/>
        <v>948.11999999999989</v>
      </c>
      <c r="BZ50" s="22">
        <f t="shared" si="345"/>
        <v>964.40000000000009</v>
      </c>
      <c r="CA50" s="22">
        <f t="shared" si="345"/>
        <v>940.75</v>
      </c>
      <c r="CB50" s="22">
        <f t="shared" si="345"/>
        <v>966.06999999999994</v>
      </c>
      <c r="CC50" s="22">
        <f t="shared" si="345"/>
        <v>1078.27</v>
      </c>
      <c r="CD50" s="22">
        <f t="shared" si="345"/>
        <v>1105.7</v>
      </c>
      <c r="CE50" s="22">
        <f t="shared" si="345"/>
        <v>986.33</v>
      </c>
      <c r="CF50" s="22">
        <f t="shared" si="345"/>
        <v>1150.83</v>
      </c>
      <c r="CG50" s="22">
        <f t="shared" si="345"/>
        <v>1320.87</v>
      </c>
      <c r="CH50" s="22">
        <f t="shared" si="345"/>
        <v>1333.43</v>
      </c>
      <c r="CI50" s="22">
        <f t="shared" ref="CI50:CJ50" si="346">+SUM(CI44:CI49)</f>
        <v>1256.9000000000001</v>
      </c>
      <c r="CJ50" s="22">
        <f t="shared" si="346"/>
        <v>1262.55</v>
      </c>
      <c r="CK50" s="22">
        <f t="shared" ref="CK50:CL50" si="347">+SUM(CK44:CK49)</f>
        <v>1489.24</v>
      </c>
      <c r="CL50" s="22">
        <f t="shared" si="347"/>
        <v>1534.99</v>
      </c>
      <c r="CM50" s="21">
        <f t="shared" ref="CM50:DB50" si="348">CM51*CM34</f>
        <v>1560.262204954169</v>
      </c>
      <c r="CN50" s="21">
        <f t="shared" si="348"/>
        <v>1542.6757291746899</v>
      </c>
      <c r="CO50" s="21">
        <f t="shared" si="348"/>
        <v>1534.246532104896</v>
      </c>
      <c r="CP50" s="21">
        <f t="shared" si="348"/>
        <v>1536.1208774100401</v>
      </c>
      <c r="CQ50" s="21">
        <f t="shared" si="348"/>
        <v>1564.9733662933647</v>
      </c>
      <c r="CR50" s="21">
        <f t="shared" si="348"/>
        <v>1564.8521658699187</v>
      </c>
      <c r="CS50" s="21">
        <f t="shared" si="348"/>
        <v>1569.2874080282206</v>
      </c>
      <c r="CT50" s="21">
        <f t="shared" si="348"/>
        <v>1577.1284583257072</v>
      </c>
      <c r="CU50" s="21">
        <f t="shared" si="348"/>
        <v>1635.2766956835553</v>
      </c>
      <c r="CV50" s="21">
        <f t="shared" si="348"/>
        <v>1652.1480663390462</v>
      </c>
      <c r="CW50" s="21">
        <f t="shared" si="348"/>
        <v>1673.6136986234567</v>
      </c>
      <c r="CX50" s="21">
        <f t="shared" si="348"/>
        <v>1699.6933954429244</v>
      </c>
      <c r="CY50" s="21">
        <f t="shared" si="348"/>
        <v>1730.717810152224</v>
      </c>
      <c r="CZ50" s="21">
        <f t="shared" si="348"/>
        <v>1754.3945997463093</v>
      </c>
      <c r="DA50" s="21">
        <f t="shared" si="348"/>
        <v>1779.9105079523113</v>
      </c>
      <c r="DB50" s="21">
        <f t="shared" si="348"/>
        <v>1806.5193214053932</v>
      </c>
      <c r="DE50" s="126"/>
      <c r="DF50" s="22">
        <v>1470.6705865951903</v>
      </c>
    </row>
    <row r="51" spans="1:110" s="44" customFormat="1" x14ac:dyDescent="0.2">
      <c r="A51" s="43" t="s">
        <v>349</v>
      </c>
      <c r="B51" s="44">
        <f t="shared" ref="B51:E51" si="349">B50/B34</f>
        <v>0.61053090909090901</v>
      </c>
      <c r="C51" s="44">
        <f t="shared" si="349"/>
        <v>0.71294589886647652</v>
      </c>
      <c r="D51" s="44">
        <f t="shared" si="349"/>
        <v>0.72132793298023334</v>
      </c>
      <c r="E51" s="44">
        <f t="shared" si="349"/>
        <v>0.71938663527346014</v>
      </c>
      <c r="F51" s="44">
        <f t="shared" ref="F51:AE51" si="350">F50/F34</f>
        <v>0.64023661431410017</v>
      </c>
      <c r="G51" s="44">
        <f t="shared" si="350"/>
        <v>0.62306306502441078</v>
      </c>
      <c r="H51" s="44">
        <f t="shared" si="350"/>
        <v>0.61127182044887785</v>
      </c>
      <c r="I51" s="44">
        <f t="shared" si="350"/>
        <v>0.59924384338517067</v>
      </c>
      <c r="J51" s="44">
        <f t="shared" si="350"/>
        <v>0.70674166924162263</v>
      </c>
      <c r="K51" s="44">
        <f t="shared" si="350"/>
        <v>0.74104132454324034</v>
      </c>
      <c r="L51" s="44">
        <f t="shared" si="350"/>
        <v>0.73891778778467554</v>
      </c>
      <c r="M51" s="44">
        <f t="shared" si="350"/>
        <v>0.73636859957253042</v>
      </c>
      <c r="N51" s="44">
        <f t="shared" si="350"/>
        <v>0.75444787570524874</v>
      </c>
      <c r="O51" s="44">
        <f t="shared" si="350"/>
        <v>0.7573551654005346</v>
      </c>
      <c r="P51" s="44">
        <f t="shared" si="350"/>
        <v>0.77757219527101862</v>
      </c>
      <c r="Q51" s="44">
        <f t="shared" si="350"/>
        <v>0.77154227421191046</v>
      </c>
      <c r="R51" s="44">
        <f t="shared" si="350"/>
        <v>0.75785274227286192</v>
      </c>
      <c r="S51" s="44">
        <f t="shared" si="350"/>
        <v>0.7449062397192675</v>
      </c>
      <c r="T51" s="44">
        <f t="shared" si="350"/>
        <v>0.72655585106382981</v>
      </c>
      <c r="U51" s="44">
        <f t="shared" si="350"/>
        <v>0.70019089699180381</v>
      </c>
      <c r="V51" s="44">
        <f t="shared" si="350"/>
        <v>1.1383605474999363</v>
      </c>
      <c r="W51" s="44">
        <f t="shared" si="350"/>
        <v>0.7833991008500697</v>
      </c>
      <c r="X51" s="44">
        <f t="shared" si="350"/>
        <v>0.60802835155794155</v>
      </c>
      <c r="Y51" s="44">
        <f t="shared" si="350"/>
        <v>0.60436417359187455</v>
      </c>
      <c r="Z51" s="44">
        <f t="shared" ref="Z51:AA51" si="351">Z50/Z34</f>
        <v>0.57489195564482254</v>
      </c>
      <c r="AA51" s="44">
        <f t="shared" si="351"/>
        <v>0.57214925453235665</v>
      </c>
      <c r="AB51" s="52">
        <f t="shared" si="350"/>
        <v>0.56714816912310617</v>
      </c>
      <c r="AC51" s="52">
        <f t="shared" si="350"/>
        <v>0.54066717938565589</v>
      </c>
      <c r="AD51" s="52">
        <f t="shared" si="350"/>
        <v>0.53836447076098159</v>
      </c>
      <c r="AE51" s="52">
        <f t="shared" si="350"/>
        <v>0.53788762097939591</v>
      </c>
      <c r="AI51" s="44">
        <f t="shared" ref="AI51:BN51" si="352">AI50/AI34</f>
        <v>0.77547884631173991</v>
      </c>
      <c r="AJ51" s="44">
        <f t="shared" si="352"/>
        <v>0.84884492504300812</v>
      </c>
      <c r="AK51" s="44">
        <f t="shared" si="352"/>
        <v>0.63562574602883126</v>
      </c>
      <c r="AL51" s="44">
        <f t="shared" si="352"/>
        <v>0.71528351631054965</v>
      </c>
      <c r="AM51" s="44">
        <f t="shared" si="352"/>
        <v>0.7781886211070761</v>
      </c>
      <c r="AN51" s="44">
        <f t="shared" si="352"/>
        <v>0.84797749799089206</v>
      </c>
      <c r="AO51" s="44">
        <f t="shared" si="352"/>
        <v>0.68445799539229712</v>
      </c>
      <c r="AP51" s="44">
        <f t="shared" si="352"/>
        <v>0.74363779297232069</v>
      </c>
      <c r="AQ51" s="44">
        <f t="shared" si="352"/>
        <v>0.80647707635525789</v>
      </c>
      <c r="AR51" s="44">
        <f t="shared" si="352"/>
        <v>0.87656350053361787</v>
      </c>
      <c r="AS51" s="44">
        <f t="shared" si="352"/>
        <v>0.69809757390958505</v>
      </c>
      <c r="AT51" s="44">
        <f t="shared" si="352"/>
        <v>0.75595592883590712</v>
      </c>
      <c r="AU51" s="44">
        <f t="shared" si="352"/>
        <v>0.78341981954071949</v>
      </c>
      <c r="AV51" s="44">
        <f t="shared" si="352"/>
        <v>0.84276082605633018</v>
      </c>
      <c r="AW51" s="44">
        <f t="shared" si="352"/>
        <v>0.69206412032455955</v>
      </c>
      <c r="AX51" s="44">
        <f t="shared" si="352"/>
        <v>0.74612723350563714</v>
      </c>
      <c r="AY51" s="44">
        <f t="shared" si="352"/>
        <v>0.80988348140244881</v>
      </c>
      <c r="AZ51" s="44">
        <f t="shared" si="352"/>
        <v>0.82739188747506398</v>
      </c>
      <c r="BA51" s="44">
        <f t="shared" si="352"/>
        <v>0.67464600870955493</v>
      </c>
      <c r="BB51" s="44">
        <f t="shared" si="352"/>
        <v>0.74138488148866211</v>
      </c>
      <c r="BC51" s="44">
        <f t="shared" si="352"/>
        <v>0.80852978620659388</v>
      </c>
      <c r="BD51" s="44">
        <f t="shared" si="352"/>
        <v>0.83854074935127454</v>
      </c>
      <c r="BE51" s="44">
        <f t="shared" si="352"/>
        <v>0.67262749945709366</v>
      </c>
      <c r="BF51" s="44">
        <f t="shared" si="352"/>
        <v>0.70014692249838206</v>
      </c>
      <c r="BG51" s="44">
        <f t="shared" si="352"/>
        <v>0.79504950495049498</v>
      </c>
      <c r="BH51" s="44">
        <f t="shared" si="352"/>
        <v>0.806454957336734</v>
      </c>
      <c r="BI51" s="44">
        <f t="shared" si="352"/>
        <v>0.65671540292417541</v>
      </c>
      <c r="BJ51" s="44">
        <f t="shared" si="352"/>
        <v>0.68497653336762254</v>
      </c>
      <c r="BK51" s="44">
        <f t="shared" si="352"/>
        <v>0.74669607843137253</v>
      </c>
      <c r="BL51" s="44">
        <f t="shared" si="352"/>
        <v>0.75657111093464624</v>
      </c>
      <c r="BM51" s="44">
        <f t="shared" si="352"/>
        <v>0.60450783845212419</v>
      </c>
      <c r="BN51" s="44">
        <f t="shared" si="352"/>
        <v>0.7256956857137481</v>
      </c>
      <c r="BO51" s="44">
        <f t="shared" ref="BO51:CH51" si="353">BO50/BO34</f>
        <v>2.7883155769096857</v>
      </c>
      <c r="BP51" s="44">
        <f t="shared" si="353"/>
        <v>1.5007207698601315</v>
      </c>
      <c r="BQ51" s="44">
        <f t="shared" si="353"/>
        <v>0.92994677240738755</v>
      </c>
      <c r="BR51" s="44">
        <f t="shared" si="353"/>
        <v>0.79158401352801533</v>
      </c>
      <c r="BS51" s="44">
        <f t="shared" si="353"/>
        <v>1.3504571179799738</v>
      </c>
      <c r="BT51" s="44">
        <f t="shared" si="353"/>
        <v>0.81380342408391337</v>
      </c>
      <c r="BU51" s="44">
        <f t="shared" si="353"/>
        <v>0.62283796187973584</v>
      </c>
      <c r="BV51" s="44">
        <f t="shared" si="353"/>
        <v>0.73855609577103021</v>
      </c>
      <c r="BW51" s="44">
        <f t="shared" si="353"/>
        <v>0.61944442250428489</v>
      </c>
      <c r="BX51" s="44">
        <f t="shared" si="353"/>
        <v>0.67797600214179665</v>
      </c>
      <c r="BY51" s="44">
        <f t="shared" si="353"/>
        <v>0.5624154703998101</v>
      </c>
      <c r="BZ51" s="44">
        <f t="shared" si="353"/>
        <v>0.59331992149769608</v>
      </c>
      <c r="CA51" s="44">
        <f t="shared" si="353"/>
        <v>0.64155022265867423</v>
      </c>
      <c r="CB51" s="44">
        <f t="shared" si="353"/>
        <v>0.67406502930505152</v>
      </c>
      <c r="CC51" s="44">
        <f t="shared" si="353"/>
        <v>0.54906204171419259</v>
      </c>
      <c r="CD51" s="44">
        <f t="shared" si="353"/>
        <v>0.58031637398049696</v>
      </c>
      <c r="CE51" s="44">
        <f t="shared" si="353"/>
        <v>0.63624752456087164</v>
      </c>
      <c r="CF51" s="44">
        <f t="shared" si="353"/>
        <v>0.63020502486145491</v>
      </c>
      <c r="CG51" s="44">
        <f t="shared" si="353"/>
        <v>0.5214543731864747</v>
      </c>
      <c r="CH51" s="44">
        <f t="shared" si="353"/>
        <v>0.54983629811062462</v>
      </c>
      <c r="CI51" s="44">
        <f t="shared" ref="CI51:CJ51" si="354">CI50/CI34</f>
        <v>0.61580143845415181</v>
      </c>
      <c r="CJ51" s="44">
        <f t="shared" si="354"/>
        <v>0.61862716755925107</v>
      </c>
      <c r="CK51" s="44">
        <f t="shared" ref="CK51:CL51" si="355">CK50/CK34</f>
        <v>0.52401863502653101</v>
      </c>
      <c r="CL51" s="44">
        <f t="shared" si="355"/>
        <v>0.55509187101533652</v>
      </c>
      <c r="CM51" s="52">
        <f>AVERAGE(CI51:CL51)</f>
        <v>0.5783847780138176</v>
      </c>
      <c r="CN51" s="52">
        <f t="shared" ref="CN51:CP51" si="356">AVERAGE(CJ51:CM51)</f>
        <v>0.56903061290373413</v>
      </c>
      <c r="CO51" s="52">
        <f t="shared" si="356"/>
        <v>0.55663147423985482</v>
      </c>
      <c r="CP51" s="52">
        <f t="shared" si="356"/>
        <v>0.56478468404318583</v>
      </c>
      <c r="CQ51" s="52">
        <f>AVERAGE(CM51:CP51)*0.97</f>
        <v>0.55019165068114362</v>
      </c>
      <c r="CR51" s="52">
        <f t="shared" ref="CR51:CT51" si="357">AVERAGE(CN51:CQ51)*0.97</f>
        <v>0.54335481730297019</v>
      </c>
      <c r="CS51" s="52">
        <f t="shared" si="357"/>
        <v>0.53712843686978495</v>
      </c>
      <c r="CT51" s="52">
        <f t="shared" si="357"/>
        <v>0.53239895030754292</v>
      </c>
      <c r="CU51" s="52">
        <f t="shared" ref="CU51:DB51" si="358">AVERAGE(CQ51:CT51)</f>
        <v>0.54076846379036048</v>
      </c>
      <c r="CV51" s="52">
        <f t="shared" si="358"/>
        <v>0.53841266706766455</v>
      </c>
      <c r="CW51" s="52">
        <f t="shared" si="358"/>
        <v>0.53717712950883822</v>
      </c>
      <c r="CX51" s="52">
        <f t="shared" si="358"/>
        <v>0.53718930266860154</v>
      </c>
      <c r="CY51" s="52">
        <f t="shared" si="358"/>
        <v>0.53838689075886614</v>
      </c>
      <c r="CZ51" s="52">
        <f t="shared" si="358"/>
        <v>0.53779149750099264</v>
      </c>
      <c r="DA51" s="52">
        <f t="shared" si="358"/>
        <v>0.53763620510932464</v>
      </c>
      <c r="DB51" s="52">
        <f t="shared" si="358"/>
        <v>0.53775097400944627</v>
      </c>
      <c r="DE51" s="128"/>
      <c r="DF51" s="44">
        <v>0.51936379630887564</v>
      </c>
    </row>
    <row r="52" spans="1:110" s="26" customFormat="1" x14ac:dyDescent="0.2">
      <c r="A52" s="34" t="s">
        <v>13</v>
      </c>
      <c r="B52" s="26">
        <f t="shared" ref="B52:E52" si="359">B40-B50</f>
        <v>184.76000000000005</v>
      </c>
      <c r="C52" s="26">
        <f t="shared" si="359"/>
        <v>135.93999999999994</v>
      </c>
      <c r="D52" s="26">
        <f t="shared" si="359"/>
        <v>143.68999999999994</v>
      </c>
      <c r="E52" s="26">
        <f t="shared" si="359"/>
        <v>175.66999999999996</v>
      </c>
      <c r="F52" s="26">
        <f t="shared" ref="F52:AE52" si="360">F40-F50</f>
        <v>332.12999999999988</v>
      </c>
      <c r="G52" s="26">
        <f t="shared" si="360"/>
        <v>508.35999999999967</v>
      </c>
      <c r="H52" s="26">
        <f t="shared" si="360"/>
        <v>720.48999999999978</v>
      </c>
      <c r="I52" s="26">
        <f t="shared" si="360"/>
        <v>892.0300000000002</v>
      </c>
      <c r="J52" s="26">
        <f t="shared" si="360"/>
        <v>510.51</v>
      </c>
      <c r="K52" s="26">
        <f t="shared" si="360"/>
        <v>398.15000000000009</v>
      </c>
      <c r="L52" s="26">
        <f t="shared" si="360"/>
        <v>450.81999999999971</v>
      </c>
      <c r="M52" s="26">
        <f t="shared" si="360"/>
        <v>545.25</v>
      </c>
      <c r="N52" s="26">
        <f t="shared" si="360"/>
        <v>537.63999999999987</v>
      </c>
      <c r="O52" s="26">
        <f t="shared" si="360"/>
        <v>559.57000000000016</v>
      </c>
      <c r="P52" s="26">
        <f t="shared" si="360"/>
        <v>488.58000000000038</v>
      </c>
      <c r="Q52" s="26">
        <f t="shared" si="360"/>
        <v>552.16000000000031</v>
      </c>
      <c r="R52" s="26">
        <f t="shared" si="360"/>
        <v>609.61999999999989</v>
      </c>
      <c r="S52" s="26">
        <f t="shared" si="360"/>
        <v>670.34999999999991</v>
      </c>
      <c r="T52" s="26">
        <f t="shared" si="360"/>
        <v>829.72999999999956</v>
      </c>
      <c r="U52" s="26">
        <f t="shared" si="360"/>
        <v>967.53000000000065</v>
      </c>
      <c r="V52" s="26">
        <f t="shared" si="360"/>
        <v>-361.75999999999976</v>
      </c>
      <c r="W52" s="26">
        <f t="shared" si="360"/>
        <v>404.75</v>
      </c>
      <c r="X52" s="26">
        <f t="shared" si="360"/>
        <v>1804.4299999999994</v>
      </c>
      <c r="Y52" s="26">
        <f t="shared" si="360"/>
        <v>2157.1299999999992</v>
      </c>
      <c r="Z52" s="26">
        <f t="shared" ref="Z52:AA52" si="361">Z40-Z50</f>
        <v>2769.3300000000008</v>
      </c>
      <c r="AA52" s="26">
        <f t="shared" si="361"/>
        <v>3194.6499999999996</v>
      </c>
      <c r="AB52" s="27">
        <f t="shared" si="360"/>
        <v>3650.7587788053661</v>
      </c>
      <c r="AC52" s="27">
        <f t="shared" si="360"/>
        <v>4204.1725847519592</v>
      </c>
      <c r="AD52" s="27">
        <f t="shared" si="360"/>
        <v>4509.9902252259599</v>
      </c>
      <c r="AE52" s="27">
        <f t="shared" si="360"/>
        <v>4798.7868762363123</v>
      </c>
      <c r="AI52" s="26">
        <f t="shared" ref="AI52:BN52" si="362">AI40-AI50</f>
        <v>101.5</v>
      </c>
      <c r="AJ52" s="26">
        <f t="shared" si="362"/>
        <v>38.360000000000014</v>
      </c>
      <c r="AK52" s="26">
        <f t="shared" si="362"/>
        <v>151.40999999999991</v>
      </c>
      <c r="AL52" s="26">
        <f t="shared" si="362"/>
        <v>187.78000000000009</v>
      </c>
      <c r="AM52" s="26">
        <f t="shared" si="362"/>
        <v>106.37999999999988</v>
      </c>
      <c r="AN52" s="26">
        <f t="shared" si="362"/>
        <v>38.259999999999991</v>
      </c>
      <c r="AO52" s="26">
        <f t="shared" si="362"/>
        <v>245.49999999999989</v>
      </c>
      <c r="AP52" s="26">
        <f t="shared" si="362"/>
        <v>169.43000000000006</v>
      </c>
      <c r="AQ52" s="26">
        <f t="shared" si="362"/>
        <v>80.229999999999905</v>
      </c>
      <c r="AR52" s="26">
        <f t="shared" si="362"/>
        <v>14.790000000000077</v>
      </c>
      <c r="AS52" s="26">
        <f t="shared" si="362"/>
        <v>237.30000000000007</v>
      </c>
      <c r="AT52" s="26">
        <f t="shared" si="362"/>
        <v>156.26</v>
      </c>
      <c r="AU52" s="26">
        <f t="shared" si="362"/>
        <v>106.51999999999998</v>
      </c>
      <c r="AV52" s="26">
        <f t="shared" si="362"/>
        <v>57.75</v>
      </c>
      <c r="AW52" s="26">
        <f t="shared" si="362"/>
        <v>251.42000000000007</v>
      </c>
      <c r="AX52" s="26">
        <f t="shared" si="362"/>
        <v>182.37</v>
      </c>
      <c r="AY52" s="26">
        <f t="shared" si="362"/>
        <v>94.229999999999905</v>
      </c>
      <c r="AZ52" s="26">
        <f t="shared" si="362"/>
        <v>70.659999999999968</v>
      </c>
      <c r="BA52" s="26">
        <f t="shared" si="362"/>
        <v>267.03999999999996</v>
      </c>
      <c r="BB52" s="26">
        <f t="shared" si="362"/>
        <v>177.68999999999994</v>
      </c>
      <c r="BC52" s="26">
        <f t="shared" si="362"/>
        <v>90.589999999999918</v>
      </c>
      <c r="BD52" s="26">
        <f t="shared" si="362"/>
        <v>54.580000000000041</v>
      </c>
      <c r="BE52" s="26">
        <f t="shared" si="362"/>
        <v>280.51</v>
      </c>
      <c r="BF52" s="26">
        <f t="shared" si="362"/>
        <v>244.66999999999996</v>
      </c>
      <c r="BG52" s="26">
        <f t="shared" si="362"/>
        <v>110.66000000000008</v>
      </c>
      <c r="BH52" s="26">
        <f t="shared" si="362"/>
        <v>99.229999999999905</v>
      </c>
      <c r="BI52" s="26">
        <f t="shared" si="362"/>
        <v>335.54000000000008</v>
      </c>
      <c r="BJ52" s="26">
        <f t="shared" si="362"/>
        <v>284.29999999999984</v>
      </c>
      <c r="BK52" s="26">
        <f t="shared" si="362"/>
        <v>173.43999999999994</v>
      </c>
      <c r="BL52" s="26">
        <f t="shared" si="362"/>
        <v>160.46000000000004</v>
      </c>
      <c r="BM52" s="26">
        <f t="shared" si="362"/>
        <v>425.72</v>
      </c>
      <c r="BN52" s="26">
        <f t="shared" si="362"/>
        <v>207.91000000000008</v>
      </c>
      <c r="BO52" s="26">
        <f t="shared" ref="BO52:CT52" si="363">BO40-BO50</f>
        <v>-265.99</v>
      </c>
      <c r="BP52" s="26">
        <f t="shared" si="363"/>
        <v>-150.33999999999997</v>
      </c>
      <c r="BQ52" s="26">
        <f t="shared" si="363"/>
        <v>-16.739999999999952</v>
      </c>
      <c r="BR52" s="26">
        <f t="shared" si="363"/>
        <v>71.31</v>
      </c>
      <c r="BS52" s="26">
        <f t="shared" si="363"/>
        <v>-148.82</v>
      </c>
      <c r="BT52" s="26">
        <f t="shared" si="363"/>
        <v>72.840000000000032</v>
      </c>
      <c r="BU52" s="26">
        <f t="shared" si="363"/>
        <v>321.75</v>
      </c>
      <c r="BV52" s="26">
        <f t="shared" si="363"/>
        <v>158.98000000000002</v>
      </c>
      <c r="BW52" s="26">
        <f t="shared" si="363"/>
        <v>377.87999999999988</v>
      </c>
      <c r="BX52" s="26">
        <f t="shared" si="363"/>
        <v>293.9799999999999</v>
      </c>
      <c r="BY52" s="26">
        <f t="shared" si="363"/>
        <v>597.21</v>
      </c>
      <c r="BZ52" s="26">
        <f t="shared" si="363"/>
        <v>535.49</v>
      </c>
      <c r="CA52" s="26">
        <f t="shared" si="363"/>
        <v>410.16999999999985</v>
      </c>
      <c r="CB52" s="26">
        <f t="shared" si="363"/>
        <v>354.7800000000002</v>
      </c>
      <c r="CC52" s="26">
        <f t="shared" si="363"/>
        <v>732.37999999999988</v>
      </c>
      <c r="CD52" s="26">
        <f t="shared" si="363"/>
        <v>659.8</v>
      </c>
      <c r="CE52" s="26">
        <f t="shared" si="363"/>
        <v>449.6</v>
      </c>
      <c r="CF52" s="26">
        <f t="shared" si="363"/>
        <v>501.27</v>
      </c>
      <c r="CG52" s="26">
        <f t="shared" si="363"/>
        <v>961.68000000000029</v>
      </c>
      <c r="CH52" s="26">
        <f t="shared" si="363"/>
        <v>856.78</v>
      </c>
      <c r="CI52" s="26">
        <f t="shared" ref="CI52:CJ52" si="364">CI40-CI50</f>
        <v>576.02999999999975</v>
      </c>
      <c r="CJ52" s="26">
        <f t="shared" si="364"/>
        <v>570.12000000000012</v>
      </c>
      <c r="CK52" s="26">
        <f t="shared" ref="CK52:CL52" si="365">CK40-CK50</f>
        <v>1075.82</v>
      </c>
      <c r="CL52" s="26">
        <f t="shared" si="365"/>
        <v>972.68000000000006</v>
      </c>
      <c r="CM52" s="27">
        <f t="shared" si="363"/>
        <v>871.2378914481435</v>
      </c>
      <c r="CN52" s="27">
        <f t="shared" si="363"/>
        <v>903.1954006330302</v>
      </c>
      <c r="CO52" s="27">
        <f t="shared" si="363"/>
        <v>955.34408047326383</v>
      </c>
      <c r="CP52" s="27">
        <f t="shared" si="363"/>
        <v>920.98140625092856</v>
      </c>
      <c r="CQ52" s="27">
        <f t="shared" si="363"/>
        <v>1002.2312991522724</v>
      </c>
      <c r="CR52" s="27">
        <f t="shared" si="363"/>
        <v>1035.3116379879807</v>
      </c>
      <c r="CS52" s="27">
        <f t="shared" si="363"/>
        <v>1068.9526673623893</v>
      </c>
      <c r="CT52" s="27">
        <f t="shared" si="363"/>
        <v>1097.6769802493188</v>
      </c>
      <c r="CU52" s="27">
        <f t="shared" ref="CU52:DB52" si="366">CU40-CU50</f>
        <v>1094.8800682901119</v>
      </c>
      <c r="CV52" s="27">
        <f t="shared" si="366"/>
        <v>1118.4684779048353</v>
      </c>
      <c r="CW52" s="27">
        <f t="shared" si="366"/>
        <v>1139.5071264149685</v>
      </c>
      <c r="CX52" s="27">
        <f t="shared" si="366"/>
        <v>1157.1345526160464</v>
      </c>
      <c r="CY52" s="27">
        <f t="shared" si="366"/>
        <v>1171.7490820901821</v>
      </c>
      <c r="CZ52" s="27">
        <f t="shared" si="366"/>
        <v>1191.0834241960483</v>
      </c>
      <c r="DA52" s="27">
        <f t="shared" si="366"/>
        <v>1209.2691938253508</v>
      </c>
      <c r="DB52" s="27">
        <f t="shared" si="366"/>
        <v>1226.6851761247306</v>
      </c>
      <c r="DE52" s="121"/>
      <c r="DF52" s="26">
        <v>1079.03524893652</v>
      </c>
    </row>
    <row r="53" spans="1:110" s="168" customFormat="1" x14ac:dyDescent="0.2">
      <c r="A53" s="165" t="s">
        <v>14</v>
      </c>
      <c r="B53" s="166">
        <f t="shared" ref="B53:E53" si="367">B52/B34</f>
        <v>0.26874181818181825</v>
      </c>
      <c r="C53" s="166">
        <f t="shared" si="367"/>
        <v>0.17159374921107765</v>
      </c>
      <c r="D53" s="166">
        <f t="shared" si="367"/>
        <v>0.16580699507275468</v>
      </c>
      <c r="E53" s="166">
        <f t="shared" si="367"/>
        <v>0.17525989185306379</v>
      </c>
      <c r="F53" s="166">
        <f t="shared" ref="F53:AE53" si="368">F52/F34</f>
        <v>0.25285299917017495</v>
      </c>
      <c r="G53" s="166">
        <f t="shared" si="368"/>
        <v>0.27668711322531292</v>
      </c>
      <c r="H53" s="166">
        <f t="shared" si="368"/>
        <v>0.28747730673316702</v>
      </c>
      <c r="I53" s="166">
        <f t="shared" si="368"/>
        <v>0.30548658746656715</v>
      </c>
      <c r="J53" s="166">
        <f t="shared" si="368"/>
        <v>0.19005409269097176</v>
      </c>
      <c r="K53" s="166">
        <f t="shared" si="368"/>
        <v>0.15793210684564188</v>
      </c>
      <c r="L53" s="166">
        <f t="shared" si="368"/>
        <v>0.15749335364213415</v>
      </c>
      <c r="M53" s="166">
        <f t="shared" si="368"/>
        <v>0.15834088374686367</v>
      </c>
      <c r="N53" s="166">
        <f t="shared" si="368"/>
        <v>0.14362497862882539</v>
      </c>
      <c r="O53" s="166">
        <f t="shared" si="368"/>
        <v>0.1376153106470677</v>
      </c>
      <c r="P53" s="166">
        <f t="shared" si="368"/>
        <v>0.11664406585431079</v>
      </c>
      <c r="Q53" s="166">
        <f t="shared" si="368"/>
        <v>0.13725012552758881</v>
      </c>
      <c r="R53" s="166">
        <f t="shared" si="368"/>
        <v>0.15162526706412272</v>
      </c>
      <c r="S53" s="166">
        <f t="shared" si="368"/>
        <v>0.1633585553971561</v>
      </c>
      <c r="T53" s="166">
        <f t="shared" si="368"/>
        <v>0.18389406028368785</v>
      </c>
      <c r="U53" s="166">
        <f t="shared" si="368"/>
        <v>0.21678235502359339</v>
      </c>
      <c r="V53" s="166">
        <f t="shared" si="368"/>
        <v>-0.22966555778460584</v>
      </c>
      <c r="W53" s="166">
        <f t="shared" si="368"/>
        <v>0.13243483780617887</v>
      </c>
      <c r="X53" s="166">
        <f t="shared" si="368"/>
        <v>0.31057796076014937</v>
      </c>
      <c r="Y53" s="166">
        <f t="shared" si="368"/>
        <v>0.31868956602031384</v>
      </c>
      <c r="Z53" s="166">
        <f t="shared" ref="Z53:AA53" si="369">Z52/Z34</f>
        <v>0.3322714870886696</v>
      </c>
      <c r="AA53" s="166">
        <f t="shared" si="369"/>
        <v>0.32971178278540481</v>
      </c>
      <c r="AB53" s="167">
        <f t="shared" si="368"/>
        <v>0.33539911636501762</v>
      </c>
      <c r="AC53" s="167">
        <f t="shared" si="368"/>
        <v>0.36216869121467571</v>
      </c>
      <c r="AD53" s="167">
        <f t="shared" si="368"/>
        <v>0.3645272851693277</v>
      </c>
      <c r="AE53" s="167">
        <f t="shared" si="368"/>
        <v>0.36501345380033817</v>
      </c>
      <c r="AI53" s="166">
        <f t="shared" ref="AI53:BN53" si="370">AI52/AI34</f>
        <v>0.11905180806268106</v>
      </c>
      <c r="AJ53" s="166">
        <f t="shared" si="370"/>
        <v>4.7136888670435015E-2</v>
      </c>
      <c r="AK53" s="166">
        <f t="shared" si="370"/>
        <v>0.27804609310439798</v>
      </c>
      <c r="AL53" s="166">
        <f t="shared" si="370"/>
        <v>0.18472828867115265</v>
      </c>
      <c r="AM53" s="166">
        <f t="shared" si="370"/>
        <v>0.11706833938593582</v>
      </c>
      <c r="AN53" s="166">
        <f t="shared" si="370"/>
        <v>4.2704705777301538E-2</v>
      </c>
      <c r="AO53" s="166">
        <f t="shared" si="370"/>
        <v>0.21025856236243259</v>
      </c>
      <c r="AP53" s="166">
        <f t="shared" si="370"/>
        <v>0.15487769205455415</v>
      </c>
      <c r="AQ53" s="166">
        <f t="shared" si="370"/>
        <v>8.5582318178908864E-2</v>
      </c>
      <c r="AR53" s="166">
        <f t="shared" si="370"/>
        <v>1.5784418356456859E-2</v>
      </c>
      <c r="AS53" s="166">
        <f t="shared" si="370"/>
        <v>0.1966226965398383</v>
      </c>
      <c r="AT53" s="166">
        <f t="shared" si="370"/>
        <v>0.14111803485956831</v>
      </c>
      <c r="AU53" s="166">
        <f t="shared" si="370"/>
        <v>0.10312512101614837</v>
      </c>
      <c r="AV53" s="166">
        <f t="shared" si="370"/>
        <v>6.4570591589610565E-2</v>
      </c>
      <c r="AW53" s="166">
        <f t="shared" si="370"/>
        <v>0.21633295760589927</v>
      </c>
      <c r="AX53" s="166">
        <f t="shared" si="370"/>
        <v>0.14845537058895356</v>
      </c>
      <c r="AY53" s="166">
        <f t="shared" si="370"/>
        <v>9.9542587917137534E-2</v>
      </c>
      <c r="AZ53" s="166">
        <f t="shared" si="370"/>
        <v>7.9637539869487267E-2</v>
      </c>
      <c r="BA53" s="166">
        <f t="shared" si="370"/>
        <v>0.23588230617707071</v>
      </c>
      <c r="BB53" s="166">
        <f t="shared" si="370"/>
        <v>0.16887152876774814</v>
      </c>
      <c r="BC53" s="166">
        <f t="shared" si="370"/>
        <v>9.9422713903156323E-2</v>
      </c>
      <c r="BD53" s="166">
        <f t="shared" si="370"/>
        <v>6.4085854849883217E-2</v>
      </c>
      <c r="BE53" s="166">
        <f t="shared" si="370"/>
        <v>0.23429330304194576</v>
      </c>
      <c r="BF53" s="166">
        <f t="shared" si="370"/>
        <v>0.21397337904255501</v>
      </c>
      <c r="BG53" s="166">
        <f t="shared" si="370"/>
        <v>0.11295294477901406</v>
      </c>
      <c r="BH53" s="166">
        <f t="shared" si="370"/>
        <v>0.1028791224741583</v>
      </c>
      <c r="BI53" s="166">
        <f t="shared" si="370"/>
        <v>0.2535343231705014</v>
      </c>
      <c r="BJ53" s="166">
        <f t="shared" si="370"/>
        <v>0.22847820496335336</v>
      </c>
      <c r="BK53" s="166">
        <f t="shared" si="370"/>
        <v>0.17003921568627445</v>
      </c>
      <c r="BL53" s="166">
        <f t="shared" si="370"/>
        <v>0.15927499404431036</v>
      </c>
      <c r="BM53" s="166">
        <f t="shared" si="370"/>
        <v>0.3101287953843464</v>
      </c>
      <c r="BN53" s="166">
        <f t="shared" si="370"/>
        <v>0.1955916386009145</v>
      </c>
      <c r="BO53" s="166">
        <f t="shared" ref="BO53:CT53" si="371">BO52/BO34</f>
        <v>-1.8521690690063366</v>
      </c>
      <c r="BP53" s="166">
        <f t="shared" si="371"/>
        <v>-0.58573265282269049</v>
      </c>
      <c r="BQ53" s="166">
        <f t="shared" si="371"/>
        <v>-2.9900332225913536E-2</v>
      </c>
      <c r="BR53" s="166">
        <f t="shared" si="371"/>
        <v>0.1159474488634516</v>
      </c>
      <c r="BS53" s="166">
        <f t="shared" si="371"/>
        <v>-0.43192570018865184</v>
      </c>
      <c r="BT53" s="166">
        <f t="shared" si="371"/>
        <v>0.100004118785782</v>
      </c>
      <c r="BU53" s="166">
        <f t="shared" si="371"/>
        <v>0.28954662443080575</v>
      </c>
      <c r="BV53" s="166">
        <f t="shared" si="371"/>
        <v>0.18229978901018257</v>
      </c>
      <c r="BW53" s="166">
        <f t="shared" si="371"/>
        <v>0.29846690941259163</v>
      </c>
      <c r="BX53" s="166">
        <f t="shared" si="371"/>
        <v>0.23850204038584785</v>
      </c>
      <c r="BY53" s="166">
        <f t="shared" si="371"/>
        <v>0.35425910546921346</v>
      </c>
      <c r="BZ53" s="166">
        <f t="shared" si="371"/>
        <v>0.32944513144214144</v>
      </c>
      <c r="CA53" s="166">
        <f t="shared" si="371"/>
        <v>0.27971794294755065</v>
      </c>
      <c r="CB53" s="166">
        <f t="shared" si="371"/>
        <v>0.24754395757744921</v>
      </c>
      <c r="CC53" s="166">
        <f t="shared" si="371"/>
        <v>0.37293262180218345</v>
      </c>
      <c r="CD53" s="166">
        <f t="shared" si="371"/>
        <v>0.34628990101504192</v>
      </c>
      <c r="CE53" s="166">
        <f t="shared" si="371"/>
        <v>0.29002148068351147</v>
      </c>
      <c r="CF53" s="166">
        <f t="shared" si="371"/>
        <v>0.27450003285654834</v>
      </c>
      <c r="CG53" s="166">
        <f t="shared" si="371"/>
        <v>0.37965298750518156</v>
      </c>
      <c r="CH53" s="166">
        <f t="shared" si="371"/>
        <v>0.35329094402797367</v>
      </c>
      <c r="CI53" s="166">
        <f t="shared" ref="CI53:CJ53" si="372">CI52/CI34</f>
        <v>0.28221823740372731</v>
      </c>
      <c r="CJ53" s="166">
        <f t="shared" si="372"/>
        <v>0.27934871551137008</v>
      </c>
      <c r="CK53" s="166">
        <f t="shared" ref="CK53:CL53" si="373">CK52/CK34</f>
        <v>0.37854860729918788</v>
      </c>
      <c r="CL53" s="166">
        <f t="shared" si="373"/>
        <v>0.35174610981126758</v>
      </c>
      <c r="CM53" s="167">
        <f t="shared" si="371"/>
        <v>0.32296541750638819</v>
      </c>
      <c r="CN53" s="167">
        <f t="shared" si="371"/>
        <v>0.33315221253205346</v>
      </c>
      <c r="CO53" s="167">
        <f t="shared" si="371"/>
        <v>0.3466030867872244</v>
      </c>
      <c r="CP53" s="167">
        <f t="shared" si="371"/>
        <v>0.33861670665923332</v>
      </c>
      <c r="CQ53" s="167">
        <f t="shared" si="371"/>
        <v>0.35235059249022938</v>
      </c>
      <c r="CR53" s="167">
        <f t="shared" si="371"/>
        <v>0.35948543778119446</v>
      </c>
      <c r="CS53" s="167">
        <f t="shared" si="371"/>
        <v>0.36587617562647395</v>
      </c>
      <c r="CT53" s="167">
        <f t="shared" si="371"/>
        <v>0.37054817505601095</v>
      </c>
      <c r="CU53" s="167">
        <f t="shared" ref="CU53:DB53" si="374">CU52/CU34</f>
        <v>0.36206509523847724</v>
      </c>
      <c r="CV53" s="167">
        <f t="shared" si="374"/>
        <v>0.36449372092553928</v>
      </c>
      <c r="CW53" s="167">
        <f t="shared" si="374"/>
        <v>0.3657457917116253</v>
      </c>
      <c r="CX53" s="167">
        <f t="shared" si="374"/>
        <v>0.36571319573291328</v>
      </c>
      <c r="CY53" s="167">
        <f t="shared" si="374"/>
        <v>0.36450445090213879</v>
      </c>
      <c r="CZ53" s="167">
        <f t="shared" si="374"/>
        <v>0.36511428981805405</v>
      </c>
      <c r="DA53" s="167">
        <f t="shared" si="374"/>
        <v>0.36526943204118284</v>
      </c>
      <c r="DB53" s="167">
        <f t="shared" si="374"/>
        <v>0.36515034212357228</v>
      </c>
      <c r="DE53" s="169"/>
      <c r="DF53" s="168">
        <v>0.38105871453932866</v>
      </c>
    </row>
    <row r="54" spans="1:110" s="38" customFormat="1" x14ac:dyDescent="0.2">
      <c r="A54" s="39" t="s">
        <v>449</v>
      </c>
      <c r="B54" s="39"/>
      <c r="C54" s="39">
        <f t="shared" ref="C54:E54" si="375">+IF(B52&lt;0,1-C52/B52,C52/B52-1)</f>
        <v>-0.26423468283178231</v>
      </c>
      <c r="D54" s="39">
        <f t="shared" si="375"/>
        <v>5.7010445784905217E-2</v>
      </c>
      <c r="E54" s="39">
        <f t="shared" si="375"/>
        <v>0.22256246085322595</v>
      </c>
      <c r="F54" s="39">
        <f t="shared" ref="F54:Y54" si="376">+IF(E52&lt;0,1-F52/E52,F52/E52-1)</f>
        <v>0.89064723629532616</v>
      </c>
      <c r="G54" s="39">
        <f t="shared" si="376"/>
        <v>0.530605485803751</v>
      </c>
      <c r="H54" s="39">
        <f t="shared" si="376"/>
        <v>0.41728302777559256</v>
      </c>
      <c r="I54" s="39">
        <f t="shared" si="376"/>
        <v>0.23808796791072817</v>
      </c>
      <c r="J54" s="39">
        <f t="shared" si="376"/>
        <v>-0.42769862000156955</v>
      </c>
      <c r="K54" s="39">
        <f t="shared" si="376"/>
        <v>-0.22009363185833752</v>
      </c>
      <c r="L54" s="39">
        <f t="shared" si="376"/>
        <v>0.1322868265728987</v>
      </c>
      <c r="M54" s="39">
        <f t="shared" si="376"/>
        <v>0.20946275675435944</v>
      </c>
      <c r="N54" s="39">
        <f t="shared" si="376"/>
        <v>-1.3956900504356051E-2</v>
      </c>
      <c r="O54" s="39">
        <f t="shared" si="376"/>
        <v>4.0789375790492244E-2</v>
      </c>
      <c r="P54" s="39">
        <f t="shared" si="376"/>
        <v>-0.12686527154779526</v>
      </c>
      <c r="Q54" s="39">
        <f t="shared" si="376"/>
        <v>0.13013221990257451</v>
      </c>
      <c r="R54" s="39">
        <f t="shared" si="376"/>
        <v>0.1040640394088661</v>
      </c>
      <c r="S54" s="39">
        <f t="shared" si="376"/>
        <v>9.9619435057904937E-2</v>
      </c>
      <c r="T54" s="39">
        <f t="shared" si="376"/>
        <v>0.23775639591258257</v>
      </c>
      <c r="U54" s="39">
        <f t="shared" si="376"/>
        <v>0.16607812179865888</v>
      </c>
      <c r="V54" s="39">
        <f t="shared" si="376"/>
        <v>-1.3739005508873106</v>
      </c>
      <c r="W54" s="39">
        <f t="shared" si="376"/>
        <v>2.1188356921716061</v>
      </c>
      <c r="X54" s="39">
        <f t="shared" si="376"/>
        <v>3.4581346510191464</v>
      </c>
      <c r="Y54" s="39">
        <f t="shared" si="376"/>
        <v>0.19546338733007085</v>
      </c>
      <c r="Z54" s="39">
        <f t="shared" ref="Z54:AE54" si="377">+IF(Y52&lt;0,1-Z52/Y52,Z52/Y52-1)</f>
        <v>0.28380301604446734</v>
      </c>
      <c r="AA54" s="39">
        <f t="shared" si="377"/>
        <v>0.15358227441294425</v>
      </c>
      <c r="AB54" s="40">
        <f t="shared" si="377"/>
        <v>0.14277269147022875</v>
      </c>
      <c r="AC54" s="40">
        <f t="shared" si="377"/>
        <v>0.15158870784875189</v>
      </c>
      <c r="AD54" s="40">
        <f t="shared" si="377"/>
        <v>7.2741457280599109E-2</v>
      </c>
      <c r="AE54" s="40">
        <f t="shared" si="377"/>
        <v>6.4034872934981335E-2</v>
      </c>
      <c r="AI54" s="39"/>
      <c r="AJ54" s="39"/>
      <c r="AK54" s="39"/>
      <c r="AL54" s="39"/>
      <c r="AM54" s="39">
        <f>+IF(AI52&lt;0,1-AM52/AI52,AM52/AI52-1)</f>
        <v>4.8078817733989032E-2</v>
      </c>
      <c r="AN54" s="39">
        <f t="shared" ref="AN54" si="378">+IF(AJ52&lt;0,1-AN52/AJ52,AN52/AJ52-1)</f>
        <v>-2.606882168926572E-3</v>
      </c>
      <c r="AO54" s="39">
        <f t="shared" ref="AO54" si="379">+IF(AK52&lt;0,1-AO52/AK52,AO52/AK52-1)</f>
        <v>0.6214252691367812</v>
      </c>
      <c r="AP54" s="39">
        <f t="shared" ref="AP54" si="380">+IF(AL52&lt;0,1-AP52/AL52,AP52/AL52-1)</f>
        <v>-9.7720737032697902E-2</v>
      </c>
      <c r="AQ54" s="39">
        <f t="shared" ref="AQ54" si="381">+IF(AM52&lt;0,1-AQ52/AM52,AQ52/AM52-1)</f>
        <v>-0.24581688287272052</v>
      </c>
      <c r="AR54" s="39">
        <f t="shared" ref="AR54" si="382">+IF(AN52&lt;0,1-AR52/AN52,AR52/AN52-1)</f>
        <v>-0.61343439623627605</v>
      </c>
      <c r="AS54" s="39">
        <f t="shared" ref="AS54" si="383">+IF(AO52&lt;0,1-AS52/AO52,AS52/AO52-1)</f>
        <v>-3.3401221995925989E-2</v>
      </c>
      <c r="AT54" s="39">
        <f t="shared" ref="AT54" si="384">+IF(AP52&lt;0,1-AT52/AP52,AT52/AP52-1)</f>
        <v>-7.7731216431565109E-2</v>
      </c>
      <c r="AU54" s="39">
        <f t="shared" ref="AU54" si="385">+IF(AQ52&lt;0,1-AU52/AQ52,AU52/AQ52-1)</f>
        <v>0.32768291162906782</v>
      </c>
      <c r="AV54" s="39">
        <f t="shared" ref="AV54" si="386">+IF(AR52&lt;0,1-AV52/AR52,AV52/AR52-1)</f>
        <v>2.9046653144016021</v>
      </c>
      <c r="AW54" s="39">
        <f t="shared" ref="AW54" si="387">+IF(AS52&lt;0,1-AW52/AS52,AW52/AS52-1)</f>
        <v>5.9502739148756811E-2</v>
      </c>
      <c r="AX54" s="39">
        <f t="shared" ref="AX54" si="388">+IF(AT52&lt;0,1-AX52/AT52,AX52/AT52-1)</f>
        <v>0.16709330602841432</v>
      </c>
      <c r="AY54" s="39">
        <f t="shared" ref="AY54" si="389">+IF(AU52&lt;0,1-AY52/AU52,AY52/AU52-1)</f>
        <v>-0.11537739391663615</v>
      </c>
      <c r="AZ54" s="39">
        <f t="shared" ref="AZ54" si="390">+IF(AV52&lt;0,1-AZ52/AV52,AZ52/AV52-1)</f>
        <v>0.22354978354978305</v>
      </c>
      <c r="BA54" s="39">
        <f t="shared" ref="BA54" si="391">+IF(AW52&lt;0,1-BA52/AW52,BA52/AW52-1)</f>
        <v>6.2127117969930312E-2</v>
      </c>
      <c r="BB54" s="39">
        <f t="shared" ref="BB54" si="392">+IF(AX52&lt;0,1-BB52/AX52,BB52/AX52-1)</f>
        <v>-2.566211547952002E-2</v>
      </c>
      <c r="BC54" s="39">
        <f t="shared" ref="BC54" si="393">+IF(AY52&lt;0,1-BC52/AY52,BC52/AY52-1)</f>
        <v>-3.862888676642251E-2</v>
      </c>
      <c r="BD54" s="39">
        <f t="shared" ref="BD54" si="394">+IF(AZ52&lt;0,1-BD52/AZ52,BD52/AZ52-1)</f>
        <v>-0.22756863855080578</v>
      </c>
      <c r="BE54" s="39">
        <f t="shared" ref="BE54" si="395">+IF(BA52&lt;0,1-BE52/BA52,BE52/BA52-1)</f>
        <v>5.0441881366087626E-2</v>
      </c>
      <c r="BF54" s="39">
        <f t="shared" ref="BF54" si="396">+IF(BB52&lt;0,1-BF52/BB52,BF52/BB52-1)</f>
        <v>0.37694861838032545</v>
      </c>
      <c r="BG54" s="39">
        <f t="shared" ref="BG54" si="397">+IF(BC52&lt;0,1-BG52/BC52,BG52/BC52-1)</f>
        <v>0.22154763218898532</v>
      </c>
      <c r="BH54" s="39">
        <f t="shared" ref="BH54" si="398">+IF(BD52&lt;0,1-BH52/BD52,BH52/BD52-1)</f>
        <v>0.81806522535727066</v>
      </c>
      <c r="BI54" s="39">
        <f t="shared" ref="BI54" si="399">+IF(BE52&lt;0,1-BI52/BE52,BI52/BE52-1)</f>
        <v>0.19617838936223331</v>
      </c>
      <c r="BJ54" s="39">
        <f t="shared" ref="BJ54" si="400">+IF(BF52&lt;0,1-BJ52/BF52,BJ52/BF52-1)</f>
        <v>0.16197327011893536</v>
      </c>
      <c r="BK54" s="39">
        <f t="shared" ref="BK54" si="401">+IF(BG52&lt;0,1-BK52/BG52,BK52/BG52-1)</f>
        <v>0.56732333273088575</v>
      </c>
      <c r="BL54" s="39">
        <f t="shared" ref="BL54" si="402">+IF(BH52&lt;0,1-BL52/BH52,BL52/BH52-1)</f>
        <v>0.61705129497128075</v>
      </c>
      <c r="BM54" s="39">
        <f t="shared" ref="BM54" si="403">+IF(BI52&lt;0,1-BM52/BI52,BM52/BI52-1)</f>
        <v>0.26876080348095588</v>
      </c>
      <c r="BN54" s="39">
        <f t="shared" ref="BN54" si="404">+IF(BJ52&lt;0,1-BN52/BJ52,BN52/BJ52-1)</f>
        <v>-0.26869504045022796</v>
      </c>
      <c r="BO54" s="39">
        <f t="shared" ref="BO54" si="405">+IF(BK52&lt;0,1-BO52/BK52,BO52/BK52-1)</f>
        <v>-2.5336139298892997</v>
      </c>
      <c r="BP54" s="39">
        <f t="shared" ref="BP54" si="406">+IF(BL52&lt;0,1-BP52/BL52,BP52/BL52-1)</f>
        <v>-1.9369313224479616</v>
      </c>
      <c r="BQ54" s="39">
        <f t="shared" ref="BQ54" si="407">+IF(BM52&lt;0,1-BQ52/BM52,BQ52/BM52-1)</f>
        <v>-1.0393216198440287</v>
      </c>
      <c r="BR54" s="39">
        <f t="shared" ref="BR54" si="408">+IF(BN52&lt;0,1-BR52/BN52,BR52/BN52-1)</f>
        <v>-0.6570150545909289</v>
      </c>
      <c r="BS54" s="39">
        <f t="shared" ref="BS54" si="409">+IF(BO52&lt;0,1-BS52/BO52,BS52/BO52-1)</f>
        <v>0.44050528215346441</v>
      </c>
      <c r="BT54" s="39">
        <f t="shared" ref="BT54" si="410">+IF(BP52&lt;0,1-BT52/BP52,BT52/BP52-1)</f>
        <v>1.4845017959292273</v>
      </c>
      <c r="BU54" s="39">
        <f t="shared" ref="BU54" si="411">+IF(BQ52&lt;0,1-BU52/BQ52,BU52/BQ52-1)</f>
        <v>20.220430107526937</v>
      </c>
      <c r="BV54" s="39">
        <f t="shared" ref="BV54" si="412">+IF(BR52&lt;0,1-BV52/BR52,BV52/BR52-1)</f>
        <v>1.2294208385920631</v>
      </c>
      <c r="BW54" s="39">
        <f t="shared" ref="BW54" si="413">+IF(BS52&lt;0,1-BW52/BS52,BW52/BS52-1)</f>
        <v>3.539174842091116</v>
      </c>
      <c r="BX54" s="39">
        <f t="shared" ref="BX54" si="414">+IF(BT52&lt;0,1-BX52/BT52,BX52/BT52-1)</f>
        <v>3.0359692476661149</v>
      </c>
      <c r="BY54" s="39">
        <f t="shared" ref="BY54" si="415">+IF(BU52&lt;0,1-BY52/BU52,BY52/BU52-1)</f>
        <v>0.85613053613053625</v>
      </c>
      <c r="BZ54" s="39">
        <f t="shared" ref="BZ54" si="416">+IF(BV52&lt;0,1-BZ52/BV52,BZ52/BV52-1)</f>
        <v>2.3682853189080384</v>
      </c>
      <c r="CA54" s="39">
        <f t="shared" ref="CA54" si="417">+IF(BW52&lt;0,1-CA52/BW52,CA52/BW52-1)</f>
        <v>8.5450407536784123E-2</v>
      </c>
      <c r="CB54" s="39">
        <f t="shared" ref="CB54" si="418">+IF(BX52&lt;0,1-CB52/BX52,CB52/BX52-1)</f>
        <v>0.20681679025784172</v>
      </c>
      <c r="CC54" s="39">
        <f t="shared" ref="CC54" si="419">+IF(BY52&lt;0,1-CC52/BY52,CC52/BY52-1)</f>
        <v>0.22633579477905563</v>
      </c>
      <c r="CD54" s="39">
        <f t="shared" ref="CD54" si="420">+IF(BZ52&lt;0,1-CD52/BZ52,CD52/BZ52-1)</f>
        <v>0.23214252366990973</v>
      </c>
      <c r="CE54" s="39">
        <f t="shared" ref="CE54" si="421">+IF(CA52&lt;0,1-CE52/CA52,CE52/CA52-1)</f>
        <v>9.6130872565034498E-2</v>
      </c>
      <c r="CF54" s="39">
        <f t="shared" ref="CF54" si="422">+IF(CB52&lt;0,1-CF52/CB52,CF52/CB52-1)</f>
        <v>0.41290377135125911</v>
      </c>
      <c r="CG54" s="39">
        <f t="shared" ref="CG54" si="423">+IF(CC52&lt;0,1-CG52/CC52,CG52/CC52-1)</f>
        <v>0.31308883366558415</v>
      </c>
      <c r="CH54" s="39">
        <f t="shared" ref="CH54:CL54" si="424">+IF(CD52&lt;0,1-CH52/CD52,CH52/CD52-1)</f>
        <v>0.29854501364049724</v>
      </c>
      <c r="CI54" s="39">
        <f t="shared" si="424"/>
        <v>0.28120551601423416</v>
      </c>
      <c r="CJ54" s="39">
        <f t="shared" si="424"/>
        <v>0.13735112813453854</v>
      </c>
      <c r="CK54" s="39">
        <f t="shared" si="424"/>
        <v>0.1186881291073949</v>
      </c>
      <c r="CL54" s="39">
        <f t="shared" si="424"/>
        <v>0.13527393263148069</v>
      </c>
      <c r="CM54" s="40">
        <f t="shared" ref="CM54" si="425">+CM52/CI52-1</f>
        <v>0.51248700839911798</v>
      </c>
      <c r="CN54" s="40">
        <f t="shared" ref="CN54" si="426">+CN52/CJ52-1</f>
        <v>0.58421981448296845</v>
      </c>
      <c r="CO54" s="40">
        <f t="shared" ref="CO54" si="427">+CO52/CK52-1</f>
        <v>-0.11198520154555236</v>
      </c>
      <c r="CP54" s="40">
        <f t="shared" ref="CP54" si="428">+CP52/CL52-1</f>
        <v>-5.3150670054973426E-2</v>
      </c>
      <c r="CQ54" s="40">
        <f t="shared" ref="CQ54" si="429">+CQ52/CM52-1</f>
        <v>0.15035320317209333</v>
      </c>
      <c r="CR54" s="40">
        <f t="shared" ref="CR54" si="430">+CR52/CN52-1</f>
        <v>0.1462764726905752</v>
      </c>
      <c r="CS54" s="40">
        <f t="shared" ref="CS54" si="431">+CS52/CO52-1</f>
        <v>0.11891902531373355</v>
      </c>
      <c r="CT54" s="40">
        <f t="shared" ref="CT54" si="432">+CT52/CP52-1</f>
        <v>0.19185574518563975</v>
      </c>
      <c r="CU54" s="40">
        <f t="shared" ref="CU54" si="433">+CU52/CQ52-1</f>
        <v>9.2442502260910775E-2</v>
      </c>
      <c r="CV54" s="40">
        <f t="shared" ref="CV54" si="434">+CV52/CR52-1</f>
        <v>8.0320588377100766E-2</v>
      </c>
      <c r="CW54" s="40">
        <f t="shared" ref="CW54" si="435">+CW52/CS52-1</f>
        <v>6.6003351885233874E-2</v>
      </c>
      <c r="CX54" s="40">
        <f t="shared" ref="CX54" si="436">+CX52/CT52-1</f>
        <v>5.4166729772562761E-2</v>
      </c>
      <c r="CY54" s="40">
        <f t="shared" ref="CY54" si="437">+CY52/CU52-1</f>
        <v>7.0207702219036161E-2</v>
      </c>
      <c r="CZ54" s="40">
        <f t="shared" ref="CZ54" si="438">+CZ52/CV52-1</f>
        <v>6.4923551915596844E-2</v>
      </c>
      <c r="DA54" s="40">
        <f t="shared" ref="DA54" si="439">+DA52/CW52-1</f>
        <v>6.1221264697012057E-2</v>
      </c>
      <c r="DB54" s="40">
        <f t="shared" ref="DB54" si="440">+DB52/CX52-1</f>
        <v>6.0105908471442815E-2</v>
      </c>
      <c r="DE54" s="122"/>
      <c r="DF54" s="38">
        <v>0.2594076063126125</v>
      </c>
    </row>
    <row r="55" spans="1:110" s="38" customFormat="1" x14ac:dyDescent="0.2">
      <c r="A55" s="39" t="s">
        <v>450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40"/>
      <c r="AC55" s="40"/>
      <c r="AD55" s="40"/>
      <c r="AE55" s="40"/>
      <c r="AI55" s="39"/>
      <c r="AJ55" s="39">
        <f>+IF(AI52&lt;0,1-AJ52/AI52,AJ52/AI52-1)</f>
        <v>-0.62206896551724122</v>
      </c>
      <c r="AK55" s="39">
        <f t="shared" ref="AK55:AM55" si="441">+IF(AJ52&lt;0,1-AK52/AJ52,AK52/AJ52-1)</f>
        <v>2.9470802919707992</v>
      </c>
      <c r="AL55" s="39">
        <f t="shared" si="441"/>
        <v>0.24020870484116097</v>
      </c>
      <c r="AM55" s="39">
        <f t="shared" si="441"/>
        <v>-0.43348599424858969</v>
      </c>
      <c r="AN55" s="39">
        <f t="shared" ref="AN55" si="442">+IF(AM52&lt;0,1-AN52/AM52,AN52/AM52-1)</f>
        <v>-0.64034592968603088</v>
      </c>
      <c r="AO55" s="39">
        <f t="shared" ref="AO55" si="443">+IF(AN52&lt;0,1-AO52/AN52,AO52/AN52-1)</f>
        <v>5.4166231050705687</v>
      </c>
      <c r="AP55" s="39">
        <f t="shared" ref="AP55" si="444">+IF(AO52&lt;0,1-AP52/AO52,AP52/AO52-1)</f>
        <v>-0.30985743380855335</v>
      </c>
      <c r="AQ55" s="39">
        <f t="shared" ref="AQ55" si="445">+IF(AP52&lt;0,1-AQ52/AP52,AQ52/AP52-1)</f>
        <v>-0.52647110901257232</v>
      </c>
      <c r="AR55" s="39">
        <f t="shared" ref="AR55" si="446">+IF(AQ52&lt;0,1-AR52/AQ52,AR52/AQ52-1)</f>
        <v>-0.81565499189829116</v>
      </c>
      <c r="AS55" s="39">
        <f t="shared" ref="AS55" si="447">+IF(AR52&lt;0,1-AS52/AR52,AS52/AR52-1)</f>
        <v>15.044624746450225</v>
      </c>
      <c r="AT55" s="39">
        <f t="shared" ref="AT55" si="448">+IF(AS52&lt;0,1-AT52/AS52,AT52/AS52-1)</f>
        <v>-0.34150863885377181</v>
      </c>
      <c r="AU55" s="39">
        <f t="shared" ref="AU55" si="449">+IF(AT52&lt;0,1-AU52/AT52,AU52/AT52-1)</f>
        <v>-0.31831562779982092</v>
      </c>
      <c r="AV55" s="39">
        <f t="shared" ref="AV55" si="450">+IF(AU52&lt;0,1-AV52/AU52,AV52/AU52-1)</f>
        <v>-0.45784829140067584</v>
      </c>
      <c r="AW55" s="39">
        <f t="shared" ref="AW55" si="451">+IF(AV52&lt;0,1-AW52/AV52,AW52/AV52-1)</f>
        <v>3.3535930735930748</v>
      </c>
      <c r="AX55" s="39">
        <f t="shared" ref="AX55" si="452">+IF(AW52&lt;0,1-AX52/AW52,AX52/AW52-1)</f>
        <v>-0.27464004454697344</v>
      </c>
      <c r="AY55" s="39">
        <f t="shared" ref="AY55" si="453">+IF(AX52&lt;0,1-AY52/AX52,AY52/AX52-1)</f>
        <v>-0.48330317486428742</v>
      </c>
      <c r="AZ55" s="39">
        <f t="shared" ref="AZ55" si="454">+IF(AY52&lt;0,1-AZ52/AY52,AZ52/AY52-1)</f>
        <v>-0.25013265414411501</v>
      </c>
      <c r="BA55" s="39">
        <f t="shared" ref="BA55" si="455">+IF(AZ52&lt;0,1-BA52/AZ52,BA52/AZ52-1)</f>
        <v>2.7792244551372782</v>
      </c>
      <c r="BB55" s="39">
        <f t="shared" ref="BB55" si="456">+IF(BA52&lt;0,1-BB52/BA52,BB52/BA52-1)</f>
        <v>-0.33459406830437399</v>
      </c>
      <c r="BC55" s="39">
        <f t="shared" ref="BC55" si="457">+IF(BB52&lt;0,1-BC52/BB52,BC52/BB52-1)</f>
        <v>-0.49017952614103244</v>
      </c>
      <c r="BD55" s="39">
        <f t="shared" ref="BD55" si="458">+IF(BC52&lt;0,1-BD52/BC52,BD52/BC52-1)</f>
        <v>-0.39750524340434823</v>
      </c>
      <c r="BE55" s="39">
        <f t="shared" ref="BE55" si="459">+IF(BD52&lt;0,1-BE52/BD52,BE52/BD52-1)</f>
        <v>4.1394283620373722</v>
      </c>
      <c r="BF55" s="39">
        <f t="shared" ref="BF55" si="460">+IF(BE52&lt;0,1-BF52/BE52,BF52/BE52-1)</f>
        <v>-0.12776728102384949</v>
      </c>
      <c r="BG55" s="39">
        <f t="shared" ref="BG55" si="461">+IF(BF52&lt;0,1-BG52/BF52,BG52/BF52-1)</f>
        <v>-0.54771733355131358</v>
      </c>
      <c r="BH55" s="39">
        <f t="shared" ref="BH55" si="462">+IF(BG52&lt;0,1-BH52/BG52,BH52/BG52-1)</f>
        <v>-0.10328935478041001</v>
      </c>
      <c r="BI55" s="39">
        <f t="shared" ref="BI55" si="463">+IF(BH52&lt;0,1-BI52/BH52,BI52/BH52-1)</f>
        <v>2.3814370654036119</v>
      </c>
      <c r="BJ55" s="39">
        <f t="shared" ref="BJ55" si="464">+IF(BI52&lt;0,1-BJ52/BI52,BJ52/BI52-1)</f>
        <v>-0.15270906598319189</v>
      </c>
      <c r="BK55" s="39">
        <f t="shared" ref="BK55" si="465">+IF(BJ52&lt;0,1-BK52/BJ52,BK52/BJ52-1)</f>
        <v>-0.38994020400984863</v>
      </c>
      <c r="BL55" s="39">
        <f t="shared" ref="BL55" si="466">+IF(BK52&lt;0,1-BL52/BK52,BL52/BK52-1)</f>
        <v>-7.4838560885608363E-2</v>
      </c>
      <c r="BM55" s="39">
        <f t="shared" ref="BM55" si="467">+IF(BL52&lt;0,1-BM52/BL52,BM52/BL52-1)</f>
        <v>1.6531222734637914</v>
      </c>
      <c r="BN55" s="39">
        <f t="shared" ref="BN55" si="468">+IF(BM52&lt;0,1-BN52/BM52,BN52/BM52-1)</f>
        <v>-0.51162736070656756</v>
      </c>
      <c r="BO55" s="39">
        <f t="shared" ref="BO55" si="469">+IF(BN52&lt;0,1-BO52/BN52,BO52/BN52-1)</f>
        <v>-2.2793516425376361</v>
      </c>
      <c r="BP55" s="39">
        <f t="shared" ref="BP55" si="470">+IF(BO52&lt;0,1-BP52/BO52,BP52/BO52-1)</f>
        <v>0.43479078160833129</v>
      </c>
      <c r="BQ55" s="39">
        <f t="shared" ref="BQ55" si="471">+IF(BP52&lt;0,1-BQ52/BP52,BQ52/BP52-1)</f>
        <v>0.88865238792071333</v>
      </c>
      <c r="BR55" s="39">
        <f t="shared" ref="BR55" si="472">+IF(BQ52&lt;0,1-BR52/BQ52,BR52/BQ52-1)</f>
        <v>5.2598566308243848</v>
      </c>
      <c r="BS55" s="39">
        <f t="shared" ref="BS55" si="473">+IF(BR52&lt;0,1-BS52/BR52,BS52/BR52-1)</f>
        <v>-3.0869443275837889</v>
      </c>
      <c r="BT55" s="39">
        <f t="shared" ref="BT55" si="474">+IF(BS52&lt;0,1-BT52/BS52,BT52/BS52-1)</f>
        <v>1.4894503426958745</v>
      </c>
      <c r="BU55" s="39">
        <f t="shared" ref="BU55" si="475">+IF(BT52&lt;0,1-BU52/BT52,BU52/BT52-1)</f>
        <v>3.4172158154859948</v>
      </c>
      <c r="BV55" s="39">
        <f t="shared" ref="BV55" si="476">+IF(BU52&lt;0,1-BV52/BU52,BV52/BU52-1)</f>
        <v>-0.50588966588966588</v>
      </c>
      <c r="BW55" s="39">
        <f t="shared" ref="BW55" si="477">+IF(BV52&lt;0,1-BW52/BV52,BW52/BV52-1)</f>
        <v>1.3769027550635289</v>
      </c>
      <c r="BX55" s="39">
        <f t="shared" ref="BX55" si="478">+IF(BW52&lt;0,1-BX52/BW52,BX52/BW52-1)</f>
        <v>-0.22202815708690593</v>
      </c>
      <c r="BY55" s="39">
        <f t="shared" ref="BY55" si="479">+IF(BX52&lt;0,1-BY52/BX52,BY52/BX52-1)</f>
        <v>1.031464725491531</v>
      </c>
      <c r="BZ55" s="39">
        <f t="shared" ref="BZ55" si="480">+IF(BY52&lt;0,1-BZ52/BY52,BZ52/BY52-1)</f>
        <v>-0.10334723129217527</v>
      </c>
      <c r="CA55" s="39">
        <f t="shared" ref="CA55" si="481">+IF(BZ52&lt;0,1-CA52/BZ52,CA52/BZ52-1)</f>
        <v>-0.23402864666006862</v>
      </c>
      <c r="CB55" s="39">
        <f t="shared" ref="CB55" si="482">+IF(CA52&lt;0,1-CB52/CA52,CB52/CA52-1)</f>
        <v>-0.13504156813028667</v>
      </c>
      <c r="CC55" s="39">
        <f t="shared" ref="CC55" si="483">+IF(CB52&lt;0,1-CC52/CB52,CC52/CB52-1)</f>
        <v>1.0643215513839546</v>
      </c>
      <c r="CD55" s="39">
        <f t="shared" ref="CD55" si="484">+IF(CC52&lt;0,1-CD52/CC52,CD52/CC52-1)</f>
        <v>-9.9101559299816899E-2</v>
      </c>
      <c r="CE55" s="39">
        <f t="shared" ref="CE55" si="485">+IF(CD52&lt;0,1-CE52/CD52,CE52/CD52-1)</f>
        <v>-0.31858138829948457</v>
      </c>
      <c r="CF55" s="39">
        <f t="shared" ref="CF55" si="486">+IF(CE52&lt;0,1-CF52/CE52,CF52/CE52-1)</f>
        <v>0.11492437722419924</v>
      </c>
      <c r="CG55" s="39">
        <f t="shared" ref="CG55" si="487">+IF(CF52&lt;0,1-CG52/CF52,CG52/CF52-1)</f>
        <v>0.9184870429110068</v>
      </c>
      <c r="CH55" s="39">
        <f t="shared" ref="CH55:CI55" si="488">+IF(CG52&lt;0,1-CH52/CG52,CH52/CG52-1)</f>
        <v>-0.10907994343232708</v>
      </c>
      <c r="CI55" s="39">
        <f t="shared" si="488"/>
        <v>-0.32768038469618832</v>
      </c>
      <c r="CJ55" s="39">
        <f>+IF(CI52&gt;1,CJ52/CI52-1,1-CJ52/CI52)</f>
        <v>-1.0259882297796397E-2</v>
      </c>
      <c r="CK55" s="39">
        <f>+IF(CJ52&gt;1,CK52/CJ52-1,1-CK52/CJ52)</f>
        <v>0.8870062442994453</v>
      </c>
      <c r="CL55" s="39">
        <f>+IF(CK52&gt;1,CL52/CK52-1,1-CL52/CK52)</f>
        <v>-9.5871056496439788E-2</v>
      </c>
      <c r="CM55" s="40">
        <f t="shared" ref="CM55" si="489">+CM52/CL52-1</f>
        <v>-0.10429134818425023</v>
      </c>
      <c r="CN55" s="40">
        <f t="shared" ref="CN55" si="490">+CN52/CM52-1</f>
        <v>3.6680577714277351E-2</v>
      </c>
      <c r="CO55" s="40">
        <f t="shared" ref="CO55" si="491">+CO52/CN52-1</f>
        <v>5.7737982062003201E-2</v>
      </c>
      <c r="CP55" s="40">
        <f t="shared" ref="CP55" si="492">+CP52/CO52-1</f>
        <v>-3.5968898457310217E-2</v>
      </c>
      <c r="CQ55" s="40">
        <f t="shared" ref="CQ55" si="493">+CQ52/CP52-1</f>
        <v>8.8220991596443366E-2</v>
      </c>
      <c r="CR55" s="40">
        <f t="shared" ref="CR55" si="494">+CR52/CQ52-1</f>
        <v>3.3006691033984792E-2</v>
      </c>
      <c r="CS55" s="40">
        <f t="shared" ref="CS55" si="495">+CS52/CR52-1</f>
        <v>3.249362620880647E-2</v>
      </c>
      <c r="CT55" s="40">
        <f t="shared" ref="CT55" si="496">+CT52/CS52-1</f>
        <v>2.6871454428198271E-2</v>
      </c>
      <c r="CU55" s="40">
        <f t="shared" ref="CU55" si="497">+CU52/CT52-1</f>
        <v>-2.5480282537870824E-3</v>
      </c>
      <c r="CV55" s="40">
        <f t="shared" ref="CV55" si="498">+CV52/CU52-1</f>
        <v>2.1544286262842993E-2</v>
      </c>
      <c r="CW55" s="40">
        <f t="shared" ref="CW55" si="499">+CW52/CV52-1</f>
        <v>1.8810229278471757E-2</v>
      </c>
      <c r="CX55" s="40">
        <f t="shared" ref="CX55" si="500">+CX52/CW52-1</f>
        <v>1.5469342659168772E-2</v>
      </c>
      <c r="CY55" s="40">
        <f t="shared" ref="CY55" si="501">+CY52/CX52-1</f>
        <v>1.2629930928166555E-2</v>
      </c>
      <c r="CZ55" s="40">
        <f t="shared" ref="CZ55" si="502">+CZ52/CY52-1</f>
        <v>1.6500411565398831E-2</v>
      </c>
      <c r="DA55" s="40">
        <f t="shared" ref="DA55" si="503">+DA52/CZ52-1</f>
        <v>1.5268258511428323E-2</v>
      </c>
      <c r="DB55" s="40">
        <f t="shared" ref="DB55" si="504">+DB52/DA52-1</f>
        <v>1.4402072250171871E-2</v>
      </c>
      <c r="DE55" s="122"/>
      <c r="DF55" s="38">
        <v>2.9886495292150705E-3</v>
      </c>
    </row>
    <row r="56" spans="1:110" s="23" customFormat="1" x14ac:dyDescent="0.2">
      <c r="A56" s="23" t="s">
        <v>15</v>
      </c>
      <c r="B56" s="23">
        <f>'Annual Raw'!C27</f>
        <v>45.16</v>
      </c>
      <c r="C56" s="23">
        <f>'Annual Raw'!D27</f>
        <v>78.849999999999994</v>
      </c>
      <c r="D56" s="23">
        <f>'Annual Raw'!E27</f>
        <v>75.650000000000006</v>
      </c>
      <c r="E56" s="23">
        <f>'Annual Raw'!F27</f>
        <v>87.83</v>
      </c>
      <c r="F56" s="23">
        <f>'Annual Raw'!G27</f>
        <v>111.73</v>
      </c>
      <c r="G56" s="23">
        <f>'Annual Raw'!H27</f>
        <v>127.35</v>
      </c>
      <c r="H56" s="23">
        <f>'Annual Raw'!I27</f>
        <v>160.66999999999999</v>
      </c>
      <c r="I56" s="23">
        <f>'Annual Raw'!J27</f>
        <v>167.62</v>
      </c>
      <c r="J56" s="23">
        <f>'Annual Raw'!K27</f>
        <v>188.53</v>
      </c>
      <c r="K56" s="23">
        <f>'Annual Raw'!L27</f>
        <v>218.54</v>
      </c>
      <c r="L56" s="23">
        <f>'Annual Raw'!M27</f>
        <v>227.89</v>
      </c>
      <c r="M56" s="23">
        <f>'Annual Raw'!N27</f>
        <v>255.07</v>
      </c>
      <c r="N56" s="23">
        <f>'Annual Raw'!O27</f>
        <v>288.42</v>
      </c>
      <c r="O56" s="23">
        <f>'Annual Raw'!P27</f>
        <v>308.13</v>
      </c>
      <c r="P56" s="23">
        <f>'Annual Raw'!Q27</f>
        <v>291.29000000000002</v>
      </c>
      <c r="Q56" s="23">
        <f>'Annual Raw'!R27</f>
        <v>284.82</v>
      </c>
      <c r="R56" s="23">
        <f>'Annual Raw'!S27</f>
        <v>299.37</v>
      </c>
      <c r="S56" s="23">
        <f>'Annual Raw'!T27</f>
        <v>301.2</v>
      </c>
      <c r="T56" s="23">
        <f>'Annual Raw'!U27</f>
        <v>327.85</v>
      </c>
      <c r="U56" s="23">
        <f>'Annual Raw'!V27</f>
        <v>404.24</v>
      </c>
      <c r="V56" s="23">
        <f>'Annual Raw'!W27</f>
        <v>409.63</v>
      </c>
      <c r="W56" s="23">
        <f>'Annual Raw'!X27</f>
        <v>406.05</v>
      </c>
      <c r="X56" s="23">
        <f>'Annual Raw'!Y27</f>
        <v>416.06</v>
      </c>
      <c r="Y56" s="23">
        <f>'Annual Raw'!Z27</f>
        <v>454.3</v>
      </c>
      <c r="Z56" s="23">
        <f>'Annual Raw'!AA27</f>
        <v>518.16</v>
      </c>
      <c r="AA56" s="23">
        <f>'Annual Raw'!AB27</f>
        <v>605.16</v>
      </c>
      <c r="AB56" s="76">
        <f>+SUM(CM56:CP56)</f>
        <v>747.93109110215937</v>
      </c>
      <c r="AC56" s="76">
        <f>+SUM(CQ56:CT56)</f>
        <v>735.71128804583213</v>
      </c>
      <c r="AD56" s="76">
        <f>+SUM(CU56:CX56)</f>
        <v>724.50089812654664</v>
      </c>
      <c r="AE56" s="76">
        <f>+SUM(CY56:DB56)</f>
        <v>714.21653907729444</v>
      </c>
      <c r="AI56" s="23">
        <f>'QTR Raw'!C28</f>
        <v>71.42</v>
      </c>
      <c r="AJ56" s="23">
        <f>'QTR Raw'!D28</f>
        <v>73.7</v>
      </c>
      <c r="AK56" s="23">
        <f>'QTR Raw'!E28</f>
        <v>30.49</v>
      </c>
      <c r="AL56" s="23">
        <f>'QTR Raw'!F28</f>
        <v>71</v>
      </c>
      <c r="AM56" s="23">
        <f>'QTR Raw'!G28</f>
        <v>73.25</v>
      </c>
      <c r="AN56" s="23">
        <f>'QTR Raw'!H28</f>
        <v>80.349999999999994</v>
      </c>
      <c r="AO56" s="23">
        <f>'QTR Raw'!I28</f>
        <v>78.989999999999995</v>
      </c>
      <c r="AP56" s="23">
        <f>'QTR Raw'!J28</f>
        <v>75.540000000000006</v>
      </c>
      <c r="AQ56" s="23">
        <f>'QTR Raw'!K28</f>
        <v>69.760000000000005</v>
      </c>
      <c r="AR56" s="23">
        <f>'QTR Raw'!L28</f>
        <v>74.86</v>
      </c>
      <c r="AS56" s="23">
        <f>'QTR Raw'!M28</f>
        <v>74.819999999999993</v>
      </c>
      <c r="AT56" s="23">
        <f>'QTR Raw'!N28</f>
        <v>71.849999999999994</v>
      </c>
      <c r="AU56" s="23">
        <f>'QTR Raw'!O28</f>
        <v>73.95</v>
      </c>
      <c r="AV56" s="23">
        <f>'QTR Raw'!P28</f>
        <v>69.22</v>
      </c>
      <c r="AW56" s="23">
        <f>'QTR Raw'!Q28</f>
        <v>72.209999999999994</v>
      </c>
      <c r="AX56" s="23">
        <f>'QTR Raw'!R28</f>
        <v>85.53</v>
      </c>
      <c r="AY56" s="23">
        <f>'QTR Raw'!S28</f>
        <v>73.709999999999994</v>
      </c>
      <c r="AZ56" s="23">
        <f>'QTR Raw'!T28</f>
        <v>66.97</v>
      </c>
      <c r="BA56" s="23">
        <f>'QTR Raw'!U28</f>
        <v>69.14</v>
      </c>
      <c r="BB56" s="23">
        <f>'QTR Raw'!V28</f>
        <v>89.55</v>
      </c>
      <c r="BC56" s="23">
        <f>'QTR Raw'!W28</f>
        <v>71.38</v>
      </c>
      <c r="BD56" s="23">
        <f>'QTR Raw'!X28</f>
        <v>70.47</v>
      </c>
      <c r="BE56" s="23">
        <f>'QTR Raw'!Y28</f>
        <v>74.17</v>
      </c>
      <c r="BF56" s="23">
        <f>'QTR Raw'!Z28</f>
        <v>85.18</v>
      </c>
      <c r="BG56" s="23">
        <f>'QTR Raw'!AA28</f>
        <v>78.47</v>
      </c>
      <c r="BH56" s="23">
        <f>'QTR Raw'!AB28</f>
        <v>81.22</v>
      </c>
      <c r="BI56" s="23">
        <f>'QTR Raw'!AC28</f>
        <v>83.28</v>
      </c>
      <c r="BJ56" s="23">
        <f>'QTR Raw'!AD28</f>
        <v>84.88</v>
      </c>
      <c r="BK56" s="23">
        <f>'QTR Raw'!AE28</f>
        <v>100.36</v>
      </c>
      <c r="BL56" s="23">
        <f>'QTR Raw'!AF28</f>
        <v>99.93</v>
      </c>
      <c r="BM56" s="23">
        <f>'QTR Raw'!AG28</f>
        <v>100.83</v>
      </c>
      <c r="BN56" s="23">
        <f>'QTR Raw'!AH28</f>
        <v>103.12</v>
      </c>
      <c r="BO56" s="23">
        <f>'QTR Raw'!AI28</f>
        <v>100.14</v>
      </c>
      <c r="BP56" s="23">
        <f>'QTR Raw'!AJ28</f>
        <v>102.84</v>
      </c>
      <c r="BQ56" s="23">
        <f>'QTR Raw'!AK28</f>
        <v>102.32</v>
      </c>
      <c r="BR56" s="23">
        <f>'QTR Raw'!AL28</f>
        <v>104.33</v>
      </c>
      <c r="BS56" s="23">
        <f>'QTR Raw'!AM28</f>
        <v>102.54</v>
      </c>
      <c r="BT56" s="23">
        <f>'QTR Raw'!AN28</f>
        <v>101.76</v>
      </c>
      <c r="BU56" s="23">
        <f>'QTR Raw'!AO28</f>
        <v>99.87</v>
      </c>
      <c r="BV56" s="23">
        <f>'QTR Raw'!AP28</f>
        <v>101.88</v>
      </c>
      <c r="BW56" s="23">
        <f>'QTR Raw'!AQ28</f>
        <v>102.58</v>
      </c>
      <c r="BX56" s="23">
        <f>'QTR Raw'!AR28</f>
        <v>102.57</v>
      </c>
      <c r="BY56" s="23">
        <f>'QTR Raw'!AS28</f>
        <v>103.31</v>
      </c>
      <c r="BZ56" s="23">
        <f>'QTR Raw'!AT28</f>
        <v>107.6</v>
      </c>
      <c r="CA56" s="23">
        <f>'QTR Raw'!AU28</f>
        <v>109.05</v>
      </c>
      <c r="CB56" s="23">
        <f>'QTR Raw'!AV28</f>
        <v>111.21</v>
      </c>
      <c r="CC56" s="23">
        <f>'QTR Raw'!AW28</f>
        <v>114.31</v>
      </c>
      <c r="CD56" s="23">
        <f>'QTR Raw'!AX28</f>
        <v>119.73</v>
      </c>
      <c r="CE56" s="23">
        <f>'QTR Raw'!AY28</f>
        <v>117.29</v>
      </c>
      <c r="CF56" s="23">
        <f>'QTR Raw'!AZ28</f>
        <v>124.93</v>
      </c>
      <c r="CG56" s="23">
        <f>'QTR Raw'!BA28</f>
        <v>133.94</v>
      </c>
      <c r="CH56" s="23">
        <f>'QTR Raw'!BB28</f>
        <v>142</v>
      </c>
      <c r="CI56" s="23">
        <f>'QTR Raw'!BC28</f>
        <v>142.75</v>
      </c>
      <c r="CJ56" s="23">
        <f>'QTR Raw'!BD28</f>
        <v>144.72</v>
      </c>
      <c r="CK56" s="23">
        <f>'QTR Raw'!BE28</f>
        <v>150.32</v>
      </c>
      <c r="CL56" s="23">
        <f>'QTR Raw'!BF28</f>
        <v>167.37</v>
      </c>
      <c r="CM56" s="24">
        <f t="shared" ref="CM56:DB56" si="505">CM57*CL158</f>
        <v>188.18692442152309</v>
      </c>
      <c r="CN56" s="24">
        <f t="shared" si="505"/>
        <v>187.37264276990743</v>
      </c>
      <c r="CO56" s="24">
        <f t="shared" si="505"/>
        <v>186.57572451212886</v>
      </c>
      <c r="CP56" s="24">
        <f t="shared" si="505"/>
        <v>185.7957993986</v>
      </c>
      <c r="CQ56" s="24">
        <f t="shared" si="505"/>
        <v>185.03250507477728</v>
      </c>
      <c r="CR56" s="24">
        <f t="shared" si="505"/>
        <v>184.28548691281071</v>
      </c>
      <c r="CS56" s="24">
        <f t="shared" si="505"/>
        <v>183.55439784678279</v>
      </c>
      <c r="CT56" s="24">
        <f t="shared" si="505"/>
        <v>182.83889821146133</v>
      </c>
      <c r="CU56" s="24">
        <f t="shared" si="505"/>
        <v>182.13865558449046</v>
      </c>
      <c r="CV56" s="24">
        <f t="shared" si="505"/>
        <v>181.45334463194632</v>
      </c>
      <c r="CW56" s="24">
        <f t="shared" si="505"/>
        <v>180.78264695718667</v>
      </c>
      <c r="CX56" s="24">
        <f t="shared" si="505"/>
        <v>180.12625095292321</v>
      </c>
      <c r="CY56" s="24">
        <f t="shared" si="505"/>
        <v>179.48385165644811</v>
      </c>
      <c r="CZ56" s="24">
        <f t="shared" si="505"/>
        <v>178.8551506079481</v>
      </c>
      <c r="DA56" s="24">
        <f t="shared" si="505"/>
        <v>178.2398557118392</v>
      </c>
      <c r="DB56" s="24">
        <f t="shared" si="505"/>
        <v>177.63768110105897</v>
      </c>
      <c r="DE56" s="123"/>
      <c r="DF56" s="23">
        <v>150.3138718217235</v>
      </c>
    </row>
    <row r="57" spans="1:110" s="46" customFormat="1" x14ac:dyDescent="0.2">
      <c r="A57" s="46" t="s">
        <v>483</v>
      </c>
      <c r="B57" s="46">
        <f t="shared" ref="B57:D57" si="506">+B56/B158</f>
        <v>7.4841318506488119E-2</v>
      </c>
      <c r="C57" s="46">
        <f t="shared" si="506"/>
        <v>4.3933450712072927E-2</v>
      </c>
      <c r="D57" s="46">
        <f t="shared" si="506"/>
        <v>4.0698299978480741E-2</v>
      </c>
      <c r="E57" s="46">
        <f t="shared" ref="E57:AE57" si="507">+E56/E158</f>
        <v>5.3375224852934035E-2</v>
      </c>
      <c r="F57" s="46">
        <f t="shared" si="507"/>
        <v>4.9386044784695764E-2</v>
      </c>
      <c r="G57" s="46">
        <f t="shared" si="507"/>
        <v>5.46025185331281E-2</v>
      </c>
      <c r="H57" s="46">
        <f t="shared" si="507"/>
        <v>4.7506268331914084E-2</v>
      </c>
      <c r="I57" s="46">
        <f t="shared" si="507"/>
        <v>4.7695604048520787E-2</v>
      </c>
      <c r="J57" s="46">
        <f t="shared" si="507"/>
        <v>4.6298774812562768E-2</v>
      </c>
      <c r="K57" s="46">
        <f t="shared" si="507"/>
        <v>4.9969246528516129E-2</v>
      </c>
      <c r="L57" s="46">
        <f t="shared" si="507"/>
        <v>5.0312285434848357E-2</v>
      </c>
      <c r="M57" s="46">
        <f t="shared" si="507"/>
        <v>4.8900613294632564E-2</v>
      </c>
      <c r="N57" s="46">
        <f t="shared" si="507"/>
        <v>5.3580385439926881E-2</v>
      </c>
      <c r="O57" s="46">
        <f t="shared" si="507"/>
        <v>5.4684366514632543E-2</v>
      </c>
      <c r="P57" s="46">
        <f t="shared" si="507"/>
        <v>5.0043465263866806E-2</v>
      </c>
      <c r="Q57" s="46">
        <f t="shared" si="507"/>
        <v>4.6028018881798069E-2</v>
      </c>
      <c r="R57" s="46">
        <f t="shared" si="507"/>
        <v>5.6916288169009267E-2</v>
      </c>
      <c r="S57" s="46">
        <f t="shared" si="507"/>
        <v>5.3813485888253049E-2</v>
      </c>
      <c r="T57" s="46">
        <f t="shared" si="507"/>
        <v>5.6150428685444571E-2</v>
      </c>
      <c r="U57" s="46">
        <f t="shared" si="507"/>
        <v>5.4302167976174959E-2</v>
      </c>
      <c r="V57" s="46">
        <f t="shared" si="507"/>
        <v>5.2337310728746228E-2</v>
      </c>
      <c r="W57" s="46">
        <f t="shared" si="507"/>
        <v>5.2108264046003626E-2</v>
      </c>
      <c r="X57" s="46">
        <f t="shared" si="507"/>
        <v>5.0957083421617644E-2</v>
      </c>
      <c r="Y57" s="46">
        <f t="shared" si="507"/>
        <v>5.2526182157053632E-2</v>
      </c>
      <c r="Z57" s="46">
        <f t="shared" si="507"/>
        <v>5.0763022621756894E-2</v>
      </c>
      <c r="AA57" s="46">
        <f t="shared" ref="AA57" si="508">+AA56/AA158</f>
        <v>5.4577380635653865E-2</v>
      </c>
      <c r="AB57" s="110">
        <f t="shared" si="507"/>
        <v>8.619330340274288E-2</v>
      </c>
      <c r="AC57" s="110">
        <f t="shared" si="507"/>
        <v>8.6132144450487447E-2</v>
      </c>
      <c r="AD57" s="110">
        <f t="shared" si="507"/>
        <v>8.6074302997171045E-2</v>
      </c>
      <c r="AE57" s="110">
        <f t="shared" si="507"/>
        <v>8.6019713894106384E-2</v>
      </c>
      <c r="AI57" s="46" t="e">
        <f t="shared" ref="AI57:BN57" si="509">+AI56/AH158</f>
        <v>#DIV/0!</v>
      </c>
      <c r="AJ57" s="46" t="e">
        <f t="shared" si="509"/>
        <v>#DIV/0!</v>
      </c>
      <c r="AK57" s="46">
        <f t="shared" si="509"/>
        <v>1.4751488937592832E-2</v>
      </c>
      <c r="AL57" s="46">
        <f t="shared" si="509"/>
        <v>3.4350794180685179E-2</v>
      </c>
      <c r="AM57" s="46">
        <f t="shared" si="509"/>
        <v>1.2619649785336744E-2</v>
      </c>
      <c r="AN57" s="46">
        <f t="shared" si="509"/>
        <v>1.3842851334495662E-2</v>
      </c>
      <c r="AO57" s="46">
        <f t="shared" si="509"/>
        <v>3.783553350066101E-2</v>
      </c>
      <c r="AP57" s="46">
        <f t="shared" si="509"/>
        <v>3.6183013047726711E-2</v>
      </c>
      <c r="AQ57" s="46">
        <f t="shared" si="509"/>
        <v>1.1271811261793311E-2</v>
      </c>
      <c r="AR57" s="46">
        <f t="shared" si="509"/>
        <v>1.2095868564476021E-2</v>
      </c>
      <c r="AS57" s="46">
        <f t="shared" si="509"/>
        <v>3.5146891646858761E-2</v>
      </c>
      <c r="AT57" s="46">
        <f t="shared" si="509"/>
        <v>3.3751726340908873E-2</v>
      </c>
      <c r="AU57" s="46">
        <f t="shared" si="509"/>
        <v>1.2070572450367014E-2</v>
      </c>
      <c r="AV57" s="46">
        <f t="shared" si="509"/>
        <v>1.1298512846712707E-2</v>
      </c>
      <c r="AW57" s="46">
        <f t="shared" si="509"/>
        <v>3.3012096663588397E-2</v>
      </c>
      <c r="AX57" s="46">
        <f t="shared" si="509"/>
        <v>3.9101573572035947E-2</v>
      </c>
      <c r="AY57" s="46">
        <f t="shared" si="509"/>
        <v>1.1910398128204424E-2</v>
      </c>
      <c r="AZ57" s="46">
        <f t="shared" si="509"/>
        <v>1.0821318174546877E-2</v>
      </c>
      <c r="BA57" s="46">
        <f t="shared" si="509"/>
        <v>3.2792483435384961E-2</v>
      </c>
      <c r="BB57" s="46">
        <f t="shared" si="509"/>
        <v>4.2472763836255756E-2</v>
      </c>
      <c r="BC57" s="46">
        <f t="shared" si="509"/>
        <v>1.3569697257734898E-2</v>
      </c>
      <c r="BD57" s="46">
        <f t="shared" si="509"/>
        <v>1.3396701677676917E-2</v>
      </c>
      <c r="BE57" s="46">
        <f t="shared" si="509"/>
        <v>1.3787398574230187E-2</v>
      </c>
      <c r="BF57" s="46">
        <f t="shared" si="509"/>
        <v>1.5834038163043379E-2</v>
      </c>
      <c r="BG57" s="46">
        <f t="shared" si="509"/>
        <v>1.4015553388416762E-2</v>
      </c>
      <c r="BH57" s="46">
        <f t="shared" si="509"/>
        <v>1.4506731823718739E-2</v>
      </c>
      <c r="BI57" s="46">
        <f t="shared" si="509"/>
        <v>1.4322000815157108E-2</v>
      </c>
      <c r="BJ57" s="46">
        <f t="shared" si="509"/>
        <v>1.4597159332259068E-2</v>
      </c>
      <c r="BK57" s="46">
        <f t="shared" si="509"/>
        <v>1.7187786327523578E-2</v>
      </c>
      <c r="BL57" s="46">
        <f t="shared" si="509"/>
        <v>1.7114143958842479E-2</v>
      </c>
      <c r="BM57" s="46">
        <f t="shared" si="509"/>
        <v>1.751956464324933E-2</v>
      </c>
      <c r="BN57" s="46">
        <f t="shared" si="509"/>
        <v>1.7917460140948836E-2</v>
      </c>
      <c r="BO57" s="46">
        <f t="shared" ref="BO57:CL57" si="510">+BO56/BN158</f>
        <v>1.7083139995086934E-2</v>
      </c>
      <c r="BP57" s="46">
        <f t="shared" si="510"/>
        <v>1.7543739935038348E-2</v>
      </c>
      <c r="BQ57" s="46">
        <f t="shared" si="510"/>
        <v>1.6740536410503083E-2</v>
      </c>
      <c r="BR57" s="46">
        <f t="shared" si="510"/>
        <v>1.706939174851238E-2</v>
      </c>
      <c r="BS57" s="46">
        <f t="shared" si="510"/>
        <v>1.6283970595474984E-2</v>
      </c>
      <c r="BT57" s="46">
        <f t="shared" si="510"/>
        <v>1.6160101889950595E-2</v>
      </c>
      <c r="BU57" s="46">
        <f t="shared" si="510"/>
        <v>1.6084016317538131E-2</v>
      </c>
      <c r="BV57" s="46">
        <f t="shared" si="510"/>
        <v>1.6407725867936165E-2</v>
      </c>
      <c r="BW57" s="46">
        <f t="shared" si="510"/>
        <v>1.6336371917620603E-2</v>
      </c>
      <c r="BX57" s="46">
        <f t="shared" si="510"/>
        <v>1.6334779368203795E-2</v>
      </c>
      <c r="BY57" s="46">
        <f t="shared" si="510"/>
        <v>1.6846420522922286E-2</v>
      </c>
      <c r="BZ57" s="46">
        <f t="shared" si="510"/>
        <v>1.7545976655371578E-2</v>
      </c>
      <c r="CA57" s="46">
        <f t="shared" si="510"/>
        <v>1.7326410183893508E-2</v>
      </c>
      <c r="CB57" s="46">
        <f t="shared" si="510"/>
        <v>1.7669601802391539E-2</v>
      </c>
      <c r="CC57" s="46">
        <f t="shared" si="510"/>
        <v>1.7991120120748733E-2</v>
      </c>
      <c r="CD57" s="46">
        <f t="shared" si="510"/>
        <v>1.884416771986043E-2</v>
      </c>
      <c r="CE57" s="46">
        <f t="shared" si="510"/>
        <v>1.7497560873729341E-2</v>
      </c>
      <c r="CF57" s="46">
        <f t="shared" si="510"/>
        <v>1.8637311620385427E-2</v>
      </c>
      <c r="CG57" s="46">
        <f t="shared" si="510"/>
        <v>1.7817022346435597E-2</v>
      </c>
      <c r="CH57" s="46">
        <f t="shared" si="510"/>
        <v>1.8889183016230066E-2</v>
      </c>
      <c r="CI57" s="46">
        <f t="shared" si="510"/>
        <v>1.3984910991307312E-2</v>
      </c>
      <c r="CJ57" s="46">
        <f t="shared" si="510"/>
        <v>1.4378996649669934E-2</v>
      </c>
      <c r="CK57" s="46">
        <f t="shared" si="510"/>
        <v>1.9150557114065058E-2</v>
      </c>
      <c r="CL57" s="46">
        <f t="shared" si="510"/>
        <v>2.1323572504223436E-2</v>
      </c>
      <c r="CM57" s="47">
        <f>+CL57</f>
        <v>2.1323572504223436E-2</v>
      </c>
      <c r="CN57" s="47">
        <f t="shared" ref="CN57:DB57" si="511">+CM57</f>
        <v>2.1323572504223436E-2</v>
      </c>
      <c r="CO57" s="47">
        <f t="shared" si="511"/>
        <v>2.1323572504223436E-2</v>
      </c>
      <c r="CP57" s="47">
        <f t="shared" si="511"/>
        <v>2.1323572504223436E-2</v>
      </c>
      <c r="CQ57" s="47">
        <f t="shared" si="511"/>
        <v>2.1323572504223436E-2</v>
      </c>
      <c r="CR57" s="47">
        <f t="shared" si="511"/>
        <v>2.1323572504223436E-2</v>
      </c>
      <c r="CS57" s="47">
        <f t="shared" si="511"/>
        <v>2.1323572504223436E-2</v>
      </c>
      <c r="CT57" s="47">
        <f t="shared" si="511"/>
        <v>2.1323572504223436E-2</v>
      </c>
      <c r="CU57" s="47">
        <f t="shared" si="511"/>
        <v>2.1323572504223436E-2</v>
      </c>
      <c r="CV57" s="47">
        <f t="shared" si="511"/>
        <v>2.1323572504223436E-2</v>
      </c>
      <c r="CW57" s="47">
        <f t="shared" si="511"/>
        <v>2.1323572504223436E-2</v>
      </c>
      <c r="CX57" s="47">
        <f t="shared" si="511"/>
        <v>2.1323572504223436E-2</v>
      </c>
      <c r="CY57" s="47">
        <f t="shared" si="511"/>
        <v>2.1323572504223436E-2</v>
      </c>
      <c r="CZ57" s="47">
        <f t="shared" si="511"/>
        <v>2.1323572504223436E-2</v>
      </c>
      <c r="DA57" s="47">
        <f t="shared" si="511"/>
        <v>2.1323572504223436E-2</v>
      </c>
      <c r="DB57" s="47">
        <f t="shared" si="511"/>
        <v>2.1323572504223436E-2</v>
      </c>
      <c r="DE57" s="130"/>
      <c r="DF57" s="46">
        <v>1.9150557114065058E-2</v>
      </c>
    </row>
    <row r="58" spans="1:110" s="26" customFormat="1" x14ac:dyDescent="0.2">
      <c r="A58" s="34" t="s">
        <v>16</v>
      </c>
      <c r="B58" s="26">
        <f>B52-B56</f>
        <v>139.60000000000005</v>
      </c>
      <c r="C58" s="26">
        <f t="shared" ref="C58:T58" si="512">C52-C56</f>
        <v>57.089999999999947</v>
      </c>
      <c r="D58" s="26">
        <f>D52-D56</f>
        <v>68.039999999999935</v>
      </c>
      <c r="E58" s="26">
        <f t="shared" si="512"/>
        <v>87.839999999999961</v>
      </c>
      <c r="F58" s="26">
        <f t="shared" si="512"/>
        <v>220.39999999999986</v>
      </c>
      <c r="G58" s="26">
        <f t="shared" si="512"/>
        <v>381.00999999999965</v>
      </c>
      <c r="H58" s="26">
        <f t="shared" si="512"/>
        <v>559.81999999999982</v>
      </c>
      <c r="I58" s="26">
        <f t="shared" si="512"/>
        <v>724.4100000000002</v>
      </c>
      <c r="J58" s="26">
        <f t="shared" si="512"/>
        <v>321.98</v>
      </c>
      <c r="K58" s="26">
        <f t="shared" si="512"/>
        <v>179.6100000000001</v>
      </c>
      <c r="L58" s="26">
        <f t="shared" si="512"/>
        <v>222.92999999999972</v>
      </c>
      <c r="M58" s="26">
        <f t="shared" si="512"/>
        <v>290.18</v>
      </c>
      <c r="N58" s="26">
        <f t="shared" si="512"/>
        <v>249.21999999999986</v>
      </c>
      <c r="O58" s="26">
        <f t="shared" si="512"/>
        <v>251.44000000000017</v>
      </c>
      <c r="P58" s="26">
        <f t="shared" si="512"/>
        <v>197.29000000000036</v>
      </c>
      <c r="Q58" s="26">
        <f t="shared" si="512"/>
        <v>267.34000000000032</v>
      </c>
      <c r="R58" s="26">
        <f t="shared" si="512"/>
        <v>310.24999999999989</v>
      </c>
      <c r="S58" s="26">
        <f t="shared" si="512"/>
        <v>369.14999999999992</v>
      </c>
      <c r="T58" s="26">
        <f t="shared" si="512"/>
        <v>501.87999999999954</v>
      </c>
      <c r="U58" s="26">
        <f t="shared" ref="U58:Z58" si="513">U52-U56</f>
        <v>563.29000000000065</v>
      </c>
      <c r="V58" s="26">
        <f t="shared" si="513"/>
        <v>-771.38999999999976</v>
      </c>
      <c r="W58" s="26">
        <f t="shared" si="513"/>
        <v>-1.3000000000000114</v>
      </c>
      <c r="X58" s="26">
        <f t="shared" si="513"/>
        <v>1388.3699999999994</v>
      </c>
      <c r="Y58" s="26">
        <f t="shared" si="513"/>
        <v>1702.8299999999992</v>
      </c>
      <c r="Z58" s="26">
        <f t="shared" si="513"/>
        <v>2251.170000000001</v>
      </c>
      <c r="AA58" s="26">
        <f t="shared" ref="AA58" si="514">AA52-AA56</f>
        <v>2589.4899999999998</v>
      </c>
      <c r="AB58" s="27">
        <f t="shared" ref="AA58:AD58" si="515">AB52-AB56</f>
        <v>2902.8276877032067</v>
      </c>
      <c r="AC58" s="27">
        <f t="shared" si="515"/>
        <v>3468.4612967061271</v>
      </c>
      <c r="AD58" s="27">
        <f t="shared" si="515"/>
        <v>3785.4893270994135</v>
      </c>
      <c r="AE58" s="27">
        <f t="shared" ref="AE58" si="516">AE52-AE56</f>
        <v>4084.570337159018</v>
      </c>
      <c r="AI58" s="26">
        <f t="shared" ref="AI58" si="517">AI52-AI56</f>
        <v>30.08</v>
      </c>
      <c r="AJ58" s="26">
        <f t="shared" ref="AJ58" si="518">AJ52-AJ56</f>
        <v>-35.339999999999989</v>
      </c>
      <c r="AK58" s="26">
        <f t="shared" ref="AK58:AM58" si="519">AK52-AK56</f>
        <v>120.91999999999992</v>
      </c>
      <c r="AL58" s="26">
        <f t="shared" si="519"/>
        <v>116.78000000000009</v>
      </c>
      <c r="AM58" s="26">
        <f t="shared" si="519"/>
        <v>33.129999999999882</v>
      </c>
      <c r="AN58" s="26">
        <f t="shared" ref="AN58:AO58" si="520">AN52-AN56</f>
        <v>-42.09</v>
      </c>
      <c r="AO58" s="26">
        <f t="shared" si="520"/>
        <v>166.50999999999988</v>
      </c>
      <c r="AP58" s="26">
        <f t="shared" ref="AP58:CD58" si="521">AP52-AP56</f>
        <v>93.890000000000057</v>
      </c>
      <c r="AQ58" s="26">
        <f t="shared" si="521"/>
        <v>10.469999999999899</v>
      </c>
      <c r="AR58" s="26">
        <f t="shared" si="521"/>
        <v>-60.069999999999922</v>
      </c>
      <c r="AS58" s="26">
        <f t="shared" si="521"/>
        <v>162.48000000000008</v>
      </c>
      <c r="AT58" s="26">
        <f t="shared" si="521"/>
        <v>84.41</v>
      </c>
      <c r="AU58" s="26">
        <f t="shared" si="521"/>
        <v>32.569999999999979</v>
      </c>
      <c r="AV58" s="26">
        <f t="shared" si="521"/>
        <v>-11.469999999999999</v>
      </c>
      <c r="AW58" s="26">
        <f t="shared" si="521"/>
        <v>179.21000000000009</v>
      </c>
      <c r="AX58" s="26">
        <f t="shared" si="521"/>
        <v>96.84</v>
      </c>
      <c r="AY58" s="26">
        <f t="shared" si="521"/>
        <v>20.519999999999911</v>
      </c>
      <c r="AZ58" s="26">
        <f t="shared" si="521"/>
        <v>3.6899999999999693</v>
      </c>
      <c r="BA58" s="26">
        <f t="shared" si="521"/>
        <v>197.89999999999998</v>
      </c>
      <c r="BB58" s="26">
        <f t="shared" si="521"/>
        <v>88.139999999999944</v>
      </c>
      <c r="BC58" s="26">
        <f t="shared" si="521"/>
        <v>19.209999999999923</v>
      </c>
      <c r="BD58" s="26">
        <f t="shared" si="521"/>
        <v>-15.889999999999958</v>
      </c>
      <c r="BE58" s="26">
        <f t="shared" si="521"/>
        <v>206.33999999999997</v>
      </c>
      <c r="BF58" s="26">
        <f t="shared" si="521"/>
        <v>159.48999999999995</v>
      </c>
      <c r="BG58" s="26">
        <f t="shared" si="521"/>
        <v>32.190000000000083</v>
      </c>
      <c r="BH58" s="26">
        <f t="shared" si="521"/>
        <v>18.009999999999906</v>
      </c>
      <c r="BI58" s="26">
        <f t="shared" si="521"/>
        <v>252.26000000000008</v>
      </c>
      <c r="BJ58" s="26">
        <f t="shared" si="521"/>
        <v>199.41999999999985</v>
      </c>
      <c r="BK58" s="26">
        <f t="shared" si="521"/>
        <v>73.079999999999941</v>
      </c>
      <c r="BL58" s="26">
        <f t="shared" si="521"/>
        <v>60.53000000000003</v>
      </c>
      <c r="BM58" s="26">
        <f t="shared" si="521"/>
        <v>324.89000000000004</v>
      </c>
      <c r="BN58" s="26">
        <f t="shared" si="521"/>
        <v>104.79000000000008</v>
      </c>
      <c r="BO58" s="26">
        <f t="shared" si="521"/>
        <v>-366.13</v>
      </c>
      <c r="BP58" s="26">
        <f t="shared" si="521"/>
        <v>-253.17999999999998</v>
      </c>
      <c r="BQ58" s="26">
        <f t="shared" si="521"/>
        <v>-119.05999999999995</v>
      </c>
      <c r="BR58" s="26">
        <f t="shared" si="521"/>
        <v>-33.019999999999996</v>
      </c>
      <c r="BS58" s="26">
        <f t="shared" si="521"/>
        <v>-251.36</v>
      </c>
      <c r="BT58" s="26">
        <f t="shared" si="521"/>
        <v>-28.919999999999973</v>
      </c>
      <c r="BU58" s="26">
        <f t="shared" si="521"/>
        <v>221.88</v>
      </c>
      <c r="BV58" s="26">
        <f t="shared" si="521"/>
        <v>57.100000000000023</v>
      </c>
      <c r="BW58" s="26">
        <f t="shared" si="521"/>
        <v>275.2999999999999</v>
      </c>
      <c r="BX58" s="26">
        <f t="shared" si="521"/>
        <v>191.40999999999991</v>
      </c>
      <c r="BY58" s="26">
        <f t="shared" si="521"/>
        <v>493.90000000000003</v>
      </c>
      <c r="BZ58" s="26">
        <f t="shared" si="521"/>
        <v>427.89</v>
      </c>
      <c r="CA58" s="26">
        <f t="shared" si="521"/>
        <v>301.11999999999983</v>
      </c>
      <c r="CB58" s="26">
        <f t="shared" si="521"/>
        <v>243.57000000000022</v>
      </c>
      <c r="CC58" s="26">
        <f t="shared" si="521"/>
        <v>618.06999999999994</v>
      </c>
      <c r="CD58" s="26">
        <f t="shared" si="521"/>
        <v>540.06999999999994</v>
      </c>
      <c r="CE58" s="26">
        <f t="shared" ref="CE58:CF58" si="522">CE52-CE56</f>
        <v>332.31</v>
      </c>
      <c r="CF58" s="26">
        <f t="shared" si="522"/>
        <v>376.34</v>
      </c>
      <c r="CG58" s="26">
        <f t="shared" ref="CG58:CH58" si="523">CG52-CG56</f>
        <v>827.74000000000024</v>
      </c>
      <c r="CH58" s="26">
        <f t="shared" si="523"/>
        <v>714.78</v>
      </c>
      <c r="CI58" s="26">
        <f t="shared" ref="CI58:CJ58" si="524">CI52-CI56</f>
        <v>433.27999999999975</v>
      </c>
      <c r="CJ58" s="26">
        <f t="shared" si="524"/>
        <v>425.40000000000009</v>
      </c>
      <c r="CK58" s="26">
        <f t="shared" ref="CK58:CL58" si="525">CK52-CK56</f>
        <v>925.5</v>
      </c>
      <c r="CL58" s="26">
        <f t="shared" si="525"/>
        <v>805.31000000000006</v>
      </c>
      <c r="CM58" s="27">
        <f t="shared" ref="CM58:DB58" si="526">CM52-CM56</f>
        <v>683.05096702662036</v>
      </c>
      <c r="CN58" s="27">
        <f t="shared" si="526"/>
        <v>715.82275786312277</v>
      </c>
      <c r="CO58" s="27">
        <f t="shared" si="526"/>
        <v>768.76835596113494</v>
      </c>
      <c r="CP58" s="27">
        <f t="shared" si="526"/>
        <v>735.18560685232853</v>
      </c>
      <c r="CQ58" s="27">
        <f t="shared" si="526"/>
        <v>817.19879407749511</v>
      </c>
      <c r="CR58" s="27">
        <f t="shared" si="526"/>
        <v>851.02615107516999</v>
      </c>
      <c r="CS58" s="27">
        <f t="shared" si="526"/>
        <v>885.39826951560656</v>
      </c>
      <c r="CT58" s="27">
        <f t="shared" si="526"/>
        <v>914.83808203785748</v>
      </c>
      <c r="CU58" s="27">
        <f t="shared" si="526"/>
        <v>912.74141270562143</v>
      </c>
      <c r="CV58" s="27">
        <f t="shared" si="526"/>
        <v>937.01513327288899</v>
      </c>
      <c r="CW58" s="27">
        <f t="shared" si="526"/>
        <v>958.72447945778185</v>
      </c>
      <c r="CX58" s="27">
        <f t="shared" si="526"/>
        <v>977.00830166312323</v>
      </c>
      <c r="CY58" s="27">
        <f t="shared" si="526"/>
        <v>992.26523043373402</v>
      </c>
      <c r="CZ58" s="27">
        <f t="shared" si="526"/>
        <v>1012.2282735881003</v>
      </c>
      <c r="DA58" s="27">
        <f t="shared" si="526"/>
        <v>1031.0293381135116</v>
      </c>
      <c r="DB58" s="27">
        <f t="shared" si="526"/>
        <v>1049.0474950236717</v>
      </c>
      <c r="DE58" s="121"/>
      <c r="DF58" s="26">
        <v>928.7213771147965</v>
      </c>
    </row>
    <row r="59" spans="1:110" s="23" customFormat="1" x14ac:dyDescent="0.2">
      <c r="A59" s="23" t="s">
        <v>17</v>
      </c>
      <c r="B59" s="23">
        <f>'Annual Raw'!C23</f>
        <v>55.42</v>
      </c>
      <c r="C59" s="23">
        <f>'Annual Raw'!D23</f>
        <v>50.31</v>
      </c>
      <c r="D59" s="23">
        <f>'Annual Raw'!E23</f>
        <v>51.66</v>
      </c>
      <c r="E59" s="23">
        <f>'Annual Raw'!F23</f>
        <v>57.79</v>
      </c>
      <c r="F59" s="23">
        <f>'Annual Raw'!G23</f>
        <v>54.64</v>
      </c>
      <c r="G59" s="23">
        <f>'Annual Raw'!H23</f>
        <v>78.63</v>
      </c>
      <c r="H59" s="23">
        <f>'Annual Raw'!I23</f>
        <v>142.82</v>
      </c>
      <c r="I59" s="23">
        <f>'Annual Raw'!J23</f>
        <v>110.56</v>
      </c>
      <c r="J59" s="23">
        <f>'Annual Raw'!K23</f>
        <v>111.13</v>
      </c>
      <c r="K59" s="23">
        <f>'Annual Raw'!L23</f>
        <v>74.349999999999994</v>
      </c>
      <c r="L59" s="23">
        <f>'Annual Raw'!M23</f>
        <v>82.09</v>
      </c>
      <c r="M59" s="23">
        <f>'Annual Raw'!N23</f>
        <v>107.5</v>
      </c>
      <c r="N59" s="23">
        <f>'Annual Raw'!O23</f>
        <v>94.29</v>
      </c>
      <c r="O59" s="23">
        <f>'Annual Raw'!P23</f>
        <v>90.05</v>
      </c>
      <c r="P59" s="23">
        <f>'Annual Raw'!Q23</f>
        <v>129.33000000000001</v>
      </c>
      <c r="Q59" s="23">
        <f>'Annual Raw'!R23</f>
        <v>99.76</v>
      </c>
      <c r="R59" s="23">
        <f>'Annual Raw'!S23</f>
        <v>62.9</v>
      </c>
      <c r="S59" s="23">
        <f>'Annual Raw'!T23</f>
        <v>71.260000000000005</v>
      </c>
      <c r="T59" s="23">
        <f>'Annual Raw'!U23</f>
        <v>86.98</v>
      </c>
      <c r="U59" s="23">
        <f>'Annual Raw'!V23</f>
        <v>132.41999999999999</v>
      </c>
      <c r="V59" s="23">
        <f>'Annual Raw'!W23</f>
        <v>164.72</v>
      </c>
      <c r="W59" s="23">
        <f>'Annual Raw'!X23</f>
        <v>155.16</v>
      </c>
      <c r="X59" s="23">
        <f>'Annual Raw'!Y23</f>
        <v>139.03</v>
      </c>
      <c r="Y59" s="23">
        <f>'Annual Raw'!Z23</f>
        <v>182.92</v>
      </c>
      <c r="Z59" s="23">
        <f>'Annual Raw'!AA23</f>
        <v>230.46</v>
      </c>
      <c r="AA59" s="23">
        <f>'Annual Raw'!AB23</f>
        <v>282.20999999999998</v>
      </c>
      <c r="AB59" s="76">
        <f t="shared" ref="AB59:AB60" si="527">+SUM(CM59:CP59)</f>
        <v>0</v>
      </c>
      <c r="AC59" s="76">
        <f t="shared" ref="AC59:AC60" si="528">+SUM(CQ59:CT59)</f>
        <v>0</v>
      </c>
      <c r="AD59" s="76">
        <f t="shared" ref="AD59:AD60" si="529">+SUM(CU59:CX59)</f>
        <v>0</v>
      </c>
      <c r="AE59" s="76">
        <f t="shared" ref="AE59:AE60" si="530">+SUM(CY59:DB59)</f>
        <v>0</v>
      </c>
      <c r="AI59" s="23">
        <f>'QTR Raw'!C23</f>
        <v>13.7</v>
      </c>
      <c r="AJ59" s="23">
        <f>'QTR Raw'!D23</f>
        <v>21.34</v>
      </c>
      <c r="AK59" s="23">
        <f>'QTR Raw'!E23</f>
        <v>6.1</v>
      </c>
      <c r="AL59" s="23">
        <f>'QTR Raw'!F23</f>
        <v>12.04</v>
      </c>
      <c r="AM59" s="23">
        <f>'QTR Raw'!G23</f>
        <v>18.899999999999999</v>
      </c>
      <c r="AN59" s="23">
        <f>'QTR Raw'!H23</f>
        <v>28.48</v>
      </c>
      <c r="AO59" s="23">
        <f>'QTR Raw'!I23</f>
        <v>1.36</v>
      </c>
      <c r="AP59" s="23">
        <f>'QTR Raw'!J23</f>
        <v>11.01</v>
      </c>
      <c r="AQ59" s="23">
        <f>'QTR Raw'!K23</f>
        <v>16.920000000000002</v>
      </c>
      <c r="AR59" s="23">
        <f>'QTR Raw'!L23</f>
        <v>21.3</v>
      </c>
      <c r="AS59" s="23">
        <f>'QTR Raw'!M23</f>
        <v>28.42</v>
      </c>
      <c r="AT59" s="23">
        <f>'QTR Raw'!N23</f>
        <v>32.07</v>
      </c>
      <c r="AU59" s="23">
        <f>'QTR Raw'!O23</f>
        <v>29.26</v>
      </c>
      <c r="AV59" s="23">
        <f>'QTR Raw'!P23</f>
        <v>33.369999999999997</v>
      </c>
      <c r="AW59" s="23">
        <f>'QTR Raw'!Q23</f>
        <v>22.9</v>
      </c>
      <c r="AX59" s="23">
        <f>'QTR Raw'!R23</f>
        <v>24.48</v>
      </c>
      <c r="AY59" s="23">
        <f>'QTR Raw'!S23</f>
        <v>13.35</v>
      </c>
      <c r="AZ59" s="23">
        <f>'QTR Raw'!T23</f>
        <v>11.13</v>
      </c>
      <c r="BA59" s="23">
        <f>'QTR Raw'!U23</f>
        <v>13.45</v>
      </c>
      <c r="BB59" s="23">
        <f>'QTR Raw'!V23</f>
        <v>17.010000000000002</v>
      </c>
      <c r="BC59" s="23">
        <f>'QTR Raw'!W23</f>
        <v>8.8000000000000007</v>
      </c>
      <c r="BD59" s="23">
        <f>'QTR Raw'!X23</f>
        <v>12.51</v>
      </c>
      <c r="BE59" s="23">
        <f>'QTR Raw'!Y23</f>
        <v>19.86</v>
      </c>
      <c r="BF59" s="23">
        <f>'QTR Raw'!Z23</f>
        <v>20.56</v>
      </c>
      <c r="BG59" s="23">
        <f>'QTR Raw'!AA23</f>
        <v>15.01</v>
      </c>
      <c r="BH59" s="23">
        <f>'QTR Raw'!AB23</f>
        <v>16.62</v>
      </c>
      <c r="BI59" s="23">
        <f>'QTR Raw'!AC23</f>
        <v>14.52</v>
      </c>
      <c r="BJ59" s="23">
        <f>'QTR Raw'!AD23</f>
        <v>37.229999999999997</v>
      </c>
      <c r="BK59" s="23">
        <f>'QTR Raw'!AE23</f>
        <v>37.06</v>
      </c>
      <c r="BL59" s="23">
        <f>'QTR Raw'!AF23</f>
        <v>21.13</v>
      </c>
      <c r="BM59" s="23">
        <f>'QTR Raw'!AG23</f>
        <v>36.19</v>
      </c>
      <c r="BN59" s="23">
        <f>'QTR Raw'!AH23</f>
        <v>38.04</v>
      </c>
      <c r="BO59" s="23">
        <f>'QTR Raw'!AI23</f>
        <v>31.73</v>
      </c>
      <c r="BP59" s="23">
        <f>'QTR Raw'!AJ23</f>
        <v>66.87</v>
      </c>
      <c r="BQ59" s="23">
        <f>'QTR Raw'!AK23</f>
        <v>54.67</v>
      </c>
      <c r="BR59" s="23">
        <f>'QTR Raw'!AL23</f>
        <v>11.45</v>
      </c>
      <c r="BS59" s="23">
        <f>'QTR Raw'!AM23</f>
        <v>25.75</v>
      </c>
      <c r="BT59" s="23">
        <f>'QTR Raw'!AN23</f>
        <v>23.91</v>
      </c>
      <c r="BU59" s="23">
        <f>'QTR Raw'!AO23</f>
        <v>22.7</v>
      </c>
      <c r="BV59" s="23">
        <f>'QTR Raw'!AP23</f>
        <v>82.8</v>
      </c>
      <c r="BW59" s="23">
        <f>'QTR Raw'!AQ23</f>
        <v>27.12</v>
      </c>
      <c r="BX59" s="23">
        <f>'QTR Raw'!AR23</f>
        <v>24.96</v>
      </c>
      <c r="BY59" s="23">
        <f>'QTR Raw'!AS23</f>
        <v>57.71</v>
      </c>
      <c r="BZ59" s="23">
        <f>'QTR Raw'!AT23</f>
        <v>29.11</v>
      </c>
      <c r="CA59" s="23">
        <f>'QTR Raw'!AU23</f>
        <v>49.33</v>
      </c>
      <c r="CB59" s="23">
        <f>'QTR Raw'!AV23</f>
        <v>47.67</v>
      </c>
      <c r="CC59" s="23">
        <f>'QTR Raw'!AW23</f>
        <v>39.799999999999997</v>
      </c>
      <c r="CD59" s="23">
        <f>'QTR Raw'!AX23</f>
        <v>46.12</v>
      </c>
      <c r="CE59" s="23">
        <f>'QTR Raw'!AY23</f>
        <v>46.04</v>
      </c>
      <c r="CF59" s="23">
        <f>'QTR Raw'!AZ23</f>
        <v>64.099999999999994</v>
      </c>
      <c r="CG59" s="23">
        <f>'QTR Raw'!BA23</f>
        <v>58.68</v>
      </c>
      <c r="CH59" s="23">
        <f>'QTR Raw'!BB23</f>
        <v>61.64</v>
      </c>
      <c r="CI59" s="23">
        <f>'QTR Raw'!BC23</f>
        <v>61.09</v>
      </c>
      <c r="CJ59" s="23">
        <f>'QTR Raw'!BD23</f>
        <v>83.36</v>
      </c>
      <c r="CK59" s="23">
        <f>'QTR Raw'!BE23</f>
        <v>58.27</v>
      </c>
      <c r="CL59" s="23">
        <f>'QTR Raw'!BF23</f>
        <v>79.489999999999995</v>
      </c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E59" s="123"/>
      <c r="DF59" s="23">
        <v>282.20999999999998</v>
      </c>
    </row>
    <row r="60" spans="1:110" s="23" customFormat="1" x14ac:dyDescent="0.2">
      <c r="A60" s="23" t="s">
        <v>18</v>
      </c>
      <c r="B60" s="23">
        <f>'Annual Raw'!C25</f>
        <v>57.73</v>
      </c>
      <c r="C60" s="23">
        <f>'Annual Raw'!D25</f>
        <v>105.14</v>
      </c>
      <c r="D60" s="23">
        <f>'Annual Raw'!E25</f>
        <v>101.37</v>
      </c>
      <c r="E60" s="23">
        <f>'Annual Raw'!F25</f>
        <v>89.01</v>
      </c>
      <c r="F60" s="23">
        <f>'Annual Raw'!G25</f>
        <v>135.55000000000001</v>
      </c>
      <c r="G60" s="23">
        <f>'Annual Raw'!H25</f>
        <v>145.57</v>
      </c>
      <c r="H60" s="23">
        <f>'Annual Raw'!I25</f>
        <v>170.09</v>
      </c>
      <c r="I60" s="23">
        <f>'Annual Raw'!J25</f>
        <v>220.29</v>
      </c>
      <c r="J60" s="23">
        <f>'Annual Raw'!K25</f>
        <v>269.83999999999997</v>
      </c>
      <c r="K60" s="23">
        <f>'Annual Raw'!L25</f>
        <v>338.98</v>
      </c>
      <c r="L60" s="23">
        <f>'Annual Raw'!M25</f>
        <v>293.72000000000003</v>
      </c>
      <c r="M60" s="23">
        <f>'Annual Raw'!N25</f>
        <v>248.59</v>
      </c>
      <c r="N60" s="23">
        <f>'Annual Raw'!O25</f>
        <v>204.87</v>
      </c>
      <c r="O60" s="23">
        <f>'Annual Raw'!P25</f>
        <v>198.81</v>
      </c>
      <c r="P60" s="23">
        <f>'Annual Raw'!Q25</f>
        <v>206.19</v>
      </c>
      <c r="Q60" s="23">
        <f>'Annual Raw'!R25</f>
        <v>375.59</v>
      </c>
      <c r="R60" s="23">
        <f>'Annual Raw'!S25</f>
        <v>331.79</v>
      </c>
      <c r="S60" s="23">
        <f>'Annual Raw'!T25</f>
        <v>278.57</v>
      </c>
      <c r="T60" s="23">
        <f>'Annual Raw'!U25</f>
        <v>193.73</v>
      </c>
      <c r="U60" s="23">
        <f>'Annual Raw'!V25</f>
        <v>341.12</v>
      </c>
      <c r="V60" s="23">
        <f>'Annual Raw'!W25</f>
        <v>402.82</v>
      </c>
      <c r="W60" s="23">
        <f>'Annual Raw'!X25</f>
        <v>427.66</v>
      </c>
      <c r="X60" s="23">
        <f>'Annual Raw'!Y25</f>
        <v>236.05</v>
      </c>
      <c r="Y60" s="23">
        <f>'Annual Raw'!Z25</f>
        <v>220.22</v>
      </c>
      <c r="Z60" s="23">
        <f>'Annual Raw'!AA25</f>
        <v>208.38</v>
      </c>
      <c r="AA60" s="23">
        <f>'Annual Raw'!AB25</f>
        <v>221.35</v>
      </c>
      <c r="AB60" s="76">
        <f t="shared" si="527"/>
        <v>-137.1127472618075</v>
      </c>
      <c r="AC60" s="76">
        <f t="shared" si="528"/>
        <v>-120.66784815706971</v>
      </c>
      <c r="AD60" s="76">
        <f t="shared" si="529"/>
        <v>-167.28048130464387</v>
      </c>
      <c r="AE60" s="76">
        <f t="shared" si="530"/>
        <v>-217.87821349672132</v>
      </c>
      <c r="AI60" s="23">
        <f>'QTR Raw'!C25</f>
        <v>43.79</v>
      </c>
      <c r="AJ60" s="23">
        <f>'QTR Raw'!D25</f>
        <v>37.97</v>
      </c>
      <c r="AK60" s="23">
        <f>'QTR Raw'!E25</f>
        <v>25.21</v>
      </c>
      <c r="AL60" s="23">
        <f>'QTR Raw'!F25</f>
        <v>46.14</v>
      </c>
      <c r="AM60" s="23">
        <f>'QTR Raw'!G25</f>
        <v>39.369999999999997</v>
      </c>
      <c r="AN60" s="23">
        <f>'QTR Raw'!H25</f>
        <v>46.06</v>
      </c>
      <c r="AO60" s="23">
        <f>'QTR Raw'!I25</f>
        <v>42.81</v>
      </c>
      <c r="AP60" s="23">
        <f>'QTR Raw'!J25</f>
        <v>40.270000000000003</v>
      </c>
      <c r="AQ60" s="23">
        <f>'QTR Raw'!K25</f>
        <v>44.54</v>
      </c>
      <c r="AR60" s="23">
        <f>'QTR Raw'!L25</f>
        <v>45.99</v>
      </c>
      <c r="AS60" s="23">
        <f>'QTR Raw'!M25</f>
        <v>43.97</v>
      </c>
      <c r="AT60" s="23">
        <f>'QTR Raw'!N25</f>
        <v>41.07</v>
      </c>
      <c r="AU60" s="23">
        <f>'QTR Raw'!O25</f>
        <v>44.3</v>
      </c>
      <c r="AV60" s="23">
        <f>'QTR Raw'!P25</f>
        <v>102.61</v>
      </c>
      <c r="AW60" s="23">
        <f>'QTR Raw'!Q25</f>
        <v>97.72</v>
      </c>
      <c r="AX60" s="23">
        <f>'QTR Raw'!R25</f>
        <v>73.510000000000005</v>
      </c>
      <c r="AY60" s="23">
        <f>'QTR Raw'!S25</f>
        <v>89.57</v>
      </c>
      <c r="AZ60" s="23">
        <f>'QTR Raw'!T25</f>
        <v>82.29</v>
      </c>
      <c r="BA60" s="23">
        <f>'QTR Raw'!U25</f>
        <v>74.010000000000005</v>
      </c>
      <c r="BB60" s="23">
        <f>'QTR Raw'!V25</f>
        <v>77.959999999999994</v>
      </c>
      <c r="BC60" s="23">
        <f>'QTR Raw'!W25</f>
        <v>69.510000000000005</v>
      </c>
      <c r="BD60" s="23">
        <f>'QTR Raw'!X25</f>
        <v>71.59</v>
      </c>
      <c r="BE60" s="23">
        <f>'QTR Raw'!Y25</f>
        <v>75.97</v>
      </c>
      <c r="BF60" s="23">
        <f>'QTR Raw'!Z25</f>
        <v>51.97</v>
      </c>
      <c r="BG60" s="23">
        <f>'QTR Raw'!AA25</f>
        <v>46.94</v>
      </c>
      <c r="BH60" s="23">
        <f>'QTR Raw'!AB25</f>
        <v>46.67</v>
      </c>
      <c r="BI60" s="23">
        <f>'QTR Raw'!AC25</f>
        <v>49.13</v>
      </c>
      <c r="BJ60" s="23">
        <f>'QTR Raw'!AD25</f>
        <v>47.39</v>
      </c>
      <c r="BK60" s="23">
        <f>'QTR Raw'!AE25</f>
        <v>84.69</v>
      </c>
      <c r="BL60" s="23">
        <f>'QTR Raw'!AF25</f>
        <v>86.82</v>
      </c>
      <c r="BM60" s="23">
        <f>'QTR Raw'!AG25</f>
        <v>84.85</v>
      </c>
      <c r="BN60" s="23">
        <f>'QTR Raw'!AH25</f>
        <v>84.76</v>
      </c>
      <c r="BO60" s="23">
        <f>'QTR Raw'!AI25</f>
        <v>87.89</v>
      </c>
      <c r="BP60" s="23">
        <f>'QTR Raw'!AJ25</f>
        <v>96.77</v>
      </c>
      <c r="BQ60" s="23">
        <f>'QTR Raw'!AK25</f>
        <v>112.05</v>
      </c>
      <c r="BR60" s="23">
        <f>'QTR Raw'!AL25</f>
        <v>106.11</v>
      </c>
      <c r="BS60" s="23">
        <f>'QTR Raw'!AM25</f>
        <v>109.74</v>
      </c>
      <c r="BT60" s="23">
        <f>'QTR Raw'!AN25</f>
        <v>113.85</v>
      </c>
      <c r="BU60" s="23">
        <f>'QTR Raw'!AO25</f>
        <v>124.89</v>
      </c>
      <c r="BV60" s="23">
        <f>'QTR Raw'!AP25</f>
        <v>79.180000000000007</v>
      </c>
      <c r="BW60" s="23">
        <f>'QTR Raw'!AQ25</f>
        <v>62.35</v>
      </c>
      <c r="BX60" s="23">
        <f>'QTR Raw'!AR25</f>
        <v>60</v>
      </c>
      <c r="BY60" s="23">
        <f>'QTR Raw'!AS25</f>
        <v>56.72</v>
      </c>
      <c r="BZ60" s="23">
        <f>'QTR Raw'!AT25</f>
        <v>56.98</v>
      </c>
      <c r="CA60" s="23">
        <f>'QTR Raw'!AU25</f>
        <v>56.51</v>
      </c>
      <c r="CB60" s="23">
        <f>'QTR Raw'!AV25</f>
        <v>59.05</v>
      </c>
      <c r="CC60" s="23">
        <f>'QTR Raw'!AW25</f>
        <v>53.16</v>
      </c>
      <c r="CD60" s="23">
        <f>'QTR Raw'!AX25</f>
        <v>51.5</v>
      </c>
      <c r="CE60" s="23">
        <f>'QTR Raw'!AY25</f>
        <v>49.86</v>
      </c>
      <c r="CF60" s="23">
        <f>'QTR Raw'!AZ25</f>
        <v>52.23</v>
      </c>
      <c r="CG60" s="23">
        <f>'QTR Raw'!BA25</f>
        <v>52.39</v>
      </c>
      <c r="CH60" s="23">
        <f>'QTR Raw'!BB25</f>
        <v>53.9</v>
      </c>
      <c r="CI60" s="23">
        <f>'QTR Raw'!BC25</f>
        <v>54.55</v>
      </c>
      <c r="CJ60" s="23">
        <f>'QTR Raw'!BD25</f>
        <v>56.05</v>
      </c>
      <c r="CK60" s="23">
        <f>'QTR Raw'!BE25</f>
        <v>55.82</v>
      </c>
      <c r="CL60" s="23">
        <f>'QTR Raw'!BF25</f>
        <v>54.93</v>
      </c>
      <c r="CM60" s="24">
        <f t="shared" ref="CM60:DB60" si="531">CM61*CL192</f>
        <v>-28.839874353517217</v>
      </c>
      <c r="CN60" s="24">
        <f t="shared" si="531"/>
        <v>-32.212765309471507</v>
      </c>
      <c r="CO60" s="24">
        <f t="shared" si="531"/>
        <v>-35.962999647981093</v>
      </c>
      <c r="CP60" s="24">
        <f t="shared" si="531"/>
        <v>-40.097107950837675</v>
      </c>
      <c r="CQ60" s="24">
        <f t="shared" si="531"/>
        <v>-26.05243314056359</v>
      </c>
      <c r="CR60" s="24">
        <f t="shared" si="531"/>
        <v>-28.780946906421832</v>
      </c>
      <c r="CS60" s="24">
        <f t="shared" si="531"/>
        <v>-31.492261129413258</v>
      </c>
      <c r="CT60" s="24">
        <f t="shared" si="531"/>
        <v>-34.342206980671037</v>
      </c>
      <c r="CU60" s="24">
        <f t="shared" si="531"/>
        <v>-37.307426538883227</v>
      </c>
      <c r="CV60" s="24">
        <f t="shared" si="531"/>
        <v>-40.27255009532513</v>
      </c>
      <c r="CW60" s="24">
        <f t="shared" si="531"/>
        <v>-43.297483476982094</v>
      </c>
      <c r="CX60" s="24">
        <f t="shared" si="531"/>
        <v>-46.403021193453434</v>
      </c>
      <c r="CY60" s="24">
        <f t="shared" si="531"/>
        <v>-49.573176691912188</v>
      </c>
      <c r="CZ60" s="24">
        <f t="shared" si="531"/>
        <v>-52.794090751367925</v>
      </c>
      <c r="DA60" s="24">
        <f t="shared" si="531"/>
        <v>-56.079697443952746</v>
      </c>
      <c r="DB60" s="24">
        <f t="shared" si="531"/>
        <v>-59.431248609488449</v>
      </c>
      <c r="DE60" s="123"/>
      <c r="DF60" s="23">
        <v>-3.4640494820441905</v>
      </c>
    </row>
    <row r="61" spans="1:110" s="46" customFormat="1" x14ac:dyDescent="0.2">
      <c r="A61" s="46" t="s">
        <v>482</v>
      </c>
      <c r="B61" s="46">
        <f t="shared" ref="B61:D61" si="532">+B60/B152</f>
        <v>0.10395995029803173</v>
      </c>
      <c r="C61" s="46">
        <f t="shared" si="532"/>
        <v>7.106166698207575E-2</v>
      </c>
      <c r="D61" s="46">
        <f t="shared" si="532"/>
        <v>6.9111982273734454E-2</v>
      </c>
      <c r="E61" s="46">
        <f t="shared" ref="E61:AE61" si="533">+E60/E152</f>
        <v>4.2087494325919204E-2</v>
      </c>
      <c r="F61" s="46">
        <f t="shared" si="533"/>
        <v>6.7219431399483276E-2</v>
      </c>
      <c r="G61" s="46">
        <f t="shared" si="533"/>
        <v>9.4875287584809009E-2</v>
      </c>
      <c r="H61" s="46">
        <f t="shared" si="533"/>
        <v>8.2152413519962136E-2</v>
      </c>
      <c r="I61" s="46">
        <f t="shared" si="533"/>
        <v>6.3112025349094381E-2</v>
      </c>
      <c r="J61" s="46">
        <f t="shared" si="533"/>
        <v>5.777317221475245E-2</v>
      </c>
      <c r="K61" s="46">
        <f t="shared" si="533"/>
        <v>7.5621291214919908E-2</v>
      </c>
      <c r="L61" s="46">
        <f t="shared" si="533"/>
        <v>6.9224442082389634E-2</v>
      </c>
      <c r="M61" s="46">
        <f t="shared" si="533"/>
        <v>6.5362003323447132E-2</v>
      </c>
      <c r="N61" s="46">
        <f t="shared" si="533"/>
        <v>5.3664043754780441E-2</v>
      </c>
      <c r="O61" s="46">
        <f t="shared" si="533"/>
        <v>4.6756710355808195E-2</v>
      </c>
      <c r="P61" s="46">
        <f t="shared" si="533"/>
        <v>4.0632734782677232E-2</v>
      </c>
      <c r="Q61" s="46">
        <f t="shared" si="533"/>
        <v>8.2983325563565899E-2</v>
      </c>
      <c r="R61" s="46">
        <f t="shared" si="533"/>
        <v>9.8076252298269592E-2</v>
      </c>
      <c r="S61" s="46">
        <f t="shared" si="533"/>
        <v>0.11475923095619647</v>
      </c>
      <c r="T61" s="46">
        <f t="shared" si="533"/>
        <v>8.3289624158419243E-2</v>
      </c>
      <c r="U61" s="46">
        <f t="shared" si="533"/>
        <v>0.13109562771178329</v>
      </c>
      <c r="V61" s="46">
        <f t="shared" si="533"/>
        <v>0.11088294557426145</v>
      </c>
      <c r="W61" s="46">
        <f t="shared" si="533"/>
        <v>0.21547189584634918</v>
      </c>
      <c r="X61" s="46">
        <f t="shared" si="533"/>
        <v>0.28847798988096696</v>
      </c>
      <c r="Y61" s="46">
        <f t="shared" si="533"/>
        <v>0.84540673346385653</v>
      </c>
      <c r="Z61" s="46">
        <f t="shared" si="533"/>
        <v>0.92736982643524701</v>
      </c>
      <c r="AA61" s="46">
        <f t="shared" ref="AA61" si="534">+AA60/AA152</f>
        <v>4.3164976599063962</v>
      </c>
      <c r="AB61" s="110">
        <f t="shared" si="533"/>
        <v>-2.6738055238261991</v>
      </c>
      <c r="AC61" s="110">
        <f t="shared" si="533"/>
        <v>-2.3531171637494093</v>
      </c>
      <c r="AD61" s="110">
        <f t="shared" si="533"/>
        <v>-3.2620998694353327</v>
      </c>
      <c r="AE61" s="110">
        <f t="shared" si="533"/>
        <v>-4.2487951149906653</v>
      </c>
      <c r="AI61" s="46" t="e">
        <f t="shared" ref="AI61:BN61" si="535">(AI60-AI59)/AH192</f>
        <v>#DIV/0!</v>
      </c>
      <c r="AJ61" s="46" t="e">
        <f t="shared" si="535"/>
        <v>#DIV/0!</v>
      </c>
      <c r="AK61" s="46">
        <f t="shared" si="535"/>
        <v>7.8488551185953402E-3</v>
      </c>
      <c r="AL61" s="46">
        <f t="shared" si="535"/>
        <v>1.4705728390222234E-2</v>
      </c>
      <c r="AM61" s="46">
        <f t="shared" si="535"/>
        <v>5.971237711852046E-3</v>
      </c>
      <c r="AN61" s="46">
        <f t="shared" si="535"/>
        <v>5.1079141820176638E-3</v>
      </c>
      <c r="AO61" s="46">
        <f t="shared" si="535"/>
        <v>1.4636196072061639E-2</v>
      </c>
      <c r="AP61" s="46">
        <f t="shared" si="535"/>
        <v>1.0540399265961098E-2</v>
      </c>
      <c r="AQ61" s="46">
        <f t="shared" si="535"/>
        <v>9.351141807593992E-3</v>
      </c>
      <c r="AR61" s="46">
        <f t="shared" si="535"/>
        <v>8.2780909943818738E-3</v>
      </c>
      <c r="AS61" s="46">
        <f t="shared" si="535"/>
        <v>6.3638744741106937E-3</v>
      </c>
      <c r="AT61" s="46">
        <f t="shared" si="535"/>
        <v>3.7633615722704843E-3</v>
      </c>
      <c r="AU61" s="46">
        <f t="shared" si="535"/>
        <v>4.1997330488833277E-3</v>
      </c>
      <c r="AV61" s="46">
        <f t="shared" si="535"/>
        <v>1.955054946546974E-2</v>
      </c>
      <c r="AW61" s="46">
        <f t="shared" si="535"/>
        <v>3.2910044997294885E-2</v>
      </c>
      <c r="AX61" s="46">
        <f t="shared" si="535"/>
        <v>2.1619368214219035E-2</v>
      </c>
      <c r="AY61" s="46">
        <f t="shared" si="535"/>
        <v>2.4124528397437516E-2</v>
      </c>
      <c r="AZ61" s="46">
        <f t="shared" si="535"/>
        <v>2.1428091490186249E-2</v>
      </c>
      <c r="BA61" s="46">
        <f t="shared" si="535"/>
        <v>4.97527152034965E-2</v>
      </c>
      <c r="BB61" s="46">
        <f t="shared" si="535"/>
        <v>5.3458662229709998E-2</v>
      </c>
      <c r="BC61" s="46">
        <f t="shared" si="535"/>
        <v>2.4577355313016167E-2</v>
      </c>
      <c r="BD61" s="46">
        <f t="shared" si="535"/>
        <v>2.3754081648935728E-2</v>
      </c>
      <c r="BE61" s="46">
        <f t="shared" si="535"/>
        <v>1.8130763812145768E-2</v>
      </c>
      <c r="BF61" s="46">
        <f t="shared" si="535"/>
        <v>1.042073424131024E-2</v>
      </c>
      <c r="BG61" s="46">
        <f t="shared" si="535"/>
        <v>1.8420870448146949E-2</v>
      </c>
      <c r="BH61" s="46">
        <f t="shared" si="535"/>
        <v>1.7599293858308038E-2</v>
      </c>
      <c r="BI61" s="46">
        <f t="shared" si="535"/>
        <v>1.7309673611875204E-2</v>
      </c>
      <c r="BJ61" s="46">
        <f t="shared" si="535"/>
        <v>5.4616780764810118E-3</v>
      </c>
      <c r="BK61" s="46">
        <f t="shared" si="535"/>
        <v>3.7472955430549536E-2</v>
      </c>
      <c r="BL61" s="46">
        <f t="shared" si="535"/>
        <v>5.2485090276533961E-2</v>
      </c>
      <c r="BM61" s="46">
        <f t="shared" si="535"/>
        <v>3.9363836396582967E-2</v>
      </c>
      <c r="BN61" s="46">
        <f t="shared" si="535"/>
        <v>4.4009432031770476E-2</v>
      </c>
      <c r="BO61" s="46">
        <f t="shared" ref="BO61:CL61" si="536">(BO60-BO59)/BN192</f>
        <v>3.646208683118754E-2</v>
      </c>
      <c r="BP61" s="46">
        <f t="shared" si="536"/>
        <v>1.6382921825697946E-2</v>
      </c>
      <c r="BQ61" s="46">
        <f t="shared" si="536"/>
        <v>2.7607775211701307E-2</v>
      </c>
      <c r="BR61" s="46">
        <f t="shared" si="536"/>
        <v>4.3239300553604081E-2</v>
      </c>
      <c r="BS61" s="46">
        <f t="shared" si="536"/>
        <v>2.771416692514304E-2</v>
      </c>
      <c r="BT61" s="46">
        <f t="shared" si="536"/>
        <v>2.7170904753969185E-2</v>
      </c>
      <c r="BU61" s="46">
        <f t="shared" si="536"/>
        <v>2.9238661756837567E-2</v>
      </c>
      <c r="BV61" s="46">
        <f t="shared" si="536"/>
        <v>-1.0623990245040963E-3</v>
      </c>
      <c r="BW61" s="46">
        <f t="shared" si="536"/>
        <v>-0.33387035633055501</v>
      </c>
      <c r="BX61" s="46">
        <f t="shared" si="536"/>
        <v>-0.12097462232687689</v>
      </c>
      <c r="BY61" s="46">
        <f t="shared" si="536"/>
        <v>2.4876246953288001E-3</v>
      </c>
      <c r="BZ61" s="46">
        <f t="shared" si="536"/>
        <v>-3.5891499660767781E-2</v>
      </c>
      <c r="CA61" s="46">
        <f t="shared" si="536"/>
        <v>-7.2342569269521389E-3</v>
      </c>
      <c r="CB61" s="46">
        <f t="shared" si="536"/>
        <v>-9.3074341063492314E-3</v>
      </c>
      <c r="CC61" s="46">
        <f t="shared" si="536"/>
        <v>-1.2031050195414512E-2</v>
      </c>
      <c r="CD61" s="46">
        <f t="shared" si="536"/>
        <v>-3.568747313426995E-3</v>
      </c>
      <c r="CE61" s="46">
        <f t="shared" si="536"/>
        <v>-1.959818588520183E-3</v>
      </c>
      <c r="CF61" s="46">
        <f t="shared" si="536"/>
        <v>5.3679942272615916E-3</v>
      </c>
      <c r="CG61" s="46">
        <f t="shared" si="536"/>
        <v>2.8825575480388062E-3</v>
      </c>
      <c r="CH61" s="46">
        <f t="shared" si="536"/>
        <v>2.8629468794063901E-3</v>
      </c>
      <c r="CI61" s="46">
        <f t="shared" si="536"/>
        <v>2.2901324705066678E-3</v>
      </c>
      <c r="CJ61" s="46">
        <f t="shared" si="536"/>
        <v>9.8575567912351121E-3</v>
      </c>
      <c r="CK61" s="46">
        <f t="shared" si="536"/>
        <v>9.5044865055688658E-4</v>
      </c>
      <c r="CL61" s="46">
        <f t="shared" si="536"/>
        <v>6.738650524097607E-3</v>
      </c>
      <c r="CM61" s="47">
        <f t="shared" ref="CM61" si="537">+CL61</f>
        <v>6.738650524097607E-3</v>
      </c>
      <c r="CN61" s="47">
        <f t="shared" ref="CN61" si="538">+CM61</f>
        <v>6.738650524097607E-3</v>
      </c>
      <c r="CO61" s="47">
        <f t="shared" ref="CO61" si="539">+CN61</f>
        <v>6.738650524097607E-3</v>
      </c>
      <c r="CP61" s="47">
        <f t="shared" ref="CP61" si="540">+CO61</f>
        <v>6.738650524097607E-3</v>
      </c>
      <c r="CQ61" s="47">
        <v>4.0000000000000001E-3</v>
      </c>
      <c r="CR61" s="47">
        <f t="shared" ref="CR61" si="541">+CQ61</f>
        <v>4.0000000000000001E-3</v>
      </c>
      <c r="CS61" s="47">
        <f t="shared" ref="CS61" si="542">+CR61</f>
        <v>4.0000000000000001E-3</v>
      </c>
      <c r="CT61" s="47">
        <f t="shared" ref="CT61" si="543">+CS61</f>
        <v>4.0000000000000001E-3</v>
      </c>
      <c r="CU61" s="47">
        <f t="shared" ref="CU61" si="544">+CT61</f>
        <v>4.0000000000000001E-3</v>
      </c>
      <c r="CV61" s="47">
        <f t="shared" ref="CV61" si="545">+CU61</f>
        <v>4.0000000000000001E-3</v>
      </c>
      <c r="CW61" s="47">
        <f t="shared" ref="CW61" si="546">+CV61</f>
        <v>4.0000000000000001E-3</v>
      </c>
      <c r="CX61" s="47">
        <f t="shared" ref="CX61" si="547">+CW61</f>
        <v>4.0000000000000001E-3</v>
      </c>
      <c r="CY61" s="47">
        <f t="shared" ref="CY61" si="548">+CX61</f>
        <v>4.0000000000000001E-3</v>
      </c>
      <c r="CZ61" s="47">
        <f t="shared" ref="CZ61" si="549">+CY61</f>
        <v>4.0000000000000001E-3</v>
      </c>
      <c r="DA61" s="47">
        <f t="shared" ref="DA61" si="550">+CZ61</f>
        <v>4.0000000000000001E-3</v>
      </c>
      <c r="DB61" s="47">
        <f t="shared" ref="DB61" si="551">+DA61</f>
        <v>4.0000000000000001E-3</v>
      </c>
      <c r="DE61" s="130"/>
      <c r="DF61" s="46">
        <v>9.5044865055688658E-4</v>
      </c>
    </row>
    <row r="62" spans="1:110" s="26" customFormat="1" x14ac:dyDescent="0.2">
      <c r="A62" s="26" t="s">
        <v>20</v>
      </c>
      <c r="B62" s="26">
        <f>B58+B59-B60</f>
        <v>137.29000000000005</v>
      </c>
      <c r="C62" s="26">
        <f t="shared" ref="C62:T62" si="552">C58+C59-C60</f>
        <v>2.2599999999999483</v>
      </c>
      <c r="D62" s="26">
        <f>D58+D59-D60</f>
        <v>18.329999999999927</v>
      </c>
      <c r="E62" s="26">
        <f t="shared" si="552"/>
        <v>56.619999999999962</v>
      </c>
      <c r="F62" s="26">
        <f t="shared" si="552"/>
        <v>139.48999999999984</v>
      </c>
      <c r="G62" s="26">
        <f t="shared" si="552"/>
        <v>314.06999999999965</v>
      </c>
      <c r="H62" s="26">
        <f t="shared" si="552"/>
        <v>532.54999999999984</v>
      </c>
      <c r="I62" s="26">
        <f t="shared" si="552"/>
        <v>614.68000000000029</v>
      </c>
      <c r="J62" s="26">
        <f t="shared" si="552"/>
        <v>163.27000000000004</v>
      </c>
      <c r="K62" s="26">
        <f t="shared" si="552"/>
        <v>-85.019999999999925</v>
      </c>
      <c r="L62" s="26">
        <f t="shared" si="552"/>
        <v>11.299999999999727</v>
      </c>
      <c r="M62" s="26">
        <f t="shared" si="552"/>
        <v>149.09</v>
      </c>
      <c r="N62" s="26">
        <f t="shared" si="552"/>
        <v>138.63999999999987</v>
      </c>
      <c r="O62" s="26">
        <f t="shared" si="552"/>
        <v>142.68000000000018</v>
      </c>
      <c r="P62" s="26">
        <f t="shared" si="552"/>
        <v>120.43000000000035</v>
      </c>
      <c r="Q62" s="26">
        <f t="shared" si="552"/>
        <v>-8.489999999999668</v>
      </c>
      <c r="R62" s="26">
        <f t="shared" si="552"/>
        <v>41.359999999999843</v>
      </c>
      <c r="S62" s="26">
        <f t="shared" si="552"/>
        <v>161.83999999999992</v>
      </c>
      <c r="T62" s="26">
        <f t="shared" si="552"/>
        <v>395.12999999999954</v>
      </c>
      <c r="U62" s="26">
        <f t="shared" ref="U62:Z62" si="553">U58+U59-U60</f>
        <v>354.5900000000006</v>
      </c>
      <c r="V62" s="26">
        <f t="shared" si="553"/>
        <v>-1009.4899999999998</v>
      </c>
      <c r="W62" s="26">
        <f t="shared" si="553"/>
        <v>-273.80000000000007</v>
      </c>
      <c r="X62" s="26">
        <f t="shared" si="553"/>
        <v>1291.3499999999995</v>
      </c>
      <c r="Y62" s="26">
        <f t="shared" si="553"/>
        <v>1665.5299999999993</v>
      </c>
      <c r="Z62" s="26">
        <f t="shared" si="553"/>
        <v>2273.2500000000009</v>
      </c>
      <c r="AA62" s="26">
        <f t="shared" ref="AA62" si="554">AA58+AA59-AA60</f>
        <v>2650.35</v>
      </c>
      <c r="AB62" s="27">
        <f t="shared" ref="AB62:AD62" si="555">AB58+AB59-AB60</f>
        <v>3039.940434965014</v>
      </c>
      <c r="AC62" s="27">
        <f t="shared" si="555"/>
        <v>3589.1291448631969</v>
      </c>
      <c r="AD62" s="27">
        <f t="shared" si="555"/>
        <v>3952.7698084040571</v>
      </c>
      <c r="AE62" s="27">
        <f t="shared" ref="AE62" si="556">AE58+AE59-AE60</f>
        <v>4302.4485506557394</v>
      </c>
      <c r="AI62" s="26">
        <f>AI58+AI59-AI60</f>
        <v>-9.9999999999980105E-3</v>
      </c>
      <c r="AJ62" s="26">
        <f t="shared" ref="AJ62" si="557">AJ58+AJ59-AJ60</f>
        <v>-51.969999999999985</v>
      </c>
      <c r="AK62" s="26">
        <f t="shared" ref="AK62:AM62" si="558">AK58+AK59-AK60</f>
        <v>101.80999999999992</v>
      </c>
      <c r="AL62" s="26">
        <f t="shared" si="558"/>
        <v>82.680000000000078</v>
      </c>
      <c r="AM62" s="26">
        <f t="shared" si="558"/>
        <v>12.659999999999883</v>
      </c>
      <c r="AN62" s="26">
        <f t="shared" ref="AN62:AO62" si="559">AN58+AN59-AN60</f>
        <v>-59.67</v>
      </c>
      <c r="AO62" s="26">
        <f t="shared" si="559"/>
        <v>125.05999999999989</v>
      </c>
      <c r="AP62" s="26">
        <f t="shared" ref="AP62:CD62" si="560">AP58+AP59-AP60</f>
        <v>64.630000000000052</v>
      </c>
      <c r="AQ62" s="26">
        <f t="shared" si="560"/>
        <v>-17.150000000000098</v>
      </c>
      <c r="AR62" s="26">
        <f t="shared" si="560"/>
        <v>-84.759999999999934</v>
      </c>
      <c r="AS62" s="26">
        <f t="shared" si="560"/>
        <v>146.93000000000009</v>
      </c>
      <c r="AT62" s="26">
        <f t="shared" si="560"/>
        <v>75.41</v>
      </c>
      <c r="AU62" s="26">
        <f t="shared" si="560"/>
        <v>17.529999999999987</v>
      </c>
      <c r="AV62" s="26">
        <f t="shared" si="560"/>
        <v>-80.710000000000008</v>
      </c>
      <c r="AW62" s="26">
        <f t="shared" si="560"/>
        <v>104.3900000000001</v>
      </c>
      <c r="AX62" s="26">
        <f t="shared" si="560"/>
        <v>47.81</v>
      </c>
      <c r="AY62" s="26">
        <f t="shared" si="560"/>
        <v>-55.700000000000081</v>
      </c>
      <c r="AZ62" s="26">
        <f t="shared" si="560"/>
        <v>-67.470000000000041</v>
      </c>
      <c r="BA62" s="26">
        <f t="shared" si="560"/>
        <v>137.33999999999997</v>
      </c>
      <c r="BB62" s="26">
        <f t="shared" si="560"/>
        <v>27.189999999999955</v>
      </c>
      <c r="BC62" s="26">
        <f t="shared" si="560"/>
        <v>-41.500000000000085</v>
      </c>
      <c r="BD62" s="26">
        <f t="shared" si="560"/>
        <v>-74.969999999999956</v>
      </c>
      <c r="BE62" s="26">
        <f t="shared" si="560"/>
        <v>150.22999999999999</v>
      </c>
      <c r="BF62" s="26">
        <f t="shared" si="560"/>
        <v>128.07999999999996</v>
      </c>
      <c r="BG62" s="26">
        <f t="shared" si="560"/>
        <v>0.26000000000008328</v>
      </c>
      <c r="BH62" s="26">
        <f t="shared" si="560"/>
        <v>-12.040000000000092</v>
      </c>
      <c r="BI62" s="26">
        <f t="shared" si="560"/>
        <v>217.65000000000009</v>
      </c>
      <c r="BJ62" s="26">
        <f t="shared" si="560"/>
        <v>189.25999999999982</v>
      </c>
      <c r="BK62" s="26">
        <f t="shared" si="560"/>
        <v>25.449999999999946</v>
      </c>
      <c r="BL62" s="26">
        <f t="shared" si="560"/>
        <v>-5.1599999999999682</v>
      </c>
      <c r="BM62" s="26">
        <f t="shared" si="560"/>
        <v>276.23</v>
      </c>
      <c r="BN62" s="26">
        <f t="shared" si="560"/>
        <v>58.070000000000064</v>
      </c>
      <c r="BO62" s="26">
        <f t="shared" si="560"/>
        <v>-422.28999999999996</v>
      </c>
      <c r="BP62" s="26">
        <f t="shared" si="560"/>
        <v>-283.08</v>
      </c>
      <c r="BQ62" s="26">
        <f t="shared" si="560"/>
        <v>-176.43999999999994</v>
      </c>
      <c r="BR62" s="26">
        <f t="shared" si="560"/>
        <v>-127.67999999999999</v>
      </c>
      <c r="BS62" s="26">
        <f t="shared" si="560"/>
        <v>-335.35</v>
      </c>
      <c r="BT62" s="26">
        <f t="shared" si="560"/>
        <v>-118.85999999999997</v>
      </c>
      <c r="BU62" s="26">
        <f t="shared" si="560"/>
        <v>119.68999999999998</v>
      </c>
      <c r="BV62" s="26">
        <f t="shared" si="560"/>
        <v>60.720000000000027</v>
      </c>
      <c r="BW62" s="26">
        <f t="shared" si="560"/>
        <v>240.06999999999991</v>
      </c>
      <c r="BX62" s="26">
        <f t="shared" si="560"/>
        <v>156.36999999999992</v>
      </c>
      <c r="BY62" s="26">
        <f t="shared" si="560"/>
        <v>494.89</v>
      </c>
      <c r="BZ62" s="26">
        <f t="shared" si="560"/>
        <v>400.02</v>
      </c>
      <c r="CA62" s="26">
        <f t="shared" si="560"/>
        <v>293.93999999999983</v>
      </c>
      <c r="CB62" s="26">
        <f t="shared" si="560"/>
        <v>232.19000000000023</v>
      </c>
      <c r="CC62" s="26">
        <f t="shared" si="560"/>
        <v>604.70999999999992</v>
      </c>
      <c r="CD62" s="26">
        <f t="shared" si="560"/>
        <v>534.68999999999994</v>
      </c>
      <c r="CE62" s="26">
        <f t="shared" ref="CE62:CF62" si="561">CE58+CE59-CE60</f>
        <v>328.49</v>
      </c>
      <c r="CF62" s="26">
        <f t="shared" si="561"/>
        <v>388.20999999999992</v>
      </c>
      <c r="CG62" s="26">
        <f t="shared" ref="CG62:CH62" si="562">CG58+CG59-CG60</f>
        <v>834.0300000000002</v>
      </c>
      <c r="CH62" s="26">
        <f t="shared" si="562"/>
        <v>722.52</v>
      </c>
      <c r="CI62" s="26">
        <f t="shared" ref="CI62:CJ62" si="563">CI58+CI59-CI60</f>
        <v>439.81999999999977</v>
      </c>
      <c r="CJ62" s="26">
        <f t="shared" si="563"/>
        <v>452.71000000000009</v>
      </c>
      <c r="CK62" s="26">
        <f t="shared" ref="CK62:CL62" si="564">CK58+CK59-CK60</f>
        <v>927.94999999999993</v>
      </c>
      <c r="CL62" s="26">
        <f t="shared" si="564"/>
        <v>829.87000000000012</v>
      </c>
      <c r="CM62" s="27">
        <f t="shared" ref="CM62:DB62" si="565">CM58+CM59-CM60</f>
        <v>711.89084138013754</v>
      </c>
      <c r="CN62" s="27">
        <f t="shared" si="565"/>
        <v>748.03552317259425</v>
      </c>
      <c r="CO62" s="27">
        <f t="shared" si="565"/>
        <v>804.73135560911601</v>
      </c>
      <c r="CP62" s="27">
        <f t="shared" si="565"/>
        <v>775.28271480316619</v>
      </c>
      <c r="CQ62" s="27">
        <f t="shared" si="565"/>
        <v>843.25122721805872</v>
      </c>
      <c r="CR62" s="27">
        <f t="shared" si="565"/>
        <v>879.80709798159182</v>
      </c>
      <c r="CS62" s="27">
        <f t="shared" si="565"/>
        <v>916.89053064501979</v>
      </c>
      <c r="CT62" s="27">
        <f t="shared" si="565"/>
        <v>949.18028901852847</v>
      </c>
      <c r="CU62" s="27">
        <f t="shared" si="565"/>
        <v>950.04883924450462</v>
      </c>
      <c r="CV62" s="27">
        <f t="shared" si="565"/>
        <v>977.28768336821418</v>
      </c>
      <c r="CW62" s="27">
        <f t="shared" si="565"/>
        <v>1002.0219629347639</v>
      </c>
      <c r="CX62" s="27">
        <f t="shared" si="565"/>
        <v>1023.4113228565767</v>
      </c>
      <c r="CY62" s="27">
        <f t="shared" si="565"/>
        <v>1041.8384071256462</v>
      </c>
      <c r="CZ62" s="27">
        <f t="shared" si="565"/>
        <v>1065.0223643394681</v>
      </c>
      <c r="DA62" s="27">
        <f t="shared" si="565"/>
        <v>1087.1090355574643</v>
      </c>
      <c r="DB62" s="27">
        <f t="shared" si="565"/>
        <v>1108.4787436331601</v>
      </c>
      <c r="DE62" s="121"/>
      <c r="DF62" s="26">
        <v>932.18542659684067</v>
      </c>
    </row>
    <row r="63" spans="1:110" s="23" customFormat="1" x14ac:dyDescent="0.2">
      <c r="A63" s="23" t="s">
        <v>21</v>
      </c>
      <c r="B63" s="23">
        <f>'Annual Raw'!C30</f>
        <v>20.5</v>
      </c>
      <c r="C63" s="23">
        <f>'Annual Raw'!D30</f>
        <v>17.670000000000002</v>
      </c>
      <c r="D63" s="23">
        <f>'Annual Raw'!E30</f>
        <v>18.03</v>
      </c>
      <c r="E63" s="23">
        <f>'Annual Raw'!F30</f>
        <v>28.34</v>
      </c>
      <c r="F63" s="23">
        <f>'Annual Raw'!G30</f>
        <v>60.23</v>
      </c>
      <c r="G63" s="23">
        <f>'Annual Raw'!H30</f>
        <v>90.35</v>
      </c>
      <c r="H63" s="23">
        <f>'Annual Raw'!I30</f>
        <v>196.52</v>
      </c>
      <c r="I63" s="23">
        <f>'Annual Raw'!J30</f>
        <v>246.98</v>
      </c>
      <c r="J63" s="23">
        <f>'Annual Raw'!K30</f>
        <v>155.77000000000001</v>
      </c>
      <c r="K63" s="23">
        <f>'Annual Raw'!L30</f>
        <v>84.71</v>
      </c>
      <c r="L63" s="23">
        <f>'Annual Raw'!M30</f>
        <v>92.1</v>
      </c>
      <c r="M63" s="23">
        <f>'Annual Raw'!N30</f>
        <v>121.75</v>
      </c>
      <c r="N63" s="23">
        <f>'Annual Raw'!O30</f>
        <v>98.96</v>
      </c>
      <c r="O63" s="23">
        <f>'Annual Raw'!P30</f>
        <v>110.95</v>
      </c>
      <c r="P63" s="23">
        <f>'Annual Raw'!Q30</f>
        <v>114.6</v>
      </c>
      <c r="Q63" s="23">
        <f>'Annual Raw'!R30</f>
        <v>90.63</v>
      </c>
      <c r="R63" s="23">
        <f>'Annual Raw'!S30</f>
        <v>113.74</v>
      </c>
      <c r="S63" s="23">
        <f>'Annual Raw'!T30</f>
        <v>121.06</v>
      </c>
      <c r="T63" s="23">
        <f>'Annual Raw'!U30</f>
        <v>157.12</v>
      </c>
      <c r="U63" s="23">
        <f>'Annual Raw'!V30</f>
        <v>44.77</v>
      </c>
      <c r="V63" s="23">
        <f>'Annual Raw'!W30</f>
        <v>-155.33000000000001</v>
      </c>
      <c r="W63" s="23">
        <f>'Annual Raw'!X30</f>
        <v>-35.78</v>
      </c>
      <c r="X63" s="23">
        <f>'Annual Raw'!Y30</f>
        <v>323.20999999999998</v>
      </c>
      <c r="Y63" s="23">
        <f>'Annual Raw'!Z30</f>
        <v>463.94</v>
      </c>
      <c r="Z63" s="23">
        <f>'Annual Raw'!AA30</f>
        <v>616.79999999999995</v>
      </c>
      <c r="AA63" s="23">
        <f>'Annual Raw'!AB30</f>
        <v>730.72</v>
      </c>
      <c r="AB63" s="24">
        <f>+SUM(CM63:CP63)</f>
        <v>835.43534945563033</v>
      </c>
      <c r="AC63" s="24">
        <f>+SUM(CQ63:CT63)</f>
        <v>903.84380372842315</v>
      </c>
      <c r="AD63" s="24">
        <f>+SUM(CU63:CX63)</f>
        <v>987.7635743406654</v>
      </c>
      <c r="AE63" s="24">
        <f>+SUM(CY63:DB63)</f>
        <v>1073.2218350076898</v>
      </c>
      <c r="AI63" s="23">
        <f>'QTR Raw'!C29</f>
        <v>9.7200000000000006</v>
      </c>
      <c r="AJ63" s="23">
        <f>'QTR Raw'!D29</f>
        <v>-1.01</v>
      </c>
      <c r="AK63" s="23">
        <f>'QTR Raw'!E29</f>
        <v>35.69</v>
      </c>
      <c r="AL63" s="23">
        <f>'QTR Raw'!F29</f>
        <v>42.3</v>
      </c>
      <c r="AM63" s="23">
        <f>'QTR Raw'!G29</f>
        <v>12.18</v>
      </c>
      <c r="AN63" s="23">
        <f>'QTR Raw'!H29</f>
        <v>-9.5500000000000007</v>
      </c>
      <c r="AO63" s="23">
        <f>'QTR Raw'!I29</f>
        <v>47.62</v>
      </c>
      <c r="AP63" s="23">
        <f>'QTR Raw'!J29</f>
        <v>60.7</v>
      </c>
      <c r="AQ63" s="23">
        <f>'QTR Raw'!K29</f>
        <v>1.0900000000000001</v>
      </c>
      <c r="AR63" s="23">
        <f>'QTR Raw'!L29</f>
        <v>-0.63</v>
      </c>
      <c r="AS63" s="23">
        <f>'QTR Raw'!M29</f>
        <v>57.03</v>
      </c>
      <c r="AT63" s="23">
        <f>'QTR Raw'!N29</f>
        <v>57.11</v>
      </c>
      <c r="AU63" s="23">
        <f>'QTR Raw'!O29</f>
        <v>21.02</v>
      </c>
      <c r="AV63" s="23">
        <f>'QTR Raw'!P29</f>
        <v>-3.77</v>
      </c>
      <c r="AW63" s="23">
        <f>'QTR Raw'!Q29</f>
        <v>59.3</v>
      </c>
      <c r="AX63" s="23">
        <f>'QTR Raw'!R29</f>
        <v>55.36</v>
      </c>
      <c r="AY63" s="23">
        <f>'QTR Raw'!S29</f>
        <v>-1.84</v>
      </c>
      <c r="AZ63" s="23">
        <f>'QTR Raw'!T29</f>
        <v>25.13</v>
      </c>
      <c r="BA63" s="23">
        <f>'QTR Raw'!U29</f>
        <v>56.37</v>
      </c>
      <c r="BB63" s="23">
        <f>'QTR Raw'!V29</f>
        <v>34.08</v>
      </c>
      <c r="BC63" s="23">
        <f>'QTR Raw'!W29</f>
        <v>3.87</v>
      </c>
      <c r="BD63" s="23">
        <f>'QTR Raw'!X29</f>
        <v>-21.44</v>
      </c>
      <c r="BE63" s="23">
        <f>'QTR Raw'!Y29</f>
        <v>81.86</v>
      </c>
      <c r="BF63" s="23">
        <f>'QTR Raw'!Z29</f>
        <v>56.77</v>
      </c>
      <c r="BG63" s="23">
        <f>'QTR Raw'!AA29</f>
        <v>-9.75</v>
      </c>
      <c r="BH63" s="23">
        <f>'QTR Raw'!AB29</f>
        <v>-19.27</v>
      </c>
      <c r="BI63" s="23">
        <f>'QTR Raw'!AC29</f>
        <v>99.04</v>
      </c>
      <c r="BJ63" s="23">
        <f>'QTR Raw'!AD29</f>
        <v>87.1</v>
      </c>
      <c r="BK63" s="23">
        <f>'QTR Raw'!AE29</f>
        <v>17.62</v>
      </c>
      <c r="BL63" s="23">
        <f>'QTR Raw'!AF29</f>
        <v>-85.52</v>
      </c>
      <c r="BM63" s="23">
        <f>'QTR Raw'!AG29</f>
        <v>81.3</v>
      </c>
      <c r="BN63" s="23">
        <f>'QTR Raw'!AH29</f>
        <v>31.37</v>
      </c>
      <c r="BO63" s="23">
        <f>'QTR Raw'!AI29</f>
        <v>-69.290000000000006</v>
      </c>
      <c r="BP63" s="23">
        <f>'QTR Raw'!AJ29</f>
        <v>-42.89</v>
      </c>
      <c r="BQ63" s="23">
        <f>'QTR Raw'!AK29</f>
        <v>-30.74</v>
      </c>
      <c r="BR63" s="23">
        <f>'QTR Raw'!AL29</f>
        <v>-12.41</v>
      </c>
      <c r="BS63" s="23">
        <f>'QTR Raw'!AM29</f>
        <v>-44.97</v>
      </c>
      <c r="BT63" s="23">
        <f>'QTR Raw'!AN29</f>
        <v>-11.34</v>
      </c>
      <c r="BU63" s="23">
        <f>'QTR Raw'!AO29</f>
        <v>23.17</v>
      </c>
      <c r="BV63" s="23">
        <f>'QTR Raw'!AP29</f>
        <v>-2.64</v>
      </c>
      <c r="BW63" s="23">
        <f>'QTR Raw'!AQ29</f>
        <v>64.81</v>
      </c>
      <c r="BX63" s="23">
        <f>'QTR Raw'!AR29</f>
        <v>44.33</v>
      </c>
      <c r="BY63" s="23">
        <f>'QTR Raw'!AS29</f>
        <v>116.07</v>
      </c>
      <c r="BZ63" s="23">
        <f>'QTR Raw'!AT29</f>
        <v>98</v>
      </c>
      <c r="CA63" s="23">
        <f>'QTR Raw'!AU29</f>
        <v>83.34</v>
      </c>
      <c r="CB63" s="23">
        <f>'QTR Raw'!AV29</f>
        <v>72.28</v>
      </c>
      <c r="CC63" s="23">
        <f>'QTR Raw'!AW29</f>
        <v>166.72</v>
      </c>
      <c r="CD63" s="23">
        <f>'QTR Raw'!AX29</f>
        <v>141.6</v>
      </c>
      <c r="CE63" s="23">
        <f>'QTR Raw'!AY29</f>
        <v>94.28</v>
      </c>
      <c r="CF63" s="23">
        <f>'QTR Raw'!AZ29</f>
        <v>122.36</v>
      </c>
      <c r="CG63" s="23">
        <f>'QTR Raw'!BA29</f>
        <v>220.21</v>
      </c>
      <c r="CH63" s="23">
        <f>'QTR Raw'!BB29</f>
        <v>179.95</v>
      </c>
      <c r="CI63" s="23">
        <f>'QTR Raw'!BC29</f>
        <v>120.4</v>
      </c>
      <c r="CJ63" s="23">
        <f>'QTR Raw'!BD29</f>
        <v>136.53</v>
      </c>
      <c r="CK63" s="23">
        <f>'QTR Raw'!BE29</f>
        <v>269.14</v>
      </c>
      <c r="CL63" s="23">
        <f>'QTR Raw'!BF29</f>
        <v>204.65</v>
      </c>
      <c r="CM63" s="24">
        <f t="shared" ref="CM63:DB63" si="566">+CM62*CM64</f>
        <v>197.90106498659728</v>
      </c>
      <c r="CN63" s="24">
        <f t="shared" si="566"/>
        <v>208.74294406460794</v>
      </c>
      <c r="CO63" s="24">
        <f t="shared" si="566"/>
        <v>220.03175504989409</v>
      </c>
      <c r="CP63" s="24">
        <f t="shared" si="566"/>
        <v>208.75958535453105</v>
      </c>
      <c r="CQ63" s="24">
        <f t="shared" si="566"/>
        <v>219.1905092294617</v>
      </c>
      <c r="CR63" s="24">
        <f t="shared" si="566"/>
        <v>224.72064897146208</v>
      </c>
      <c r="CS63" s="24">
        <f t="shared" si="566"/>
        <v>228.77495263725828</v>
      </c>
      <c r="CT63" s="24">
        <f t="shared" si="566"/>
        <v>231.15769289024109</v>
      </c>
      <c r="CU63" s="24">
        <f t="shared" si="566"/>
        <v>239.50758028445841</v>
      </c>
      <c r="CV63" s="24">
        <f t="shared" si="566"/>
        <v>244.46030678802114</v>
      </c>
      <c r="CW63" s="24">
        <f t="shared" si="566"/>
        <v>249.32502032314338</v>
      </c>
      <c r="CX63" s="24">
        <f t="shared" si="566"/>
        <v>254.47066694504244</v>
      </c>
      <c r="CY63" s="24">
        <f t="shared" si="566"/>
        <v>260.38491498712364</v>
      </c>
      <c r="CZ63" s="24">
        <f t="shared" si="566"/>
        <v>265.60094326743939</v>
      </c>
      <c r="DA63" s="24">
        <f t="shared" si="566"/>
        <v>270.90349460828048</v>
      </c>
      <c r="DB63" s="24">
        <f t="shared" si="566"/>
        <v>276.33248214484638</v>
      </c>
      <c r="DE63" s="123"/>
      <c r="DF63" s="23">
        <v>277.89336581431894</v>
      </c>
    </row>
    <row r="64" spans="1:110" s="90" customFormat="1" x14ac:dyDescent="0.2">
      <c r="A64" s="90" t="s">
        <v>106</v>
      </c>
      <c r="B64" s="90">
        <f t="shared" ref="B64:E64" si="567">B63/B62</f>
        <v>0.14931895986597707</v>
      </c>
      <c r="C64" s="90">
        <f t="shared" si="567"/>
        <v>7.8185840707966401</v>
      </c>
      <c r="D64" s="90">
        <f t="shared" si="567"/>
        <v>0.98363338788871102</v>
      </c>
      <c r="E64" s="90">
        <f t="shared" si="567"/>
        <v>0.50052984811020873</v>
      </c>
      <c r="F64" s="90">
        <f t="shared" ref="F64:T64" si="568">F63/F62</f>
        <v>0.43178722489067367</v>
      </c>
      <c r="G64" s="90">
        <f t="shared" si="568"/>
        <v>0.28767472219568918</v>
      </c>
      <c r="H64" s="90">
        <f t="shared" si="568"/>
        <v>0.36901699370951097</v>
      </c>
      <c r="I64" s="90">
        <f t="shared" si="568"/>
        <v>0.40180256393570618</v>
      </c>
      <c r="J64" s="90">
        <f t="shared" si="568"/>
        <v>0.95406382066515572</v>
      </c>
      <c r="K64" s="90">
        <f t="shared" si="568"/>
        <v>-0.99635379910609345</v>
      </c>
      <c r="L64" s="90">
        <f t="shared" si="568"/>
        <v>8.150442477876302</v>
      </c>
      <c r="M64" s="90">
        <f t="shared" si="568"/>
        <v>0.81662083305386002</v>
      </c>
      <c r="N64" s="90">
        <f t="shared" si="568"/>
        <v>0.71379111367570747</v>
      </c>
      <c r="O64" s="90">
        <f t="shared" si="568"/>
        <v>0.77761424165965698</v>
      </c>
      <c r="P64" s="90">
        <f t="shared" si="568"/>
        <v>0.95159013534833237</v>
      </c>
      <c r="Q64" s="90">
        <f t="shared" si="568"/>
        <v>-10.674911660777802</v>
      </c>
      <c r="R64" s="90">
        <f t="shared" si="568"/>
        <v>2.7500000000000102</v>
      </c>
      <c r="S64" s="90">
        <f t="shared" si="568"/>
        <v>0.74802273850716794</v>
      </c>
      <c r="T64" s="90">
        <f t="shared" si="568"/>
        <v>0.39764128261584841</v>
      </c>
      <c r="U64" s="90">
        <f t="shared" ref="U64:Z64" si="569">U63/U62</f>
        <v>0.12625849572745967</v>
      </c>
      <c r="V64" s="90">
        <f t="shared" si="569"/>
        <v>0.15386977582739803</v>
      </c>
      <c r="W64" s="90">
        <f t="shared" si="569"/>
        <v>0.13067932797662524</v>
      </c>
      <c r="X64" s="90">
        <f t="shared" si="569"/>
        <v>0.25028845781546455</v>
      </c>
      <c r="Y64" s="90">
        <f t="shared" si="569"/>
        <v>0.27855397381013863</v>
      </c>
      <c r="Z64" s="90">
        <f t="shared" si="569"/>
        <v>0.27132959419333541</v>
      </c>
      <c r="AA64" s="90">
        <f t="shared" ref="AA64" si="570">AA63/AA62</f>
        <v>0.27570698209670425</v>
      </c>
      <c r="AB64" s="91">
        <f t="shared" ref="AA64:AD64" si="571">AB63/AB62</f>
        <v>0.27481964443992313</v>
      </c>
      <c r="AC64" s="91">
        <f t="shared" si="571"/>
        <v>0.25182816422808718</v>
      </c>
      <c r="AD64" s="91">
        <f t="shared" si="571"/>
        <v>0.24989149943428604</v>
      </c>
      <c r="AE64" s="91">
        <f t="shared" ref="AE64" si="572">AE63/AE62</f>
        <v>0.24944443201862793</v>
      </c>
      <c r="AI64" s="90">
        <f t="shared" ref="AI64" si="573">AI63/AI62</f>
        <v>-972.00000000019349</v>
      </c>
      <c r="AJ64" s="90">
        <f t="shared" ref="AJ64" si="574">AJ63/AJ62</f>
        <v>1.9434289012892059E-2</v>
      </c>
      <c r="AK64" s="90">
        <f t="shared" ref="AK64:AM64" si="575">AK63/AK62</f>
        <v>0.35055495530890901</v>
      </c>
      <c r="AL64" s="90">
        <f t="shared" si="575"/>
        <v>0.51161103047895451</v>
      </c>
      <c r="AM64" s="90">
        <f t="shared" si="575"/>
        <v>0.96208530805688086</v>
      </c>
      <c r="AN64" s="90">
        <f t="shared" ref="AN64:AO64" si="576">AN63/AN62</f>
        <v>0.1600469247528071</v>
      </c>
      <c r="AO64" s="90">
        <f t="shared" si="576"/>
        <v>0.38077722693107341</v>
      </c>
      <c r="AP64" s="90">
        <f t="shared" ref="AP64:CD64" si="577">AP63/AP62</f>
        <v>0.93919232554541165</v>
      </c>
      <c r="AQ64" s="90">
        <f t="shared" si="577"/>
        <v>-6.3556851311952989E-2</v>
      </c>
      <c r="AR64" s="90">
        <f t="shared" si="577"/>
        <v>7.4327512977819784E-3</v>
      </c>
      <c r="AS64" s="90">
        <f t="shared" si="577"/>
        <v>0.38814401415640076</v>
      </c>
      <c r="AT64" s="90">
        <f t="shared" si="577"/>
        <v>0.75732661450735983</v>
      </c>
      <c r="AU64" s="90">
        <f t="shared" si="577"/>
        <v>1.1990872789503717</v>
      </c>
      <c r="AV64" s="90">
        <f t="shared" si="577"/>
        <v>4.6710444802378882E-2</v>
      </c>
      <c r="AW64" s="90">
        <f t="shared" si="577"/>
        <v>0.56806207491138938</v>
      </c>
      <c r="AX64" s="90">
        <f t="shared" si="577"/>
        <v>1.1579167538171931</v>
      </c>
      <c r="AY64" s="90">
        <f t="shared" si="577"/>
        <v>3.3034111310592411E-2</v>
      </c>
      <c r="AZ64" s="90">
        <f t="shared" si="577"/>
        <v>-0.37246183488958029</v>
      </c>
      <c r="BA64" s="90">
        <f t="shared" si="577"/>
        <v>0.41044124071647015</v>
      </c>
      <c r="BB64" s="90">
        <f t="shared" si="577"/>
        <v>1.2534019860242755</v>
      </c>
      <c r="BC64" s="90">
        <f t="shared" si="577"/>
        <v>-9.3253012048192585E-2</v>
      </c>
      <c r="BD64" s="90">
        <f t="shared" si="577"/>
        <v>0.28598105909030297</v>
      </c>
      <c r="BE64" s="90">
        <f t="shared" si="577"/>
        <v>0.5448978233375491</v>
      </c>
      <c r="BF64" s="90">
        <f t="shared" si="577"/>
        <v>0.44323860087445366</v>
      </c>
      <c r="BG64" s="90">
        <f t="shared" si="577"/>
        <v>-37.499999999987992</v>
      </c>
      <c r="BH64" s="90">
        <f t="shared" si="577"/>
        <v>1.6004983388704197</v>
      </c>
      <c r="BI64" s="90">
        <f t="shared" si="577"/>
        <v>0.45504249942568326</v>
      </c>
      <c r="BJ64" s="90">
        <f t="shared" si="577"/>
        <v>0.4602134629610064</v>
      </c>
      <c r="BK64" s="90">
        <f t="shared" si="577"/>
        <v>0.69233791748526674</v>
      </c>
      <c r="BL64" s="90">
        <f t="shared" si="577"/>
        <v>16.573643410852814</v>
      </c>
      <c r="BM64" s="90">
        <f t="shared" si="577"/>
        <v>0.29431995076566625</v>
      </c>
      <c r="BN64" s="90">
        <f t="shared" si="577"/>
        <v>0.54021009126915731</v>
      </c>
      <c r="BO64" s="90">
        <f t="shared" si="577"/>
        <v>0.16408155532927612</v>
      </c>
      <c r="BP64" s="90">
        <f t="shared" si="577"/>
        <v>0.15151194008760777</v>
      </c>
      <c r="BQ64" s="90">
        <f t="shared" si="577"/>
        <v>0.17422353207889371</v>
      </c>
      <c r="BR64" s="90">
        <f t="shared" si="577"/>
        <v>9.7196115288220558E-2</v>
      </c>
      <c r="BS64" s="90">
        <f t="shared" si="577"/>
        <v>0.13409870284777098</v>
      </c>
      <c r="BT64" s="90">
        <f t="shared" si="577"/>
        <v>9.5406360424028294E-2</v>
      </c>
      <c r="BU64" s="90">
        <f t="shared" si="577"/>
        <v>0.19358342384493279</v>
      </c>
      <c r="BV64" s="90">
        <f t="shared" si="577"/>
        <v>-4.3478260869565202E-2</v>
      </c>
      <c r="BW64" s="90">
        <f t="shared" si="577"/>
        <v>0.26996292747948525</v>
      </c>
      <c r="BX64" s="90">
        <f t="shared" si="577"/>
        <v>0.28349427639572822</v>
      </c>
      <c r="BY64" s="90">
        <f t="shared" si="577"/>
        <v>0.2345369678110287</v>
      </c>
      <c r="BZ64" s="90">
        <f t="shared" si="577"/>
        <v>0.24498775061246938</v>
      </c>
      <c r="CA64" s="90">
        <f t="shared" si="577"/>
        <v>0.28352725045927757</v>
      </c>
      <c r="CB64" s="90">
        <f t="shared" si="577"/>
        <v>0.31129678280718348</v>
      </c>
      <c r="CC64" s="90">
        <f t="shared" si="577"/>
        <v>0.27570240280465019</v>
      </c>
      <c r="CD64" s="90">
        <f t="shared" si="577"/>
        <v>0.26482634797733268</v>
      </c>
      <c r="CE64" s="90">
        <f t="shared" ref="CE64:CF64" si="578">CE63/CE62</f>
        <v>0.28701025906420286</v>
      </c>
      <c r="CF64" s="90">
        <f t="shared" si="578"/>
        <v>0.31519023209087871</v>
      </c>
      <c r="CG64" s="90">
        <f t="shared" ref="CG64:CH64" si="579">CG63/CG62</f>
        <v>0.26403126985839831</v>
      </c>
      <c r="CH64" s="90">
        <f t="shared" si="579"/>
        <v>0.24905884958201849</v>
      </c>
      <c r="CI64" s="90">
        <f t="shared" ref="CI64:CJ64" si="580">CI63/CI62</f>
        <v>0.27374835159838129</v>
      </c>
      <c r="CJ64" s="90">
        <f t="shared" si="580"/>
        <v>0.30158379536568658</v>
      </c>
      <c r="CK64" s="90">
        <f t="shared" ref="CK64:CL64" si="581">CK63/CK62</f>
        <v>0.29003717872730211</v>
      </c>
      <c r="CL64" s="90">
        <f t="shared" si="581"/>
        <v>0.24660488992251794</v>
      </c>
      <c r="CM64" s="91">
        <f t="shared" ref="CM64:DB64" si="582">+AVERAGE(CI64:CL64)</f>
        <v>0.27799355390347197</v>
      </c>
      <c r="CN64" s="91">
        <f t="shared" si="582"/>
        <v>0.27905485447974465</v>
      </c>
      <c r="CO64" s="91">
        <f t="shared" si="582"/>
        <v>0.27342261925825917</v>
      </c>
      <c r="CP64" s="91">
        <f t="shared" si="582"/>
        <v>0.26926897939099842</v>
      </c>
      <c r="CQ64" s="91">
        <f>+AVERAGE(CM64:CP64)-1.5%</f>
        <v>0.25993500175811851</v>
      </c>
      <c r="CR64" s="91">
        <f t="shared" ref="CR64:CT64" si="583">+AVERAGE(CN64:CQ64)-1.5%</f>
        <v>0.25542036372178017</v>
      </c>
      <c r="CS64" s="91">
        <f t="shared" si="583"/>
        <v>0.24951174103228907</v>
      </c>
      <c r="CT64" s="91">
        <f t="shared" si="583"/>
        <v>0.24353402147579656</v>
      </c>
      <c r="CU64" s="91">
        <f t="shared" si="582"/>
        <v>0.25210028199699608</v>
      </c>
      <c r="CV64" s="91">
        <f t="shared" si="582"/>
        <v>0.25014160205671543</v>
      </c>
      <c r="CW64" s="91">
        <f t="shared" si="582"/>
        <v>0.24882191164044928</v>
      </c>
      <c r="CX64" s="91">
        <f t="shared" si="582"/>
        <v>0.24864945429248936</v>
      </c>
      <c r="CY64" s="91">
        <f t="shared" si="582"/>
        <v>0.24992831249666253</v>
      </c>
      <c r="CZ64" s="91">
        <f t="shared" si="582"/>
        <v>0.24938532012157916</v>
      </c>
      <c r="DA64" s="91">
        <f t="shared" si="582"/>
        <v>0.24919624963779508</v>
      </c>
      <c r="DB64" s="91">
        <f t="shared" si="582"/>
        <v>0.24928983413713152</v>
      </c>
      <c r="DE64" s="127"/>
      <c r="DF64" s="90">
        <v>0.29810953688563141</v>
      </c>
    </row>
    <row r="65" spans="1:110" s="26" customFormat="1" x14ac:dyDescent="0.2">
      <c r="A65" s="26" t="s">
        <v>22</v>
      </c>
      <c r="B65" s="26">
        <f t="shared" ref="B65:E65" si="584">B62-B63</f>
        <v>116.79000000000005</v>
      </c>
      <c r="C65" s="26">
        <f t="shared" si="584"/>
        <v>-15.410000000000053</v>
      </c>
      <c r="D65" s="26">
        <f t="shared" si="584"/>
        <v>0.2999999999999261</v>
      </c>
      <c r="E65" s="26">
        <f t="shared" si="584"/>
        <v>28.279999999999962</v>
      </c>
      <c r="F65" s="26">
        <f t="shared" ref="F65:T65" si="585">F62-F63</f>
        <v>79.259999999999849</v>
      </c>
      <c r="G65" s="26">
        <f t="shared" si="585"/>
        <v>223.71999999999966</v>
      </c>
      <c r="H65" s="26">
        <f t="shared" si="585"/>
        <v>336.02999999999986</v>
      </c>
      <c r="I65" s="26">
        <f t="shared" si="585"/>
        <v>367.70000000000027</v>
      </c>
      <c r="J65" s="26">
        <f t="shared" si="585"/>
        <v>7.5000000000000284</v>
      </c>
      <c r="K65" s="26">
        <f t="shared" si="585"/>
        <v>-169.7299999999999</v>
      </c>
      <c r="L65" s="26">
        <f t="shared" si="585"/>
        <v>-80.800000000000267</v>
      </c>
      <c r="M65" s="26">
        <f t="shared" si="585"/>
        <v>27.340000000000003</v>
      </c>
      <c r="N65" s="26">
        <f t="shared" si="585"/>
        <v>39.679999999999879</v>
      </c>
      <c r="O65" s="26">
        <f t="shared" si="585"/>
        <v>31.730000000000175</v>
      </c>
      <c r="P65" s="26">
        <f t="shared" si="585"/>
        <v>5.8300000000003536</v>
      </c>
      <c r="Q65" s="26">
        <f t="shared" si="585"/>
        <v>-99.119999999999663</v>
      </c>
      <c r="R65" s="26">
        <f t="shared" si="585"/>
        <v>-72.380000000000152</v>
      </c>
      <c r="S65" s="26">
        <f t="shared" si="585"/>
        <v>40.779999999999916</v>
      </c>
      <c r="T65" s="26">
        <f t="shared" si="585"/>
        <v>238.00999999999954</v>
      </c>
      <c r="U65" s="26">
        <f t="shared" ref="U65:Z65" si="586">U62-U63</f>
        <v>309.82000000000062</v>
      </c>
      <c r="V65" s="26">
        <f t="shared" si="586"/>
        <v>-854.15999999999974</v>
      </c>
      <c r="W65" s="26">
        <f t="shared" si="586"/>
        <v>-238.02000000000007</v>
      </c>
      <c r="X65" s="26">
        <f t="shared" si="586"/>
        <v>968.13999999999942</v>
      </c>
      <c r="Y65" s="26">
        <f t="shared" si="586"/>
        <v>1201.5899999999992</v>
      </c>
      <c r="Z65" s="26">
        <f t="shared" si="586"/>
        <v>1656.450000000001</v>
      </c>
      <c r="AA65" s="26">
        <f t="shared" ref="AA65" si="587">AA62-AA63</f>
        <v>1919.6299999999999</v>
      </c>
      <c r="AB65" s="27">
        <f t="shared" ref="AA65:AD65" si="588">AB62-AB63</f>
        <v>2204.5050855093837</v>
      </c>
      <c r="AC65" s="27">
        <f t="shared" si="588"/>
        <v>2685.2853411347737</v>
      </c>
      <c r="AD65" s="27">
        <f t="shared" si="588"/>
        <v>2965.0062340633917</v>
      </c>
      <c r="AE65" s="27">
        <f t="shared" ref="AE65" si="589">AE62-AE63</f>
        <v>3229.2267156480493</v>
      </c>
      <c r="AI65" s="26">
        <f>AI62-AI63</f>
        <v>-9.7299999999999986</v>
      </c>
      <c r="AJ65" s="26">
        <f t="shared" ref="AJ65" si="590">AJ62-AJ63</f>
        <v>-50.959999999999987</v>
      </c>
      <c r="AK65" s="26">
        <f t="shared" ref="AK65:AM65" si="591">AK62-AK63</f>
        <v>66.119999999999919</v>
      </c>
      <c r="AL65" s="26">
        <f t="shared" si="591"/>
        <v>40.380000000000081</v>
      </c>
      <c r="AM65" s="26">
        <f t="shared" si="591"/>
        <v>0.47999999999988319</v>
      </c>
      <c r="AN65" s="26">
        <f t="shared" ref="AN65:AO65" si="592">AN62-AN63</f>
        <v>-50.120000000000005</v>
      </c>
      <c r="AO65" s="26">
        <f t="shared" si="592"/>
        <v>77.439999999999884</v>
      </c>
      <c r="AP65" s="26">
        <f t="shared" ref="AP65:CD65" si="593">AP62-AP63</f>
        <v>3.9300000000000495</v>
      </c>
      <c r="AQ65" s="26">
        <f t="shared" si="593"/>
        <v>-18.240000000000098</v>
      </c>
      <c r="AR65" s="26">
        <f t="shared" si="593"/>
        <v>-84.129999999999939</v>
      </c>
      <c r="AS65" s="26">
        <f t="shared" si="593"/>
        <v>89.900000000000091</v>
      </c>
      <c r="AT65" s="26">
        <f t="shared" si="593"/>
        <v>18.299999999999997</v>
      </c>
      <c r="AU65" s="26">
        <f t="shared" si="593"/>
        <v>-3.4900000000000126</v>
      </c>
      <c r="AV65" s="26">
        <f t="shared" si="593"/>
        <v>-76.940000000000012</v>
      </c>
      <c r="AW65" s="26">
        <f t="shared" si="593"/>
        <v>45.090000000000103</v>
      </c>
      <c r="AX65" s="26">
        <f t="shared" si="593"/>
        <v>-7.5499999999999972</v>
      </c>
      <c r="AY65" s="26">
        <f t="shared" si="593"/>
        <v>-53.860000000000078</v>
      </c>
      <c r="AZ65" s="26">
        <f t="shared" si="593"/>
        <v>-92.600000000000037</v>
      </c>
      <c r="BA65" s="26">
        <f t="shared" si="593"/>
        <v>80.96999999999997</v>
      </c>
      <c r="BB65" s="26">
        <f t="shared" si="593"/>
        <v>-6.8900000000000432</v>
      </c>
      <c r="BC65" s="26">
        <f t="shared" si="593"/>
        <v>-45.370000000000083</v>
      </c>
      <c r="BD65" s="26">
        <f t="shared" si="593"/>
        <v>-53.529999999999959</v>
      </c>
      <c r="BE65" s="26">
        <f t="shared" si="593"/>
        <v>68.36999999999999</v>
      </c>
      <c r="BF65" s="26">
        <f t="shared" si="593"/>
        <v>71.309999999999945</v>
      </c>
      <c r="BG65" s="26">
        <f t="shared" si="593"/>
        <v>10.010000000000083</v>
      </c>
      <c r="BH65" s="26">
        <f t="shared" si="593"/>
        <v>7.2299999999999081</v>
      </c>
      <c r="BI65" s="26">
        <f t="shared" si="593"/>
        <v>118.61000000000008</v>
      </c>
      <c r="BJ65" s="26">
        <f t="shared" si="593"/>
        <v>102.15999999999983</v>
      </c>
      <c r="BK65" s="26">
        <f t="shared" si="593"/>
        <v>7.829999999999945</v>
      </c>
      <c r="BL65" s="26">
        <f t="shared" si="593"/>
        <v>80.360000000000028</v>
      </c>
      <c r="BM65" s="26">
        <f t="shared" si="593"/>
        <v>194.93</v>
      </c>
      <c r="BN65" s="26">
        <f t="shared" si="593"/>
        <v>26.700000000000063</v>
      </c>
      <c r="BO65" s="26">
        <f t="shared" si="593"/>
        <v>-352.99999999999994</v>
      </c>
      <c r="BP65" s="26">
        <f t="shared" si="593"/>
        <v>-240.19</v>
      </c>
      <c r="BQ65" s="26">
        <f t="shared" si="593"/>
        <v>-145.69999999999993</v>
      </c>
      <c r="BR65" s="26">
        <f t="shared" si="593"/>
        <v>-115.27</v>
      </c>
      <c r="BS65" s="26">
        <f t="shared" si="593"/>
        <v>-290.38</v>
      </c>
      <c r="BT65" s="26">
        <f t="shared" si="593"/>
        <v>-107.51999999999997</v>
      </c>
      <c r="BU65" s="26">
        <f t="shared" si="593"/>
        <v>96.519999999999982</v>
      </c>
      <c r="BV65" s="26">
        <f t="shared" si="593"/>
        <v>63.360000000000028</v>
      </c>
      <c r="BW65" s="26">
        <f t="shared" si="593"/>
        <v>175.25999999999991</v>
      </c>
      <c r="BX65" s="26">
        <f t="shared" si="593"/>
        <v>112.03999999999992</v>
      </c>
      <c r="BY65" s="26">
        <f t="shared" si="593"/>
        <v>378.82</v>
      </c>
      <c r="BZ65" s="26">
        <f t="shared" si="593"/>
        <v>302.02</v>
      </c>
      <c r="CA65" s="26">
        <f t="shared" si="593"/>
        <v>210.59999999999982</v>
      </c>
      <c r="CB65" s="26">
        <f t="shared" si="593"/>
        <v>159.91000000000022</v>
      </c>
      <c r="CC65" s="26">
        <f t="shared" si="593"/>
        <v>437.9899999999999</v>
      </c>
      <c r="CD65" s="26">
        <f t="shared" si="593"/>
        <v>393.08999999999992</v>
      </c>
      <c r="CE65" s="26">
        <f t="shared" ref="CE65:CF65" si="594">CE62-CE63</f>
        <v>234.21</v>
      </c>
      <c r="CF65" s="26">
        <f t="shared" si="594"/>
        <v>265.84999999999991</v>
      </c>
      <c r="CG65" s="26">
        <f t="shared" ref="CG65:CH65" si="595">CG62-CG63</f>
        <v>613.82000000000016</v>
      </c>
      <c r="CH65" s="26">
        <f t="shared" si="595"/>
        <v>542.56999999999994</v>
      </c>
      <c r="CI65" s="26">
        <f t="shared" ref="CI65:CJ65" si="596">CI62-CI63</f>
        <v>319.41999999999973</v>
      </c>
      <c r="CJ65" s="26">
        <f t="shared" si="596"/>
        <v>316.18000000000006</v>
      </c>
      <c r="CK65" s="26">
        <f t="shared" ref="CK65:CL65" si="597">CK62-CK63</f>
        <v>658.81</v>
      </c>
      <c r="CL65" s="26">
        <f t="shared" si="597"/>
        <v>625.22000000000014</v>
      </c>
      <c r="CM65" s="27">
        <f t="shared" ref="CM65:DB65" si="598">CM62-CM63</f>
        <v>513.9897763935403</v>
      </c>
      <c r="CN65" s="27">
        <f t="shared" si="598"/>
        <v>539.29257910798628</v>
      </c>
      <c r="CO65" s="27">
        <f t="shared" si="598"/>
        <v>584.69960055922195</v>
      </c>
      <c r="CP65" s="27">
        <f t="shared" si="598"/>
        <v>566.52312944863513</v>
      </c>
      <c r="CQ65" s="27">
        <f t="shared" si="598"/>
        <v>624.06071798859705</v>
      </c>
      <c r="CR65" s="27">
        <f t="shared" si="598"/>
        <v>655.08644901012974</v>
      </c>
      <c r="CS65" s="27">
        <f t="shared" si="598"/>
        <v>688.11557800776154</v>
      </c>
      <c r="CT65" s="27">
        <f t="shared" si="598"/>
        <v>718.02259612828743</v>
      </c>
      <c r="CU65" s="27">
        <f t="shared" si="598"/>
        <v>710.54125896004621</v>
      </c>
      <c r="CV65" s="27">
        <f t="shared" si="598"/>
        <v>732.827376580193</v>
      </c>
      <c r="CW65" s="27">
        <f t="shared" si="598"/>
        <v>752.69694261162056</v>
      </c>
      <c r="CX65" s="27">
        <f t="shared" si="598"/>
        <v>768.94065591153424</v>
      </c>
      <c r="CY65" s="27">
        <f t="shared" si="598"/>
        <v>781.45349213852251</v>
      </c>
      <c r="CZ65" s="27">
        <f t="shared" si="598"/>
        <v>799.42142107202881</v>
      </c>
      <c r="DA65" s="27">
        <f t="shared" si="598"/>
        <v>816.20554094918384</v>
      </c>
      <c r="DB65" s="27">
        <f t="shared" si="598"/>
        <v>832.14626148831371</v>
      </c>
      <c r="DE65" s="121"/>
      <c r="DF65" s="26">
        <v>654.29206078252173</v>
      </c>
    </row>
    <row r="66" spans="1:110" s="45" customFormat="1" x14ac:dyDescent="0.2">
      <c r="A66" s="45" t="s">
        <v>107</v>
      </c>
      <c r="B66" s="45">
        <f t="shared" ref="B66:E66" si="599">+B65/B34</f>
        <v>0.16987636363636371</v>
      </c>
      <c r="C66" s="45">
        <f t="shared" si="599"/>
        <v>-1.9451667466107967E-2</v>
      </c>
      <c r="D66" s="45">
        <f t="shared" si="599"/>
        <v>3.4617648076981124E-4</v>
      </c>
      <c r="E66" s="45">
        <f t="shared" si="599"/>
        <v>2.8213979288464953E-2</v>
      </c>
      <c r="F66" s="45">
        <f t="shared" ref="F66:AE66" si="600">+F65/F34</f>
        <v>6.0341217939445503E-2</v>
      </c>
      <c r="G66" s="45">
        <f t="shared" si="600"/>
        <v>0.12176497161611251</v>
      </c>
      <c r="H66" s="45">
        <f t="shared" si="600"/>
        <v>0.13407680798004981</v>
      </c>
      <c r="I66" s="45">
        <f t="shared" si="600"/>
        <v>0.12592336380105693</v>
      </c>
      <c r="J66" s="45">
        <f t="shared" si="600"/>
        <v>2.7921210068016173E-3</v>
      </c>
      <c r="K66" s="45">
        <f t="shared" si="600"/>
        <v>-6.7325923634084572E-2</v>
      </c>
      <c r="L66" s="45">
        <f t="shared" si="600"/>
        <v>-2.8227370068507365E-2</v>
      </c>
      <c r="M66" s="45">
        <f t="shared" si="600"/>
        <v>7.9395502276740082E-3</v>
      </c>
      <c r="N66" s="45">
        <f t="shared" si="600"/>
        <v>1.0600102581637854E-2</v>
      </c>
      <c r="O66" s="45">
        <f t="shared" si="600"/>
        <v>7.8033736741274203E-3</v>
      </c>
      <c r="P66" s="45">
        <f t="shared" si="600"/>
        <v>1.3918598876963295E-3</v>
      </c>
      <c r="Q66" s="45">
        <f t="shared" si="600"/>
        <v>-2.4638207118035622E-2</v>
      </c>
      <c r="R66" s="45">
        <f t="shared" si="600"/>
        <v>-1.8002422542077404E-2</v>
      </c>
      <c r="S66" s="45">
        <f t="shared" si="600"/>
        <v>9.937736837616189E-3</v>
      </c>
      <c r="T66" s="45">
        <f t="shared" si="600"/>
        <v>5.2750443262411247E-2</v>
      </c>
      <c r="U66" s="45">
        <f t="shared" si="600"/>
        <v>6.9417495305995461E-2</v>
      </c>
      <c r="V66" s="45">
        <f t="shared" si="600"/>
        <v>-0.54226872190761555</v>
      </c>
      <c r="W66" s="45">
        <f t="shared" si="600"/>
        <v>-7.7880519072579882E-2</v>
      </c>
      <c r="X66" s="45">
        <f t="shared" si="600"/>
        <v>0.16663597198579658</v>
      </c>
      <c r="Y66" s="45">
        <f t="shared" si="600"/>
        <v>0.1775202216066481</v>
      </c>
      <c r="Z66" s="45">
        <f t="shared" ref="Z66:AA66" si="601">+Z65/Z34</f>
        <v>0.19874522169189909</v>
      </c>
      <c r="AA66" s="45">
        <f t="shared" si="601"/>
        <v>0.19812017892049102</v>
      </c>
      <c r="AB66" s="48">
        <f t="shared" si="600"/>
        <v>0.20253024165677261</v>
      </c>
      <c r="AC66" s="48">
        <f t="shared" si="600"/>
        <v>0.23132406149642232</v>
      </c>
      <c r="AD66" s="48">
        <f t="shared" si="600"/>
        <v>0.23965144469001787</v>
      </c>
      <c r="AE66" s="48">
        <f t="shared" si="600"/>
        <v>0.24562691092201203</v>
      </c>
      <c r="AI66" s="45">
        <f t="shared" ref="AI66:BN66" si="602">+AI65/AI34</f>
        <v>-1.1412552634974251E-2</v>
      </c>
      <c r="AJ66" s="45">
        <f t="shared" si="602"/>
        <v>-6.2619808306709254E-2</v>
      </c>
      <c r="AK66" s="45">
        <f t="shared" si="602"/>
        <v>0.12142135708383055</v>
      </c>
      <c r="AL66" s="45">
        <f t="shared" si="602"/>
        <v>3.9723763428166768E-2</v>
      </c>
      <c r="AM66" s="45">
        <f t="shared" si="602"/>
        <v>5.2822713766906922E-4</v>
      </c>
      <c r="AN66" s="45">
        <f t="shared" si="602"/>
        <v>-5.5942494865613007E-2</v>
      </c>
      <c r="AO66" s="45">
        <f t="shared" si="602"/>
        <v>6.6323515557420623E-2</v>
      </c>
      <c r="AP66" s="45">
        <f t="shared" si="602"/>
        <v>3.5924531061465219E-3</v>
      </c>
      <c r="AQ66" s="45">
        <f t="shared" si="602"/>
        <v>-1.9456830158086847E-2</v>
      </c>
      <c r="AR66" s="45">
        <f t="shared" si="602"/>
        <v>-8.9786552828174965E-2</v>
      </c>
      <c r="AS66" s="45">
        <f t="shared" si="602"/>
        <v>7.4489593000132637E-2</v>
      </c>
      <c r="AT66" s="45">
        <f t="shared" si="602"/>
        <v>1.652668653481441E-2</v>
      </c>
      <c r="AU66" s="45">
        <f t="shared" si="602"/>
        <v>-3.3787708631839953E-3</v>
      </c>
      <c r="AV66" s="45">
        <f t="shared" si="602"/>
        <v>-8.6027035790556497E-2</v>
      </c>
      <c r="AW66" s="45">
        <f t="shared" si="602"/>
        <v>3.8797442758929351E-2</v>
      </c>
      <c r="AX66" s="45">
        <f t="shared" si="602"/>
        <v>-6.1459562863771392E-3</v>
      </c>
      <c r="AY66" s="45">
        <f t="shared" si="602"/>
        <v>-5.6896569937568087E-2</v>
      </c>
      <c r="AZ66" s="45">
        <f t="shared" si="602"/>
        <v>-0.10436507489264828</v>
      </c>
      <c r="BA66" s="45">
        <f t="shared" si="602"/>
        <v>7.1522582126862688E-2</v>
      </c>
      <c r="BB66" s="45">
        <f t="shared" si="602"/>
        <v>-6.5480602915740467E-3</v>
      </c>
      <c r="BC66" s="45">
        <f t="shared" si="602"/>
        <v>-4.9793669607972345E-2</v>
      </c>
      <c r="BD66" s="45">
        <f t="shared" si="602"/>
        <v>-6.2852982962884635E-2</v>
      </c>
      <c r="BE66" s="45">
        <f t="shared" si="602"/>
        <v>5.7105390641965813E-2</v>
      </c>
      <c r="BF66" s="45">
        <f t="shared" si="602"/>
        <v>6.2363353331117782E-2</v>
      </c>
      <c r="BG66" s="45">
        <f t="shared" si="602"/>
        <v>1.0217413493926797E-2</v>
      </c>
      <c r="BH66" s="45">
        <f t="shared" si="602"/>
        <v>7.4958788218094912E-3</v>
      </c>
      <c r="BI66" s="45">
        <f t="shared" si="602"/>
        <v>8.9621821753749734E-2</v>
      </c>
      <c r="BJ66" s="45">
        <f t="shared" si="602"/>
        <v>8.2101067249581966E-2</v>
      </c>
      <c r="BK66" s="45">
        <f t="shared" si="602"/>
        <v>7.6764705882352404E-3</v>
      </c>
      <c r="BL66" s="45">
        <f t="shared" si="602"/>
        <v>7.9766536964980567E-2</v>
      </c>
      <c r="BM66" s="45">
        <f t="shared" si="602"/>
        <v>0.14200273908735941</v>
      </c>
      <c r="BN66" s="45">
        <f t="shared" si="602"/>
        <v>2.5118064309770705E-2</v>
      </c>
      <c r="BO66" s="45">
        <f t="shared" ref="BO66:CT66" si="603">+BO65/BO34</f>
        <v>-2.4580460970684488</v>
      </c>
      <c r="BP66" s="45">
        <f t="shared" si="603"/>
        <v>-0.93579304164880972</v>
      </c>
      <c r="BQ66" s="45">
        <f t="shared" si="603"/>
        <v>-0.26024363233665548</v>
      </c>
      <c r="BR66" s="45">
        <f t="shared" si="603"/>
        <v>-0.18742479919352217</v>
      </c>
      <c r="BS66" s="45">
        <f t="shared" si="603"/>
        <v>-0.84278043825279347</v>
      </c>
      <c r="BT66" s="45">
        <f t="shared" si="603"/>
        <v>-0.14761728242514102</v>
      </c>
      <c r="BU66" s="45">
        <f t="shared" si="603"/>
        <v>8.6859487770198501E-2</v>
      </c>
      <c r="BV66" s="45">
        <f t="shared" si="603"/>
        <v>7.2653884964682169E-2</v>
      </c>
      <c r="BW66" s="45">
        <f t="shared" si="603"/>
        <v>0.13842836494032709</v>
      </c>
      <c r="BX66" s="45">
        <f t="shared" si="603"/>
        <v>9.0896552843153899E-2</v>
      </c>
      <c r="BY66" s="45">
        <f t="shared" si="603"/>
        <v>0.22471230276426624</v>
      </c>
      <c r="BZ66" s="45">
        <f t="shared" si="603"/>
        <v>0.18580929354078612</v>
      </c>
      <c r="CA66" s="45">
        <f t="shared" si="603"/>
        <v>0.1436199594918062</v>
      </c>
      <c r="CB66" s="45">
        <f t="shared" si="603"/>
        <v>0.11157549539492061</v>
      </c>
      <c r="CC66" s="45">
        <f t="shared" si="603"/>
        <v>0.22302733420237897</v>
      </c>
      <c r="CD66" s="45">
        <f t="shared" si="603"/>
        <v>0.20630963502576966</v>
      </c>
      <c r="CE66" s="45">
        <f t="shared" si="603"/>
        <v>0.15108080736406856</v>
      </c>
      <c r="CF66" s="45">
        <f t="shared" si="603"/>
        <v>0.14558188947057144</v>
      </c>
      <c r="CG66" s="45">
        <f t="shared" si="603"/>
        <v>0.24232447049999017</v>
      </c>
      <c r="CH66" s="45">
        <f t="shared" si="603"/>
        <v>0.22372728997088825</v>
      </c>
      <c r="CI66" s="45">
        <f t="shared" ref="CI66:CJ66" si="604">+CI65/CI34</f>
        <v>0.15649558077096426</v>
      </c>
      <c r="CJ66" s="45">
        <f t="shared" si="604"/>
        <v>0.15492260729387672</v>
      </c>
      <c r="CK66" s="45">
        <f t="shared" ref="CK66:CL66" si="605">+CK65/CK34</f>
        <v>0.23181536685949131</v>
      </c>
      <c r="CL66" s="45">
        <f t="shared" si="605"/>
        <v>0.22609563553912976</v>
      </c>
      <c r="CM66" s="48">
        <f t="shared" si="603"/>
        <v>0.19053455360054816</v>
      </c>
      <c r="CN66" s="48">
        <f t="shared" si="603"/>
        <v>0.19892319624969163</v>
      </c>
      <c r="CO66" s="48">
        <f t="shared" si="603"/>
        <v>0.2121316188997468</v>
      </c>
      <c r="CP66" s="48">
        <f t="shared" si="603"/>
        <v>0.20829323484508289</v>
      </c>
      <c r="CQ66" s="48">
        <f t="shared" si="603"/>
        <v>0.21939861977883784</v>
      </c>
      <c r="CR66" s="48">
        <f t="shared" si="603"/>
        <v>0.2274619836830894</v>
      </c>
      <c r="CS66" s="48">
        <f t="shared" si="603"/>
        <v>0.23552501785855842</v>
      </c>
      <c r="CT66" s="48">
        <f t="shared" si="603"/>
        <v>0.24238639183622548</v>
      </c>
      <c r="CU66" s="48">
        <f t="shared" ref="CU66:DB66" si="606">+CU65/CU34</f>
        <v>0.23496837329225131</v>
      </c>
      <c r="CV66" s="48">
        <f t="shared" si="606"/>
        <v>0.23881851170824239</v>
      </c>
      <c r="CW66" s="48">
        <f t="shared" si="606"/>
        <v>0.24159194164982686</v>
      </c>
      <c r="CX66" s="48">
        <f t="shared" si="606"/>
        <v>0.24302423945997201</v>
      </c>
      <c r="CY66" s="48">
        <f t="shared" si="606"/>
        <v>0.24309238250001752</v>
      </c>
      <c r="CZ66" s="48">
        <f t="shared" si="606"/>
        <v>0.24505435848632115</v>
      </c>
      <c r="DA66" s="48">
        <f t="shared" si="606"/>
        <v>0.24654141186568013</v>
      </c>
      <c r="DB66" s="48">
        <f t="shared" si="606"/>
        <v>0.24770698953030534</v>
      </c>
      <c r="DE66" s="129"/>
      <c r="DF66" s="45">
        <v>0.23106167464019872</v>
      </c>
    </row>
    <row r="67" spans="1:110" s="39" customFormat="1" x14ac:dyDescent="0.2">
      <c r="A67" s="39" t="s">
        <v>451</v>
      </c>
      <c r="C67" s="39">
        <f t="shared" ref="C67:E67" si="607">+IF(B65&lt;0,1-C65/B65,C65/B65-1)</f>
        <v>-1.1319462282729691</v>
      </c>
      <c r="D67" s="39">
        <f t="shared" si="607"/>
        <v>1.0194678780012929</v>
      </c>
      <c r="E67" s="39">
        <f t="shared" si="607"/>
        <v>93.266666666689758</v>
      </c>
      <c r="F67" s="39">
        <f t="shared" ref="F67:AE67" si="608">+IF(E65&lt;0,1-F65/E65,F65/E65-1)</f>
        <v>1.8026874115983009</v>
      </c>
      <c r="G67" s="39">
        <f t="shared" si="608"/>
        <v>1.8226091344940714</v>
      </c>
      <c r="H67" s="39">
        <f t="shared" si="608"/>
        <v>0.50201144287502397</v>
      </c>
      <c r="I67" s="39">
        <f t="shared" si="608"/>
        <v>9.4247537422255334E-2</v>
      </c>
      <c r="J67" s="39">
        <f t="shared" si="608"/>
        <v>-0.9796029371770465</v>
      </c>
      <c r="K67" s="39">
        <f t="shared" si="608"/>
        <v>-23.630666666666567</v>
      </c>
      <c r="L67" s="39">
        <f t="shared" si="608"/>
        <v>0.52394980262770097</v>
      </c>
      <c r="M67" s="39">
        <f t="shared" si="608"/>
        <v>1.3383663366336622</v>
      </c>
      <c r="N67" s="39">
        <f t="shared" si="608"/>
        <v>0.45135332845646947</v>
      </c>
      <c r="O67" s="39">
        <f t="shared" si="608"/>
        <v>-0.20035282258063836</v>
      </c>
      <c r="P67" s="39">
        <f t="shared" si="608"/>
        <v>-0.8162622124172606</v>
      </c>
      <c r="Q67" s="39">
        <f t="shared" si="608"/>
        <v>-18.001715265865119</v>
      </c>
      <c r="R67" s="39">
        <f t="shared" si="608"/>
        <v>0.26977401129943102</v>
      </c>
      <c r="S67" s="39">
        <f t="shared" si="608"/>
        <v>1.5634153080961568</v>
      </c>
      <c r="T67" s="39">
        <f t="shared" si="608"/>
        <v>4.836439431093674</v>
      </c>
      <c r="U67" s="39">
        <f t="shared" si="608"/>
        <v>0.30171001218436722</v>
      </c>
      <c r="V67" s="39">
        <f t="shared" si="608"/>
        <v>-3.7569556516687044</v>
      </c>
      <c r="W67" s="39">
        <f t="shared" si="608"/>
        <v>0.72134026411913443</v>
      </c>
      <c r="X67" s="39">
        <f t="shared" si="608"/>
        <v>5.0674733215696124</v>
      </c>
      <c r="Y67" s="39">
        <f t="shared" si="608"/>
        <v>0.24113248083954786</v>
      </c>
      <c r="Z67" s="39">
        <f t="shared" ref="Z67:AA67" si="609">+IF(Y65&lt;0,1-Z65/Y65,Z65/Y65-1)</f>
        <v>0.37854842333907746</v>
      </c>
      <c r="AA67" s="39">
        <f t="shared" si="609"/>
        <v>0.15888194633100827</v>
      </c>
      <c r="AB67" s="40">
        <f t="shared" si="608"/>
        <v>0.1484010384862624</v>
      </c>
      <c r="AC67" s="40">
        <f t="shared" si="608"/>
        <v>0.21808988275220909</v>
      </c>
      <c r="AD67" s="40">
        <f t="shared" si="608"/>
        <v>0.10416803333474078</v>
      </c>
      <c r="AE67" s="40">
        <f t="shared" si="608"/>
        <v>8.9112959881556986E-2</v>
      </c>
      <c r="AM67" s="39">
        <f>+IF(AI65&lt;0,1-AM65/AI65,AM65/AI65-1)</f>
        <v>1.0493319630010158</v>
      </c>
      <c r="AN67" s="39">
        <f t="shared" ref="AN67" si="610">+IF(AJ65&lt;0,1-AN65/AJ65,AN65/AJ65-1)</f>
        <v>1.6483516483516092E-2</v>
      </c>
      <c r="AO67" s="39">
        <f t="shared" ref="AO67" si="611">+IF(AK65&lt;0,1-AO65/AK65,AO65/AK65-1)</f>
        <v>0.17120387174833596</v>
      </c>
      <c r="AP67" s="39">
        <f t="shared" ref="AP67" si="612">+IF(AL65&lt;0,1-AP65/AL65,AP65/AL65-1)</f>
        <v>-0.90267459138187123</v>
      </c>
      <c r="AQ67" s="39">
        <f t="shared" ref="AQ67" si="613">+IF(AM65&lt;0,1-AQ65/AM65,AQ65/AM65-1)</f>
        <v>-39.00000000000945</v>
      </c>
      <c r="AR67" s="39">
        <f t="shared" ref="AR67" si="614">+IF(AN65&lt;0,1-AR65/AN65,AR65/AN65-1)</f>
        <v>-0.67857142857142727</v>
      </c>
      <c r="AS67" s="39">
        <f t="shared" ref="AS67" si="615">+IF(AO65&lt;0,1-AS65/AO65,AS65/AO65-1)</f>
        <v>0.16089876033058137</v>
      </c>
      <c r="AT67" s="39">
        <f t="shared" ref="AT67" si="616">+IF(AP65&lt;0,1-AT65/AP65,AT65/AP65-1)</f>
        <v>3.6564885496182615</v>
      </c>
      <c r="AU67" s="39">
        <f t="shared" ref="AU67" si="617">+IF(AQ65&lt;0,1-AU65/AQ65,AU65/AQ65-1)</f>
        <v>0.80866228070175472</v>
      </c>
      <c r="AV67" s="39">
        <f t="shared" ref="AV67" si="618">+IF(AR65&lt;0,1-AV65/AR65,AV65/AR65-1)</f>
        <v>8.5462973968856937E-2</v>
      </c>
      <c r="AW67" s="39">
        <f t="shared" ref="AW67" si="619">+IF(AS65&lt;0,1-AW65/AS65,AW65/AS65-1)</f>
        <v>-0.49844271412680696</v>
      </c>
      <c r="AX67" s="39">
        <f t="shared" ref="AX67" si="620">+IF(AT65&lt;0,1-AX65/AT65,AX65/AT65-1)</f>
        <v>-1.4125683060109289</v>
      </c>
      <c r="AY67" s="39">
        <f t="shared" ref="AY67" si="621">+IF(AU65&lt;0,1-AY65/AU65,AY65/AU65-1)</f>
        <v>-14.432664756446957</v>
      </c>
      <c r="AZ67" s="39">
        <f t="shared" ref="AZ67" si="622">+IF(AV65&lt;0,1-AZ65/AV65,AZ65/AV65-1)</f>
        <v>-0.2035352222511051</v>
      </c>
      <c r="BA67" s="39">
        <f t="shared" ref="BA67" si="623">+IF(AW65&lt;0,1-BA65/AW65,BA65/AW65-1)</f>
        <v>0.79574184963406047</v>
      </c>
      <c r="BB67" s="39">
        <f t="shared" ref="BB67" si="624">+IF(AX65&lt;0,1-BB65/AX65,BB65/AX65-1)</f>
        <v>8.7417218543040298E-2</v>
      </c>
      <c r="BC67" s="39">
        <f t="shared" ref="BC67" si="625">+IF(AY65&lt;0,1-BC65/AY65,BC65/AY65-1)</f>
        <v>0.15763089491273641</v>
      </c>
      <c r="BD67" s="39">
        <f t="shared" ref="BD67" si="626">+IF(AZ65&lt;0,1-BD65/AZ65,BD65/AZ65-1)</f>
        <v>0.42192224622030305</v>
      </c>
      <c r="BE67" s="39">
        <f t="shared" ref="BE67" si="627">+IF(BA65&lt;0,1-BE65/BA65,BE65/BA65-1)</f>
        <v>-0.1556131900703962</v>
      </c>
      <c r="BF67" s="39">
        <f t="shared" ref="BF67" si="628">+IF(BB65&lt;0,1-BF65/BB65,BF65/BB65-1)</f>
        <v>11.349782293178446</v>
      </c>
      <c r="BG67" s="39">
        <f t="shared" ref="BG67" si="629">+IF(BC65&lt;0,1-BG65/BC65,BG65/BC65-1)</f>
        <v>1.2206303724928382</v>
      </c>
      <c r="BH67" s="39">
        <f t="shared" ref="BH67" si="630">+IF(BD65&lt;0,1-BH65/BD65,BH65/BD65-1)</f>
        <v>1.135064449841209</v>
      </c>
      <c r="BI67" s="39">
        <f t="shared" ref="BI67" si="631">+IF(BE65&lt;0,1-BI65/BE65,BI65/BE65-1)</f>
        <v>0.73482521573789827</v>
      </c>
      <c r="BJ67" s="39">
        <f t="shared" ref="BJ67" si="632">+IF(BF65&lt;0,1-BJ65/BF65,BJ65/BF65-1)</f>
        <v>0.43261814612256222</v>
      </c>
      <c r="BK67" s="39">
        <f t="shared" ref="BK67" si="633">+IF(BG65&lt;0,1-BK65/BG65,BK65/BG65-1)</f>
        <v>-0.21778221778222984</v>
      </c>
      <c r="BL67" s="39">
        <f t="shared" ref="BL67" si="634">+IF(BH65&lt;0,1-BL65/BH65,BL65/BH65-1)</f>
        <v>10.114799446749799</v>
      </c>
      <c r="BM67" s="39">
        <f t="shared" ref="BM67" si="635">+IF(BI65&lt;0,1-BM65/BI65,BM65/BI65-1)</f>
        <v>0.64345333445746444</v>
      </c>
      <c r="BN67" s="39">
        <f t="shared" ref="BN67" si="636">+IF(BJ65&lt;0,1-BN65/BJ65,BN65/BJ65-1)</f>
        <v>-0.73864526233359329</v>
      </c>
      <c r="BO67" s="39">
        <f t="shared" ref="BO67" si="637">+IF(BK65&lt;0,1-BO65/BK65,BO65/BK65-1)</f>
        <v>-46.083014048531602</v>
      </c>
      <c r="BP67" s="39">
        <f t="shared" ref="BP67" si="638">+IF(BL65&lt;0,1-BP65/BL65,BP65/BL65-1)</f>
        <v>-3.9889248382279732</v>
      </c>
      <c r="BQ67" s="39">
        <f t="shared" ref="BQ67" si="639">+IF(BM65&lt;0,1-BQ65/BM65,BQ65/BM65-1)</f>
        <v>-1.7474478017749959</v>
      </c>
      <c r="BR67" s="39">
        <f t="shared" ref="BR67" si="640">+IF(BN65&lt;0,1-BR65/BN65,BR65/BN65-1)</f>
        <v>-5.3172284644194656</v>
      </c>
      <c r="BS67" s="39">
        <f t="shared" ref="BS67" si="641">+IF(BO65&lt;0,1-BS65/BO65,BS65/BO65-1)</f>
        <v>0.17739376770538229</v>
      </c>
      <c r="BT67" s="39">
        <f t="shared" ref="BT67" si="642">+IF(BP65&lt;0,1-BT65/BP65,BT65/BP65-1)</f>
        <v>0.55235438611099563</v>
      </c>
      <c r="BU67" s="39">
        <f t="shared" ref="BU67" si="643">+IF(BQ65&lt;0,1-BU65/BQ65,BU65/BQ65-1)</f>
        <v>1.6624571036376117</v>
      </c>
      <c r="BV67" s="39">
        <f t="shared" ref="BV67" si="644">+IF(BR65&lt;0,1-BV65/BR65,BV65/BR65-1)</f>
        <v>1.5496660015615515</v>
      </c>
      <c r="BW67" s="39">
        <f t="shared" ref="BW67" si="645">+IF(BS65&lt;0,1-BW65/BS65,BW65/BS65-1)</f>
        <v>1.6035539637716094</v>
      </c>
      <c r="BX67" s="39">
        <f t="shared" ref="BX67" si="646">+IF(BT65&lt;0,1-BX65/BT65,BX65/BT65-1)</f>
        <v>2.0420386904761898</v>
      </c>
      <c r="BY67" s="39">
        <f t="shared" ref="BY67" si="647">+IF(BU65&lt;0,1-BY65/BU65,BY65/BU65-1)</f>
        <v>2.9247824285122261</v>
      </c>
      <c r="BZ67" s="39">
        <f t="shared" ref="BZ67" si="648">+IF(BV65&lt;0,1-BZ65/BV65,BZ65/BV65-1)</f>
        <v>3.7667297979797958</v>
      </c>
      <c r="CA67" s="39">
        <f t="shared" ref="CA67" si="649">+IF(BW65&lt;0,1-CA65/BW65,CA65/BW65-1)</f>
        <v>0.20164327285176276</v>
      </c>
      <c r="CB67" s="39">
        <f t="shared" ref="CB67" si="650">+IF(BX65&lt;0,1-CB65/BX65,CB65/BX65-1)</f>
        <v>0.42725812209925329</v>
      </c>
      <c r="CC67" s="39">
        <f t="shared" ref="CC67" si="651">+IF(BY65&lt;0,1-CC65/BY65,CC65/BY65-1)</f>
        <v>0.15619555461696821</v>
      </c>
      <c r="CD67" s="39">
        <f t="shared" ref="CD67" si="652">+IF(BZ65&lt;0,1-CD65/BZ65,CD65/BZ65-1)</f>
        <v>0.30153632209787418</v>
      </c>
      <c r="CE67" s="39">
        <f t="shared" ref="CE67" si="653">+IF(CA65&lt;0,1-CE65/CA65,CE65/CA65-1)</f>
        <v>0.11210826210826297</v>
      </c>
      <c r="CF67" s="39">
        <f t="shared" ref="CF67" si="654">+IF(CB65&lt;0,1-CF65/CB65,CF65/CB65-1)</f>
        <v>0.66249765493089563</v>
      </c>
      <c r="CG67" s="39">
        <f t="shared" ref="CG67" si="655">+IF(CC65&lt;0,1-CG65/CC65,CG65/CC65-1)</f>
        <v>0.40144752163291475</v>
      </c>
      <c r="CH67" s="39">
        <f t="shared" ref="CH67:CL67" si="656">+IF(CD65&lt;0,1-CH65/CD65,CH65/CD65-1)</f>
        <v>0.38026914955862545</v>
      </c>
      <c r="CI67" s="39">
        <f t="shared" si="656"/>
        <v>0.36381879509841486</v>
      </c>
      <c r="CJ67" s="39">
        <f t="shared" si="656"/>
        <v>0.18931728418281057</v>
      </c>
      <c r="CK67" s="39">
        <f t="shared" si="656"/>
        <v>7.3295102798865752E-2</v>
      </c>
      <c r="CL67" s="39">
        <f t="shared" si="656"/>
        <v>0.15233057485670098</v>
      </c>
      <c r="CM67" s="40">
        <f t="shared" ref="CM67" si="657">+CM65/CI65-1</f>
        <v>0.60913460770628247</v>
      </c>
      <c r="CN67" s="40">
        <f t="shared" ref="CN67" si="658">+CN65/CJ65-1</f>
        <v>0.70565051270790735</v>
      </c>
      <c r="CO67" s="40">
        <f t="shared" ref="CO67" si="659">+CO65/CK65-1</f>
        <v>-0.11249130924056705</v>
      </c>
      <c r="CP67" s="40">
        <f t="shared" ref="CP67" si="660">+CP65/CL65-1</f>
        <v>-9.3881946437038177E-2</v>
      </c>
      <c r="CQ67" s="40">
        <f t="shared" ref="CQ67" si="661">+CQ65/CM65-1</f>
        <v>0.21415006027431183</v>
      </c>
      <c r="CR67" s="40">
        <f t="shared" ref="CR67" si="662">+CR65/CN65-1</f>
        <v>0.21471437655172565</v>
      </c>
      <c r="CS67" s="40">
        <f t="shared" ref="CS67" si="663">+CS65/CO65-1</f>
        <v>0.17687027210148565</v>
      </c>
      <c r="CT67" s="40">
        <f t="shared" ref="CT67" si="664">+CT65/CP65-1</f>
        <v>0.26741973770267458</v>
      </c>
      <c r="CU67" s="40">
        <f t="shared" ref="CU67" si="665">+CU65/CQ65-1</f>
        <v>0.13857712635748576</v>
      </c>
      <c r="CV67" s="40">
        <f t="shared" ref="CV67" si="666">+CV65/CR65-1</f>
        <v>0.11867277622294581</v>
      </c>
      <c r="CW67" s="40">
        <f t="shared" ref="CW67" si="667">+CW65/CS65-1</f>
        <v>9.3852496103685956E-2</v>
      </c>
      <c r="CX67" s="40">
        <f t="shared" ref="CX67" si="668">+CX65/CT65-1</f>
        <v>7.0914286065377974E-2</v>
      </c>
      <c r="CY67" s="40">
        <f t="shared" ref="CY67" si="669">+CY65/CU65-1</f>
        <v>9.9800303338139829E-2</v>
      </c>
      <c r="CZ67" s="40">
        <f t="shared" ref="CZ67" si="670">+CZ65/CV65-1</f>
        <v>9.087275751433177E-2</v>
      </c>
      <c r="DA67" s="40">
        <f t="shared" ref="DA67" si="671">+DA65/CW65-1</f>
        <v>8.4374726058018101E-2</v>
      </c>
      <c r="DB67" s="40">
        <f t="shared" ref="DB67" si="672">+DB65/CX65-1</f>
        <v>8.2198288113473295E-2</v>
      </c>
      <c r="DE67" s="122"/>
      <c r="DF67" s="39">
        <v>0.20591271316608339</v>
      </c>
    </row>
    <row r="68" spans="1:110" s="39" customFormat="1" x14ac:dyDescent="0.2">
      <c r="A68" s="39" t="s">
        <v>452</v>
      </c>
      <c r="AB68" s="40"/>
      <c r="AC68" s="40"/>
      <c r="AD68" s="40"/>
      <c r="AE68" s="40"/>
      <c r="AJ68" s="39">
        <f>+IF(AI65&lt;0,1-AJ65/AI65,AJ65/AI65-1)</f>
        <v>-4.2374100719424455</v>
      </c>
      <c r="AK68" s="39">
        <f t="shared" ref="AK68:AM68" si="673">+IF(AJ65&lt;0,1-AK65/AJ65,AK65/AJ65-1)</f>
        <v>2.2974882260596532</v>
      </c>
      <c r="AL68" s="39">
        <f t="shared" si="673"/>
        <v>-0.38929219600725751</v>
      </c>
      <c r="AM68" s="39">
        <f t="shared" si="673"/>
        <v>-0.98811292719168198</v>
      </c>
      <c r="AN68" s="39">
        <f t="shared" ref="AN68" si="674">+IF(AM65&lt;0,1-AN65/AM65,AN65/AM65-1)</f>
        <v>-105.41666666669208</v>
      </c>
      <c r="AO68" s="39">
        <f t="shared" ref="AO68" si="675">+IF(AN65&lt;0,1-AO65/AN65,AO65/AN65-1)</f>
        <v>2.545091779728649</v>
      </c>
      <c r="AP68" s="39">
        <f t="shared" ref="AP68" si="676">+IF(AO65&lt;0,1-AP65/AO65,AP65/AO65-1)</f>
        <v>-0.94925103305785052</v>
      </c>
      <c r="AQ68" s="39">
        <f t="shared" ref="AQ68" si="677">+IF(AP65&lt;0,1-AQ65/AP65,AQ65/AP65-1)</f>
        <v>-5.6412213740457684</v>
      </c>
      <c r="AR68" s="39">
        <f t="shared" ref="AR68" si="678">+IF(AQ65&lt;0,1-AR65/AQ65,AR65/AQ65-1)</f>
        <v>-3.6123903508771651</v>
      </c>
      <c r="AS68" s="39">
        <f t="shared" ref="AS68" si="679">+IF(AR65&lt;0,1-AS65/AR65,AS65/AR65-1)</f>
        <v>2.0685843337691687</v>
      </c>
      <c r="AT68" s="39">
        <f t="shared" ref="AT68" si="680">+IF(AS65&lt;0,1-AT65/AS65,AT65/AS65-1)</f>
        <v>-0.79644048943270329</v>
      </c>
      <c r="AU68" s="39">
        <f t="shared" ref="AU68" si="681">+IF(AT65&lt;0,1-AU65/AT65,AU65/AT65-1)</f>
        <v>-1.190710382513662</v>
      </c>
      <c r="AV68" s="39">
        <f t="shared" ref="AV68" si="682">+IF(AU65&lt;0,1-AV65/AU65,AV65/AU65-1)</f>
        <v>-21.045845272206229</v>
      </c>
      <c r="AW68" s="39">
        <f t="shared" ref="AW68" si="683">+IF(AV65&lt;0,1-AW65/AV65,AW65/AV65-1)</f>
        <v>1.5860410709643891</v>
      </c>
      <c r="AX68" s="39">
        <f t="shared" ref="AX68" si="684">+IF(AW65&lt;0,1-AX65/AW65,AX65/AW65-1)</f>
        <v>-1.1674428919937898</v>
      </c>
      <c r="AY68" s="39">
        <f t="shared" ref="AY68" si="685">+IF(AX65&lt;0,1-AY65/AX65,AY65/AX65-1)</f>
        <v>-6.1337748344370988</v>
      </c>
      <c r="AZ68" s="39">
        <f t="shared" ref="AZ68" si="686">+IF(AY65&lt;0,1-AZ65/AY65,AZ65/AY65-1)</f>
        <v>-0.71927218715187347</v>
      </c>
      <c r="BA68" s="39">
        <f t="shared" ref="BA68" si="687">+IF(AZ65&lt;0,1-BA65/AZ65,BA65/AZ65-1)</f>
        <v>1.8744060475161981</v>
      </c>
      <c r="BB68" s="39">
        <f t="shared" ref="BB68" si="688">+IF(BA65&lt;0,1-BB65/BA65,BB65/BA65-1)</f>
        <v>-1.0850932444115111</v>
      </c>
      <c r="BC68" s="39">
        <f t="shared" ref="BC68" si="689">+IF(BB65&lt;0,1-BC65/BB65,BC65/BB65-1)</f>
        <v>-5.5849056603773288</v>
      </c>
      <c r="BD68" s="39">
        <f t="shared" ref="BD68" si="690">+IF(BC65&lt;0,1-BD65/BC65,BD65/BC65-1)</f>
        <v>-0.17985452942472691</v>
      </c>
      <c r="BE68" s="39">
        <f t="shared" ref="BE68" si="691">+IF(BD65&lt;0,1-BE65/BD65,BE65/BD65-1)</f>
        <v>2.2772277227722784</v>
      </c>
      <c r="BF68" s="39">
        <f t="shared" ref="BF68" si="692">+IF(BE65&lt;0,1-BF65/BE65,BF65/BE65-1)</f>
        <v>4.3001316366826803E-2</v>
      </c>
      <c r="BG68" s="39">
        <f t="shared" ref="BG68" si="693">+IF(BF65&lt;0,1-BG65/BF65,BG65/BF65-1)</f>
        <v>-0.85962698078810695</v>
      </c>
      <c r="BH68" s="39">
        <f t="shared" ref="BH68" si="694">+IF(BG65&lt;0,1-BH65/BG65,BH65/BG65-1)</f>
        <v>-0.27772227772229297</v>
      </c>
      <c r="BI68" s="39">
        <f t="shared" ref="BI68" si="695">+IF(BH65&lt;0,1-BI65/BH65,BI65/BH65-1)</f>
        <v>15.405255878285143</v>
      </c>
      <c r="BJ68" s="39">
        <f t="shared" ref="BJ68" si="696">+IF(BI65&lt;0,1-BJ65/BI65,BJ65/BI65-1)</f>
        <v>-0.13868982379226247</v>
      </c>
      <c r="BK68" s="39">
        <f t="shared" ref="BK68" si="697">+IF(BJ65&lt;0,1-BK65/BJ65,BK65/BJ65-1)</f>
        <v>-0.9233555207517623</v>
      </c>
      <c r="BL68" s="39">
        <f t="shared" ref="BL68" si="698">+IF(BK65&lt;0,1-BL65/BK65,BL65/BK65-1)</f>
        <v>9.2630906768838557</v>
      </c>
      <c r="BM68" s="39">
        <f t="shared" ref="BM68" si="699">+IF(BL65&lt;0,1-BM65/BL65,BM65/BL65-1)</f>
        <v>1.4257093081134884</v>
      </c>
      <c r="BN68" s="39">
        <f t="shared" ref="BN68" si="700">+IF(BM65&lt;0,1-BN65/BM65,BN65/BM65-1)</f>
        <v>-0.86302775355255701</v>
      </c>
      <c r="BO68" s="39">
        <f t="shared" ref="BO68" si="701">+IF(BN65&lt;0,1-BO65/BN65,BO65/BN65-1)</f>
        <v>-14.220973782771502</v>
      </c>
      <c r="BP68" s="39">
        <f t="shared" ref="BP68" si="702">+IF(BO65&lt;0,1-BP65/BO65,BP65/BO65-1)</f>
        <v>0.31957507082152969</v>
      </c>
      <c r="BQ68" s="39">
        <f t="shared" ref="BQ68" si="703">+IF(BP65&lt;0,1-BQ65/BP65,BQ65/BP65-1)</f>
        <v>0.39339689412548429</v>
      </c>
      <c r="BR68" s="39">
        <f t="shared" ref="BR68" si="704">+IF(BQ65&lt;0,1-BR65/BQ65,BR65/BQ65-1)</f>
        <v>0.20885380919697971</v>
      </c>
      <c r="BS68" s="39">
        <f t="shared" ref="BS68" si="705">+IF(BR65&lt;0,1-BS65/BR65,BS65/BR65-1)</f>
        <v>-1.5191290014747985</v>
      </c>
      <c r="BT68" s="39">
        <f t="shared" ref="BT68" si="706">+IF(BS65&lt;0,1-BT65/BS65,BT65/BS65-1)</f>
        <v>0.62972656519044024</v>
      </c>
      <c r="BU68" s="39">
        <f t="shared" ref="BU68" si="707">+IF(BT65&lt;0,1-BU65/BT65,BU65/BT65-1)</f>
        <v>1.8976934523809526</v>
      </c>
      <c r="BV68" s="39">
        <f t="shared" ref="BV68" si="708">+IF(BU65&lt;0,1-BV65/BU65,BV65/BU65-1)</f>
        <v>-0.34355573974305798</v>
      </c>
      <c r="BW68" s="39">
        <f t="shared" ref="BW68" si="709">+IF(BV65&lt;0,1-BW65/BV65,BW65/BV65-1)</f>
        <v>1.7660984848484822</v>
      </c>
      <c r="BX68" s="39">
        <f t="shared" ref="BX68" si="710">+IF(BW65&lt;0,1-BX65/BW65,BX65/BW65-1)</f>
        <v>-0.36072121419605163</v>
      </c>
      <c r="BY68" s="39">
        <f t="shared" ref="BY68" si="711">+IF(BX65&lt;0,1-BY65/BX65,BY65/BX65-1)</f>
        <v>2.381113887897182</v>
      </c>
      <c r="BZ68" s="39">
        <f t="shared" ref="BZ68" si="712">+IF(BY65&lt;0,1-BZ65/BY65,BZ65/BY65-1)</f>
        <v>-0.20273480808827415</v>
      </c>
      <c r="CA68" s="39">
        <f t="shared" ref="CA68" si="713">+IF(BZ65&lt;0,1-CA65/BZ65,CA65/BZ65-1)</f>
        <v>-0.30269518574928866</v>
      </c>
      <c r="CB68" s="39">
        <f t="shared" ref="CB68" si="714">+IF(CA65&lt;0,1-CB65/CA65,CB65/CA65-1)</f>
        <v>-0.24069325735992231</v>
      </c>
      <c r="CC68" s="39">
        <f t="shared" ref="CC68" si="715">+IF(CB65&lt;0,1-CC65/CB65,CC65/CB65-1)</f>
        <v>1.7389781752235587</v>
      </c>
      <c r="CD68" s="39">
        <f t="shared" ref="CD68" si="716">+IF(CC65&lt;0,1-CD65/CC65,CD65/CC65-1)</f>
        <v>-0.102513756021827</v>
      </c>
      <c r="CE68" s="39">
        <f t="shared" ref="CE68" si="717">+IF(CD65&lt;0,1-CE65/CD65,CE65/CD65-1)</f>
        <v>-0.40418224834007466</v>
      </c>
      <c r="CF68" s="39">
        <f t="shared" ref="CF68" si="718">+IF(CE65&lt;0,1-CF65/CE65,CF65/CE65-1)</f>
        <v>0.13509243840997343</v>
      </c>
      <c r="CG68" s="39">
        <f t="shared" ref="CG68" si="719">+IF(CF65&lt;0,1-CG65/CF65,CG65/CF65-1)</f>
        <v>1.3088959939815701</v>
      </c>
      <c r="CH68" s="39">
        <f t="shared" ref="CH68:CL68" si="720">+IF(CG65&lt;0,1-CH65/CG65,CH65/CG65-1)</f>
        <v>-0.11607637418135641</v>
      </c>
      <c r="CI68" s="39">
        <f t="shared" si="720"/>
        <v>-0.4112833367123141</v>
      </c>
      <c r="CJ68" s="39">
        <f t="shared" si="720"/>
        <v>-1.0143384885103246E-2</v>
      </c>
      <c r="CK68" s="39">
        <f t="shared" si="720"/>
        <v>1.08365488013157</v>
      </c>
      <c r="CL68" s="39">
        <f t="shared" si="720"/>
        <v>-5.0985868459798467E-2</v>
      </c>
      <c r="CM68" s="40">
        <f t="shared" ref="CM68" si="721">+CM65/CL65-1</f>
        <v>-0.17790573495163275</v>
      </c>
      <c r="CN68" s="40">
        <f t="shared" ref="CN68" si="722">+CN65/CM65-1</f>
        <v>4.9228221798467642E-2</v>
      </c>
      <c r="CO68" s="40">
        <f t="shared" ref="CO68" si="723">+CO65/CN65-1</f>
        <v>8.4197378584998983E-2</v>
      </c>
      <c r="CP68" s="40">
        <f t="shared" ref="CP68" si="724">+CP65/CO65-1</f>
        <v>-3.1086853989984564E-2</v>
      </c>
      <c r="CQ68" s="40">
        <f t="shared" ref="CQ68" si="725">+CQ65/CP65-1</f>
        <v>0.10156264687014627</v>
      </c>
      <c r="CR68" s="40">
        <f t="shared" ref="CR68" si="726">+CR65/CQ65-1</f>
        <v>4.9715885213110989E-2</v>
      </c>
      <c r="CS68" s="40">
        <f t="shared" ref="CS68" si="727">+CS65/CR65-1</f>
        <v>5.0419496613829384E-2</v>
      </c>
      <c r="CT68" s="40">
        <f t="shared" ref="CT68" si="728">+CT65/CS65-1</f>
        <v>4.3462201810795964E-2</v>
      </c>
      <c r="CU68" s="40">
        <f t="shared" ref="CU68" si="729">+CU65/CT65-1</f>
        <v>-1.0419361742349031E-2</v>
      </c>
      <c r="CV68" s="40">
        <f t="shared" ref="CV68" si="730">+CV65/CU65-1</f>
        <v>3.136498737985316E-2</v>
      </c>
      <c r="CW68" s="40">
        <f t="shared" ref="CW68" si="731">+CW65/CV65-1</f>
        <v>2.7113569534138682E-2</v>
      </c>
      <c r="CX68" s="40">
        <f t="shared" ref="CX68" si="732">+CX65/CW65-1</f>
        <v>2.1580681919011191E-2</v>
      </c>
      <c r="CY68" s="40">
        <f t="shared" ref="CY68" si="733">+CY65/CX65-1</f>
        <v>1.6272824347094872E-2</v>
      </c>
      <c r="CZ68" s="40">
        <f t="shared" ref="CZ68" si="734">+CZ65/CY65-1</f>
        <v>2.2992960060022716E-2</v>
      </c>
      <c r="DA68" s="40">
        <f t="shared" ref="DA68" si="735">+DA65/CZ65-1</f>
        <v>2.0995334168863566E-2</v>
      </c>
      <c r="DB68" s="40">
        <f t="shared" ref="DB68" si="736">+DB65/DA65-1</f>
        <v>1.9530277288478226E-2</v>
      </c>
      <c r="DE68" s="122"/>
      <c r="DF68" s="39">
        <v>-6.857727140568981E-3</v>
      </c>
    </row>
    <row r="69" spans="1:110" s="75" customFormat="1" x14ac:dyDescent="0.2">
      <c r="A69" s="23" t="s">
        <v>23</v>
      </c>
      <c r="B69" s="75">
        <f>'Annual Raw'!C32</f>
        <v>0</v>
      </c>
      <c r="C69" s="75">
        <f>'Annual Raw'!D32</f>
        <v>8.48</v>
      </c>
      <c r="D69" s="75">
        <f>'Annual Raw'!E32</f>
        <v>9.42</v>
      </c>
      <c r="E69" s="75">
        <f>'Annual Raw'!F32</f>
        <v>8.68</v>
      </c>
      <c r="F69" s="75">
        <f>'Annual Raw'!G32</f>
        <v>21.26</v>
      </c>
      <c r="G69" s="75">
        <f>'Annual Raw'!H32</f>
        <v>-14.43</v>
      </c>
      <c r="H69" s="75">
        <f>'Annual Raw'!I32</f>
        <v>-20.11</v>
      </c>
      <c r="I69" s="75">
        <f>'Annual Raw'!J32</f>
        <v>-22.74</v>
      </c>
      <c r="J69" s="75">
        <f>'Annual Raw'!K32</f>
        <v>-15.77</v>
      </c>
      <c r="K69" s="75">
        <f>'Annual Raw'!L32</f>
        <v>-13.91</v>
      </c>
      <c r="L69" s="75">
        <f>'Annual Raw'!M32</f>
        <v>-11.66</v>
      </c>
      <c r="M69" s="75">
        <f>'Annual Raw'!N32</f>
        <v>-38.4</v>
      </c>
      <c r="N69" s="75">
        <f>'Annual Raw'!O32</f>
        <v>-40.86</v>
      </c>
      <c r="O69" s="75">
        <f>'Annual Raw'!P32</f>
        <v>-17.489999999999998</v>
      </c>
      <c r="P69" s="75">
        <f>'Annual Raw'!Q32</f>
        <v>-30.98</v>
      </c>
      <c r="Q69" s="75">
        <f>'Annual Raw'!R32</f>
        <v>-27.87</v>
      </c>
      <c r="R69" s="75">
        <f>'Annual Raw'!S32</f>
        <v>-17.600000000000001</v>
      </c>
      <c r="S69" s="75">
        <f>'Annual Raw'!T32</f>
        <v>-2.65</v>
      </c>
      <c r="T69" s="75">
        <f>'Annual Raw'!U32</f>
        <v>-9.3000000000000007</v>
      </c>
      <c r="U69" s="75">
        <f>'Annual Raw'!V32</f>
        <v>-9.32</v>
      </c>
      <c r="V69" s="75">
        <f>'Annual Raw'!W32</f>
        <v>75.52</v>
      </c>
      <c r="W69" s="75">
        <f>'Annual Raw'!X32</f>
        <v>17.25</v>
      </c>
      <c r="X69" s="75">
        <f>'Annual Raw'!Y32</f>
        <v>-50.24</v>
      </c>
      <c r="Y69" s="75">
        <f>'Annual Raw'!Z32</f>
        <v>-71.17</v>
      </c>
      <c r="Z69" s="75">
        <f>'Annual Raw'!AA32</f>
        <v>-130.5</v>
      </c>
      <c r="AA69" s="75">
        <f>'Annual Raw'!AB32</f>
        <v>-162.87</v>
      </c>
      <c r="AB69" s="76">
        <f t="shared" ref="AB69:AB70" si="737">+SUM(CM69:CP69)</f>
        <v>-182.28</v>
      </c>
      <c r="AC69" s="76">
        <f t="shared" ref="AC69:AC70" si="738">+SUM(CQ69:CT69)</f>
        <v>-182.28</v>
      </c>
      <c r="AD69" s="76">
        <f t="shared" ref="AD69:AD70" si="739">+SUM(CU69:CX69)</f>
        <v>-182.28</v>
      </c>
      <c r="AE69" s="76">
        <f t="shared" ref="AE69:AE70" si="740">+SUM(CY69:DB69)</f>
        <v>-182.28</v>
      </c>
      <c r="AI69" s="75">
        <f>'QTR Raw'!C34</f>
        <v>-8.0500000000000007</v>
      </c>
      <c r="AJ69" s="75">
        <f>'QTR Raw'!D34</f>
        <v>-16.62</v>
      </c>
      <c r="AK69" s="75">
        <f>'QTR Raw'!E34</f>
        <v>0</v>
      </c>
      <c r="AL69" s="75">
        <f>'QTR Raw'!F34</f>
        <v>-8.44</v>
      </c>
      <c r="AM69" s="75">
        <f>'QTR Raw'!G34</f>
        <v>-6.67</v>
      </c>
      <c r="AN69" s="75">
        <f>'QTR Raw'!H34</f>
        <v>-4.97</v>
      </c>
      <c r="AO69" s="75">
        <f>'QTR Raw'!I34</f>
        <v>-8.77</v>
      </c>
      <c r="AP69" s="75">
        <f>'QTR Raw'!J34</f>
        <v>2.92</v>
      </c>
      <c r="AQ69" s="75">
        <f>'QTR Raw'!K34</f>
        <v>-7.7</v>
      </c>
      <c r="AR69" s="75">
        <f>'QTR Raw'!L34</f>
        <v>-4.07</v>
      </c>
      <c r="AS69" s="75">
        <f>'QTR Raw'!M34</f>
        <v>-12.64</v>
      </c>
      <c r="AT69" s="75">
        <f>'QTR Raw'!N34</f>
        <v>-6.57</v>
      </c>
      <c r="AU69" s="75">
        <f>'QTR Raw'!O34</f>
        <v>-8.3800000000000008</v>
      </c>
      <c r="AV69" s="75">
        <f>'QTR Raw'!P34</f>
        <v>-5.62</v>
      </c>
      <c r="AW69" s="75">
        <f>'QTR Raw'!Q34</f>
        <v>-7.68</v>
      </c>
      <c r="AX69" s="75">
        <f>'QTR Raw'!R34</f>
        <v>-1.02</v>
      </c>
      <c r="AY69" s="75">
        <f>'QTR Raw'!S34</f>
        <v>-1.42</v>
      </c>
      <c r="AZ69" s="75">
        <f>'QTR Raw'!T34</f>
        <v>-2.16</v>
      </c>
      <c r="BA69" s="75">
        <f>'QTR Raw'!U34</f>
        <v>-7.52</v>
      </c>
      <c r="BB69" s="75">
        <f>'QTR Raw'!V34</f>
        <v>-6.5</v>
      </c>
      <c r="BC69" s="75">
        <f>'QTR Raw'!W34</f>
        <v>3.48</v>
      </c>
      <c r="BD69" s="75">
        <f>'QTR Raw'!X34</f>
        <v>2.2799999999999998</v>
      </c>
      <c r="BE69" s="75">
        <f>'QTR Raw'!Y34</f>
        <v>-4.74</v>
      </c>
      <c r="BF69" s="75">
        <f>'QTR Raw'!Z34</f>
        <v>-3.67</v>
      </c>
      <c r="BG69" s="75">
        <f>'QTR Raw'!AA34</f>
        <v>6.16</v>
      </c>
      <c r="BH69" s="75">
        <f>'QTR Raw'!AB34</f>
        <v>0.36</v>
      </c>
      <c r="BI69" s="75">
        <f>'QTR Raw'!AC34</f>
        <v>-8.25</v>
      </c>
      <c r="BJ69" s="75">
        <f>'QTR Raw'!AD34</f>
        <v>-7.57</v>
      </c>
      <c r="BK69" s="75">
        <f>'QTR Raw'!AE34</f>
        <v>0.68</v>
      </c>
      <c r="BL69" s="75">
        <f>'QTR Raw'!AF34</f>
        <v>2.0099999999999998</v>
      </c>
      <c r="BM69" s="75">
        <f>'QTR Raw'!AG34</f>
        <v>-10.039999999999999</v>
      </c>
      <c r="BN69" s="75">
        <f>'QTR Raw'!AH34</f>
        <v>-1.97</v>
      </c>
      <c r="BO69" s="75">
        <f>'QTR Raw'!AI34</f>
        <v>32.68</v>
      </c>
      <c r="BP69" s="75">
        <f>'QTR Raw'!AJ34</f>
        <v>22.08</v>
      </c>
      <c r="BQ69" s="75">
        <f>'QTR Raw'!AK34</f>
        <v>14.34</v>
      </c>
      <c r="BR69" s="75">
        <f>'QTR Raw'!AL34</f>
        <v>6.42</v>
      </c>
      <c r="BS69" s="75">
        <f>'QTR Raw'!AM34</f>
        <v>24.24</v>
      </c>
      <c r="BT69" s="75">
        <f>'QTR Raw'!AN34</f>
        <v>10.34</v>
      </c>
      <c r="BU69" s="75">
        <f>'QTR Raw'!AO34</f>
        <v>-19.95</v>
      </c>
      <c r="BV69" s="75">
        <f>'QTR Raw'!AP34</f>
        <v>2.62</v>
      </c>
      <c r="BW69" s="75">
        <f>'QTR Raw'!AQ34</f>
        <v>-10.79</v>
      </c>
      <c r="BX69" s="75">
        <f>'QTR Raw'!AR34</f>
        <v>-8.0299999999999994</v>
      </c>
      <c r="BY69" s="75">
        <f>'QTR Raw'!AS34</f>
        <v>-20.85</v>
      </c>
      <c r="BZ69" s="75">
        <f>'QTR Raw'!AT34</f>
        <v>-10.57</v>
      </c>
      <c r="CA69" s="75">
        <f>'QTR Raw'!AU34</f>
        <v>-13.57</v>
      </c>
      <c r="CB69" s="75">
        <f>'QTR Raw'!AV34</f>
        <v>-12.05</v>
      </c>
      <c r="CC69" s="75">
        <f>'QTR Raw'!AW34</f>
        <v>-24.98</v>
      </c>
      <c r="CD69" s="75">
        <f>'QTR Raw'!AX34</f>
        <v>-20.57</v>
      </c>
      <c r="CE69" s="75">
        <f>'QTR Raw'!AY34</f>
        <v>-11.8</v>
      </c>
      <c r="CF69" s="75">
        <f>'QTR Raw'!AZ34</f>
        <v>-28.13</v>
      </c>
      <c r="CG69" s="75">
        <f>'QTR Raw'!BA34</f>
        <v>-50.21</v>
      </c>
      <c r="CH69" s="75">
        <f>'QTR Raw'!BB34</f>
        <v>-40.36</v>
      </c>
      <c r="CI69" s="75">
        <f>'QTR Raw'!BC34</f>
        <v>-32.950000000000003</v>
      </c>
      <c r="CJ69" s="75">
        <f>'QTR Raw'!BD34</f>
        <v>-33.340000000000003</v>
      </c>
      <c r="CK69" s="75">
        <f>'QTR Raw'!BE34</f>
        <v>-51.01</v>
      </c>
      <c r="CL69" s="75">
        <f>'QTR Raw'!BF34</f>
        <v>-45.57</v>
      </c>
      <c r="CM69" s="76">
        <f t="shared" ref="CM69:CM70" si="741">+CL69</f>
        <v>-45.57</v>
      </c>
      <c r="CN69" s="76">
        <f t="shared" ref="CN69:CN70" si="742">+CM69</f>
        <v>-45.57</v>
      </c>
      <c r="CO69" s="76">
        <f t="shared" ref="CO69:CO70" si="743">+CN69</f>
        <v>-45.57</v>
      </c>
      <c r="CP69" s="76">
        <f t="shared" ref="CP69:CP70" si="744">+CO69</f>
        <v>-45.57</v>
      </c>
      <c r="CQ69" s="76">
        <f t="shared" ref="CQ69:CQ70" si="745">+CP69</f>
        <v>-45.57</v>
      </c>
      <c r="CR69" s="76">
        <f t="shared" ref="CR69:CR70" si="746">+CQ69</f>
        <v>-45.57</v>
      </c>
      <c r="CS69" s="76">
        <f t="shared" ref="CS69:CS70" si="747">+CR69</f>
        <v>-45.57</v>
      </c>
      <c r="CT69" s="76">
        <f t="shared" ref="CT69:CT70" si="748">+CS69</f>
        <v>-45.57</v>
      </c>
      <c r="CU69" s="76">
        <f t="shared" ref="CU69:CU70" si="749">+CT69</f>
        <v>-45.57</v>
      </c>
      <c r="CV69" s="76">
        <f t="shared" ref="CV69:CV70" si="750">+CU69</f>
        <v>-45.57</v>
      </c>
      <c r="CW69" s="76">
        <f t="shared" ref="CW69:CW70" si="751">+CV69</f>
        <v>-45.57</v>
      </c>
      <c r="CX69" s="76">
        <f t="shared" ref="CX69:CX70" si="752">+CW69</f>
        <v>-45.57</v>
      </c>
      <c r="CY69" s="76">
        <f t="shared" ref="CY69:CY70" si="753">+CX69</f>
        <v>-45.57</v>
      </c>
      <c r="CZ69" s="76">
        <f t="shared" ref="CZ69:CZ70" si="754">+CY69</f>
        <v>-45.57</v>
      </c>
      <c r="DA69" s="76">
        <f t="shared" ref="DA69:DA70" si="755">+CZ69</f>
        <v>-45.57</v>
      </c>
      <c r="DB69" s="76">
        <f t="shared" ref="DB69:DB70" si="756">+DA69</f>
        <v>-45.57</v>
      </c>
      <c r="DE69" s="131"/>
      <c r="DF69" s="75">
        <v>-51.01</v>
      </c>
    </row>
    <row r="70" spans="1:110" s="75" customFormat="1" x14ac:dyDescent="0.2">
      <c r="A70" s="23" t="s">
        <v>24</v>
      </c>
      <c r="B70" s="75">
        <f>'Annual Raw'!C33+'Annual Raw'!C28</f>
        <v>0</v>
      </c>
      <c r="C70" s="75">
        <f>'Annual Raw'!D33+'Annual Raw'!D28</f>
        <v>0</v>
      </c>
      <c r="D70" s="75">
        <f>'Annual Raw'!E33+'Annual Raw'!E28</f>
        <v>9.7200000000000006</v>
      </c>
      <c r="E70" s="75">
        <f>'Annual Raw'!F33+'Annual Raw'!F28</f>
        <v>11.14</v>
      </c>
      <c r="F70" s="75">
        <f>'Annual Raw'!G33+'Annual Raw'!G28</f>
        <v>27.8</v>
      </c>
      <c r="G70" s="75">
        <f>'Annual Raw'!H33+'Annual Raw'!H28</f>
        <v>39.450000000000003</v>
      </c>
      <c r="H70" s="75">
        <f>'Annual Raw'!I33+'Annual Raw'!I28</f>
        <v>54.39</v>
      </c>
      <c r="I70" s="75">
        <f>'Annual Raw'!J33+'Annual Raw'!J28</f>
        <v>64.180000000000007</v>
      </c>
      <c r="J70" s="75">
        <f>'Annual Raw'!K33+'Annual Raw'!K28</f>
        <v>25.49</v>
      </c>
      <c r="K70" s="75">
        <f>'Annual Raw'!L33+'Annual Raw'!L28</f>
        <v>-4.57</v>
      </c>
      <c r="L70" s="75">
        <f>'Annual Raw'!M33+'Annual Raw'!M28</f>
        <v>-6.73</v>
      </c>
      <c r="M70" s="75">
        <f>'Annual Raw'!N33+'Annual Raw'!N28</f>
        <v>15.64</v>
      </c>
      <c r="N70" s="75">
        <f>'Annual Raw'!O33+'Annual Raw'!O28</f>
        <v>1.37</v>
      </c>
      <c r="O70" s="75">
        <f>'Annual Raw'!P33+'Annual Raw'!P28</f>
        <v>-13.25</v>
      </c>
      <c r="P70" s="75">
        <f>'Annual Raw'!Q33+'Annual Raw'!Q28</f>
        <v>-0.04</v>
      </c>
      <c r="Q70" s="75">
        <f>'Annual Raw'!R33+'Annual Raw'!R28</f>
        <v>-21.41</v>
      </c>
      <c r="R70" s="75">
        <f>'Annual Raw'!S33+'Annual Raw'!S28</f>
        <v>37.56</v>
      </c>
      <c r="S70" s="75">
        <f>'Annual Raw'!T33+'Annual Raw'!T28</f>
        <v>40.29</v>
      </c>
      <c r="T70" s="75">
        <f>'Annual Raw'!U33+'Annual Raw'!U28</f>
        <v>51.53</v>
      </c>
      <c r="U70" s="75">
        <f>'Annual Raw'!V33+'Annual Raw'!V28</f>
        <v>12.97</v>
      </c>
      <c r="V70" s="75">
        <f>'Annual Raw'!W33+'Annual Raw'!W28</f>
        <v>-101.42</v>
      </c>
      <c r="W70" s="75">
        <f>'Annual Raw'!X33+'Annual Raw'!X28</f>
        <v>-42.57</v>
      </c>
      <c r="X70" s="75">
        <f>'Annual Raw'!Y33+'Annual Raw'!Y28</f>
        <v>81.400000000000006</v>
      </c>
      <c r="Y70" s="75">
        <f>'Annual Raw'!Z33+'Annual Raw'!Z28</f>
        <v>128.65</v>
      </c>
      <c r="Z70" s="75">
        <f>'Annual Raw'!AA33+'Annual Raw'!AA28</f>
        <v>76.84</v>
      </c>
      <c r="AA70" s="75">
        <f>'Annual Raw'!AB33+'Annual Raw'!AB28</f>
        <v>52.11</v>
      </c>
      <c r="AB70" s="76">
        <f t="shared" si="737"/>
        <v>80.84</v>
      </c>
      <c r="AC70" s="76">
        <f t="shared" si="738"/>
        <v>80.84</v>
      </c>
      <c r="AD70" s="76">
        <f t="shared" si="739"/>
        <v>80.84</v>
      </c>
      <c r="AE70" s="76">
        <f t="shared" si="740"/>
        <v>80.84</v>
      </c>
      <c r="AI70" s="75">
        <f>'QTR Raw'!C35</f>
        <v>-6.53</v>
      </c>
      <c r="AJ70" s="75">
        <f>'QTR Raw'!D35</f>
        <v>-0.24</v>
      </c>
      <c r="AK70" s="75">
        <f>'QTR Raw'!E35</f>
        <v>0</v>
      </c>
      <c r="AL70" s="75">
        <f>'QTR Raw'!F35</f>
        <v>8.8000000000000007</v>
      </c>
      <c r="AM70" s="75">
        <f>'QTR Raw'!G35</f>
        <v>-4.8099999999999996</v>
      </c>
      <c r="AN70" s="75">
        <f>'QTR Raw'!H35</f>
        <v>-4.28</v>
      </c>
      <c r="AO70" s="75">
        <f>'QTR Raw'!I35</f>
        <v>-0.02</v>
      </c>
      <c r="AP70" s="75">
        <f>'QTR Raw'!J35</f>
        <v>-4.1399999999999997</v>
      </c>
      <c r="AQ70" s="75">
        <f>'QTR Raw'!K35</f>
        <v>-2.79</v>
      </c>
      <c r="AR70" s="75">
        <f>'QTR Raw'!L35</f>
        <v>-2.61</v>
      </c>
      <c r="AS70" s="75">
        <f>'QTR Raw'!M35</f>
        <v>1.85</v>
      </c>
      <c r="AT70" s="75">
        <f>'QTR Raw'!N35</f>
        <v>3.51</v>
      </c>
      <c r="AU70" s="75">
        <f>'QTR Raw'!O35</f>
        <v>-2.13</v>
      </c>
      <c r="AV70" s="75">
        <f>'QTR Raw'!P35</f>
        <v>-29.55</v>
      </c>
      <c r="AW70" s="75">
        <f>'QTR Raw'!Q35</f>
        <v>-12.01</v>
      </c>
      <c r="AX70" s="75">
        <f>'QTR Raw'!R35</f>
        <v>3.3</v>
      </c>
      <c r="AY70" s="75">
        <f>'QTR Raw'!S35</f>
        <v>-1.46</v>
      </c>
      <c r="AZ70" s="75">
        <f>'QTR Raw'!T35</f>
        <v>13.78</v>
      </c>
      <c r="BA70" s="75">
        <f>'QTR Raw'!U35</f>
        <v>10.66</v>
      </c>
      <c r="BB70" s="75">
        <f>'QTR Raw'!V35</f>
        <v>14.58</v>
      </c>
      <c r="BC70" s="75">
        <f>'QTR Raw'!W35</f>
        <v>1.27</v>
      </c>
      <c r="BD70" s="75">
        <f>'QTR Raw'!X35</f>
        <v>-8.85</v>
      </c>
      <c r="BE70" s="75">
        <f>'QTR Raw'!Y35</f>
        <v>25.5</v>
      </c>
      <c r="BF70" s="75">
        <f>'QTR Raw'!Z35</f>
        <v>22.37</v>
      </c>
      <c r="BG70" s="75">
        <f>'QTR Raw'!AA35</f>
        <v>3</v>
      </c>
      <c r="BH70" s="75">
        <f>'QTR Raw'!AB35</f>
        <v>32.47</v>
      </c>
      <c r="BI70" s="75">
        <f>'QTR Raw'!AC35</f>
        <v>10.42</v>
      </c>
      <c r="BJ70" s="75">
        <f>'QTR Raw'!AD35</f>
        <v>5.64</v>
      </c>
      <c r="BK70" s="75">
        <f>'QTR Raw'!AE35</f>
        <v>-5.14</v>
      </c>
      <c r="BL70" s="75">
        <f>'QTR Raw'!AF35</f>
        <v>-10.81</v>
      </c>
      <c r="BM70" s="75">
        <f>'QTR Raw'!AG35</f>
        <v>19.440000000000001</v>
      </c>
      <c r="BN70" s="75">
        <f>'QTR Raw'!AH35</f>
        <v>9.48</v>
      </c>
      <c r="BO70" s="75">
        <f>'QTR Raw'!AI35</f>
        <v>-45.67</v>
      </c>
      <c r="BP70" s="75">
        <f>'QTR Raw'!AJ35</f>
        <v>-32.39</v>
      </c>
      <c r="BQ70" s="75">
        <f>'QTR Raw'!AK35</f>
        <v>-15.56</v>
      </c>
      <c r="BR70" s="75">
        <f>'QTR Raw'!AL35</f>
        <v>-7.8</v>
      </c>
      <c r="BS70" s="75">
        <f>'QTR Raw'!AM35</f>
        <v>-31.53</v>
      </c>
      <c r="BT70" s="75">
        <f>'QTR Raw'!AN35</f>
        <v>-12.57</v>
      </c>
      <c r="BU70" s="75">
        <f>'QTR Raw'!AO35</f>
        <v>9.68</v>
      </c>
      <c r="BV70" s="75">
        <f>'QTR Raw'!AP35</f>
        <v>-8.15</v>
      </c>
      <c r="BW70" s="75">
        <f>'QTR Raw'!AQ35</f>
        <v>14.71</v>
      </c>
      <c r="BX70" s="75">
        <f>'QTR Raw'!AR35</f>
        <v>5.21</v>
      </c>
      <c r="BY70" s="75">
        <f>'QTR Raw'!AS35</f>
        <v>24.64</v>
      </c>
      <c r="BZ70" s="75">
        <f>'QTR Raw'!AT35</f>
        <v>36.840000000000003</v>
      </c>
      <c r="CA70" s="75">
        <f>'QTR Raw'!AU35</f>
        <v>25.41</v>
      </c>
      <c r="CB70" s="75">
        <f>'QTR Raw'!AV35</f>
        <v>19.059999999999999</v>
      </c>
      <c r="CC70" s="75">
        <f>'QTR Raw'!AW35</f>
        <v>38.94</v>
      </c>
      <c r="CD70" s="75">
        <f>'QTR Raw'!AX35</f>
        <v>45.24</v>
      </c>
      <c r="CE70" s="75">
        <f>'QTR Raw'!AY35</f>
        <v>25.98</v>
      </c>
      <c r="CF70" s="75">
        <f>'QTR Raw'!AZ35</f>
        <v>9.5</v>
      </c>
      <c r="CG70" s="75">
        <f>'QTR Raw'!BA35</f>
        <v>18.71</v>
      </c>
      <c r="CH70" s="75">
        <f>'QTR Raw'!BB35</f>
        <v>22.65</v>
      </c>
      <c r="CI70" s="75">
        <f>'QTR Raw'!BC35</f>
        <v>9.9</v>
      </c>
      <c r="CJ70" s="75">
        <f>'QTR Raw'!BD35</f>
        <v>2.08</v>
      </c>
      <c r="CK70" s="75">
        <f>'QTR Raw'!BE35</f>
        <v>19.920000000000002</v>
      </c>
      <c r="CL70" s="75">
        <f>'QTR Raw'!BF35</f>
        <v>20.21</v>
      </c>
      <c r="CM70" s="76">
        <f t="shared" si="741"/>
        <v>20.21</v>
      </c>
      <c r="CN70" s="76">
        <f t="shared" si="742"/>
        <v>20.21</v>
      </c>
      <c r="CO70" s="76">
        <f t="shared" si="743"/>
        <v>20.21</v>
      </c>
      <c r="CP70" s="76">
        <f t="shared" si="744"/>
        <v>20.21</v>
      </c>
      <c r="CQ70" s="76">
        <f t="shared" si="745"/>
        <v>20.21</v>
      </c>
      <c r="CR70" s="76">
        <f t="shared" si="746"/>
        <v>20.21</v>
      </c>
      <c r="CS70" s="76">
        <f t="shared" si="747"/>
        <v>20.21</v>
      </c>
      <c r="CT70" s="76">
        <f t="shared" si="748"/>
        <v>20.21</v>
      </c>
      <c r="CU70" s="76">
        <f t="shared" si="749"/>
        <v>20.21</v>
      </c>
      <c r="CV70" s="76">
        <f t="shared" si="750"/>
        <v>20.21</v>
      </c>
      <c r="CW70" s="76">
        <f t="shared" si="751"/>
        <v>20.21</v>
      </c>
      <c r="CX70" s="76">
        <f t="shared" si="752"/>
        <v>20.21</v>
      </c>
      <c r="CY70" s="76">
        <f t="shared" si="753"/>
        <v>20.21</v>
      </c>
      <c r="CZ70" s="76">
        <f t="shared" si="754"/>
        <v>20.21</v>
      </c>
      <c r="DA70" s="76">
        <f t="shared" si="755"/>
        <v>20.21</v>
      </c>
      <c r="DB70" s="76">
        <f t="shared" si="756"/>
        <v>20.21</v>
      </c>
      <c r="DE70" s="131"/>
      <c r="DF70" s="75">
        <v>19.920000000000002</v>
      </c>
    </row>
    <row r="71" spans="1:110" s="23" customFormat="1" x14ac:dyDescent="0.2">
      <c r="A71" s="23" t="s">
        <v>19</v>
      </c>
      <c r="B71" s="75">
        <f>'Annual Raw'!C29+'Annual Raw'!C31+'Annual Raw'!C34+'Annual Raw'!C36</f>
        <v>0</v>
      </c>
      <c r="C71" s="75">
        <f>'Annual Raw'!D29+'Annual Raw'!D31+'Annual Raw'!D34+'Annual Raw'!D36</f>
        <v>28.73</v>
      </c>
      <c r="D71" s="75">
        <f>'Annual Raw'!E29+'Annual Raw'!E31+'Annual Raw'!E34+'Annual Raw'!E36</f>
        <v>8.6300000000000008</v>
      </c>
      <c r="E71" s="75">
        <f>'Annual Raw'!F29+'Annual Raw'!F31+'Annual Raw'!F34+'Annual Raw'!F36</f>
        <v>23.89</v>
      </c>
      <c r="F71" s="75">
        <f>'Annual Raw'!G29+'Annual Raw'!G31+'Annual Raw'!G34+'Annual Raw'!G36</f>
        <v>0.18</v>
      </c>
      <c r="G71" s="75">
        <f>'Annual Raw'!H29+'Annual Raw'!H31+'Annual Raw'!H34+'Annual Raw'!H36</f>
        <v>0</v>
      </c>
      <c r="H71" s="75">
        <f>'Annual Raw'!I29+'Annual Raw'!I31+'Annual Raw'!I34+'Annual Raw'!I36</f>
        <v>0</v>
      </c>
      <c r="I71" s="75">
        <f>'Annual Raw'!J29+'Annual Raw'!J31+'Annual Raw'!J34+'Annual Raw'!J36</f>
        <v>-54.16</v>
      </c>
      <c r="J71" s="75">
        <f>'Annual Raw'!K29+'Annual Raw'!K31+'Annual Raw'!K34+'Annual Raw'!K36</f>
        <v>-4.76</v>
      </c>
      <c r="K71" s="75">
        <f>'Annual Raw'!L29+'Annual Raw'!L31+'Annual Raw'!L34+'Annual Raw'!L36</f>
        <v>51.33</v>
      </c>
      <c r="L71" s="75">
        <f>'Annual Raw'!M29+'Annual Raw'!M31+'Annual Raw'!M34+'Annual Raw'!M36</f>
        <v>11.93</v>
      </c>
      <c r="M71" s="75">
        <f>'Annual Raw'!N29+'Annual Raw'!N31+'Annual Raw'!N34+'Annual Raw'!N36</f>
        <v>-1.52</v>
      </c>
      <c r="N71" s="75">
        <f>'Annual Raw'!O29+'Annual Raw'!O31+'Annual Raw'!O34+'Annual Raw'!O36</f>
        <v>-430.43</v>
      </c>
      <c r="O71" s="75">
        <f>'Annual Raw'!P29+'Annual Raw'!P31+'Annual Raw'!P34+'Annual Raw'!P36</f>
        <v>-554.84</v>
      </c>
      <c r="P71" s="75">
        <f>'Annual Raw'!Q29+'Annual Raw'!Q31+'Annual Raw'!Q34+'Annual Raw'!Q36</f>
        <v>-352.91</v>
      </c>
      <c r="Q71" s="75">
        <f>'Annual Raw'!R29+'Annual Raw'!R31+'Annual Raw'!R34+'Annual Raw'!R36</f>
        <v>-82.68</v>
      </c>
      <c r="R71" s="75">
        <f>'Annual Raw'!S29+'Annual Raw'!S31+'Annual Raw'!S34+'Annual Raw'!S36</f>
        <v>-10.78</v>
      </c>
      <c r="S71" s="75">
        <f>'Annual Raw'!T29+'Annual Raw'!T31+'Annual Raw'!T34+'Annual Raw'!T36</f>
        <v>22.45</v>
      </c>
      <c r="T71" s="75">
        <f>'Annual Raw'!U29+'Annual Raw'!U31+'Annual Raw'!U34+'Annual Raw'!U36</f>
        <v>6.58</v>
      </c>
      <c r="U71" s="75">
        <f>'Annual Raw'!V29+'Annual Raw'!V31+'Annual Raw'!V34+'Annual Raw'!V36</f>
        <v>40.950000000000003</v>
      </c>
      <c r="V71" s="75">
        <f>'Annual Raw'!W29+'Annual Raw'!W31+'Annual Raw'!W34+'Annual Raw'!W36</f>
        <v>159.94999999999999</v>
      </c>
      <c r="W71" s="75">
        <f>'Annual Raw'!X29+'Annual Raw'!X31+'Annual Raw'!X34+'Annual Raw'!X36</f>
        <v>15.62</v>
      </c>
      <c r="X71" s="75">
        <f>'Annual Raw'!Y29+'Annual Raw'!Y31+'Annual Raw'!Y34+'Annual Raw'!Y36</f>
        <v>3.29</v>
      </c>
      <c r="Y71" s="75">
        <f>'Annual Raw'!Z29+'Annual Raw'!Z31+'Annual Raw'!Z34+'Annual Raw'!Z36</f>
        <v>0</v>
      </c>
      <c r="Z71" s="75">
        <f>'Annual Raw'!AA29+'Annual Raw'!AA31+'Annual Raw'!AA34+'Annual Raw'!AA36</f>
        <v>304.8</v>
      </c>
      <c r="AA71" s="75">
        <f>'Annual Raw'!AB29+'Annual Raw'!AB31+'Annual Raw'!AB34+'Annual Raw'!AB36</f>
        <v>275.51</v>
      </c>
      <c r="AB71" s="76">
        <f>+SUM(CM71:CP71)</f>
        <v>0</v>
      </c>
      <c r="AC71" s="76">
        <f>+SUM(CQ71:CT71)</f>
        <v>0</v>
      </c>
      <c r="AD71" s="76">
        <f>+SUM(CU71:CX71)</f>
        <v>0</v>
      </c>
      <c r="AE71" s="76">
        <f>+SUM(CY71:DB71)</f>
        <v>0</v>
      </c>
      <c r="AI71" s="75">
        <f>'QTR Raw'!C26+'QTR Raw'!C31+'QTR Raw'!C32+'QTR Raw'!C33+'QTR Raw'!C36+'QTR Raw'!C37+'QTR Raw'!C39</f>
        <v>-9.0500000000000007</v>
      </c>
      <c r="AJ71" s="75">
        <f>'QTR Raw'!D26+'QTR Raw'!D31+'QTR Raw'!D32+'QTR Raw'!D33+'QTR Raw'!D36+'QTR Raw'!D37+'QTR Raw'!D39</f>
        <v>10.33</v>
      </c>
      <c r="AK71" s="75">
        <f>'QTR Raw'!E26+'QTR Raw'!E31+'QTR Raw'!E32+'QTR Raw'!E33+'QTR Raw'!E36+'QTR Raw'!E37+'QTR Raw'!E39</f>
        <v>-1.5</v>
      </c>
      <c r="AL71" s="75">
        <f>'QTR Raw'!F26+'QTR Raw'!F31+'QTR Raw'!F32+'QTR Raw'!F33+'QTR Raw'!F36+'QTR Raw'!F37+'QTR Raw'!F39</f>
        <v>-429.9</v>
      </c>
      <c r="AM71" s="75">
        <f>'QTR Raw'!G26+'QTR Raw'!G31+'QTR Raw'!G32+'QTR Raw'!G33+'QTR Raw'!G36+'QTR Raw'!G37+'QTR Raw'!G39</f>
        <v>-8.09</v>
      </c>
      <c r="AN71" s="75">
        <f>'QTR Raw'!H26+'QTR Raw'!H31+'QTR Raw'!H32+'QTR Raw'!H33+'QTR Raw'!H36+'QTR Raw'!H37+'QTR Raw'!H39</f>
        <v>-374.11</v>
      </c>
      <c r="AO71" s="75">
        <f>'QTR Raw'!I26+'QTR Raw'!I31+'QTR Raw'!I32+'QTR Raw'!I33+'QTR Raw'!I36+'QTR Raw'!I37+'QTR Raw'!I39</f>
        <v>-9.08</v>
      </c>
      <c r="AP71" s="75">
        <f>'QTR Raw'!J26+'QTR Raw'!J31+'QTR Raw'!J32+'QTR Raw'!J33+'QTR Raw'!J36+'QTR Raw'!J37+'QTR Raw'!J39</f>
        <v>-163.56</v>
      </c>
      <c r="AQ71" s="75">
        <f>'QTR Raw'!K26+'QTR Raw'!K31+'QTR Raw'!K32+'QTR Raw'!K33+'QTR Raw'!K36+'QTR Raw'!K37+'QTR Raw'!K39</f>
        <v>-6.09</v>
      </c>
      <c r="AR71" s="75">
        <f>'QTR Raw'!L26+'QTR Raw'!L31+'QTR Raw'!L32+'QTR Raw'!L33+'QTR Raw'!L36+'QTR Raw'!L37+'QTR Raw'!L39</f>
        <v>-6.88</v>
      </c>
      <c r="AS71" s="75">
        <f>'QTR Raw'!M26+'QTR Raw'!M31+'QTR Raw'!M32+'QTR Raw'!M33+'QTR Raw'!M36+'QTR Raw'!M37+'QTR Raw'!M39</f>
        <v>-17.27</v>
      </c>
      <c r="AT71" s="75">
        <f>'QTR Raw'!N26+'QTR Raw'!N31+'QTR Raw'!N32+'QTR Raw'!N33+'QTR Raw'!N36+'QTR Raw'!N37+'QTR Raw'!N39</f>
        <v>-322.67</v>
      </c>
      <c r="AU71" s="75">
        <f>'QTR Raw'!O26+'QTR Raw'!O31+'QTR Raw'!O32+'QTR Raw'!O33+'QTR Raw'!O36+'QTR Raw'!O37+'QTR Raw'!O39</f>
        <v>48.78</v>
      </c>
      <c r="AV71" s="75">
        <f>'QTR Raw'!P26+'QTR Raw'!P31+'QTR Raw'!P32+'QTR Raw'!P33+'QTR Raw'!P36+'QTR Raw'!P37+'QTR Raw'!P39</f>
        <v>-39.85</v>
      </c>
      <c r="AW71" s="75">
        <f>'QTR Raw'!Q26+'QTR Raw'!Q31+'QTR Raw'!Q32+'QTR Raw'!Q33+'QTR Raw'!Q36+'QTR Raw'!Q37+'QTR Raw'!Q39</f>
        <v>-12.09</v>
      </c>
      <c r="AX71" s="75">
        <f>'QTR Raw'!R26+'QTR Raw'!R31+'QTR Raw'!R32+'QTR Raw'!R33+'QTR Raw'!R36+'QTR Raw'!R37+'QTR Raw'!R39</f>
        <v>-46.45</v>
      </c>
      <c r="AY71" s="75">
        <f>'QTR Raw'!S26+'QTR Raw'!S31+'QTR Raw'!S32+'QTR Raw'!S33+'QTR Raw'!S36+'QTR Raw'!S37+'QTR Raw'!S39</f>
        <v>-112.71</v>
      </c>
      <c r="AZ71" s="75">
        <f>'QTR Raw'!T26+'QTR Raw'!T31+'QTR Raw'!T32+'QTR Raw'!T33+'QTR Raw'!T36+'QTR Raw'!T37+'QTR Raw'!T39</f>
        <v>54.22</v>
      </c>
      <c r="BA71" s="75">
        <f>'QTR Raw'!U26+'QTR Raw'!U31+'QTR Raw'!U32+'QTR Raw'!U33+'QTR Raw'!U36+'QTR Raw'!U37+'QTR Raw'!U39</f>
        <v>8.8699999999999992</v>
      </c>
      <c r="BB71" s="75">
        <f>'QTR Raw'!V26+'QTR Raw'!V31+'QTR Raw'!V32+'QTR Raw'!V33+'QTR Raw'!V36+'QTR Raw'!V37+'QTR Raw'!V39</f>
        <v>38.840000000000003</v>
      </c>
      <c r="BC71" s="75">
        <f>'QTR Raw'!W26+'QTR Raw'!W31+'QTR Raw'!W32+'QTR Raw'!W33+'QTR Raw'!W36+'QTR Raw'!W37+'QTR Raw'!W39</f>
        <v>15.66</v>
      </c>
      <c r="BD71" s="75">
        <f>'QTR Raw'!X26+'QTR Raw'!X31+'QTR Raw'!X32+'QTR Raw'!X33+'QTR Raw'!X36+'QTR Raw'!X37+'QTR Raw'!X39</f>
        <v>2.4300000000000002</v>
      </c>
      <c r="BE71" s="75">
        <f>'QTR Raw'!Y26+'QTR Raw'!Y31+'QTR Raw'!Y32+'QTR Raw'!Y33+'QTR Raw'!Y36+'QTR Raw'!Y37+'QTR Raw'!Y39</f>
        <v>18.739999999999998</v>
      </c>
      <c r="BF71" s="75">
        <f>'QTR Raw'!Z26+'QTR Raw'!Z31+'QTR Raw'!Z32+'QTR Raw'!Z33+'QTR Raw'!Z36+'QTR Raw'!Z37+'QTR Raw'!Z39</f>
        <v>-14.38</v>
      </c>
      <c r="BG71" s="75">
        <f>'QTR Raw'!AA26+'QTR Raw'!AA31+'QTR Raw'!AA32+'QTR Raw'!AA33+'QTR Raw'!AA36+'QTR Raw'!AA37+'QTR Raw'!AA39</f>
        <v>-3.91</v>
      </c>
      <c r="BH71" s="75">
        <f>'QTR Raw'!AB26+'QTR Raw'!AB31+'QTR Raw'!AB32+'QTR Raw'!AB33+'QTR Raw'!AB36+'QTR Raw'!AB37+'QTR Raw'!AB39</f>
        <v>-45.27</v>
      </c>
      <c r="BI71" s="75">
        <f>'QTR Raw'!AC26+'QTR Raw'!AC31+'QTR Raw'!AC32+'QTR Raw'!AC33+'QTR Raw'!AC36+'QTR Raw'!AC37+'QTR Raw'!AC39</f>
        <v>41</v>
      </c>
      <c r="BJ71" s="75">
        <f>'QTR Raw'!AD26+'QTR Raw'!AD31+'QTR Raw'!AD32+'QTR Raw'!AD33+'QTR Raw'!AD36+'QTR Raw'!AD37+'QTR Raw'!AD39</f>
        <v>14.76</v>
      </c>
      <c r="BK71" s="75">
        <f>'QTR Raw'!AE26+'QTR Raw'!AE31+'QTR Raw'!AE32+'QTR Raw'!AE33+'QTR Raw'!AE36+'QTR Raw'!AE37+'QTR Raw'!AE39</f>
        <v>2.29</v>
      </c>
      <c r="BL71" s="75">
        <f>'QTR Raw'!AF26+'QTR Raw'!AF31+'QTR Raw'!AF32+'QTR Raw'!AF33+'QTR Raw'!AF36+'QTR Raw'!AF37+'QTR Raw'!AF39</f>
        <v>-0.25</v>
      </c>
      <c r="BM71" s="75">
        <f>'QTR Raw'!AG26+'QTR Raw'!AG31+'QTR Raw'!AG32+'QTR Raw'!AG33+'QTR Raw'!AG36+'QTR Raw'!AG37+'QTR Raw'!AG39</f>
        <v>-1.2</v>
      </c>
      <c r="BN71" s="75">
        <f>'QTR Raw'!AH26+'QTR Raw'!AH31+'QTR Raw'!AH32+'QTR Raw'!AH33+'QTR Raw'!AH36+'QTR Raw'!AH37+'QTR Raw'!AH39</f>
        <v>40.11</v>
      </c>
      <c r="BO71" s="75">
        <f>'QTR Raw'!AI26+'QTR Raw'!AI31+'QTR Raw'!AI32+'QTR Raw'!AI33+'QTR Raw'!AI36+'QTR Raw'!AI37+'QTR Raw'!AI39</f>
        <v>86.07</v>
      </c>
      <c r="BP71" s="75">
        <f>'QTR Raw'!AJ26+'QTR Raw'!AJ31+'QTR Raw'!AJ32+'QTR Raw'!AJ33+'QTR Raw'!AJ36+'QTR Raw'!AJ37+'QTR Raw'!AJ39</f>
        <v>20.49</v>
      </c>
      <c r="BQ71" s="75">
        <f>'QTR Raw'!AK26+'QTR Raw'!AK31+'QTR Raw'!AK32+'QTR Raw'!AK33+'QTR Raw'!AK36+'QTR Raw'!AK37+'QTR Raw'!AK39</f>
        <v>28.04</v>
      </c>
      <c r="BR71" s="75">
        <f>'QTR Raw'!AL26+'QTR Raw'!AL31+'QTR Raw'!AL32+'QTR Raw'!AL33+'QTR Raw'!AL36+'QTR Raw'!AL37+'QTR Raw'!AL39</f>
        <v>25.35</v>
      </c>
      <c r="BS71" s="75">
        <f>'QTR Raw'!AM26+'QTR Raw'!AM31+'QTR Raw'!AM32+'QTR Raw'!AM33+'QTR Raw'!AM36+'QTR Raw'!AM37+'QTR Raw'!AM39</f>
        <v>20.329999999999998</v>
      </c>
      <c r="BT71" s="75">
        <f>'QTR Raw'!AN26+'QTR Raw'!AN31+'QTR Raw'!AN32+'QTR Raw'!AN33+'QTR Raw'!AN36+'QTR Raw'!AN37+'QTR Raw'!AN39</f>
        <v>-10.83</v>
      </c>
      <c r="BU71" s="75">
        <f>'QTR Raw'!AO26+'QTR Raw'!AO31+'QTR Raw'!AO32+'QTR Raw'!AO33+'QTR Raw'!AO36+'QTR Raw'!AO37+'QTR Raw'!AO39</f>
        <v>-10.24</v>
      </c>
      <c r="BV71" s="75">
        <f>'QTR Raw'!AP26+'QTR Raw'!AP31+'QTR Raw'!AP32+'QTR Raw'!AP33+'QTR Raw'!AP36+'QTR Raw'!AP37+'QTR Raw'!AP39</f>
        <v>16.36</v>
      </c>
      <c r="BW71" s="75">
        <f>'QTR Raw'!AQ26+'QTR Raw'!AQ31+'QTR Raw'!AQ32+'QTR Raw'!AQ33+'QTR Raw'!AQ36+'QTR Raw'!AQ37+'QTR Raw'!AQ39</f>
        <v>-9.1300000000000008</v>
      </c>
      <c r="BX71" s="75">
        <f>'QTR Raw'!AR26+'QTR Raw'!AR31+'QTR Raw'!AR32+'QTR Raw'!AR33+'QTR Raw'!AR36+'QTR Raw'!AR37+'QTR Raw'!AR39</f>
        <v>12.34</v>
      </c>
      <c r="BY71" s="75">
        <f>'QTR Raw'!AS26+'QTR Raw'!AS31+'QTR Raw'!AS32+'QTR Raw'!AS33+'QTR Raw'!AS36+'QTR Raw'!AS37+'QTR Raw'!AS39</f>
        <v>0.1</v>
      </c>
      <c r="BZ71" s="75">
        <f>'QTR Raw'!AT26+'QTR Raw'!AT31+'QTR Raw'!AT32+'QTR Raw'!AT33+'QTR Raw'!AT36+'QTR Raw'!AT37+'QTR Raw'!AT39</f>
        <v>-0.02</v>
      </c>
      <c r="CA71" s="75">
        <f>'QTR Raw'!AU26+'QTR Raw'!AU31+'QTR Raw'!AU32+'QTR Raw'!AU33+'QTR Raw'!AU36+'QTR Raw'!AU37+'QTR Raw'!AU39</f>
        <v>0</v>
      </c>
      <c r="CB71" s="75">
        <f>'QTR Raw'!AV26+'QTR Raw'!AV31+'QTR Raw'!AV32+'QTR Raw'!AV33+'QTR Raw'!AV36+'QTR Raw'!AV37+'QTR Raw'!AV39</f>
        <v>0</v>
      </c>
      <c r="CC71" s="75">
        <f>'QTR Raw'!AW26+'QTR Raw'!AW31+'QTR Raw'!AW32+'QTR Raw'!AW33+'QTR Raw'!AW36+'QTR Raw'!AW37+'QTR Raw'!AW39</f>
        <v>0</v>
      </c>
      <c r="CD71" s="75">
        <f>'QTR Raw'!AX26+'QTR Raw'!AX31+'QTR Raw'!AX32+'QTR Raw'!AX33+'QTR Raw'!AX36+'QTR Raw'!AX37+'QTR Raw'!AX39</f>
        <v>0</v>
      </c>
      <c r="CE71" s="75">
        <f>'QTR Raw'!AY26+'QTR Raw'!AY31+'QTR Raw'!AY32+'QTR Raw'!AY33+'QTR Raw'!AY36+'QTR Raw'!AY37+'QTR Raw'!AY39</f>
        <v>0</v>
      </c>
      <c r="CF71" s="75">
        <f>'QTR Raw'!AZ26+'QTR Raw'!AZ31+'QTR Raw'!AZ32+'QTR Raw'!AZ33+'QTR Raw'!AZ36+'QTR Raw'!AZ37+'QTR Raw'!AZ39</f>
        <v>307.36</v>
      </c>
      <c r="CG71" s="75">
        <f>'QTR Raw'!BA26+'QTR Raw'!BA31+'QTR Raw'!BA32+'QTR Raw'!BA33+'QTR Raw'!BA36+'QTR Raw'!BA37+'QTR Raw'!BA39</f>
        <v>0</v>
      </c>
      <c r="CH71" s="75">
        <f>'QTR Raw'!BB26+'QTR Raw'!BB31+'QTR Raw'!BB32+'QTR Raw'!BB33+'QTR Raw'!BB36+'QTR Raw'!BB37+'QTR Raw'!BB39</f>
        <v>-2.56</v>
      </c>
      <c r="CI71" s="75">
        <f>'QTR Raw'!BC26+'QTR Raw'!BC31+'QTR Raw'!BC32+'QTR Raw'!BC33+'QTR Raw'!BC36+'QTR Raw'!BC37+'QTR Raw'!BC39</f>
        <v>0</v>
      </c>
      <c r="CJ71" s="75">
        <f>'QTR Raw'!BD26+'QTR Raw'!BD31+'QTR Raw'!BD32+'QTR Raw'!BD33+'QTR Raw'!BD36+'QTR Raw'!BD37+'QTR Raw'!BD39</f>
        <v>0</v>
      </c>
      <c r="CK71" s="75">
        <f>'QTR Raw'!BE26+'QTR Raw'!BE31+'QTR Raw'!BE32+'QTR Raw'!BE33+'QTR Raw'!BE36+'QTR Raw'!BE37+'QTR Raw'!BE39</f>
        <v>275.51</v>
      </c>
      <c r="CL71" s="75">
        <f>'QTR Raw'!BF26+'QTR Raw'!BF31+'QTR Raw'!BF32+'QTR Raw'!BF33+'QTR Raw'!BF36+'QTR Raw'!BF37+'QTR Raw'!BF39</f>
        <v>0</v>
      </c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E71" s="123"/>
      <c r="DF71" s="23">
        <v>275.51</v>
      </c>
    </row>
    <row r="72" spans="1:110" s="26" customFormat="1" x14ac:dyDescent="0.2">
      <c r="A72" s="35" t="s">
        <v>25</v>
      </c>
      <c r="B72" s="26">
        <f>B65+B69+B70+B71</f>
        <v>116.79000000000005</v>
      </c>
      <c r="C72" s="26">
        <f>C65+C69+C70+C71</f>
        <v>21.799999999999947</v>
      </c>
      <c r="D72" s="26">
        <f>D65+D69+D70+D71</f>
        <v>28.069999999999929</v>
      </c>
      <c r="E72" s="26">
        <f t="shared" ref="E72:U72" si="757">E65+E69+E70+E71</f>
        <v>71.989999999999966</v>
      </c>
      <c r="F72" s="26">
        <f t="shared" si="757"/>
        <v>128.49999999999986</v>
      </c>
      <c r="G72" s="26">
        <f t="shared" si="757"/>
        <v>248.73999999999967</v>
      </c>
      <c r="H72" s="26">
        <f t="shared" si="757"/>
        <v>370.30999999999983</v>
      </c>
      <c r="I72" s="26">
        <f t="shared" si="757"/>
        <v>354.98000000000025</v>
      </c>
      <c r="J72" s="26">
        <f t="shared" si="757"/>
        <v>12.460000000000027</v>
      </c>
      <c r="K72" s="26">
        <f t="shared" si="757"/>
        <v>-136.87999999999988</v>
      </c>
      <c r="L72" s="26">
        <f t="shared" si="757"/>
        <v>-87.260000000000275</v>
      </c>
      <c r="M72" s="26">
        <f t="shared" si="757"/>
        <v>3.0600000000000054</v>
      </c>
      <c r="N72" s="26">
        <f t="shared" si="757"/>
        <v>-430.24000000000012</v>
      </c>
      <c r="O72" s="26">
        <f t="shared" si="757"/>
        <v>-553.84999999999991</v>
      </c>
      <c r="P72" s="26">
        <f t="shared" si="757"/>
        <v>-378.09999999999968</v>
      </c>
      <c r="Q72" s="26">
        <f t="shared" si="757"/>
        <v>-231.07999999999967</v>
      </c>
      <c r="R72" s="26">
        <f t="shared" si="757"/>
        <v>-63.200000000000159</v>
      </c>
      <c r="S72" s="26">
        <f t="shared" si="757"/>
        <v>100.86999999999992</v>
      </c>
      <c r="T72" s="26">
        <f t="shared" si="757"/>
        <v>286.81999999999954</v>
      </c>
      <c r="U72" s="26">
        <f t="shared" si="757"/>
        <v>354.42000000000064</v>
      </c>
      <c r="V72" s="26">
        <f>V65+V69+V70+V71</f>
        <v>-720.10999999999967</v>
      </c>
      <c r="W72" s="26">
        <f>W65+W69+W70+W71</f>
        <v>-247.72000000000008</v>
      </c>
      <c r="X72" s="26">
        <f>X65+X69+X70+X71</f>
        <v>1002.5899999999993</v>
      </c>
      <c r="Y72" s="26">
        <f>Y65+Y69+Y70+Y71</f>
        <v>1259.0699999999993</v>
      </c>
      <c r="Z72" s="26">
        <f>Z65+Z69+Z70+Z71</f>
        <v>1907.5900000000008</v>
      </c>
      <c r="AA72" s="26">
        <f>AA65+AA69+AA70+AA71</f>
        <v>2084.3799999999997</v>
      </c>
      <c r="AB72" s="27">
        <f t="shared" ref="AA72:AD72" si="758">AB65+AB69+AB70+AB71</f>
        <v>2103.0650855093836</v>
      </c>
      <c r="AC72" s="27">
        <f t="shared" si="758"/>
        <v>2583.8453411347737</v>
      </c>
      <c r="AD72" s="27">
        <f t="shared" si="758"/>
        <v>2863.5662340633917</v>
      </c>
      <c r="AE72" s="27">
        <f t="shared" ref="AE72" si="759">AE65+AE69+AE70+AE71</f>
        <v>3127.7867156480493</v>
      </c>
      <c r="AI72" s="26">
        <f t="shared" ref="AI72" si="760">AI65+AI69+AI70+AI71</f>
        <v>-33.36</v>
      </c>
      <c r="AJ72" s="26">
        <f t="shared" ref="AJ72" si="761">AJ65+AJ69+AJ70+AJ71</f>
        <v>-57.489999999999981</v>
      </c>
      <c r="AK72" s="26">
        <f t="shared" ref="AK72:AM72" si="762">AK65+AK69+AK70+AK71</f>
        <v>64.619999999999919</v>
      </c>
      <c r="AL72" s="26">
        <f t="shared" si="762"/>
        <v>-389.15999999999991</v>
      </c>
      <c r="AM72" s="26">
        <f t="shared" si="762"/>
        <v>-19.090000000000117</v>
      </c>
      <c r="AN72" s="26">
        <f t="shared" ref="AN72:AO72" si="763">AN65+AN69+AN70+AN71</f>
        <v>-433.48</v>
      </c>
      <c r="AO72" s="26">
        <f t="shared" si="763"/>
        <v>59.569999999999894</v>
      </c>
      <c r="AP72" s="26">
        <f t="shared" ref="AP72:CD72" si="764">AP65+AP69+AP70+AP71</f>
        <v>-160.84999999999997</v>
      </c>
      <c r="AQ72" s="26">
        <f t="shared" si="764"/>
        <v>-34.820000000000093</v>
      </c>
      <c r="AR72" s="26">
        <f t="shared" si="764"/>
        <v>-97.689999999999927</v>
      </c>
      <c r="AS72" s="26">
        <f t="shared" si="764"/>
        <v>61.840000000000089</v>
      </c>
      <c r="AT72" s="26">
        <f t="shared" si="764"/>
        <v>-307.43</v>
      </c>
      <c r="AU72" s="26">
        <f t="shared" si="764"/>
        <v>34.779999999999987</v>
      </c>
      <c r="AV72" s="26">
        <f t="shared" si="764"/>
        <v>-151.96</v>
      </c>
      <c r="AW72" s="26">
        <f t="shared" si="764"/>
        <v>13.310000000000105</v>
      </c>
      <c r="AX72" s="26">
        <f t="shared" si="764"/>
        <v>-51.72</v>
      </c>
      <c r="AY72" s="26">
        <f t="shared" si="764"/>
        <v>-169.45000000000007</v>
      </c>
      <c r="AZ72" s="26">
        <f t="shared" si="764"/>
        <v>-26.760000000000034</v>
      </c>
      <c r="BA72" s="26">
        <f t="shared" si="764"/>
        <v>92.979999999999976</v>
      </c>
      <c r="BB72" s="26">
        <f t="shared" si="764"/>
        <v>40.029999999999959</v>
      </c>
      <c r="BC72" s="26">
        <f t="shared" si="764"/>
        <v>-24.960000000000083</v>
      </c>
      <c r="BD72" s="26">
        <f t="shared" si="764"/>
        <v>-57.669999999999959</v>
      </c>
      <c r="BE72" s="26">
        <f t="shared" si="764"/>
        <v>107.86999999999999</v>
      </c>
      <c r="BF72" s="26">
        <f t="shared" si="764"/>
        <v>75.629999999999953</v>
      </c>
      <c r="BG72" s="26">
        <f t="shared" si="764"/>
        <v>15.260000000000083</v>
      </c>
      <c r="BH72" s="26">
        <f t="shared" si="764"/>
        <v>-5.2100000000000932</v>
      </c>
      <c r="BI72" s="26">
        <f t="shared" si="764"/>
        <v>161.78000000000009</v>
      </c>
      <c r="BJ72" s="26">
        <f t="shared" si="764"/>
        <v>114.98999999999984</v>
      </c>
      <c r="BK72" s="26">
        <f t="shared" si="764"/>
        <v>5.6599999999999451</v>
      </c>
      <c r="BL72" s="26">
        <f t="shared" si="764"/>
        <v>71.310000000000031</v>
      </c>
      <c r="BM72" s="26">
        <f t="shared" si="764"/>
        <v>203.13000000000002</v>
      </c>
      <c r="BN72" s="26">
        <f t="shared" si="764"/>
        <v>74.320000000000064</v>
      </c>
      <c r="BO72" s="26">
        <f t="shared" si="764"/>
        <v>-279.91999999999996</v>
      </c>
      <c r="BP72" s="26">
        <f t="shared" si="764"/>
        <v>-230.01</v>
      </c>
      <c r="BQ72" s="26">
        <f t="shared" si="764"/>
        <v>-118.87999999999994</v>
      </c>
      <c r="BR72" s="26">
        <f t="shared" si="764"/>
        <v>-91.299999999999983</v>
      </c>
      <c r="BS72" s="26">
        <f t="shared" si="764"/>
        <v>-277.33999999999997</v>
      </c>
      <c r="BT72" s="26">
        <f t="shared" si="764"/>
        <v>-120.57999999999997</v>
      </c>
      <c r="BU72" s="26">
        <f t="shared" si="764"/>
        <v>76.009999999999977</v>
      </c>
      <c r="BV72" s="26">
        <f t="shared" si="764"/>
        <v>74.190000000000026</v>
      </c>
      <c r="BW72" s="26">
        <f t="shared" si="764"/>
        <v>170.04999999999993</v>
      </c>
      <c r="BX72" s="26">
        <f t="shared" si="764"/>
        <v>121.55999999999992</v>
      </c>
      <c r="BY72" s="26">
        <f t="shared" si="764"/>
        <v>382.71</v>
      </c>
      <c r="BZ72" s="26">
        <f t="shared" si="764"/>
        <v>328.27</v>
      </c>
      <c r="CA72" s="26">
        <f t="shared" si="764"/>
        <v>222.43999999999983</v>
      </c>
      <c r="CB72" s="26">
        <f t="shared" si="764"/>
        <v>166.92000000000021</v>
      </c>
      <c r="CC72" s="26">
        <f t="shared" si="764"/>
        <v>451.94999999999987</v>
      </c>
      <c r="CD72" s="26">
        <f t="shared" si="764"/>
        <v>417.75999999999993</v>
      </c>
      <c r="CE72" s="26">
        <f t="shared" ref="CE72:CF72" si="765">CE65+CE69+CE70+CE71</f>
        <v>248.39</v>
      </c>
      <c r="CF72" s="26">
        <f t="shared" si="765"/>
        <v>554.57999999999993</v>
      </c>
      <c r="CG72" s="26">
        <f t="shared" ref="CG72:CH72" si="766">CG65+CG69+CG70+CG71</f>
        <v>582.32000000000016</v>
      </c>
      <c r="CH72" s="26">
        <f t="shared" si="766"/>
        <v>522.29999999999995</v>
      </c>
      <c r="CI72" s="26">
        <f t="shared" ref="CI72:CJ72" si="767">CI65+CI69+CI70+CI71</f>
        <v>296.36999999999972</v>
      </c>
      <c r="CJ72" s="26">
        <f t="shared" si="767"/>
        <v>284.92</v>
      </c>
      <c r="CK72" s="26">
        <f t="shared" ref="CK72:CL72" si="768">CK65+CK69+CK70+CK71</f>
        <v>903.2299999999999</v>
      </c>
      <c r="CL72" s="26">
        <f t="shared" si="768"/>
        <v>599.86000000000013</v>
      </c>
      <c r="CM72" s="27">
        <f t="shared" ref="CM72:DB72" si="769">CM65+CM69+CM70+CM71</f>
        <v>488.62977639354028</v>
      </c>
      <c r="CN72" s="27">
        <f t="shared" si="769"/>
        <v>513.93257910798627</v>
      </c>
      <c r="CO72" s="27">
        <f t="shared" si="769"/>
        <v>559.33960055922194</v>
      </c>
      <c r="CP72" s="27">
        <f t="shared" si="769"/>
        <v>541.16312944863512</v>
      </c>
      <c r="CQ72" s="27">
        <f t="shared" si="769"/>
        <v>598.70071798859703</v>
      </c>
      <c r="CR72" s="27">
        <f t="shared" si="769"/>
        <v>629.72644901012973</v>
      </c>
      <c r="CS72" s="27">
        <f t="shared" si="769"/>
        <v>662.75557800776153</v>
      </c>
      <c r="CT72" s="27">
        <f t="shared" si="769"/>
        <v>692.66259612828742</v>
      </c>
      <c r="CU72" s="27">
        <f t="shared" si="769"/>
        <v>685.18125896004619</v>
      </c>
      <c r="CV72" s="27">
        <f t="shared" si="769"/>
        <v>707.46737658019299</v>
      </c>
      <c r="CW72" s="27">
        <f t="shared" si="769"/>
        <v>727.33694261162054</v>
      </c>
      <c r="CX72" s="27">
        <f t="shared" si="769"/>
        <v>743.58065591153422</v>
      </c>
      <c r="CY72" s="27">
        <f t="shared" si="769"/>
        <v>756.09349213852249</v>
      </c>
      <c r="CZ72" s="27">
        <f t="shared" si="769"/>
        <v>774.06142107202879</v>
      </c>
      <c r="DA72" s="27">
        <f t="shared" si="769"/>
        <v>790.84554094918383</v>
      </c>
      <c r="DB72" s="27">
        <f t="shared" si="769"/>
        <v>806.7862614883137</v>
      </c>
      <c r="DE72" s="121"/>
      <c r="DF72" s="26">
        <v>623.2020607825217</v>
      </c>
    </row>
    <row r="73" spans="1:110" s="25" customFormat="1" x14ac:dyDescent="0.2">
      <c r="A73" s="151" t="s">
        <v>486</v>
      </c>
      <c r="AB73" s="17"/>
      <c r="AC73" s="17"/>
      <c r="AD73" s="17"/>
      <c r="AE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E73" s="119"/>
    </row>
    <row r="74" spans="1:110" s="1" customFormat="1" x14ac:dyDescent="0.2">
      <c r="AB74" s="20"/>
      <c r="AC74" s="20"/>
      <c r="AD74" s="20"/>
      <c r="AE74" s="20"/>
      <c r="BV74" s="183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E74" s="119"/>
    </row>
    <row r="75" spans="1:110" s="22" customFormat="1" x14ac:dyDescent="0.2">
      <c r="A75" s="22" t="s">
        <v>434</v>
      </c>
      <c r="B75" s="22">
        <f>'Annual Raw'!C35</f>
        <v>116.79</v>
      </c>
      <c r="C75" s="22">
        <f>'Annual Raw'!D35</f>
        <v>21.8</v>
      </c>
      <c r="D75" s="22">
        <f>'Annual Raw'!E35</f>
        <v>28.07</v>
      </c>
      <c r="E75" s="22">
        <f>'Annual Raw'!F35</f>
        <v>71.989999999999995</v>
      </c>
      <c r="F75" s="22">
        <f>'Annual Raw'!G35</f>
        <v>128.5</v>
      </c>
      <c r="G75" s="22">
        <f>'Annual Raw'!H35</f>
        <v>248.74</v>
      </c>
      <c r="H75" s="22">
        <f>'Annual Raw'!I35</f>
        <v>370.31</v>
      </c>
      <c r="I75" s="22">
        <f>'Annual Raw'!J35</f>
        <v>354.98</v>
      </c>
      <c r="J75" s="22">
        <f>'Annual Raw'!K35</f>
        <v>12.46</v>
      </c>
      <c r="K75" s="22">
        <f>'Annual Raw'!L35</f>
        <v>-136.88</v>
      </c>
      <c r="L75" s="22">
        <f>'Annual Raw'!M35</f>
        <v>-87.26</v>
      </c>
      <c r="M75" s="22">
        <f>'Annual Raw'!N35</f>
        <v>3.06</v>
      </c>
      <c r="N75" s="22">
        <f>'Annual Raw'!O35</f>
        <v>-430.24</v>
      </c>
      <c r="O75" s="22">
        <f>'Annual Raw'!P35</f>
        <v>-553.85</v>
      </c>
      <c r="P75" s="22">
        <f>'Annual Raw'!Q35</f>
        <v>-378.1</v>
      </c>
      <c r="Q75" s="22">
        <f>'Annual Raw'!R35</f>
        <v>-231.08</v>
      </c>
      <c r="R75" s="22">
        <f>'Annual Raw'!S35</f>
        <v>-63.2</v>
      </c>
      <c r="S75" s="22">
        <f>'Annual Raw'!T35</f>
        <v>100.87</v>
      </c>
      <c r="T75" s="22">
        <f>'Annual Raw'!U35</f>
        <v>286.82</v>
      </c>
      <c r="U75" s="22">
        <f>'Annual Raw'!V35</f>
        <v>354.42</v>
      </c>
      <c r="V75" s="22">
        <f>'Annual Raw'!W35</f>
        <v>-720.11</v>
      </c>
      <c r="W75" s="22">
        <f>'Annual Raw'!X35</f>
        <v>-247.72</v>
      </c>
      <c r="X75" s="22">
        <f>'Annual Raw'!Y35</f>
        <v>1002.59</v>
      </c>
      <c r="Y75" s="22">
        <f>'Annual Raw'!Z35</f>
        <v>1259.07</v>
      </c>
      <c r="Z75" s="22">
        <f>'Annual Raw'!AA35</f>
        <v>1907.59</v>
      </c>
      <c r="AA75" s="22">
        <f>'Annual Raw'!AB35</f>
        <v>2084.38</v>
      </c>
      <c r="AB75" s="21">
        <f t="shared" ref="AA75:AD75" si="770">+AB72</f>
        <v>2103.0650855093836</v>
      </c>
      <c r="AC75" s="21">
        <f t="shared" si="770"/>
        <v>2583.8453411347737</v>
      </c>
      <c r="AD75" s="21">
        <f t="shared" si="770"/>
        <v>2863.5662340633917</v>
      </c>
      <c r="AE75" s="21">
        <f t="shared" ref="AE75" si="771">+AE72</f>
        <v>3127.7867156480493</v>
      </c>
      <c r="AI75" s="22">
        <f>'QTR Raw'!C42</f>
        <v>-33.36</v>
      </c>
      <c r="AJ75" s="22">
        <f>'QTR Raw'!D42</f>
        <v>-57.49</v>
      </c>
      <c r="AK75" s="22">
        <f>'QTR Raw'!E42</f>
        <v>64.62</v>
      </c>
      <c r="AL75" s="22">
        <f>'QTR Raw'!F42</f>
        <v>-389.16</v>
      </c>
      <c r="AM75" s="22">
        <f>'QTR Raw'!G42</f>
        <v>-19.09</v>
      </c>
      <c r="AN75" s="22">
        <f>'QTR Raw'!H42</f>
        <v>-433.48</v>
      </c>
      <c r="AO75" s="22">
        <f>'QTR Raw'!I42</f>
        <v>59.57</v>
      </c>
      <c r="AP75" s="22">
        <f>'QTR Raw'!J42</f>
        <v>-160.85</v>
      </c>
      <c r="AQ75" s="22">
        <f>'QTR Raw'!K42</f>
        <v>-34.82</v>
      </c>
      <c r="AR75" s="22">
        <f>'QTR Raw'!L42</f>
        <v>-97.69</v>
      </c>
      <c r="AS75" s="22">
        <f>'QTR Raw'!M42</f>
        <v>61.84</v>
      </c>
      <c r="AT75" s="22">
        <f>'QTR Raw'!N42</f>
        <v>-307.43</v>
      </c>
      <c r="AU75" s="22">
        <f>'QTR Raw'!O42</f>
        <v>34.78</v>
      </c>
      <c r="AV75" s="22">
        <f>'QTR Raw'!P42</f>
        <v>-151.96</v>
      </c>
      <c r="AW75" s="22">
        <f>'QTR Raw'!Q42</f>
        <v>13.31</v>
      </c>
      <c r="AX75" s="22">
        <f>'QTR Raw'!R42</f>
        <v>-51.72</v>
      </c>
      <c r="AY75" s="22">
        <f>'QTR Raw'!S42</f>
        <v>-169.45</v>
      </c>
      <c r="AZ75" s="22">
        <f>'QTR Raw'!T42</f>
        <v>-26.76</v>
      </c>
      <c r="BA75" s="22">
        <f>'QTR Raw'!U42</f>
        <v>92.98</v>
      </c>
      <c r="BB75" s="22">
        <f>'QTR Raw'!V42</f>
        <v>40.03</v>
      </c>
      <c r="BC75" s="22">
        <f>'QTR Raw'!W42</f>
        <v>-24.96</v>
      </c>
      <c r="BD75" s="22">
        <f>'QTR Raw'!X42</f>
        <v>-57.67</v>
      </c>
      <c r="BE75" s="22">
        <f>'QTR Raw'!Y42</f>
        <v>107.87</v>
      </c>
      <c r="BF75" s="22">
        <f>'QTR Raw'!Z42</f>
        <v>75.63</v>
      </c>
      <c r="BG75" s="22">
        <f>'QTR Raw'!AA42</f>
        <v>15.26</v>
      </c>
      <c r="BH75" s="22">
        <f>'QTR Raw'!AB42</f>
        <v>-5.21</v>
      </c>
      <c r="BI75" s="22">
        <f>'QTR Raw'!AC42</f>
        <v>161.78</v>
      </c>
      <c r="BJ75" s="22">
        <f>'QTR Raw'!AD42</f>
        <v>114.99</v>
      </c>
      <c r="BK75" s="22">
        <f>'QTR Raw'!AE42</f>
        <v>5.66</v>
      </c>
      <c r="BL75" s="22">
        <f>'QTR Raw'!AF42</f>
        <v>71.31</v>
      </c>
      <c r="BM75" s="22">
        <f>'QTR Raw'!AG42</f>
        <v>203.13</v>
      </c>
      <c r="BN75" s="22">
        <f>'QTR Raw'!AH42</f>
        <v>74.319999999999993</v>
      </c>
      <c r="BO75" s="22">
        <f>'QTR Raw'!AI42</f>
        <v>-279.92</v>
      </c>
      <c r="BP75" s="22">
        <f>'QTR Raw'!AJ42</f>
        <v>-230.01</v>
      </c>
      <c r="BQ75" s="22">
        <f>'QTR Raw'!AK42</f>
        <v>-118.88</v>
      </c>
      <c r="BR75" s="22">
        <f>'QTR Raw'!AL42</f>
        <v>-91.3</v>
      </c>
      <c r="BS75" s="22">
        <f>'QTR Raw'!AM42</f>
        <v>-277.33999999999997</v>
      </c>
      <c r="BT75" s="22">
        <f>'QTR Raw'!AN42</f>
        <v>-120.58</v>
      </c>
      <c r="BU75" s="22">
        <f>'QTR Raw'!AO42</f>
        <v>76.010000000000005</v>
      </c>
      <c r="BV75" s="22">
        <f>'QTR Raw'!AP42</f>
        <v>74.19</v>
      </c>
      <c r="BW75" s="22">
        <f>'QTR Raw'!AQ42</f>
        <v>170.05</v>
      </c>
      <c r="BX75" s="22">
        <f>'QTR Raw'!AR42</f>
        <v>121.56</v>
      </c>
      <c r="BY75" s="22">
        <f>'QTR Raw'!AS42</f>
        <v>382.71</v>
      </c>
      <c r="BZ75" s="22">
        <f>'QTR Raw'!AT42</f>
        <v>328.27</v>
      </c>
      <c r="CA75" s="22">
        <f>'QTR Raw'!AU42</f>
        <v>222.44</v>
      </c>
      <c r="CB75" s="22">
        <f>'QTR Raw'!AV42</f>
        <v>166.92</v>
      </c>
      <c r="CC75" s="22">
        <f>'QTR Raw'!AW42</f>
        <v>451.95</v>
      </c>
      <c r="CD75" s="22">
        <f>'QTR Raw'!AX42</f>
        <v>417.76</v>
      </c>
      <c r="CE75" s="22">
        <f>'QTR Raw'!AY42</f>
        <v>248.39</v>
      </c>
      <c r="CF75" s="22">
        <f>'QTR Raw'!AZ42</f>
        <v>554.58000000000004</v>
      </c>
      <c r="CG75" s="22">
        <f>'QTR Raw'!BA42</f>
        <v>582.32000000000005</v>
      </c>
      <c r="CH75" s="22">
        <f>'QTR Raw'!BB42</f>
        <v>522.29999999999995</v>
      </c>
      <c r="CI75" s="22">
        <f>'QTR Raw'!BC42</f>
        <v>296.37</v>
      </c>
      <c r="CJ75" s="22">
        <f>'QTR Raw'!BD42</f>
        <v>284.92</v>
      </c>
      <c r="CK75" s="22">
        <f>'QTR Raw'!BE42</f>
        <v>903.23</v>
      </c>
      <c r="CL75" s="22">
        <f>'QTR Raw'!BF42</f>
        <v>599.86</v>
      </c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E75" s="119"/>
      <c r="DF75" s="22">
        <v>2084.3800000000019</v>
      </c>
    </row>
    <row r="76" spans="1:110" s="25" customFormat="1" x14ac:dyDescent="0.2">
      <c r="A76" s="36" t="s">
        <v>435</v>
      </c>
      <c r="B76" s="25">
        <f t="shared" ref="B76:V76" si="772">B75-B72</f>
        <v>0</v>
      </c>
      <c r="C76" s="25">
        <f>C75-C72</f>
        <v>5.3290705182007514E-14</v>
      </c>
      <c r="D76" s="25">
        <f t="shared" si="772"/>
        <v>7.1054273576010019E-14</v>
      </c>
      <c r="E76" s="25">
        <f t="shared" si="772"/>
        <v>0</v>
      </c>
      <c r="F76" s="25">
        <f t="shared" si="772"/>
        <v>0</v>
      </c>
      <c r="G76" s="25">
        <f t="shared" si="772"/>
        <v>3.4106051316484809E-13</v>
      </c>
      <c r="H76" s="25">
        <f t="shared" si="772"/>
        <v>0</v>
      </c>
      <c r="I76" s="25">
        <f t="shared" si="772"/>
        <v>0</v>
      </c>
      <c r="J76" s="25">
        <f t="shared" si="772"/>
        <v>-2.6645352591003757E-14</v>
      </c>
      <c r="K76" s="25">
        <f t="shared" si="772"/>
        <v>0</v>
      </c>
      <c r="L76" s="25">
        <f t="shared" si="772"/>
        <v>2.7000623958883807E-13</v>
      </c>
      <c r="M76" s="25">
        <f t="shared" si="772"/>
        <v>-5.3290705182007514E-15</v>
      </c>
      <c r="N76" s="25">
        <f t="shared" si="772"/>
        <v>0</v>
      </c>
      <c r="O76" s="25">
        <f t="shared" si="772"/>
        <v>0</v>
      </c>
      <c r="P76" s="25">
        <f t="shared" si="772"/>
        <v>0</v>
      </c>
      <c r="Q76" s="25">
        <f t="shared" si="772"/>
        <v>-3.4106051316484809E-13</v>
      </c>
      <c r="R76" s="25">
        <f t="shared" si="772"/>
        <v>1.5631940186722204E-13</v>
      </c>
      <c r="S76" s="25">
        <f t="shared" si="772"/>
        <v>0</v>
      </c>
      <c r="T76" s="25">
        <f t="shared" si="772"/>
        <v>4.5474735088646412E-13</v>
      </c>
      <c r="U76" s="25">
        <f t="shared" si="772"/>
        <v>-6.2527760746888816E-13</v>
      </c>
      <c r="V76" s="25">
        <f t="shared" si="772"/>
        <v>0</v>
      </c>
      <c r="W76" s="25">
        <f t="shared" ref="W76" si="773">W75-W72</f>
        <v>0</v>
      </c>
      <c r="X76" s="25">
        <f t="shared" ref="X76:Y76" si="774">X75-X72</f>
        <v>0</v>
      </c>
      <c r="Y76" s="25">
        <f t="shared" si="774"/>
        <v>0</v>
      </c>
      <c r="Z76" s="25">
        <f t="shared" ref="Z76:AA76" si="775">Z75-Z72</f>
        <v>0</v>
      </c>
      <c r="AA76" s="25">
        <f t="shared" si="775"/>
        <v>0</v>
      </c>
      <c r="AB76" s="17">
        <f t="shared" ref="AA76:AD76" si="776">AB75-AB72</f>
        <v>0</v>
      </c>
      <c r="AC76" s="17">
        <f t="shared" si="776"/>
        <v>0</v>
      </c>
      <c r="AD76" s="17">
        <f t="shared" si="776"/>
        <v>0</v>
      </c>
      <c r="AE76" s="17">
        <f t="shared" ref="AE76" si="777">AE75-AE72</f>
        <v>0</v>
      </c>
      <c r="AI76" s="25">
        <f t="shared" ref="AI76" si="778">AI75-AI72</f>
        <v>0</v>
      </c>
      <c r="AJ76" s="25">
        <f t="shared" ref="AJ76" si="779">AJ75-AJ72</f>
        <v>0</v>
      </c>
      <c r="AK76" s="25">
        <f t="shared" ref="AK76:AM76" si="780">AK75-AK72</f>
        <v>0</v>
      </c>
      <c r="AL76" s="25">
        <f t="shared" si="780"/>
        <v>0</v>
      </c>
      <c r="AM76" s="25">
        <f t="shared" si="780"/>
        <v>1.1723955140041653E-13</v>
      </c>
      <c r="AN76" s="25">
        <f t="shared" ref="AN76:AO76" si="781">AN75-AN72</f>
        <v>0</v>
      </c>
      <c r="AO76" s="25">
        <f t="shared" si="781"/>
        <v>1.0658141036401503E-13</v>
      </c>
      <c r="AP76" s="25">
        <f t="shared" ref="AP76:CD76" si="782">AP75-AP72</f>
        <v>0</v>
      </c>
      <c r="AQ76" s="25">
        <f t="shared" si="782"/>
        <v>9.2370555648813024E-14</v>
      </c>
      <c r="AR76" s="25">
        <f t="shared" si="782"/>
        <v>0</v>
      </c>
      <c r="AS76" s="25">
        <f t="shared" si="782"/>
        <v>-8.5265128291212022E-14</v>
      </c>
      <c r="AT76" s="25">
        <f t="shared" si="782"/>
        <v>0</v>
      </c>
      <c r="AU76" s="25">
        <f t="shared" si="782"/>
        <v>0</v>
      </c>
      <c r="AV76" s="25">
        <f t="shared" si="782"/>
        <v>0</v>
      </c>
      <c r="AW76" s="25">
        <f t="shared" si="782"/>
        <v>-1.0480505352461478E-13</v>
      </c>
      <c r="AX76" s="25">
        <f t="shared" si="782"/>
        <v>0</v>
      </c>
      <c r="AY76" s="25">
        <f t="shared" si="782"/>
        <v>0</v>
      </c>
      <c r="AZ76" s="25">
        <f t="shared" si="782"/>
        <v>3.1974423109204508E-14</v>
      </c>
      <c r="BA76" s="25">
        <f t="shared" si="782"/>
        <v>0</v>
      </c>
      <c r="BB76" s="25">
        <f t="shared" si="782"/>
        <v>0</v>
      </c>
      <c r="BC76" s="25">
        <f t="shared" si="782"/>
        <v>8.1712414612411521E-14</v>
      </c>
      <c r="BD76" s="25">
        <f t="shared" si="782"/>
        <v>0</v>
      </c>
      <c r="BE76" s="25">
        <f t="shared" si="782"/>
        <v>0</v>
      </c>
      <c r="BF76" s="25">
        <f t="shared" si="782"/>
        <v>0</v>
      </c>
      <c r="BG76" s="25">
        <f t="shared" si="782"/>
        <v>-8.3488771451811772E-14</v>
      </c>
      <c r="BH76" s="25">
        <f t="shared" si="782"/>
        <v>9.3258734068513149E-14</v>
      </c>
      <c r="BI76" s="25">
        <f t="shared" si="782"/>
        <v>0</v>
      </c>
      <c r="BJ76" s="25">
        <f t="shared" si="782"/>
        <v>1.5631940186722204E-13</v>
      </c>
      <c r="BK76" s="25">
        <f t="shared" si="782"/>
        <v>5.5067062021407764E-14</v>
      </c>
      <c r="BL76" s="25">
        <f t="shared" si="782"/>
        <v>0</v>
      </c>
      <c r="BM76" s="25">
        <f t="shared" si="782"/>
        <v>0</v>
      </c>
      <c r="BN76" s="25">
        <f t="shared" si="782"/>
        <v>0</v>
      </c>
      <c r="BO76" s="25">
        <f t="shared" si="782"/>
        <v>0</v>
      </c>
      <c r="BP76" s="25">
        <f t="shared" si="782"/>
        <v>0</v>
      </c>
      <c r="BQ76" s="25">
        <f t="shared" si="782"/>
        <v>0</v>
      </c>
      <c r="BR76" s="25">
        <f t="shared" si="782"/>
        <v>0</v>
      </c>
      <c r="BS76" s="25">
        <f t="shared" si="782"/>
        <v>0</v>
      </c>
      <c r="BT76" s="25">
        <f t="shared" si="782"/>
        <v>0</v>
      </c>
      <c r="BU76" s="25">
        <f t="shared" si="782"/>
        <v>0</v>
      </c>
      <c r="BV76" s="25">
        <f t="shared" si="782"/>
        <v>0</v>
      </c>
      <c r="BW76" s="25">
        <f t="shared" si="782"/>
        <v>0</v>
      </c>
      <c r="BX76" s="25">
        <f t="shared" si="782"/>
        <v>0</v>
      </c>
      <c r="BY76" s="25">
        <f t="shared" si="782"/>
        <v>0</v>
      </c>
      <c r="BZ76" s="25">
        <f t="shared" si="782"/>
        <v>0</v>
      </c>
      <c r="CA76" s="25">
        <f t="shared" si="782"/>
        <v>0</v>
      </c>
      <c r="CB76" s="25">
        <f t="shared" si="782"/>
        <v>-2.2737367544323206E-13</v>
      </c>
      <c r="CC76" s="25">
        <f t="shared" si="782"/>
        <v>0</v>
      </c>
      <c r="CD76" s="25">
        <f t="shared" si="782"/>
        <v>0</v>
      </c>
      <c r="CE76" s="25">
        <f t="shared" ref="CE76:CF76" si="783">CE75-CE72</f>
        <v>0</v>
      </c>
      <c r="CF76" s="25">
        <f t="shared" si="783"/>
        <v>0</v>
      </c>
      <c r="CG76" s="25">
        <f t="shared" ref="CG76:CH76" si="784">CG75-CG72</f>
        <v>0</v>
      </c>
      <c r="CH76" s="25">
        <f t="shared" si="784"/>
        <v>0</v>
      </c>
      <c r="CI76" s="25">
        <f t="shared" ref="CI76:CJ76" si="785">CI75-CI72</f>
        <v>0</v>
      </c>
      <c r="CJ76" s="25">
        <f t="shared" si="785"/>
        <v>0</v>
      </c>
      <c r="CK76" s="25">
        <f t="shared" ref="CK76:CL76" si="786">CK75-CK72</f>
        <v>0</v>
      </c>
      <c r="CL76" s="25">
        <f t="shared" si="786"/>
        <v>0</v>
      </c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E76" s="119"/>
      <c r="DF76" s="25">
        <v>0</v>
      </c>
    </row>
    <row r="77" spans="1:110" s="1" customFormat="1" x14ac:dyDescent="0.2">
      <c r="A77" s="150" t="s">
        <v>487</v>
      </c>
      <c r="AB77" s="20"/>
      <c r="AC77" s="20"/>
      <c r="AD77" s="20"/>
      <c r="AE77" s="20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E77" s="119"/>
    </row>
    <row r="78" spans="1:110" s="38" customFormat="1" x14ac:dyDescent="0.2">
      <c r="A78" s="38" t="s">
        <v>350</v>
      </c>
      <c r="B78" s="39">
        <f t="shared" ref="B78:AE78" si="787">(B72-B71)/B144</f>
        <v>0.11391701293380938</v>
      </c>
      <c r="C78" s="39">
        <f t="shared" si="787"/>
        <v>-6.7530037711580016E-3</v>
      </c>
      <c r="D78" s="39">
        <f t="shared" si="787"/>
        <v>1.8198839168694931E-2</v>
      </c>
      <c r="E78" s="39">
        <f t="shared" si="787"/>
        <v>4.4931435190374742E-2</v>
      </c>
      <c r="F78" s="39">
        <f t="shared" si="787"/>
        <v>9.7199603081421213E-2</v>
      </c>
      <c r="G78" s="39">
        <f t="shared" si="787"/>
        <v>0.12873808316167548</v>
      </c>
      <c r="H78" s="39">
        <f t="shared" si="787"/>
        <v>0.17662237315297949</v>
      </c>
      <c r="I78" s="39">
        <f t="shared" si="787"/>
        <v>0.18031016839349703</v>
      </c>
      <c r="J78" s="39">
        <f t="shared" si="787"/>
        <v>5.2215204266970773E-3</v>
      </c>
      <c r="K78" s="39">
        <f t="shared" si="787"/>
        <v>-7.3948490265799596E-2</v>
      </c>
      <c r="L78" s="39">
        <f t="shared" si="787"/>
        <v>-3.4080640450789491E-2</v>
      </c>
      <c r="M78" s="39">
        <f t="shared" si="787"/>
        <v>1.4804279665125918E-3</v>
      </c>
      <c r="N78" s="39">
        <f t="shared" si="787"/>
        <v>6.3773797696048716E-5</v>
      </c>
      <c r="O78" s="39">
        <f t="shared" si="787"/>
        <v>3.7550351607842437E-4</v>
      </c>
      <c r="P78" s="39">
        <f t="shared" si="787"/>
        <v>-1.1310063666813183E-2</v>
      </c>
      <c r="Q78" s="39">
        <f t="shared" si="787"/>
        <v>-5.7513806801666373E-2</v>
      </c>
      <c r="R78" s="39">
        <f t="shared" si="787"/>
        <v>-2.0820672918429258E-2</v>
      </c>
      <c r="S78" s="39">
        <f t="shared" si="787"/>
        <v>1.8755829805553542E-2</v>
      </c>
      <c r="T78" s="39">
        <f t="shared" si="787"/>
        <v>6.4452621895124088E-2</v>
      </c>
      <c r="U78" s="39">
        <f t="shared" si="787"/>
        <v>7.194943089095017E-2</v>
      </c>
      <c r="V78" s="39">
        <f t="shared" si="787"/>
        <v>-0.2412154235782964</v>
      </c>
      <c r="W78" s="39">
        <f t="shared" si="787"/>
        <v>-3.7288399589366007E-2</v>
      </c>
      <c r="X78" s="39">
        <f t="shared" si="787"/>
        <v>0.12519481430626053</v>
      </c>
      <c r="Y78" s="39">
        <f t="shared" si="787"/>
        <v>0.13314122865919742</v>
      </c>
      <c r="Z78" s="39">
        <f t="shared" si="787"/>
        <v>0.14361003914625509</v>
      </c>
      <c r="AA78" s="39">
        <f t="shared" ref="AA78" si="788">(AA72-AA71)/AA144</f>
        <v>0.13858640897497676</v>
      </c>
      <c r="AB78" s="40">
        <f t="shared" si="787"/>
        <v>0.13876712710744762</v>
      </c>
      <c r="AC78" s="40">
        <f t="shared" si="787"/>
        <v>0.14565737344361107</v>
      </c>
      <c r="AD78" s="40">
        <f t="shared" si="787"/>
        <v>0.13898940279339403</v>
      </c>
      <c r="AE78" s="40">
        <f t="shared" si="787"/>
        <v>0.13180420473314711</v>
      </c>
      <c r="AF78" s="39"/>
      <c r="AG78" s="39"/>
      <c r="AH78" s="39"/>
      <c r="AI78" s="39"/>
      <c r="AJ78" s="39"/>
      <c r="AK78" s="39"/>
      <c r="AL78" s="39">
        <f t="shared" ref="AL78:BQ78" si="789">(SUM(AI72:AL72)-SUM(AI71:AL71))/AL144</f>
        <v>4.9441475792809057E-3</v>
      </c>
      <c r="AM78" s="39">
        <f t="shared" si="789"/>
        <v>9.4723649495471064E-3</v>
      </c>
      <c r="AN78" s="39">
        <f t="shared" si="789"/>
        <v>1.2308076310747654E-2</v>
      </c>
      <c r="AO78" s="39">
        <f t="shared" si="789"/>
        <v>1.2902201839109303E-2</v>
      </c>
      <c r="AP78" s="39">
        <f t="shared" si="789"/>
        <v>3.7550351607825192E-4</v>
      </c>
      <c r="AQ78" s="39">
        <f t="shared" si="789"/>
        <v>-6.4344029150843786E-3</v>
      </c>
      <c r="AR78" s="39">
        <f t="shared" si="789"/>
        <v>-1.8042511122095921E-2</v>
      </c>
      <c r="AS78" s="39">
        <f t="shared" si="789"/>
        <v>-1.3805724324719973E-2</v>
      </c>
      <c r="AT78" s="39">
        <f t="shared" si="789"/>
        <v>-1.1310063666813286E-2</v>
      </c>
      <c r="AU78" s="39">
        <f t="shared" si="789"/>
        <v>-4.6242263483642449E-3</v>
      </c>
      <c r="AV78" s="39">
        <f t="shared" si="789"/>
        <v>-1.1917895605838865E-2</v>
      </c>
      <c r="AW78" s="39">
        <f t="shared" si="789"/>
        <v>-3.1913106141788702E-2</v>
      </c>
      <c r="AX78" s="39">
        <f t="shared" si="789"/>
        <v>-4.1073539385718408E-2</v>
      </c>
      <c r="AY78" s="39">
        <f t="shared" si="789"/>
        <v>-6.1689065870250519E-2</v>
      </c>
      <c r="AZ78" s="39">
        <f t="shared" si="789"/>
        <v>-4.5609162946385284E-2</v>
      </c>
      <c r="BA78" s="39">
        <f t="shared" si="789"/>
        <v>-2.2042610222410299E-2</v>
      </c>
      <c r="BB78" s="39">
        <f t="shared" si="789"/>
        <v>-2.0820672918429262E-2</v>
      </c>
      <c r="BC78" s="39">
        <f t="shared" si="789"/>
        <v>-1.4562347305965822E-2</v>
      </c>
      <c r="BD78" s="39">
        <f t="shared" si="789"/>
        <v>-6.1284591813618996E-3</v>
      </c>
      <c r="BE78" s="39">
        <f t="shared" si="789"/>
        <v>-3.9634146341463771E-3</v>
      </c>
      <c r="BF78" s="39">
        <f t="shared" si="789"/>
        <v>1.8755829805553539E-2</v>
      </c>
      <c r="BG78" s="39">
        <f t="shared" si="789"/>
        <v>3.293568711931294E-2</v>
      </c>
      <c r="BH78" s="39">
        <f t="shared" si="789"/>
        <v>5.6752464781187416E-2</v>
      </c>
      <c r="BI78" s="39">
        <f t="shared" si="789"/>
        <v>6.190350645926708E-2</v>
      </c>
      <c r="BJ78" s="39">
        <f t="shared" si="789"/>
        <v>6.4452621895124185E-2</v>
      </c>
      <c r="BK78" s="39">
        <f t="shared" si="789"/>
        <v>6.0739699471249436E-2</v>
      </c>
      <c r="BL78" s="39">
        <f t="shared" si="789"/>
        <v>7.2860579112841051E-2</v>
      </c>
      <c r="BM78" s="39">
        <f t="shared" si="789"/>
        <v>8.8980646492499108E-2</v>
      </c>
      <c r="BN78" s="39">
        <f t="shared" si="789"/>
        <v>7.1949430890950045E-2</v>
      </c>
      <c r="BO78" s="39">
        <f t="shared" si="789"/>
        <v>-1.3708979148321355E-2</v>
      </c>
      <c r="BP78" s="39">
        <f t="shared" si="789"/>
        <v>-0.10241770272174465</v>
      </c>
      <c r="BQ78" s="39">
        <f t="shared" si="789"/>
        <v>-0.20417763342106734</v>
      </c>
      <c r="BR78" s="39">
        <f t="shared" ref="BR78:CW78" si="790">(SUM(BO72:BR72)-SUM(BO71:BR71))/BR144</f>
        <v>-0.24121542357829645</v>
      </c>
      <c r="BS78" s="39">
        <f t="shared" si="790"/>
        <v>-0.24079380617602564</v>
      </c>
      <c r="BT78" s="39">
        <f t="shared" si="790"/>
        <v>-0.20642289328607988</v>
      </c>
      <c r="BU78" s="39">
        <f t="shared" si="790"/>
        <v>-0.13161304286397102</v>
      </c>
      <c r="BV78" s="39">
        <f t="shared" si="790"/>
        <v>-3.7288399589365986E-2</v>
      </c>
      <c r="BW78" s="39">
        <f t="shared" si="790"/>
        <v>2.952172891058169E-2</v>
      </c>
      <c r="BX78" s="39">
        <f t="shared" si="790"/>
        <v>6.0167112318064306E-2</v>
      </c>
      <c r="BY78" s="39">
        <f t="shared" si="790"/>
        <v>9.6271277783134671E-2</v>
      </c>
      <c r="BZ78" s="39">
        <f t="shared" si="790"/>
        <v>0.12519481430626059</v>
      </c>
      <c r="CA78" s="39">
        <f t="shared" si="790"/>
        <v>0.12707327775340055</v>
      </c>
      <c r="CB78" s="39">
        <f t="shared" si="790"/>
        <v>0.13282357230293038</v>
      </c>
      <c r="CC78" s="39">
        <f t="shared" si="790"/>
        <v>0.1338893741335711</v>
      </c>
      <c r="CD78" s="39">
        <f t="shared" si="790"/>
        <v>0.1331412286591975</v>
      </c>
      <c r="CE78" s="39">
        <f t="shared" si="790"/>
        <v>0.13240749136531124</v>
      </c>
      <c r="CF78" s="39">
        <f t="shared" si="790"/>
        <v>0.13442978699103417</v>
      </c>
      <c r="CG78" s="39">
        <f t="shared" si="790"/>
        <v>0.13928035982008996</v>
      </c>
      <c r="CH78" s="39">
        <f t="shared" si="790"/>
        <v>0.143610039146255</v>
      </c>
      <c r="CI78" s="39">
        <f t="shared" si="790"/>
        <v>0.14408296005613994</v>
      </c>
      <c r="CJ78" s="39">
        <f t="shared" si="790"/>
        <v>0.14594236708290725</v>
      </c>
      <c r="CK78" s="39">
        <f t="shared" si="790"/>
        <v>0.13901365065671634</v>
      </c>
      <c r="CL78" s="39">
        <f t="shared" si="790"/>
        <v>0.13858640897497676</v>
      </c>
      <c r="CM78" s="40">
        <f t="shared" si="790"/>
        <v>0.14778388835019868</v>
      </c>
      <c r="CN78" s="40">
        <f t="shared" si="790"/>
        <v>0.15867419301836896</v>
      </c>
      <c r="CO78" s="40">
        <f t="shared" si="790"/>
        <v>0.14792209946060209</v>
      </c>
      <c r="CP78" s="40">
        <f t="shared" si="790"/>
        <v>0.13876712710744762</v>
      </c>
      <c r="CQ78" s="40">
        <f t="shared" si="790"/>
        <v>0.14048039785494745</v>
      </c>
      <c r="CR78" s="40">
        <f t="shared" si="790"/>
        <v>0.14214848934836519</v>
      </c>
      <c r="CS78" s="40">
        <f t="shared" si="790"/>
        <v>0.14268855638831585</v>
      </c>
      <c r="CT78" s="40">
        <f t="shared" si="790"/>
        <v>0.14565737344361121</v>
      </c>
      <c r="CU78" s="40">
        <f t="shared" si="790"/>
        <v>0.1449343553381045</v>
      </c>
      <c r="CV78" s="40">
        <f t="shared" si="790"/>
        <v>0.14363832793914613</v>
      </c>
      <c r="CW78" s="40">
        <f t="shared" si="790"/>
        <v>0.1416295800644039</v>
      </c>
      <c r="CX78" s="40">
        <f t="shared" ref="CX78:DB78" si="791">(SUM(CU72:CX72)-SUM(CU71:CX71))/CX144</f>
        <v>0.13898940279339417</v>
      </c>
      <c r="CY78" s="40">
        <f t="shared" si="791"/>
        <v>0.1373892823045077</v>
      </c>
      <c r="CZ78" s="40">
        <f t="shared" si="791"/>
        <v>0.13559314804920433</v>
      </c>
      <c r="DA78" s="40">
        <f t="shared" si="791"/>
        <v>0.13368575482010217</v>
      </c>
      <c r="DB78" s="40">
        <f t="shared" si="791"/>
        <v>0.13180420473314711</v>
      </c>
      <c r="DE78" s="122"/>
      <c r="DF78" s="38">
        <v>0.13990770918925213</v>
      </c>
    </row>
    <row r="79" spans="1:110" s="38" customFormat="1" x14ac:dyDescent="0.2">
      <c r="A79" s="38" t="s">
        <v>351</v>
      </c>
      <c r="B79" s="39">
        <f t="shared" ref="B79:AE79" si="792">+B58/B153</f>
        <v>8.8324802439687988E-2</v>
      </c>
      <c r="C79" s="39">
        <f t="shared" si="792"/>
        <v>2.1123321123321104E-2</v>
      </c>
      <c r="D79" s="39">
        <f t="shared" si="792"/>
        <v>2.509904605918415E-2</v>
      </c>
      <c r="E79" s="39">
        <f t="shared" si="792"/>
        <v>2.6113324216659718E-2</v>
      </c>
      <c r="F79" s="39">
        <f t="shared" si="792"/>
        <v>6.1793122010575449E-2</v>
      </c>
      <c r="G79" s="39">
        <f t="shared" si="792"/>
        <v>0.10279980465851654</v>
      </c>
      <c r="H79" s="39">
        <f t="shared" si="792"/>
        <v>0.1260038533563814</v>
      </c>
      <c r="I79" s="39">
        <f t="shared" si="792"/>
        <v>0.11990446176153181</v>
      </c>
      <c r="J79" s="39">
        <f t="shared" si="792"/>
        <v>3.9062537912426538E-2</v>
      </c>
      <c r="K79" s="39">
        <f t="shared" si="792"/>
        <v>2.4602458191162524E-2</v>
      </c>
      <c r="L79" s="39">
        <f t="shared" si="792"/>
        <v>2.9922766966704119E-2</v>
      </c>
      <c r="M79" s="39">
        <f t="shared" si="792"/>
        <v>3.846561716252115E-2</v>
      </c>
      <c r="N79" s="39">
        <f t="shared" si="792"/>
        <v>3.3208788163056432E-2</v>
      </c>
      <c r="O79" s="39">
        <f t="shared" si="792"/>
        <v>3.2978635499775082E-2</v>
      </c>
      <c r="P79" s="39">
        <f t="shared" si="792"/>
        <v>2.4539961241563615E-2</v>
      </c>
      <c r="Q79" s="39">
        <f t="shared" si="792"/>
        <v>3.405921824577321E-2</v>
      </c>
      <c r="R79" s="39">
        <f t="shared" si="792"/>
        <v>4.6735025585637684E-2</v>
      </c>
      <c r="S79" s="39">
        <f t="shared" si="792"/>
        <v>4.9980232658896909E-2</v>
      </c>
      <c r="T79" s="39">
        <f t="shared" si="792"/>
        <v>6.7151557967524006E-2</v>
      </c>
      <c r="U79" s="39">
        <f t="shared" si="792"/>
        <v>7.2929316992457138E-2</v>
      </c>
      <c r="V79" s="39">
        <f t="shared" si="792"/>
        <v>-9.744878945406997E-2</v>
      </c>
      <c r="W79" s="39">
        <f t="shared" si="792"/>
        <v>-1.3485449200312979E-4</v>
      </c>
      <c r="X79" s="39">
        <f t="shared" si="792"/>
        <v>0.14675734727508924</v>
      </c>
      <c r="Y79" s="39">
        <f t="shared" si="792"/>
        <v>0.16390386170253721</v>
      </c>
      <c r="Z79" s="39">
        <f t="shared" si="792"/>
        <v>0.17809452458048899</v>
      </c>
      <c r="AA79" s="39">
        <f t="shared" ref="AA79" si="793">+AA58/AA153</f>
        <v>0.17274091764172211</v>
      </c>
      <c r="AB79" s="40">
        <f t="shared" si="792"/>
        <v>0.16981891672628985</v>
      </c>
      <c r="AC79" s="40">
        <f t="shared" si="792"/>
        <v>0.17626525010042365</v>
      </c>
      <c r="AD79" s="40">
        <f t="shared" si="792"/>
        <v>0.1679373786833388</v>
      </c>
      <c r="AE79" s="40">
        <f t="shared" si="792"/>
        <v>0.15912548511678334</v>
      </c>
      <c r="AF79" s="39"/>
      <c r="AG79" s="39"/>
      <c r="AH79" s="39"/>
      <c r="AI79" s="39"/>
      <c r="AJ79" s="39"/>
      <c r="AK79" s="39"/>
      <c r="AL79" s="39">
        <f t="shared" ref="AL79:BQ79" si="794">+SUM(AI58:AL58)/AL153</f>
        <v>3.1556439514787836E-2</v>
      </c>
      <c r="AM79" s="39">
        <f t="shared" si="794"/>
        <v>3.2053585526136678E-2</v>
      </c>
      <c r="AN79" s="39">
        <f t="shared" si="794"/>
        <v>3.9281279998900916E-2</v>
      </c>
      <c r="AO79" s="39">
        <f t="shared" si="794"/>
        <v>4.6633348632430661E-2</v>
      </c>
      <c r="AP79" s="39">
        <f t="shared" si="794"/>
        <v>3.7996509229385918E-2</v>
      </c>
      <c r="AQ79" s="39">
        <f t="shared" si="794"/>
        <v>3.4755105482155289E-2</v>
      </c>
      <c r="AR79" s="39">
        <f t="shared" si="794"/>
        <v>3.5602394885955777E-2</v>
      </c>
      <c r="AS79" s="39">
        <f t="shared" si="794"/>
        <v>3.4560798557194898E-2</v>
      </c>
      <c r="AT79" s="39">
        <f t="shared" si="794"/>
        <v>2.5972470155816395E-2</v>
      </c>
      <c r="AU79" s="39">
        <f t="shared" si="794"/>
        <v>2.8750212949979707E-2</v>
      </c>
      <c r="AV79" s="39">
        <f t="shared" si="794"/>
        <v>4.7538125047672943E-2</v>
      </c>
      <c r="AW79" s="39">
        <f t="shared" si="794"/>
        <v>5.0386856095195637E-2</v>
      </c>
      <c r="AX79" s="39">
        <f t="shared" si="794"/>
        <v>4.3469801544227589E-2</v>
      </c>
      <c r="AY79" s="39">
        <f t="shared" si="794"/>
        <v>4.2767159741566953E-2</v>
      </c>
      <c r="AZ79" s="39">
        <f t="shared" si="794"/>
        <v>7.626425541642326E-2</v>
      </c>
      <c r="BA79" s="39">
        <f t="shared" si="794"/>
        <v>7.9142349531522924E-2</v>
      </c>
      <c r="BB79" s="39">
        <f t="shared" si="794"/>
        <v>5.1166564690864856E-2</v>
      </c>
      <c r="BC79" s="39">
        <f t="shared" si="794"/>
        <v>5.1161119271615603E-2</v>
      </c>
      <c r="BD79" s="39">
        <f t="shared" si="794"/>
        <v>4.3278621832551087E-2</v>
      </c>
      <c r="BE79" s="39">
        <f t="shared" si="794"/>
        <v>4.3833761416575266E-2</v>
      </c>
      <c r="BF79" s="39">
        <f t="shared" si="794"/>
        <v>5.0619112262947859E-2</v>
      </c>
      <c r="BG79" s="39">
        <f t="shared" si="794"/>
        <v>5.2289558235129908E-2</v>
      </c>
      <c r="BH79" s="39">
        <f t="shared" si="794"/>
        <v>5.6486596941525635E-2</v>
      </c>
      <c r="BI79" s="39">
        <f t="shared" si="794"/>
        <v>6.1373289632238558E-2</v>
      </c>
      <c r="BJ79" s="39">
        <f t="shared" si="794"/>
        <v>7.3042587315494248E-2</v>
      </c>
      <c r="BK79" s="39">
        <f t="shared" si="794"/>
        <v>7.8928617131423087E-2</v>
      </c>
      <c r="BL79" s="39">
        <f t="shared" si="794"/>
        <v>9.2102612844544865E-2</v>
      </c>
      <c r="BM79" s="39">
        <f t="shared" si="794"/>
        <v>0.10032495208062346</v>
      </c>
      <c r="BN79" s="39">
        <f t="shared" si="794"/>
        <v>7.5978990417817693E-2</v>
      </c>
      <c r="BO79" s="39">
        <f t="shared" si="794"/>
        <v>1.7393157121550266E-2</v>
      </c>
      <c r="BP79" s="39">
        <f t="shared" si="794"/>
        <v>-2.6973551325563051E-2</v>
      </c>
      <c r="BQ79" s="39">
        <f t="shared" si="794"/>
        <v>-9.1672526601209003E-2</v>
      </c>
      <c r="BR79" s="39">
        <f t="shared" ref="BR79:CW79" si="795">+SUM(BO58:BR58)/BR153</f>
        <v>-9.7448789454069984E-2</v>
      </c>
      <c r="BS79" s="39">
        <f t="shared" si="795"/>
        <v>-8.5961790977559738E-2</v>
      </c>
      <c r="BT79" s="39">
        <f t="shared" si="795"/>
        <v>-5.4454703576030147E-2</v>
      </c>
      <c r="BU79" s="39">
        <f t="shared" si="795"/>
        <v>-1.1404946717865417E-2</v>
      </c>
      <c r="BV79" s="39">
        <f t="shared" si="795"/>
        <v>-1.348544920031239E-4</v>
      </c>
      <c r="BW79" s="39">
        <f t="shared" si="795"/>
        <v>5.3553134687112307E-2</v>
      </c>
      <c r="BX79" s="39">
        <f t="shared" si="795"/>
        <v>8.6990352422393571E-2</v>
      </c>
      <c r="BY79" s="39">
        <f t="shared" si="795"/>
        <v>0.11364953583604788</v>
      </c>
      <c r="BZ79" s="39">
        <f t="shared" si="795"/>
        <v>0.14677108889666407</v>
      </c>
      <c r="CA79" s="39">
        <f t="shared" si="795"/>
        <v>0.14606594201027598</v>
      </c>
      <c r="CB79" s="39">
        <f t="shared" si="795"/>
        <v>0.15825249738040792</v>
      </c>
      <c r="CC79" s="39">
        <f t="shared" si="795"/>
        <v>0.16366968285751324</v>
      </c>
      <c r="CD79" s="39">
        <f t="shared" si="795"/>
        <v>0.16390386170253726</v>
      </c>
      <c r="CE79" s="39">
        <f t="shared" si="795"/>
        <v>0.16300872660066804</v>
      </c>
      <c r="CF79" s="39">
        <f t="shared" si="795"/>
        <v>0.16087317338425777</v>
      </c>
      <c r="CG79" s="39">
        <f t="shared" si="795"/>
        <v>0.17039116459865603</v>
      </c>
      <c r="CH79" s="39">
        <f t="shared" si="795"/>
        <v>0.17809452458048891</v>
      </c>
      <c r="CI79" s="39">
        <f t="shared" si="795"/>
        <v>0.18181944672048778</v>
      </c>
      <c r="CJ79" s="39">
        <f t="shared" si="795"/>
        <v>0.18224016053406111</v>
      </c>
      <c r="CK79" s="39">
        <f t="shared" si="795"/>
        <v>0.17749240904167482</v>
      </c>
      <c r="CL79" s="39">
        <f t="shared" si="795"/>
        <v>0.17274091764172211</v>
      </c>
      <c r="CM79" s="40">
        <f t="shared" si="795"/>
        <v>0.18342391760064244</v>
      </c>
      <c r="CN79" s="40">
        <f t="shared" si="795"/>
        <v>0.19568886098459168</v>
      </c>
      <c r="CO79" s="40">
        <f t="shared" si="795"/>
        <v>0.17960741456141754</v>
      </c>
      <c r="CP79" s="40">
        <f t="shared" si="795"/>
        <v>0.16981891672628985</v>
      </c>
      <c r="CQ79" s="40">
        <f t="shared" si="795"/>
        <v>0.17165457398318301</v>
      </c>
      <c r="CR79" s="40">
        <f t="shared" si="795"/>
        <v>0.17313409758276319</v>
      </c>
      <c r="CS79" s="40">
        <f t="shared" si="795"/>
        <v>0.17323335171716431</v>
      </c>
      <c r="CT79" s="40">
        <f t="shared" si="795"/>
        <v>0.17626525010042376</v>
      </c>
      <c r="CU79" s="40">
        <f t="shared" si="795"/>
        <v>0.17502616895456391</v>
      </c>
      <c r="CV79" s="40">
        <f t="shared" si="795"/>
        <v>0.17323043868628349</v>
      </c>
      <c r="CW79" s="40">
        <f t="shared" si="795"/>
        <v>0.17081407454576081</v>
      </c>
      <c r="CX79" s="40">
        <f t="shared" ref="CX79:DB79" si="796">+SUM(CU58:CX58)/CX153</f>
        <v>0.16793737868333888</v>
      </c>
      <c r="CY79" s="40">
        <f t="shared" si="796"/>
        <v>0.16590054154518688</v>
      </c>
      <c r="CZ79" s="40">
        <f t="shared" si="796"/>
        <v>0.16369026541259701</v>
      </c>
      <c r="DA79" s="40">
        <f t="shared" si="796"/>
        <v>0.16139162972023016</v>
      </c>
      <c r="DB79" s="40">
        <f t="shared" si="796"/>
        <v>0.15912548511678332</v>
      </c>
      <c r="DE79" s="122"/>
      <c r="DF79" s="38">
        <v>0.18452033483252897</v>
      </c>
    </row>
    <row r="80" spans="1:110" s="1" customFormat="1" x14ac:dyDescent="0.2">
      <c r="A80" s="150" t="s">
        <v>488</v>
      </c>
      <c r="AB80" s="20"/>
      <c r="AC80" s="20"/>
      <c r="AD80" s="20"/>
      <c r="AE80" s="20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E80" s="119"/>
    </row>
    <row r="81" spans="1:110" s="8" customFormat="1" x14ac:dyDescent="0.2">
      <c r="A81" s="12" t="s">
        <v>26</v>
      </c>
      <c r="AB81" s="58"/>
      <c r="AC81" s="58"/>
      <c r="AD81" s="58"/>
      <c r="AE81" s="58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4"/>
      <c r="CX81" s="54"/>
      <c r="CY81" s="54"/>
      <c r="CZ81" s="54"/>
      <c r="DA81" s="54"/>
      <c r="DB81" s="54"/>
      <c r="DE81" s="132"/>
    </row>
    <row r="82" spans="1:110" s="9" customFormat="1" x14ac:dyDescent="0.2">
      <c r="A82" s="9" t="s">
        <v>453</v>
      </c>
      <c r="N82" s="9">
        <f>N34-SUM(AI34:AL34)</f>
        <v>515.92000000000007</v>
      </c>
      <c r="O82" s="9">
        <f>O34-SUM(AM34:AP34)</f>
        <v>0</v>
      </c>
      <c r="P82" s="9">
        <f>P34-SUM(AQ34:AT34)</f>
        <v>0</v>
      </c>
      <c r="Q82" s="9">
        <f>Q34-SUM(AU34:AX34)</f>
        <v>-294.91000000000031</v>
      </c>
      <c r="R82" s="9">
        <f>R34-SUM(AY34:BB34)</f>
        <v>2.3600000000001273</v>
      </c>
      <c r="S82" s="9">
        <f>S34-SUM(BC34:BF34)</f>
        <v>0</v>
      </c>
      <c r="T82" s="9">
        <f>T34-SUM(BG34:BJ34)</f>
        <v>0</v>
      </c>
      <c r="U82" s="9">
        <f>U34-SUM(BK34:BN34)</f>
        <v>0</v>
      </c>
      <c r="V82" s="9">
        <f>V34-SUM(BO34:BR34)</f>
        <v>0</v>
      </c>
      <c r="W82" s="9">
        <f>W34-SUM(BS34:BV34)</f>
        <v>0</v>
      </c>
      <c r="X82" s="9">
        <f>X34-SUM(BW34:BZ34)</f>
        <v>0</v>
      </c>
      <c r="Y82" s="9">
        <f>Y34-SUM(CA34:CD34)</f>
        <v>0</v>
      </c>
      <c r="Z82" s="9">
        <f>Z34-SUM(CE34:CH34)</f>
        <v>0</v>
      </c>
      <c r="AA82" s="9">
        <f>AA34-SUM(CF34:CI34)</f>
        <v>863.82999999999993</v>
      </c>
      <c r="AB82" s="15">
        <f>AB34-SUM(CM34:CP34)</f>
        <v>0</v>
      </c>
      <c r="AC82" s="15">
        <f>AC34-SUM(CQ34:CT34)</f>
        <v>0</v>
      </c>
      <c r="AD82" s="15">
        <f>AD34-SUM(CU34:CX34)</f>
        <v>0</v>
      </c>
      <c r="AE82" s="15">
        <f>AE34-SUM(CY34:DB34)</f>
        <v>0</v>
      </c>
      <c r="CM82" s="59"/>
      <c r="CN82" s="59"/>
      <c r="CO82" s="59"/>
      <c r="CP82" s="59"/>
      <c r="CQ82" s="59"/>
      <c r="CR82" s="59"/>
      <c r="CS82" s="59"/>
      <c r="CT82" s="59"/>
      <c r="CU82" s="59"/>
      <c r="CV82" s="59"/>
      <c r="CW82" s="59"/>
      <c r="CX82" s="59"/>
      <c r="CY82" s="59"/>
      <c r="CZ82" s="59"/>
      <c r="DA82" s="59"/>
      <c r="DB82" s="59"/>
      <c r="DE82" s="133"/>
      <c r="DF82" s="9">
        <v>0</v>
      </c>
    </row>
    <row r="83" spans="1:110" s="9" customFormat="1" x14ac:dyDescent="0.2">
      <c r="A83" s="9" t="s">
        <v>454</v>
      </c>
      <c r="N83" s="9">
        <f>N40-SUM(AI40:AL40)</f>
        <v>457.58999999999969</v>
      </c>
      <c r="O83" s="9">
        <f>O40-SUM(AM40:AP40)</f>
        <v>0</v>
      </c>
      <c r="P83" s="9">
        <f>P40-SUM(AQ40:AT40)</f>
        <v>0</v>
      </c>
      <c r="Q83" s="9">
        <f>Q40-SUM(AU40:AX40)</f>
        <v>-225.80999999999949</v>
      </c>
      <c r="R83" s="9">
        <f>R40-SUM(AY40:BB40)</f>
        <v>2.3600000000001273</v>
      </c>
      <c r="S83" s="9">
        <f>S40-SUM(BC40:BF40)</f>
        <v>0</v>
      </c>
      <c r="T83" s="9">
        <f>T40-SUM(BG40:BJ40)</f>
        <v>0</v>
      </c>
      <c r="U83" s="9">
        <f>U40-SUM(BK40:BN40)</f>
        <v>0</v>
      </c>
      <c r="V83" s="9">
        <f>V40-SUM(BO40:BR40)</f>
        <v>0</v>
      </c>
      <c r="W83" s="9">
        <f>W40-SUM(BS40:BV40)</f>
        <v>0</v>
      </c>
      <c r="X83" s="9">
        <f>X40-SUM(BW40:BZ40)</f>
        <v>0</v>
      </c>
      <c r="Y83" s="9">
        <f>Y40-SUM(CA40:CD40)</f>
        <v>0</v>
      </c>
      <c r="Z83" s="9">
        <f>Z40-SUM(CE40:CH40)</f>
        <v>0</v>
      </c>
      <c r="AA83" s="9">
        <f>AA40-SUM(CF40:CI40)</f>
        <v>780.53999999999905</v>
      </c>
      <c r="AB83" s="15">
        <f>AB40-SUM(CM40:CP40)</f>
        <v>0</v>
      </c>
      <c r="AC83" s="15">
        <f>AC40-SUM(CQ40:CT40)</f>
        <v>0</v>
      </c>
      <c r="AD83" s="15">
        <f>AD40-SUM(CU40:CX40)</f>
        <v>0</v>
      </c>
      <c r="AE83" s="15">
        <f>AE40-SUM(CY40:DB40)</f>
        <v>0</v>
      </c>
      <c r="CM83" s="59"/>
      <c r="CN83" s="59"/>
      <c r="CO83" s="59"/>
      <c r="CP83" s="59"/>
      <c r="CQ83" s="59"/>
      <c r="CR83" s="59"/>
      <c r="CS83" s="59"/>
      <c r="CT83" s="59"/>
      <c r="CU83" s="59"/>
      <c r="CV83" s="59"/>
      <c r="CW83" s="59"/>
      <c r="CX83" s="59"/>
      <c r="CY83" s="59"/>
      <c r="CZ83" s="59"/>
      <c r="DA83" s="59"/>
      <c r="DB83" s="59"/>
      <c r="DE83" s="133"/>
      <c r="DF83" s="9">
        <v>0</v>
      </c>
    </row>
    <row r="84" spans="1:110" s="9" customFormat="1" x14ac:dyDescent="0.2">
      <c r="A84" s="9" t="s">
        <v>455</v>
      </c>
      <c r="N84" s="9">
        <f>N52-SUM(AI52:AL52)</f>
        <v>58.589999999999861</v>
      </c>
      <c r="O84" s="9">
        <f>O52-SUM(AM52:AP52)</f>
        <v>0</v>
      </c>
      <c r="P84" s="9">
        <f>P52-SUM(AQ52:AT52)</f>
        <v>0</v>
      </c>
      <c r="Q84" s="9">
        <f>Q52-SUM(AU52:AX52)</f>
        <v>-45.89999999999975</v>
      </c>
      <c r="R84" s="9">
        <f>R52-SUM(AY52:BB52)</f>
        <v>0</v>
      </c>
      <c r="S84" s="9">
        <f>S52-SUM(BC52:BF52)</f>
        <v>0</v>
      </c>
      <c r="T84" s="9">
        <f>T52-SUM(BG52:BJ52)</f>
        <v>0</v>
      </c>
      <c r="U84" s="9">
        <f>U52-SUM(BK52:BN52)</f>
        <v>0</v>
      </c>
      <c r="V84" s="9">
        <f>V52-SUM(BO52:BR52)</f>
        <v>0</v>
      </c>
      <c r="W84" s="9">
        <f>W52-SUM(BS52:BV52)</f>
        <v>0</v>
      </c>
      <c r="X84" s="9">
        <f>X52-SUM(BW52:BZ52)</f>
        <v>-0.13000000000033651</v>
      </c>
      <c r="Y84" s="9">
        <f>Y52-SUM(CA52:CD52)</f>
        <v>0</v>
      </c>
      <c r="Z84" s="9">
        <f>Z52-SUM(CE52:CH52)</f>
        <v>0</v>
      </c>
      <c r="AA84" s="9">
        <f>AA52-SUM(CF52:CI52)</f>
        <v>298.88999999999942</v>
      </c>
      <c r="AB84" s="15">
        <f>AB52-SUM(CM52:CP52)</f>
        <v>0</v>
      </c>
      <c r="AC84" s="15">
        <f>AC52-SUM(CQ52:CT52)</f>
        <v>0</v>
      </c>
      <c r="AD84" s="15">
        <f>AD52-SUM(CU52:CX52)</f>
        <v>0</v>
      </c>
      <c r="AE84" s="15">
        <f>AE52-SUM(CY52:DB52)</f>
        <v>0</v>
      </c>
      <c r="CM84" s="59"/>
      <c r="CN84" s="59"/>
      <c r="CO84" s="59"/>
      <c r="CP84" s="59"/>
      <c r="CQ84" s="59"/>
      <c r="CR84" s="59"/>
      <c r="CS84" s="59"/>
      <c r="CT84" s="59"/>
      <c r="CU84" s="59"/>
      <c r="CV84" s="59"/>
      <c r="CW84" s="59"/>
      <c r="CX84" s="59"/>
      <c r="CY84" s="59"/>
      <c r="CZ84" s="59"/>
      <c r="DA84" s="59"/>
      <c r="DB84" s="59"/>
      <c r="DE84" s="133"/>
      <c r="DF84" s="9">
        <v>0</v>
      </c>
    </row>
    <row r="85" spans="1:110" s="9" customFormat="1" x14ac:dyDescent="0.2">
      <c r="A85" s="9" t="s">
        <v>456</v>
      </c>
      <c r="N85" s="9">
        <f>N72-SUM(AI72:AL72)</f>
        <v>-14.850000000000136</v>
      </c>
      <c r="O85" s="9">
        <f>O72-SUM(AM72:AP72)</f>
        <v>0</v>
      </c>
      <c r="P85" s="9">
        <f>P72-SUM(AQ72:AT72)</f>
        <v>0</v>
      </c>
      <c r="Q85" s="9">
        <f>Q72-SUM(AU72:AX72)</f>
        <v>-75.489999999999753</v>
      </c>
      <c r="R85" s="9">
        <f>R72-SUM(AY72:BB72)</f>
        <v>0</v>
      </c>
      <c r="S85" s="9">
        <f>S72-SUM(BC72:BF72)</f>
        <v>0</v>
      </c>
      <c r="T85" s="9">
        <f>T72-SUM(BG72:BJ72)</f>
        <v>0</v>
      </c>
      <c r="U85" s="9">
        <f>U72-SUM(BK72:BN72)</f>
        <v>5.6843418860808015E-13</v>
      </c>
      <c r="V85" s="9">
        <f>V72-SUM(BO72:BR72)</f>
        <v>0</v>
      </c>
      <c r="W85" s="9">
        <f>W65-SUM(BS65:BV65)</f>
        <v>0</v>
      </c>
      <c r="X85" s="9">
        <f>X65-SUM(BW65:BZ65)</f>
        <v>0</v>
      </c>
      <c r="Y85" s="9">
        <f>Y65-SUM(CA65:CD65)</f>
        <v>0</v>
      </c>
      <c r="Z85" s="9">
        <f>Z65-SUM(CE65:CH65)</f>
        <v>0</v>
      </c>
      <c r="AA85" s="9">
        <f>AA65-SUM(CF65:CI65)</f>
        <v>177.97000000000003</v>
      </c>
      <c r="AB85" s="15">
        <f>AB65-SUM(CM65:CP65)</f>
        <v>0</v>
      </c>
      <c r="AC85" s="15">
        <f>AC65-SUM(CQ65:CT65)</f>
        <v>0</v>
      </c>
      <c r="AD85" s="15">
        <f>AD65-SUM(CU65:CX65)</f>
        <v>0</v>
      </c>
      <c r="AE85" s="15">
        <f>AE65-SUM(CY65:DB65)</f>
        <v>0</v>
      </c>
      <c r="CM85" s="59"/>
      <c r="CN85" s="59"/>
      <c r="CO85" s="59"/>
      <c r="CP85" s="59"/>
      <c r="CQ85" s="59"/>
      <c r="CR85" s="59"/>
      <c r="CS85" s="59"/>
      <c r="CT85" s="59"/>
      <c r="CU85" s="59"/>
      <c r="CV85" s="59"/>
      <c r="CW85" s="59"/>
      <c r="CX85" s="59"/>
      <c r="CY85" s="59"/>
      <c r="CZ85" s="59"/>
      <c r="DA85" s="59"/>
      <c r="DB85" s="59"/>
      <c r="DE85" s="133"/>
      <c r="DF85" s="9">
        <v>1.8189894035458565E-12</v>
      </c>
    </row>
    <row r="86" spans="1:110" s="8" customFormat="1" x14ac:dyDescent="0.2">
      <c r="A86" s="149" t="s">
        <v>489</v>
      </c>
      <c r="AB86" s="58"/>
      <c r="AC86" s="58"/>
      <c r="AD86" s="58"/>
      <c r="AE86" s="58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4"/>
      <c r="CY86" s="54"/>
      <c r="CZ86" s="54"/>
      <c r="DA86" s="54"/>
      <c r="DB86" s="54"/>
      <c r="DE86" s="132"/>
    </row>
    <row r="87" spans="1:110" s="3" customFormat="1" x14ac:dyDescent="0.2">
      <c r="A87" s="3" t="s">
        <v>27</v>
      </c>
      <c r="B87" s="3">
        <f>'Annual Raw'!C104</f>
        <v>45.12</v>
      </c>
      <c r="C87" s="3">
        <f>'Annual Raw'!D104</f>
        <v>45.12</v>
      </c>
      <c r="D87" s="3">
        <f>'Annual Raw'!E104</f>
        <v>45.12</v>
      </c>
      <c r="E87" s="3">
        <f t="shared" ref="E87:Y87" si="797">+F87</f>
        <v>142.34</v>
      </c>
      <c r="F87" s="3">
        <f t="shared" si="797"/>
        <v>142.34</v>
      </c>
      <c r="G87" s="3">
        <f t="shared" si="797"/>
        <v>142.34</v>
      </c>
      <c r="H87" s="3">
        <f t="shared" si="797"/>
        <v>142.34</v>
      </c>
      <c r="I87" s="3">
        <f t="shared" si="797"/>
        <v>142.34</v>
      </c>
      <c r="J87" s="3">
        <f t="shared" si="797"/>
        <v>142.34</v>
      </c>
      <c r="K87" s="3">
        <f t="shared" si="797"/>
        <v>142.34</v>
      </c>
      <c r="L87" s="3">
        <f t="shared" si="797"/>
        <v>142.34</v>
      </c>
      <c r="M87" s="3">
        <f t="shared" si="797"/>
        <v>142.34</v>
      </c>
      <c r="N87" s="3">
        <f t="shared" si="797"/>
        <v>142.34</v>
      </c>
      <c r="O87" s="3">
        <f t="shared" si="797"/>
        <v>142.34</v>
      </c>
      <c r="P87" s="3">
        <f t="shared" si="797"/>
        <v>142.34</v>
      </c>
      <c r="Q87" s="3">
        <f t="shared" si="797"/>
        <v>142.34</v>
      </c>
      <c r="R87" s="3">
        <f t="shared" si="797"/>
        <v>142.34</v>
      </c>
      <c r="S87" s="3">
        <f t="shared" si="797"/>
        <v>142.34</v>
      </c>
      <c r="T87" s="3">
        <f t="shared" si="797"/>
        <v>142.34</v>
      </c>
      <c r="U87" s="3">
        <f t="shared" si="797"/>
        <v>142.34</v>
      </c>
      <c r="V87" s="3">
        <f t="shared" si="797"/>
        <v>142.34</v>
      </c>
      <c r="W87" s="3">
        <f t="shared" si="797"/>
        <v>142.34</v>
      </c>
      <c r="X87" s="3">
        <f t="shared" si="797"/>
        <v>142.34</v>
      </c>
      <c r="Y87" s="3">
        <f t="shared" si="797"/>
        <v>142.34</v>
      </c>
      <c r="Z87" s="3">
        <f>+AA87</f>
        <v>142.34</v>
      </c>
      <c r="AA87" s="3">
        <f>+AB87</f>
        <v>142.34</v>
      </c>
      <c r="AB87" s="37">
        <f>CP87</f>
        <v>142.34</v>
      </c>
      <c r="AC87" s="37">
        <f>CT87</f>
        <v>142.34</v>
      </c>
      <c r="AD87" s="37">
        <f>CX87</f>
        <v>142.34</v>
      </c>
      <c r="AE87" s="37">
        <f>DB87</f>
        <v>142.34</v>
      </c>
      <c r="AI87" s="3">
        <f t="shared" ref="AI87:CH87" si="798">+AJ87</f>
        <v>142.34</v>
      </c>
      <c r="AJ87" s="3">
        <f t="shared" si="798"/>
        <v>142.34</v>
      </c>
      <c r="AK87" s="3">
        <f t="shared" si="798"/>
        <v>142.34</v>
      </c>
      <c r="AL87" s="3">
        <f t="shared" si="798"/>
        <v>142.34</v>
      </c>
      <c r="AM87" s="3">
        <f t="shared" si="798"/>
        <v>142.34</v>
      </c>
      <c r="AN87" s="3">
        <f t="shared" si="798"/>
        <v>142.34</v>
      </c>
      <c r="AO87" s="3">
        <f t="shared" si="798"/>
        <v>142.34</v>
      </c>
      <c r="AP87" s="3">
        <f t="shared" si="798"/>
        <v>142.34</v>
      </c>
      <c r="AQ87" s="3">
        <f t="shared" si="798"/>
        <v>142.34</v>
      </c>
      <c r="AR87" s="3">
        <f t="shared" si="798"/>
        <v>142.34</v>
      </c>
      <c r="AS87" s="3">
        <f t="shared" si="798"/>
        <v>142.34</v>
      </c>
      <c r="AT87" s="3">
        <f t="shared" si="798"/>
        <v>142.34</v>
      </c>
      <c r="AU87" s="3">
        <f t="shared" si="798"/>
        <v>142.34</v>
      </c>
      <c r="AV87" s="3">
        <f t="shared" si="798"/>
        <v>142.34</v>
      </c>
      <c r="AW87" s="3">
        <f t="shared" si="798"/>
        <v>142.34</v>
      </c>
      <c r="AX87" s="3">
        <f t="shared" si="798"/>
        <v>142.34</v>
      </c>
      <c r="AY87" s="3">
        <f t="shared" si="798"/>
        <v>142.34</v>
      </c>
      <c r="AZ87" s="3">
        <f t="shared" si="798"/>
        <v>142.34</v>
      </c>
      <c r="BA87" s="3">
        <f t="shared" si="798"/>
        <v>142.34</v>
      </c>
      <c r="BB87" s="3">
        <f t="shared" si="798"/>
        <v>142.34</v>
      </c>
      <c r="BC87" s="3">
        <f t="shared" si="798"/>
        <v>142.34</v>
      </c>
      <c r="BD87" s="3">
        <f t="shared" si="798"/>
        <v>142.34</v>
      </c>
      <c r="BE87" s="3">
        <f t="shared" si="798"/>
        <v>142.34</v>
      </c>
      <c r="BF87" s="3">
        <f t="shared" si="798"/>
        <v>142.34</v>
      </c>
      <c r="BG87" s="3">
        <f t="shared" si="798"/>
        <v>142.34</v>
      </c>
      <c r="BH87" s="3">
        <f t="shared" si="798"/>
        <v>142.34</v>
      </c>
      <c r="BI87" s="3">
        <f t="shared" si="798"/>
        <v>142.34</v>
      </c>
      <c r="BJ87" s="3">
        <f t="shared" si="798"/>
        <v>142.34</v>
      </c>
      <c r="BK87" s="3">
        <f t="shared" si="798"/>
        <v>142.34</v>
      </c>
      <c r="BL87" s="3">
        <f t="shared" si="798"/>
        <v>142.34</v>
      </c>
      <c r="BM87" s="3">
        <f t="shared" si="798"/>
        <v>142.34</v>
      </c>
      <c r="BN87" s="3">
        <f t="shared" si="798"/>
        <v>142.34</v>
      </c>
      <c r="BO87" s="3">
        <f t="shared" si="798"/>
        <v>142.34</v>
      </c>
      <c r="BP87" s="3">
        <f t="shared" si="798"/>
        <v>142.34</v>
      </c>
      <c r="BQ87" s="3">
        <f t="shared" si="798"/>
        <v>142.34</v>
      </c>
      <c r="BR87" s="3">
        <f t="shared" si="798"/>
        <v>142.34</v>
      </c>
      <c r="BS87" s="3">
        <f t="shared" si="798"/>
        <v>142.34</v>
      </c>
      <c r="BT87" s="3">
        <f t="shared" si="798"/>
        <v>142.34</v>
      </c>
      <c r="BU87" s="3">
        <f t="shared" si="798"/>
        <v>142.34</v>
      </c>
      <c r="BV87" s="3">
        <f t="shared" si="798"/>
        <v>142.34</v>
      </c>
      <c r="BW87" s="3">
        <f t="shared" si="798"/>
        <v>142.34</v>
      </c>
      <c r="BX87" s="3">
        <f t="shared" si="798"/>
        <v>142.34</v>
      </c>
      <c r="BY87" s="3">
        <f t="shared" si="798"/>
        <v>142.34</v>
      </c>
      <c r="BZ87" s="3">
        <f t="shared" si="798"/>
        <v>142.34</v>
      </c>
      <c r="CA87" s="3">
        <f t="shared" si="798"/>
        <v>142.34</v>
      </c>
      <c r="CB87" s="3">
        <f t="shared" si="798"/>
        <v>142.34</v>
      </c>
      <c r="CC87" s="3">
        <f t="shared" si="798"/>
        <v>142.34</v>
      </c>
      <c r="CD87" s="3">
        <f t="shared" si="798"/>
        <v>142.34</v>
      </c>
      <c r="CE87" s="3">
        <f t="shared" si="798"/>
        <v>142.34</v>
      </c>
      <c r="CF87" s="3">
        <f t="shared" si="798"/>
        <v>142.34</v>
      </c>
      <c r="CG87" s="3">
        <f t="shared" si="798"/>
        <v>142.34</v>
      </c>
      <c r="CH87" s="3">
        <f t="shared" si="798"/>
        <v>142.34</v>
      </c>
      <c r="CI87" s="3">
        <f>+CJ87</f>
        <v>142.34</v>
      </c>
      <c r="CJ87" s="3">
        <f>'QTR Raw'!BD45</f>
        <v>142.34</v>
      </c>
      <c r="CK87" s="3">
        <f>'QTR Raw'!BE45</f>
        <v>142.34</v>
      </c>
      <c r="CL87" s="3">
        <f>'QTR Raw'!BF45</f>
        <v>142.34</v>
      </c>
      <c r="CM87" s="37">
        <f t="shared" ref="CM87:CM88" si="799">+CL87</f>
        <v>142.34</v>
      </c>
      <c r="CN87" s="37">
        <f t="shared" ref="CN87:CN88" si="800">+CM87</f>
        <v>142.34</v>
      </c>
      <c r="CO87" s="37">
        <f t="shared" ref="CO87:CO88" si="801">+CN87</f>
        <v>142.34</v>
      </c>
      <c r="CP87" s="37">
        <f t="shared" ref="CP87:CP88" si="802">+CO87</f>
        <v>142.34</v>
      </c>
      <c r="CQ87" s="37">
        <f t="shared" ref="CQ87:CQ88" si="803">+CP87</f>
        <v>142.34</v>
      </c>
      <c r="CR87" s="37">
        <f t="shared" ref="CR87:CR88" si="804">+CQ87</f>
        <v>142.34</v>
      </c>
      <c r="CS87" s="37">
        <f t="shared" ref="CS87:CS88" si="805">+CR87</f>
        <v>142.34</v>
      </c>
      <c r="CT87" s="37">
        <f t="shared" ref="CT87:CT88" si="806">+CS87</f>
        <v>142.34</v>
      </c>
      <c r="CU87" s="37">
        <f t="shared" ref="CU87:CU88" si="807">+CT87</f>
        <v>142.34</v>
      </c>
      <c r="CV87" s="37">
        <f t="shared" ref="CV87:CV88" si="808">+CU87</f>
        <v>142.34</v>
      </c>
      <c r="CW87" s="37">
        <f t="shared" ref="CW87:CW88" si="809">+CV87</f>
        <v>142.34</v>
      </c>
      <c r="CX87" s="37">
        <f t="shared" ref="CX87:CX88" si="810">+CW87</f>
        <v>142.34</v>
      </c>
      <c r="CY87" s="37">
        <f t="shared" ref="CY87:CY88" si="811">+CX87</f>
        <v>142.34</v>
      </c>
      <c r="CZ87" s="37">
        <f t="shared" ref="CZ87:CZ88" si="812">+CY87</f>
        <v>142.34</v>
      </c>
      <c r="DA87" s="37">
        <f t="shared" ref="DA87:DA88" si="813">+CZ87</f>
        <v>142.34</v>
      </c>
      <c r="DB87" s="37">
        <f t="shared" ref="DB87:DB88" si="814">+DA87</f>
        <v>142.34</v>
      </c>
      <c r="DE87" s="134"/>
      <c r="DF87" s="3">
        <v>142.34</v>
      </c>
    </row>
    <row r="88" spans="1:110" s="3" customFormat="1" x14ac:dyDescent="0.2">
      <c r="A88" s="3" t="s">
        <v>28</v>
      </c>
      <c r="B88" s="3">
        <f>'Annual Raw'!C105</f>
        <v>10</v>
      </c>
      <c r="C88" s="3">
        <f>'Annual Raw'!D105</f>
        <v>10</v>
      </c>
      <c r="D88" s="3">
        <f>'Annual Raw'!E105</f>
        <v>10</v>
      </c>
      <c r="E88" s="3">
        <f t="shared" ref="E88:Y88" si="815">+F88</f>
        <v>1</v>
      </c>
      <c r="F88" s="3">
        <f t="shared" si="815"/>
        <v>1</v>
      </c>
      <c r="G88" s="3">
        <f t="shared" si="815"/>
        <v>1</v>
      </c>
      <c r="H88" s="3">
        <f t="shared" si="815"/>
        <v>1</v>
      </c>
      <c r="I88" s="3">
        <f t="shared" si="815"/>
        <v>1</v>
      </c>
      <c r="J88" s="3">
        <f t="shared" si="815"/>
        <v>1</v>
      </c>
      <c r="K88" s="3">
        <f t="shared" si="815"/>
        <v>1</v>
      </c>
      <c r="L88" s="3">
        <f t="shared" si="815"/>
        <v>1</v>
      </c>
      <c r="M88" s="3">
        <f t="shared" si="815"/>
        <v>1</v>
      </c>
      <c r="N88" s="3">
        <f t="shared" si="815"/>
        <v>1</v>
      </c>
      <c r="O88" s="3">
        <f t="shared" si="815"/>
        <v>1</v>
      </c>
      <c r="P88" s="3">
        <f t="shared" si="815"/>
        <v>1</v>
      </c>
      <c r="Q88" s="3">
        <f t="shared" si="815"/>
        <v>1</v>
      </c>
      <c r="R88" s="3">
        <f t="shared" si="815"/>
        <v>1</v>
      </c>
      <c r="S88" s="3">
        <f t="shared" si="815"/>
        <v>1</v>
      </c>
      <c r="T88" s="3">
        <f t="shared" si="815"/>
        <v>1</v>
      </c>
      <c r="U88" s="3">
        <f t="shared" si="815"/>
        <v>1</v>
      </c>
      <c r="V88" s="3">
        <f t="shared" si="815"/>
        <v>1</v>
      </c>
      <c r="W88" s="3">
        <f t="shared" si="815"/>
        <v>1</v>
      </c>
      <c r="X88" s="3">
        <f t="shared" si="815"/>
        <v>1</v>
      </c>
      <c r="Y88" s="3">
        <f t="shared" si="815"/>
        <v>1</v>
      </c>
      <c r="Z88" s="3">
        <f>+AA88</f>
        <v>1</v>
      </c>
      <c r="AA88" s="3">
        <f>+AB88</f>
        <v>1</v>
      </c>
      <c r="AB88" s="37">
        <f>CP88</f>
        <v>1</v>
      </c>
      <c r="AC88" s="37">
        <f>CT88</f>
        <v>1</v>
      </c>
      <c r="AD88" s="37">
        <f>CX88</f>
        <v>1</v>
      </c>
      <c r="AE88" s="37">
        <f>DB88</f>
        <v>1</v>
      </c>
      <c r="AI88" s="3">
        <f t="shared" ref="AI88:CH88" si="816">AJ88</f>
        <v>1</v>
      </c>
      <c r="AJ88" s="3">
        <f t="shared" si="816"/>
        <v>1</v>
      </c>
      <c r="AK88" s="3">
        <f t="shared" si="816"/>
        <v>1</v>
      </c>
      <c r="AL88" s="3">
        <f t="shared" si="816"/>
        <v>1</v>
      </c>
      <c r="AM88" s="3">
        <f t="shared" si="816"/>
        <v>1</v>
      </c>
      <c r="AN88" s="3">
        <f t="shared" si="816"/>
        <v>1</v>
      </c>
      <c r="AO88" s="3">
        <f t="shared" si="816"/>
        <v>1</v>
      </c>
      <c r="AP88" s="3">
        <f t="shared" si="816"/>
        <v>1</v>
      </c>
      <c r="AQ88" s="3">
        <f t="shared" si="816"/>
        <v>1</v>
      </c>
      <c r="AR88" s="3">
        <f t="shared" si="816"/>
        <v>1</v>
      </c>
      <c r="AS88" s="3">
        <f t="shared" si="816"/>
        <v>1</v>
      </c>
      <c r="AT88" s="3">
        <f t="shared" si="816"/>
        <v>1</v>
      </c>
      <c r="AU88" s="3">
        <f t="shared" si="816"/>
        <v>1</v>
      </c>
      <c r="AV88" s="3">
        <f t="shared" si="816"/>
        <v>1</v>
      </c>
      <c r="AW88" s="3">
        <f t="shared" si="816"/>
        <v>1</v>
      </c>
      <c r="AX88" s="3">
        <f t="shared" si="816"/>
        <v>1</v>
      </c>
      <c r="AY88" s="3">
        <f t="shared" si="816"/>
        <v>1</v>
      </c>
      <c r="AZ88" s="3">
        <f t="shared" si="816"/>
        <v>1</v>
      </c>
      <c r="BA88" s="3">
        <f t="shared" si="816"/>
        <v>1</v>
      </c>
      <c r="BB88" s="3">
        <f t="shared" si="816"/>
        <v>1</v>
      </c>
      <c r="BC88" s="3">
        <f t="shared" si="816"/>
        <v>1</v>
      </c>
      <c r="BD88" s="3">
        <f t="shared" si="816"/>
        <v>1</v>
      </c>
      <c r="BE88" s="3">
        <f t="shared" si="816"/>
        <v>1</v>
      </c>
      <c r="BF88" s="3">
        <f t="shared" si="816"/>
        <v>1</v>
      </c>
      <c r="BG88" s="3">
        <f t="shared" si="816"/>
        <v>1</v>
      </c>
      <c r="BH88" s="3">
        <f t="shared" si="816"/>
        <v>1</v>
      </c>
      <c r="BI88" s="3">
        <f t="shared" si="816"/>
        <v>1</v>
      </c>
      <c r="BJ88" s="3">
        <f t="shared" si="816"/>
        <v>1</v>
      </c>
      <c r="BK88" s="3">
        <f t="shared" si="816"/>
        <v>1</v>
      </c>
      <c r="BL88" s="3">
        <f t="shared" si="816"/>
        <v>1</v>
      </c>
      <c r="BM88" s="3">
        <f t="shared" si="816"/>
        <v>1</v>
      </c>
      <c r="BN88" s="3">
        <f t="shared" si="816"/>
        <v>1</v>
      </c>
      <c r="BO88" s="3">
        <f t="shared" si="816"/>
        <v>1</v>
      </c>
      <c r="BP88" s="3">
        <f t="shared" si="816"/>
        <v>1</v>
      </c>
      <c r="BQ88" s="3">
        <f t="shared" si="816"/>
        <v>1</v>
      </c>
      <c r="BR88" s="3">
        <f t="shared" si="816"/>
        <v>1</v>
      </c>
      <c r="BS88" s="3">
        <f t="shared" si="816"/>
        <v>1</v>
      </c>
      <c r="BT88" s="3">
        <f t="shared" si="816"/>
        <v>1</v>
      </c>
      <c r="BU88" s="3">
        <f t="shared" si="816"/>
        <v>1</v>
      </c>
      <c r="BV88" s="3">
        <f t="shared" si="816"/>
        <v>1</v>
      </c>
      <c r="BW88" s="3">
        <f t="shared" si="816"/>
        <v>1</v>
      </c>
      <c r="BX88" s="3">
        <f t="shared" si="816"/>
        <v>1</v>
      </c>
      <c r="BY88" s="3">
        <f t="shared" si="816"/>
        <v>1</v>
      </c>
      <c r="BZ88" s="3">
        <f t="shared" si="816"/>
        <v>1</v>
      </c>
      <c r="CA88" s="3">
        <f t="shared" si="816"/>
        <v>1</v>
      </c>
      <c r="CB88" s="3">
        <f t="shared" si="816"/>
        <v>1</v>
      </c>
      <c r="CC88" s="3">
        <f t="shared" si="816"/>
        <v>1</v>
      </c>
      <c r="CD88" s="3">
        <f t="shared" si="816"/>
        <v>1</v>
      </c>
      <c r="CE88" s="3">
        <f t="shared" si="816"/>
        <v>1</v>
      </c>
      <c r="CF88" s="3">
        <f t="shared" si="816"/>
        <v>1</v>
      </c>
      <c r="CG88" s="3">
        <f t="shared" si="816"/>
        <v>1</v>
      </c>
      <c r="CH88" s="3">
        <f t="shared" si="816"/>
        <v>1</v>
      </c>
      <c r="CI88" s="3">
        <f>CJ88</f>
        <v>1</v>
      </c>
      <c r="CJ88" s="3">
        <f>'QTR Raw'!BD46</f>
        <v>1</v>
      </c>
      <c r="CK88" s="3">
        <f>'QTR Raw'!BE46</f>
        <v>1</v>
      </c>
      <c r="CL88" s="3">
        <f>'QTR Raw'!BF46</f>
        <v>1</v>
      </c>
      <c r="CM88" s="37">
        <f t="shared" si="799"/>
        <v>1</v>
      </c>
      <c r="CN88" s="37">
        <f t="shared" si="800"/>
        <v>1</v>
      </c>
      <c r="CO88" s="37">
        <f t="shared" si="801"/>
        <v>1</v>
      </c>
      <c r="CP88" s="37">
        <f t="shared" si="802"/>
        <v>1</v>
      </c>
      <c r="CQ88" s="37">
        <f t="shared" si="803"/>
        <v>1</v>
      </c>
      <c r="CR88" s="37">
        <f t="shared" si="804"/>
        <v>1</v>
      </c>
      <c r="CS88" s="37">
        <f t="shared" si="805"/>
        <v>1</v>
      </c>
      <c r="CT88" s="37">
        <f t="shared" si="806"/>
        <v>1</v>
      </c>
      <c r="CU88" s="37">
        <f t="shared" si="807"/>
        <v>1</v>
      </c>
      <c r="CV88" s="37">
        <f t="shared" si="808"/>
        <v>1</v>
      </c>
      <c r="CW88" s="37">
        <f t="shared" si="809"/>
        <v>1</v>
      </c>
      <c r="CX88" s="37">
        <f t="shared" si="810"/>
        <v>1</v>
      </c>
      <c r="CY88" s="37">
        <f t="shared" si="811"/>
        <v>1</v>
      </c>
      <c r="CZ88" s="37">
        <f t="shared" si="812"/>
        <v>1</v>
      </c>
      <c r="DA88" s="37">
        <f t="shared" si="813"/>
        <v>1</v>
      </c>
      <c r="DB88" s="37">
        <f t="shared" si="814"/>
        <v>1</v>
      </c>
      <c r="DE88" s="134"/>
      <c r="DF88" s="3">
        <v>1</v>
      </c>
    </row>
    <row r="89" spans="1:110" s="3" customFormat="1" x14ac:dyDescent="0.2">
      <c r="A89" s="3" t="s">
        <v>29</v>
      </c>
      <c r="B89" s="3">
        <f>B87/B88</f>
        <v>4.5119999999999996</v>
      </c>
      <c r="C89" s="3">
        <f t="shared" ref="C89:W89" si="817">C87/C88</f>
        <v>4.5119999999999996</v>
      </c>
      <c r="D89" s="3">
        <f t="shared" si="817"/>
        <v>4.5119999999999996</v>
      </c>
      <c r="E89" s="3">
        <f t="shared" si="817"/>
        <v>142.34</v>
      </c>
      <c r="F89" s="3">
        <f t="shared" si="817"/>
        <v>142.34</v>
      </c>
      <c r="G89" s="3">
        <f t="shared" si="817"/>
        <v>142.34</v>
      </c>
      <c r="H89" s="3">
        <f t="shared" si="817"/>
        <v>142.34</v>
      </c>
      <c r="I89" s="3">
        <f t="shared" si="817"/>
        <v>142.34</v>
      </c>
      <c r="J89" s="3">
        <f t="shared" si="817"/>
        <v>142.34</v>
      </c>
      <c r="K89" s="3">
        <f t="shared" si="817"/>
        <v>142.34</v>
      </c>
      <c r="L89" s="3">
        <f t="shared" si="817"/>
        <v>142.34</v>
      </c>
      <c r="M89" s="3">
        <f t="shared" si="817"/>
        <v>142.34</v>
      </c>
      <c r="N89" s="3">
        <f t="shared" si="817"/>
        <v>142.34</v>
      </c>
      <c r="O89" s="3">
        <f t="shared" si="817"/>
        <v>142.34</v>
      </c>
      <c r="P89" s="3">
        <f t="shared" si="817"/>
        <v>142.34</v>
      </c>
      <c r="Q89" s="3">
        <f t="shared" si="817"/>
        <v>142.34</v>
      </c>
      <c r="R89" s="3">
        <f t="shared" si="817"/>
        <v>142.34</v>
      </c>
      <c r="S89" s="3">
        <f t="shared" si="817"/>
        <v>142.34</v>
      </c>
      <c r="T89" s="3">
        <f t="shared" si="817"/>
        <v>142.34</v>
      </c>
      <c r="U89" s="3">
        <f t="shared" si="817"/>
        <v>142.34</v>
      </c>
      <c r="V89" s="3">
        <f>V87/V88</f>
        <v>142.34</v>
      </c>
      <c r="W89" s="3">
        <f t="shared" si="817"/>
        <v>142.34</v>
      </c>
      <c r="X89" s="3">
        <f t="shared" ref="X89:Y89" si="818">X87/X88</f>
        <v>142.34</v>
      </c>
      <c r="Y89" s="3">
        <f t="shared" si="818"/>
        <v>142.34</v>
      </c>
      <c r="Z89" s="3">
        <f t="shared" ref="Z89:AA89" si="819">Z87/Z88</f>
        <v>142.34</v>
      </c>
      <c r="AA89" s="3">
        <f t="shared" si="819"/>
        <v>142.34</v>
      </c>
      <c r="AB89" s="37">
        <f t="shared" ref="AA89:AD89" si="820">AB87/AB88</f>
        <v>142.34</v>
      </c>
      <c r="AC89" s="37">
        <f t="shared" si="820"/>
        <v>142.34</v>
      </c>
      <c r="AD89" s="37">
        <f t="shared" si="820"/>
        <v>142.34</v>
      </c>
      <c r="AE89" s="37">
        <f t="shared" ref="AE89" si="821">AE87/AE88</f>
        <v>142.34</v>
      </c>
      <c r="AI89" s="3">
        <f t="shared" ref="AI89" si="822">AI87/AI88</f>
        <v>142.34</v>
      </c>
      <c r="AJ89" s="3">
        <f t="shared" ref="AJ89" si="823">AJ87/AJ88</f>
        <v>142.34</v>
      </c>
      <c r="AK89" s="3">
        <f t="shared" ref="AK89:AM89" si="824">AK87/AK88</f>
        <v>142.34</v>
      </c>
      <c r="AL89" s="3">
        <f t="shared" si="824"/>
        <v>142.34</v>
      </c>
      <c r="AM89" s="3">
        <f t="shared" si="824"/>
        <v>142.34</v>
      </c>
      <c r="AN89" s="3">
        <f t="shared" ref="AN89:AO89" si="825">AN87/AN88</f>
        <v>142.34</v>
      </c>
      <c r="AO89" s="3">
        <f t="shared" si="825"/>
        <v>142.34</v>
      </c>
      <c r="AP89" s="3">
        <f t="shared" ref="AP89:CD89" si="826">AP87/AP88</f>
        <v>142.34</v>
      </c>
      <c r="AQ89" s="3">
        <f t="shared" si="826"/>
        <v>142.34</v>
      </c>
      <c r="AR89" s="3">
        <f t="shared" si="826"/>
        <v>142.34</v>
      </c>
      <c r="AS89" s="3">
        <f t="shared" si="826"/>
        <v>142.34</v>
      </c>
      <c r="AT89" s="3">
        <f t="shared" si="826"/>
        <v>142.34</v>
      </c>
      <c r="AU89" s="3">
        <f t="shared" si="826"/>
        <v>142.34</v>
      </c>
      <c r="AV89" s="3">
        <f t="shared" si="826"/>
        <v>142.34</v>
      </c>
      <c r="AW89" s="3">
        <f t="shared" si="826"/>
        <v>142.34</v>
      </c>
      <c r="AX89" s="3">
        <f t="shared" si="826"/>
        <v>142.34</v>
      </c>
      <c r="AY89" s="3">
        <f t="shared" si="826"/>
        <v>142.34</v>
      </c>
      <c r="AZ89" s="3">
        <f t="shared" si="826"/>
        <v>142.34</v>
      </c>
      <c r="BA89" s="3">
        <f t="shared" si="826"/>
        <v>142.34</v>
      </c>
      <c r="BB89" s="3">
        <f t="shared" si="826"/>
        <v>142.34</v>
      </c>
      <c r="BC89" s="3">
        <f t="shared" si="826"/>
        <v>142.34</v>
      </c>
      <c r="BD89" s="3">
        <f t="shared" si="826"/>
        <v>142.34</v>
      </c>
      <c r="BE89" s="3">
        <f t="shared" si="826"/>
        <v>142.34</v>
      </c>
      <c r="BF89" s="3">
        <f t="shared" si="826"/>
        <v>142.34</v>
      </c>
      <c r="BG89" s="3">
        <f t="shared" si="826"/>
        <v>142.34</v>
      </c>
      <c r="BH89" s="3">
        <f t="shared" si="826"/>
        <v>142.34</v>
      </c>
      <c r="BI89" s="3">
        <f t="shared" si="826"/>
        <v>142.34</v>
      </c>
      <c r="BJ89" s="3">
        <f t="shared" si="826"/>
        <v>142.34</v>
      </c>
      <c r="BK89" s="3">
        <f t="shared" si="826"/>
        <v>142.34</v>
      </c>
      <c r="BL89" s="3">
        <f t="shared" si="826"/>
        <v>142.34</v>
      </c>
      <c r="BM89" s="3">
        <f t="shared" si="826"/>
        <v>142.34</v>
      </c>
      <c r="BN89" s="3">
        <f t="shared" si="826"/>
        <v>142.34</v>
      </c>
      <c r="BO89" s="3">
        <f t="shared" si="826"/>
        <v>142.34</v>
      </c>
      <c r="BP89" s="3">
        <f t="shared" si="826"/>
        <v>142.34</v>
      </c>
      <c r="BQ89" s="3">
        <f t="shared" si="826"/>
        <v>142.34</v>
      </c>
      <c r="BR89" s="3">
        <f t="shared" si="826"/>
        <v>142.34</v>
      </c>
      <c r="BS89" s="3">
        <f t="shared" si="826"/>
        <v>142.34</v>
      </c>
      <c r="BT89" s="3">
        <f t="shared" si="826"/>
        <v>142.34</v>
      </c>
      <c r="BU89" s="3">
        <f t="shared" si="826"/>
        <v>142.34</v>
      </c>
      <c r="BV89" s="3">
        <f t="shared" si="826"/>
        <v>142.34</v>
      </c>
      <c r="BW89" s="3">
        <f t="shared" si="826"/>
        <v>142.34</v>
      </c>
      <c r="BX89" s="3">
        <f t="shared" si="826"/>
        <v>142.34</v>
      </c>
      <c r="BY89" s="3">
        <f t="shared" si="826"/>
        <v>142.34</v>
      </c>
      <c r="BZ89" s="3">
        <f t="shared" si="826"/>
        <v>142.34</v>
      </c>
      <c r="CA89" s="3">
        <f t="shared" si="826"/>
        <v>142.34</v>
      </c>
      <c r="CB89" s="3">
        <f t="shared" si="826"/>
        <v>142.34</v>
      </c>
      <c r="CC89" s="3">
        <f t="shared" si="826"/>
        <v>142.34</v>
      </c>
      <c r="CD89" s="3">
        <f t="shared" si="826"/>
        <v>142.34</v>
      </c>
      <c r="CE89" s="3">
        <f t="shared" ref="CE89:CF89" si="827">CE87/CE88</f>
        <v>142.34</v>
      </c>
      <c r="CF89" s="3">
        <f t="shared" si="827"/>
        <v>142.34</v>
      </c>
      <c r="CG89" s="3">
        <f t="shared" ref="CG89:CH89" si="828">CG87/CG88</f>
        <v>142.34</v>
      </c>
      <c r="CH89" s="3">
        <f t="shared" si="828"/>
        <v>142.34</v>
      </c>
      <c r="CI89" s="3">
        <f t="shared" ref="CI89:CJ89" si="829">CI87/CI88</f>
        <v>142.34</v>
      </c>
      <c r="CJ89" s="3">
        <f t="shared" si="829"/>
        <v>142.34</v>
      </c>
      <c r="CK89" s="3">
        <f t="shared" ref="CK89:CL89" si="830">CK87/CK88</f>
        <v>142.34</v>
      </c>
      <c r="CL89" s="3">
        <f t="shared" si="830"/>
        <v>142.34</v>
      </c>
      <c r="CM89" s="37">
        <f t="shared" ref="CM89:DB89" si="831">CM87/CM88</f>
        <v>142.34</v>
      </c>
      <c r="CN89" s="37">
        <f t="shared" si="831"/>
        <v>142.34</v>
      </c>
      <c r="CO89" s="37">
        <f t="shared" si="831"/>
        <v>142.34</v>
      </c>
      <c r="CP89" s="37">
        <f t="shared" si="831"/>
        <v>142.34</v>
      </c>
      <c r="CQ89" s="37">
        <f t="shared" si="831"/>
        <v>142.34</v>
      </c>
      <c r="CR89" s="37">
        <f t="shared" si="831"/>
        <v>142.34</v>
      </c>
      <c r="CS89" s="37">
        <f t="shared" si="831"/>
        <v>142.34</v>
      </c>
      <c r="CT89" s="37">
        <f t="shared" si="831"/>
        <v>142.34</v>
      </c>
      <c r="CU89" s="37">
        <f t="shared" si="831"/>
        <v>142.34</v>
      </c>
      <c r="CV89" s="37">
        <f t="shared" si="831"/>
        <v>142.34</v>
      </c>
      <c r="CW89" s="37">
        <f t="shared" si="831"/>
        <v>142.34</v>
      </c>
      <c r="CX89" s="37">
        <f t="shared" si="831"/>
        <v>142.34</v>
      </c>
      <c r="CY89" s="37">
        <f t="shared" si="831"/>
        <v>142.34</v>
      </c>
      <c r="CZ89" s="37">
        <f t="shared" si="831"/>
        <v>142.34</v>
      </c>
      <c r="DA89" s="37">
        <f t="shared" si="831"/>
        <v>142.34</v>
      </c>
      <c r="DB89" s="37">
        <f t="shared" si="831"/>
        <v>142.34</v>
      </c>
      <c r="DE89" s="134"/>
      <c r="DF89" s="3">
        <v>142.34</v>
      </c>
    </row>
    <row r="90" spans="1:110" s="53" customFormat="1" x14ac:dyDescent="0.2">
      <c r="A90" s="53" t="s">
        <v>30</v>
      </c>
      <c r="B90" s="53">
        <f t="shared" ref="B90:AE90" si="832">(B72-B71)/B89</f>
        <v>25.884308510638313</v>
      </c>
      <c r="C90" s="53">
        <f t="shared" si="832"/>
        <v>-1.5359042553191609</v>
      </c>
      <c r="D90" s="53">
        <f t="shared" si="832"/>
        <v>4.3085106382978564</v>
      </c>
      <c r="E90" s="53">
        <f t="shared" si="832"/>
        <v>0.33792328228186008</v>
      </c>
      <c r="F90" s="53">
        <f t="shared" si="832"/>
        <v>0.90150344246171032</v>
      </c>
      <c r="G90" s="53">
        <f t="shared" si="832"/>
        <v>1.7475059716172521</v>
      </c>
      <c r="H90" s="53">
        <f t="shared" si="832"/>
        <v>2.6015877476464788</v>
      </c>
      <c r="I90" s="53">
        <f t="shared" si="832"/>
        <v>2.874385274694395</v>
      </c>
      <c r="J90" s="53">
        <f t="shared" si="832"/>
        <v>0.120977940143319</v>
      </c>
      <c r="K90" s="53">
        <f t="shared" si="832"/>
        <v>-1.3222565687789789</v>
      </c>
      <c r="L90" s="53">
        <f t="shared" si="832"/>
        <v>-0.69685260643529778</v>
      </c>
      <c r="M90" s="53">
        <f t="shared" si="832"/>
        <v>3.2176478853449528E-2</v>
      </c>
      <c r="N90" s="53">
        <f t="shared" si="832"/>
        <v>1.334832092172854E-3</v>
      </c>
      <c r="O90" s="53">
        <f t="shared" si="832"/>
        <v>6.9551777434320831E-3</v>
      </c>
      <c r="P90" s="53">
        <f t="shared" si="832"/>
        <v>-0.17697063369396976</v>
      </c>
      <c r="Q90" s="53">
        <f t="shared" si="832"/>
        <v>-1.0425741183082735</v>
      </c>
      <c r="R90" s="53">
        <f t="shared" si="832"/>
        <v>-0.36827314879865219</v>
      </c>
      <c r="S90" s="53">
        <f t="shared" si="832"/>
        <v>0.55093438246452098</v>
      </c>
      <c r="T90" s="53">
        <f t="shared" si="832"/>
        <v>1.9688070816355174</v>
      </c>
      <c r="U90" s="53">
        <f t="shared" si="832"/>
        <v>2.2022621891246357</v>
      </c>
      <c r="V90" s="53">
        <f t="shared" si="832"/>
        <v>-6.1828017423071495</v>
      </c>
      <c r="W90" s="53">
        <f t="shared" si="832"/>
        <v>-1.8500772797527054</v>
      </c>
      <c r="X90" s="53">
        <f t="shared" si="832"/>
        <v>7.0205142616270857</v>
      </c>
      <c r="Y90" s="53">
        <f t="shared" si="832"/>
        <v>8.8455107489110532</v>
      </c>
      <c r="Z90" s="53">
        <f t="shared" si="832"/>
        <v>11.260292257973871</v>
      </c>
      <c r="AA90" s="53">
        <f t="shared" ref="AA90" si="833">(AA72-AA71)/AA89</f>
        <v>12.708093297737808</v>
      </c>
      <c r="AB90" s="54">
        <f t="shared" si="832"/>
        <v>14.774940884567821</v>
      </c>
      <c r="AC90" s="54">
        <f t="shared" si="832"/>
        <v>18.152629908211139</v>
      </c>
      <c r="AD90" s="54">
        <f t="shared" si="832"/>
        <v>20.117790038382687</v>
      </c>
      <c r="AE90" s="54">
        <f t="shared" si="832"/>
        <v>21.97405308169207</v>
      </c>
      <c r="AI90" s="53">
        <f t="shared" ref="AI90:BN90" si="834">(AI72-AI71)/AI89</f>
        <v>-0.17078825347758886</v>
      </c>
      <c r="AJ90" s="53">
        <f t="shared" si="834"/>
        <v>-0.47646480258535884</v>
      </c>
      <c r="AK90" s="53">
        <f t="shared" si="834"/>
        <v>0.46452156807643613</v>
      </c>
      <c r="AL90" s="53">
        <f t="shared" si="834"/>
        <v>0.28621610229029132</v>
      </c>
      <c r="AM90" s="53">
        <f t="shared" si="834"/>
        <v>-7.7279752704792162E-2</v>
      </c>
      <c r="AN90" s="53">
        <f t="shared" si="834"/>
        <v>-0.41709990164395111</v>
      </c>
      <c r="AO90" s="53">
        <f t="shared" si="834"/>
        <v>0.48229591119853793</v>
      </c>
      <c r="AP90" s="53">
        <f t="shared" si="834"/>
        <v>1.9038920893635215E-2</v>
      </c>
      <c r="AQ90" s="53">
        <f t="shared" si="834"/>
        <v>-0.2018406632007875</v>
      </c>
      <c r="AR90" s="53">
        <f t="shared" si="834"/>
        <v>-0.63797948573837238</v>
      </c>
      <c r="AS90" s="53">
        <f t="shared" si="834"/>
        <v>0.55578193058873182</v>
      </c>
      <c r="AT90" s="53">
        <f t="shared" si="834"/>
        <v>0.10706758465645644</v>
      </c>
      <c r="AU90" s="53">
        <f t="shared" si="834"/>
        <v>-9.8356048897007262E-2</v>
      </c>
      <c r="AV90" s="53">
        <f t="shared" si="834"/>
        <v>-0.78762118870310527</v>
      </c>
      <c r="AW90" s="53">
        <f t="shared" si="834"/>
        <v>0.17844597442742802</v>
      </c>
      <c r="AX90" s="53">
        <f t="shared" si="834"/>
        <v>-3.7024026977659094E-2</v>
      </c>
      <c r="AY90" s="53">
        <f t="shared" si="834"/>
        <v>-0.39862301531544247</v>
      </c>
      <c r="AZ90" s="53">
        <f t="shared" si="834"/>
        <v>-0.5689194885485459</v>
      </c>
      <c r="BA90" s="53">
        <f t="shared" si="834"/>
        <v>0.59090909090909072</v>
      </c>
      <c r="BB90" s="53">
        <f t="shared" si="834"/>
        <v>8.3602641562452937E-3</v>
      </c>
      <c r="BC90" s="53">
        <f t="shared" si="834"/>
        <v>-0.2853730504426028</v>
      </c>
      <c r="BD90" s="53">
        <f t="shared" si="834"/>
        <v>-0.42222846705072331</v>
      </c>
      <c r="BE90" s="53">
        <f t="shared" si="834"/>
        <v>0.62617675987073196</v>
      </c>
      <c r="BF90" s="53">
        <f t="shared" si="834"/>
        <v>0.63235914008711502</v>
      </c>
      <c r="BG90" s="53">
        <f t="shared" si="834"/>
        <v>0.13467753266825969</v>
      </c>
      <c r="BH90" s="53">
        <f t="shared" si="834"/>
        <v>0.28143880848672131</v>
      </c>
      <c r="BI90" s="53">
        <f t="shared" si="834"/>
        <v>0.84853168469860951</v>
      </c>
      <c r="BJ90" s="53">
        <f t="shared" si="834"/>
        <v>0.70415905578192939</v>
      </c>
      <c r="BK90" s="53">
        <f t="shared" si="834"/>
        <v>2.3675706055922053E-2</v>
      </c>
      <c r="BL90" s="53">
        <f t="shared" si="834"/>
        <v>0.50273991850498823</v>
      </c>
      <c r="BM90" s="53">
        <f t="shared" si="834"/>
        <v>1.4355065336518196</v>
      </c>
      <c r="BN90" s="53">
        <f t="shared" si="834"/>
        <v>0.24034003091190154</v>
      </c>
      <c r="BO90" s="53">
        <f t="shared" ref="BO90:CT90" si="835">(BO72-BO71)/BO89</f>
        <v>-2.5712378811296892</v>
      </c>
      <c r="BP90" s="53">
        <f t="shared" si="835"/>
        <v>-1.7598707320500211</v>
      </c>
      <c r="BQ90" s="53">
        <f t="shared" si="835"/>
        <v>-1.0321764788534489</v>
      </c>
      <c r="BR90" s="53">
        <f t="shared" si="835"/>
        <v>-0.81951665027399168</v>
      </c>
      <c r="BS90" s="53">
        <f t="shared" si="835"/>
        <v>-2.0912603625122941</v>
      </c>
      <c r="BT90" s="53">
        <f t="shared" si="835"/>
        <v>-0.77104116903189523</v>
      </c>
      <c r="BU90" s="53">
        <f t="shared" si="835"/>
        <v>0.60594351552620462</v>
      </c>
      <c r="BV90" s="53">
        <f t="shared" si="835"/>
        <v>0.4062807362652805</v>
      </c>
      <c r="BW90" s="53">
        <f t="shared" si="835"/>
        <v>1.2588169172404098</v>
      </c>
      <c r="BX90" s="53">
        <f t="shared" si="835"/>
        <v>0.76731769003793671</v>
      </c>
      <c r="BY90" s="53">
        <f t="shared" si="835"/>
        <v>2.6880005620345648</v>
      </c>
      <c r="BZ90" s="53">
        <f t="shared" si="835"/>
        <v>2.3063790923141769</v>
      </c>
      <c r="CA90" s="53">
        <f t="shared" si="835"/>
        <v>1.5627371083321613</v>
      </c>
      <c r="CB90" s="53">
        <f t="shared" si="835"/>
        <v>1.1726851201348898</v>
      </c>
      <c r="CC90" s="53">
        <f t="shared" si="835"/>
        <v>3.1751440213573123</v>
      </c>
      <c r="CD90" s="53">
        <f t="shared" si="835"/>
        <v>2.9349444990866931</v>
      </c>
      <c r="CE90" s="53">
        <f t="shared" si="835"/>
        <v>1.7450470703948291</v>
      </c>
      <c r="CF90" s="53">
        <f t="shared" si="835"/>
        <v>1.7368273148798645</v>
      </c>
      <c r="CG90" s="53">
        <f t="shared" si="835"/>
        <v>4.0910495995503737</v>
      </c>
      <c r="CH90" s="53">
        <f t="shared" si="835"/>
        <v>3.687368273148798</v>
      </c>
      <c r="CI90" s="53">
        <f t="shared" si="835"/>
        <v>2.0821273008289989</v>
      </c>
      <c r="CJ90" s="53">
        <f t="shared" si="835"/>
        <v>2.0016861036953775</v>
      </c>
      <c r="CK90" s="53">
        <f t="shared" ref="CK90:CL90" si="836">(CK72-CK71)/CK89</f>
        <v>4.4100042152592378</v>
      </c>
      <c r="CL90" s="53">
        <f t="shared" si="836"/>
        <v>4.2142756779541948</v>
      </c>
      <c r="CM90" s="54">
        <f t="shared" si="835"/>
        <v>3.4328352985354802</v>
      </c>
      <c r="CN90" s="54">
        <f t="shared" si="835"/>
        <v>3.6105984200364358</v>
      </c>
      <c r="CO90" s="54">
        <f t="shared" si="835"/>
        <v>3.9296023644739493</v>
      </c>
      <c r="CP90" s="54">
        <f t="shared" si="835"/>
        <v>3.8019048015219554</v>
      </c>
      <c r="CQ90" s="54">
        <f t="shared" si="835"/>
        <v>4.2061312209399819</v>
      </c>
      <c r="CR90" s="54">
        <f t="shared" si="835"/>
        <v>4.4241003864699291</v>
      </c>
      <c r="CS90" s="54">
        <f t="shared" si="835"/>
        <v>4.6561442883782602</v>
      </c>
      <c r="CT90" s="54">
        <f t="shared" si="835"/>
        <v>4.8662540124229832</v>
      </c>
      <c r="CU90" s="54">
        <f t="shared" ref="CU90:DB90" si="837">(CU72-CU71)/CU89</f>
        <v>4.8136943863990878</v>
      </c>
      <c r="CV90" s="54">
        <f t="shared" si="837"/>
        <v>4.970263991711346</v>
      </c>
      <c r="CW90" s="54">
        <f t="shared" si="837"/>
        <v>5.1098562780077312</v>
      </c>
      <c r="CX90" s="54">
        <f t="shared" si="837"/>
        <v>5.2239753822645367</v>
      </c>
      <c r="CY90" s="54">
        <f t="shared" si="837"/>
        <v>5.3118834631061018</v>
      </c>
      <c r="CZ90" s="54">
        <f t="shared" si="837"/>
        <v>5.4381159271605224</v>
      </c>
      <c r="DA90" s="54">
        <f t="shared" si="837"/>
        <v>5.556031621112715</v>
      </c>
      <c r="DB90" s="54">
        <f t="shared" si="837"/>
        <v>5.6680220703127278</v>
      </c>
      <c r="DE90" s="132"/>
      <c r="DF90" s="53">
        <v>4.3782637402172382</v>
      </c>
    </row>
    <row r="91" spans="1:110" s="3" customFormat="1" x14ac:dyDescent="0.2">
      <c r="A91" s="3" t="s">
        <v>31</v>
      </c>
      <c r="B91" s="3">
        <f>'Annual Raw'!C110</f>
        <v>0.83612040133779297</v>
      </c>
      <c r="C91" s="3">
        <f>'Annual Raw'!D110</f>
        <v>0.668896321070234</v>
      </c>
      <c r="D91" s="3">
        <f>'Annual Raw'!E110</f>
        <v>0.58528428093645501</v>
      </c>
      <c r="E91" s="3">
        <f>'Annual Raw'!F110</f>
        <v>0.668896321070234</v>
      </c>
      <c r="F91" s="3">
        <f>'Annual Raw'!G110</f>
        <v>0.83612040133779297</v>
      </c>
      <c r="G91" s="3">
        <f>'Annual Raw'!H110</f>
        <v>1.0869565217391299</v>
      </c>
      <c r="H91" s="3">
        <f>'Annual Raw'!I110</f>
        <v>1.3333333333333299</v>
      </c>
      <c r="I91" s="3">
        <f>'Annual Raw'!J110</f>
        <v>1.72727272727273</v>
      </c>
      <c r="J91" s="3">
        <f>'Annual Raw'!K110</f>
        <v>1.0909090909090899</v>
      </c>
      <c r="K91" s="3">
        <f>'Annual Raw'!L110</f>
        <v>0.90909090909090895</v>
      </c>
      <c r="L91" s="3">
        <f>'Annual Raw'!M110</f>
        <v>0.90909090909090895</v>
      </c>
      <c r="M91" s="3">
        <f>'Annual Raw'!N110</f>
        <v>0.90909090909090895</v>
      </c>
      <c r="N91" s="3">
        <f>'Annual Raw'!O110</f>
        <v>0.72727272727272696</v>
      </c>
      <c r="O91" s="3">
        <f>'Annual Raw'!P110</f>
        <v>0</v>
      </c>
      <c r="P91" s="3">
        <f>'Annual Raw'!Q110</f>
        <v>0</v>
      </c>
      <c r="Q91" s="3">
        <f>'Annual Raw'!R110</f>
        <v>0.27272727272727298</v>
      </c>
      <c r="R91" s="3">
        <f>'Annual Raw'!S110</f>
        <v>0.31818181818181801</v>
      </c>
      <c r="S91" s="3">
        <f>'Annual Raw'!T110</f>
        <v>0.38834951456310701</v>
      </c>
      <c r="T91" s="3">
        <f>'Annual Raw'!U110</f>
        <v>0.485436893203884</v>
      </c>
      <c r="U91" s="3">
        <f>'Annual Raw'!V110</f>
        <v>0.485436893203884</v>
      </c>
      <c r="V91" s="3">
        <f>'Annual Raw'!W110</f>
        <v>0.38778420930771001</v>
      </c>
      <c r="W91" s="3">
        <f>'Annual Raw'!X110</f>
        <v>0.4</v>
      </c>
      <c r="X91" s="3">
        <f>'Annual Raw'!Y110</f>
        <v>1</v>
      </c>
      <c r="Y91" s="3">
        <f>'Annual Raw'!Z110</f>
        <v>1.75</v>
      </c>
      <c r="Z91" s="3">
        <f>'Annual Raw'!AA110</f>
        <v>2.25</v>
      </c>
      <c r="AA91" s="3">
        <f>'Annual Raw'!AB110</f>
        <v>3.25</v>
      </c>
      <c r="AB91" s="37"/>
      <c r="AC91" s="37"/>
      <c r="AD91" s="37"/>
      <c r="AE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3" customFormat="1" x14ac:dyDescent="0.2">
      <c r="A92" s="3" t="s">
        <v>32</v>
      </c>
      <c r="B92" s="3">
        <f>B91/B90</f>
        <v>3.2302211240997684E-2</v>
      </c>
      <c r="C92" s="3">
        <f t="shared" ref="C92:U92" si="838">C91/C90</f>
        <v>-0.43550652246304072</v>
      </c>
      <c r="D92" s="3">
        <f t="shared" si="838"/>
        <v>0.13584375903216536</v>
      </c>
      <c r="E92" s="3">
        <f t="shared" si="838"/>
        <v>1.979432481104723</v>
      </c>
      <c r="F92" s="3">
        <f t="shared" si="838"/>
        <v>0.92747333172086655</v>
      </c>
      <c r="G92" s="3">
        <f t="shared" si="838"/>
        <v>0.62200446773477513</v>
      </c>
      <c r="H92" s="3">
        <f t="shared" si="838"/>
        <v>0.51250753872881172</v>
      </c>
      <c r="I92" s="3">
        <f t="shared" si="838"/>
        <v>0.60091900083101202</v>
      </c>
      <c r="J92" s="3">
        <f t="shared" si="838"/>
        <v>9.0174216027874348</v>
      </c>
      <c r="K92" s="3">
        <f t="shared" si="838"/>
        <v>-0.68752988682854299</v>
      </c>
      <c r="L92" s="3">
        <f t="shared" si="838"/>
        <v>-1.3045669926403831</v>
      </c>
      <c r="M92" s="3">
        <f t="shared" si="838"/>
        <v>28.253275109170264</v>
      </c>
      <c r="N92" s="3">
        <f t="shared" si="838"/>
        <v>544.84210526349023</v>
      </c>
      <c r="O92" s="3">
        <f t="shared" si="838"/>
        <v>0</v>
      </c>
      <c r="P92" s="3">
        <f t="shared" si="838"/>
        <v>0</v>
      </c>
      <c r="Q92" s="3">
        <f t="shared" si="838"/>
        <v>-0.26159029649595772</v>
      </c>
      <c r="R92" s="3">
        <f t="shared" si="838"/>
        <v>-0.86398321251430454</v>
      </c>
      <c r="S92" s="3">
        <f t="shared" si="838"/>
        <v>0.70489250067473486</v>
      </c>
      <c r="T92" s="3">
        <f t="shared" si="838"/>
        <v>0.24656397151955808</v>
      </c>
      <c r="U92" s="3">
        <f t="shared" si="838"/>
        <v>0.22042647583067185</v>
      </c>
      <c r="V92" s="3">
        <f>V91/V90</f>
        <v>-6.2719819504192281E-2</v>
      </c>
      <c r="W92" s="3">
        <f t="shared" ref="W92" si="839">W91/W90</f>
        <v>-0.21620718462823721</v>
      </c>
      <c r="X92" s="3">
        <f t="shared" ref="X92:Y92" si="840">X91/X90</f>
        <v>0.14243970779545692</v>
      </c>
      <c r="Y92" s="3">
        <f t="shared" si="840"/>
        <v>0.19784046955292409</v>
      </c>
      <c r="Z92" s="3">
        <f t="shared" ref="Z92:AA92" si="841">Z91/Z90</f>
        <v>0.19981719376836632</v>
      </c>
      <c r="AA92" s="3">
        <f t="shared" si="841"/>
        <v>0.25574253539502567</v>
      </c>
      <c r="AB92" s="37">
        <f t="shared" ref="AA92:AD92" si="842">AB91/AB90</f>
        <v>0</v>
      </c>
      <c r="AC92" s="37">
        <f t="shared" si="842"/>
        <v>0</v>
      </c>
      <c r="AD92" s="37">
        <f t="shared" si="842"/>
        <v>0</v>
      </c>
      <c r="AE92" s="37">
        <f t="shared" ref="AE92" si="843">AE91/AE90</f>
        <v>0</v>
      </c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  <c r="DF92" s="3">
        <v>0</v>
      </c>
    </row>
    <row r="93" spans="1:110" s="3" customFormat="1" x14ac:dyDescent="0.2">
      <c r="A93" s="3" t="s">
        <v>33</v>
      </c>
      <c r="B93" s="3">
        <f>+B90</f>
        <v>25.884308510638313</v>
      </c>
      <c r="C93" s="3">
        <f t="shared" ref="C93:U93" si="844">+C90</f>
        <v>-1.5359042553191609</v>
      </c>
      <c r="D93" s="3">
        <f t="shared" si="844"/>
        <v>4.3085106382978564</v>
      </c>
      <c r="E93" s="3">
        <f t="shared" si="844"/>
        <v>0.33792328228186008</v>
      </c>
      <c r="F93" s="3">
        <f t="shared" si="844"/>
        <v>0.90150344246171032</v>
      </c>
      <c r="G93" s="3">
        <f t="shared" si="844"/>
        <v>1.7475059716172521</v>
      </c>
      <c r="H93" s="3">
        <f t="shared" si="844"/>
        <v>2.6015877476464788</v>
      </c>
      <c r="I93" s="3">
        <f t="shared" si="844"/>
        <v>2.874385274694395</v>
      </c>
      <c r="J93" s="3">
        <f t="shared" si="844"/>
        <v>0.120977940143319</v>
      </c>
      <c r="K93" s="3">
        <f t="shared" si="844"/>
        <v>-1.3222565687789789</v>
      </c>
      <c r="L93" s="3">
        <f t="shared" si="844"/>
        <v>-0.69685260643529778</v>
      </c>
      <c r="M93" s="3">
        <f t="shared" si="844"/>
        <v>3.2176478853449528E-2</v>
      </c>
      <c r="N93" s="3">
        <f t="shared" si="844"/>
        <v>1.334832092172854E-3</v>
      </c>
      <c r="O93" s="3">
        <f t="shared" si="844"/>
        <v>6.9551777434320831E-3</v>
      </c>
      <c r="P93" s="3">
        <f t="shared" si="844"/>
        <v>-0.17697063369396976</v>
      </c>
      <c r="Q93" s="3">
        <f t="shared" si="844"/>
        <v>-1.0425741183082735</v>
      </c>
      <c r="R93" s="3">
        <f t="shared" si="844"/>
        <v>-0.36827314879865219</v>
      </c>
      <c r="S93" s="3">
        <f t="shared" si="844"/>
        <v>0.55093438246452098</v>
      </c>
      <c r="T93" s="3">
        <f>+T90</f>
        <v>1.9688070816355174</v>
      </c>
      <c r="U93" s="3">
        <f t="shared" si="844"/>
        <v>2.2022621891246357</v>
      </c>
      <c r="V93" s="3">
        <f>+V90</f>
        <v>-6.1828017423071495</v>
      </c>
      <c r="W93" s="3">
        <f t="shared" ref="W93" si="845">+W90</f>
        <v>-1.8500772797527054</v>
      </c>
      <c r="X93" s="3">
        <f t="shared" ref="X93:Y93" si="846">+X90</f>
        <v>7.0205142616270857</v>
      </c>
      <c r="Y93" s="3">
        <f t="shared" si="846"/>
        <v>8.8455107489110532</v>
      </c>
      <c r="Z93" s="3">
        <f t="shared" ref="Z93:AA93" si="847">+Z90</f>
        <v>11.260292257973871</v>
      </c>
      <c r="AA93" s="3">
        <f t="shared" si="847"/>
        <v>12.708093297737808</v>
      </c>
      <c r="AB93" s="37">
        <f t="shared" ref="AA93:AD93" si="848">+AB90</f>
        <v>14.774940884567821</v>
      </c>
      <c r="AC93" s="37">
        <f t="shared" si="848"/>
        <v>18.152629908211139</v>
      </c>
      <c r="AD93" s="37">
        <f t="shared" si="848"/>
        <v>20.117790038382687</v>
      </c>
      <c r="AE93" s="37">
        <f t="shared" ref="AE93" si="849">+AE90</f>
        <v>21.97405308169207</v>
      </c>
      <c r="AL93" s="3">
        <f>SUM(AI90:AL90)</f>
        <v>0.10348461430377975</v>
      </c>
      <c r="AM93" s="3">
        <f t="shared" ref="AM93" si="850">SUM(AJ90:AM90)</f>
        <v>0.19699311507657646</v>
      </c>
      <c r="AN93" s="3">
        <f t="shared" ref="AN93" si="851">SUM(AK90:AN90)</f>
        <v>0.25635801601798419</v>
      </c>
      <c r="AO93" s="3">
        <f t="shared" ref="AO93" si="852">SUM(AL90:AO90)</f>
        <v>0.27413235914008599</v>
      </c>
      <c r="AP93" s="3">
        <f t="shared" ref="AP93" si="853">SUM(AM90:AP90)</f>
        <v>6.955177743429887E-3</v>
      </c>
      <c r="AQ93" s="3">
        <f t="shared" ref="AQ93" si="854">SUM(AN90:AQ90)</f>
        <v>-0.11760573275256547</v>
      </c>
      <c r="AR93" s="3">
        <f t="shared" ref="AR93" si="855">SUM(AO90:AR90)</f>
        <v>-0.33848531684698679</v>
      </c>
      <c r="AS93" s="3">
        <f t="shared" ref="AS93" si="856">SUM(AP90:AS90)</f>
        <v>-0.26499929745679285</v>
      </c>
      <c r="AT93" s="3">
        <f t="shared" ref="AT93" si="857">SUM(AQ90:AT90)</f>
        <v>-0.17697063369397165</v>
      </c>
      <c r="AU93" s="3">
        <f t="shared" ref="AU93" si="858">SUM(AR90:AU90)</f>
        <v>-7.3486019390191379E-2</v>
      </c>
      <c r="AV93" s="3">
        <f t="shared" ref="AV93" si="859">SUM(AS90:AV90)</f>
        <v>-0.22312772235492417</v>
      </c>
      <c r="AW93" s="3">
        <f t="shared" ref="AW93" si="860">SUM(AT90:AW90)</f>
        <v>-0.60046367851622806</v>
      </c>
      <c r="AX93" s="3">
        <f t="shared" ref="AX93" si="861">SUM(AU90:AX90)</f>
        <v>-0.7445552901503435</v>
      </c>
      <c r="AY93" s="3">
        <f t="shared" ref="AY93" si="862">SUM(AV90:AY90)</f>
        <v>-1.0448222565687788</v>
      </c>
      <c r="AZ93" s="3">
        <f t="shared" ref="AZ93" si="863">SUM(AW90:AZ90)</f>
        <v>-0.82612055641421944</v>
      </c>
      <c r="BA93" s="3">
        <f t="shared" ref="BA93" si="864">SUM(AX90:BA90)</f>
        <v>-0.41365743993255688</v>
      </c>
      <c r="BB93" s="3">
        <f t="shared" ref="BB93" si="865">SUM(AY90:BB90)</f>
        <v>-0.36827314879865242</v>
      </c>
      <c r="BC93" s="3">
        <f t="shared" ref="BC93" si="866">SUM(AZ90:BC90)</f>
        <v>-0.25502318392581269</v>
      </c>
      <c r="BD93" s="3">
        <f t="shared" ref="BD93" si="867">SUM(BA90:BD90)</f>
        <v>-0.10833216242799015</v>
      </c>
      <c r="BE93" s="3">
        <f t="shared" ref="BE93" si="868">SUM(BB90:BE90)</f>
        <v>-7.3064493466348912E-2</v>
      </c>
      <c r="BF93" s="3">
        <f t="shared" ref="BF93" si="869">SUM(BC90:BF90)</f>
        <v>0.55093438246452087</v>
      </c>
      <c r="BG93" s="3">
        <f t="shared" ref="BG93" si="870">SUM(BD90:BG90)</f>
        <v>0.97098496557538327</v>
      </c>
      <c r="BH93" s="3">
        <f t="shared" ref="BH93" si="871">SUM(BE90:BH90)</f>
        <v>1.674652241112828</v>
      </c>
      <c r="BI93" s="3">
        <f t="shared" ref="BI93" si="872">SUM(BF90:BI90)</f>
        <v>1.8970071659407055</v>
      </c>
      <c r="BJ93" s="3">
        <f t="shared" ref="BJ93" si="873">SUM(BG90:BJ90)</f>
        <v>1.9688070816355201</v>
      </c>
      <c r="BK93" s="3">
        <f t="shared" ref="BK93" si="874">SUM(BH90:BK90)</f>
        <v>1.8578052550231825</v>
      </c>
      <c r="BL93" s="3">
        <f t="shared" ref="BL93" si="875">SUM(BI90:BL90)</f>
        <v>2.079106365041449</v>
      </c>
      <c r="BM93" s="3">
        <f t="shared" ref="BM93" si="876">SUM(BJ90:BM90)</f>
        <v>2.6660812139946595</v>
      </c>
      <c r="BN93" s="3">
        <f t="shared" ref="BN93" si="877">SUM(BK90:BN90)</f>
        <v>2.2022621891246317</v>
      </c>
      <c r="BO93" s="3">
        <f t="shared" ref="BO93" si="878">SUM(BL90:BO90)</f>
        <v>-0.3926513980609796</v>
      </c>
      <c r="BP93" s="3">
        <f t="shared" ref="BP93" si="879">SUM(BM90:BP90)</f>
        <v>-2.655262048615989</v>
      </c>
      <c r="BQ93" s="3">
        <f t="shared" ref="BQ93" si="880">SUM(BN90:BQ90)</f>
        <v>-5.1229450611212579</v>
      </c>
      <c r="BR93" s="3">
        <f t="shared" ref="BR93" si="881">SUM(BO90:BR90)</f>
        <v>-6.1828017423071504</v>
      </c>
      <c r="BS93" s="3">
        <f t="shared" ref="BS93" si="882">SUM(BP90:BS90)</f>
        <v>-5.7028242236897562</v>
      </c>
      <c r="BT93" s="3">
        <f t="shared" ref="BT93" si="883">SUM(BQ90:BT90)</f>
        <v>-4.7139946606716299</v>
      </c>
      <c r="BU93" s="3">
        <f t="shared" ref="BU93" si="884">SUM(BR90:BU90)</f>
        <v>-3.075874666291976</v>
      </c>
      <c r="BV93" s="3">
        <f t="shared" ref="BV93" si="885">SUM(BS90:BV90)</f>
        <v>-1.8500772797527043</v>
      </c>
      <c r="BW93" s="3">
        <f t="shared" ref="BW93" si="886">SUM(BT90:BW90)</f>
        <v>1.4999999999999996</v>
      </c>
      <c r="BX93" s="3">
        <f t="shared" ref="BX93" si="887">SUM(BU90:BX90)</f>
        <v>3.0383588590698318</v>
      </c>
      <c r="BY93" s="3">
        <f t="shared" ref="BY93" si="888">SUM(BV90:BY90)</f>
        <v>5.1204159055781915</v>
      </c>
      <c r="BZ93" s="3">
        <f t="shared" ref="BZ93" si="889">SUM(BW90:BZ90)</f>
        <v>7.0205142616270884</v>
      </c>
      <c r="CA93" s="3">
        <f t="shared" ref="CA93" si="890">SUM(BX90:CA90)</f>
        <v>7.3244344527188403</v>
      </c>
      <c r="CB93" s="3">
        <f t="shared" ref="CB93" si="891">SUM(BY90:CB90)</f>
        <v>7.7298018828157931</v>
      </c>
      <c r="CC93" s="3">
        <f t="shared" ref="CC93" si="892">SUM(BZ90:CC90)</f>
        <v>8.2169453421385406</v>
      </c>
      <c r="CD93" s="3">
        <f t="shared" ref="CD93" si="893">SUM(CA90:CD90)</f>
        <v>8.8455107489110567</v>
      </c>
      <c r="CE93" s="3">
        <f t="shared" ref="CE93" si="894">SUM(CB90:CE90)</f>
        <v>9.0278207109737245</v>
      </c>
      <c r="CF93" s="3">
        <f t="shared" ref="CF93" si="895">SUM(CC90:CF90)</f>
        <v>9.5919629057186988</v>
      </c>
      <c r="CG93" s="3">
        <f t="shared" ref="CG93" si="896">SUM(CD90:CG90)</f>
        <v>10.507868483911761</v>
      </c>
      <c r="CH93" s="3">
        <f t="shared" ref="CH93:CL93" si="897">SUM(CE90:CH90)</f>
        <v>11.260292257973866</v>
      </c>
      <c r="CI93" s="3">
        <f t="shared" si="897"/>
        <v>11.597372488408036</v>
      </c>
      <c r="CJ93" s="3">
        <f t="shared" si="897"/>
        <v>11.862231277223547</v>
      </c>
      <c r="CK93" s="3">
        <f t="shared" si="897"/>
        <v>12.181185892932412</v>
      </c>
      <c r="CL93" s="3">
        <f t="shared" si="897"/>
        <v>12.708093297737808</v>
      </c>
      <c r="CM93" s="37">
        <f t="shared" ref="CM93" si="898">SUM(CJ90:CM90)</f>
        <v>14.05880129544429</v>
      </c>
      <c r="CN93" s="37">
        <f t="shared" ref="CN93" si="899">SUM(CK90:CN90)</f>
        <v>15.667713611785349</v>
      </c>
      <c r="CO93" s="37">
        <f t="shared" ref="CO93" si="900">SUM(CL90:CO90)</f>
        <v>15.187311761000059</v>
      </c>
      <c r="CP93" s="37">
        <f t="shared" ref="CP93" si="901">SUM(CM90:CP90)</f>
        <v>14.774940884567821</v>
      </c>
      <c r="CQ93" s="37">
        <f t="shared" ref="CQ93" si="902">SUM(CN90:CQ90)</f>
        <v>15.548236806972323</v>
      </c>
      <c r="CR93" s="37">
        <f t="shared" ref="CR93" si="903">SUM(CO90:CR90)</f>
        <v>16.361738773405818</v>
      </c>
      <c r="CS93" s="37">
        <f t="shared" ref="CS93" si="904">SUM(CP90:CS90)</f>
        <v>17.088280697310125</v>
      </c>
      <c r="CT93" s="37">
        <f t="shared" ref="CT93" si="905">SUM(CQ90:CT90)</f>
        <v>18.152629908211154</v>
      </c>
      <c r="CU93" s="37">
        <f t="shared" ref="CU93" si="906">SUM(CR90:CU90)</f>
        <v>18.760193073670258</v>
      </c>
      <c r="CV93" s="37">
        <f t="shared" ref="CV93" si="907">SUM(CS90:CV90)</f>
        <v>19.306356678911676</v>
      </c>
      <c r="CW93" s="37">
        <f t="shared" ref="CW93" si="908">SUM(CT90:CW90)</f>
        <v>19.760068668541145</v>
      </c>
      <c r="CX93" s="37">
        <f t="shared" ref="CX93" si="909">SUM(CU90:CX90)</f>
        <v>20.117790038382701</v>
      </c>
      <c r="CY93" s="37">
        <f t="shared" ref="CY93" si="910">SUM(CV90:CY90)</f>
        <v>20.615979115089718</v>
      </c>
      <c r="CZ93" s="37">
        <f t="shared" ref="CZ93" si="911">SUM(CW90:CZ90)</f>
        <v>21.08383105053889</v>
      </c>
      <c r="DA93" s="37">
        <f t="shared" ref="DA93" si="912">SUM(CX90:DA90)</f>
        <v>21.530006393643877</v>
      </c>
      <c r="DB93" s="37">
        <f t="shared" ref="DB93" si="913">SUM(CY90:DB90)</f>
        <v>21.974053081692066</v>
      </c>
      <c r="DE93" s="134"/>
      <c r="DF93" s="3">
        <v>12.872081360000852</v>
      </c>
    </row>
    <row r="94" spans="1:110" s="97" customFormat="1" x14ac:dyDescent="0.2">
      <c r="A94" s="97" t="s">
        <v>425</v>
      </c>
      <c r="C94" s="101">
        <f t="shared" ref="C94:AA94" si="914">+C93/B93-1</f>
        <v>-1.0593372720267151</v>
      </c>
      <c r="D94" s="101">
        <f t="shared" si="914"/>
        <v>-3.8051948051947728</v>
      </c>
      <c r="E94" s="101">
        <f t="shared" si="914"/>
        <v>-0.92156842337161737</v>
      </c>
      <c r="F94" s="101">
        <f t="shared" si="914"/>
        <v>1.6677754677754666</v>
      </c>
      <c r="G94" s="101">
        <f t="shared" si="914"/>
        <v>0.93843516209476285</v>
      </c>
      <c r="H94" s="101">
        <f t="shared" si="914"/>
        <v>0.48874326606094831</v>
      </c>
      <c r="I94" s="101">
        <f t="shared" si="914"/>
        <v>0.10485809186897566</v>
      </c>
      <c r="J94" s="101">
        <f t="shared" si="914"/>
        <v>-0.95791171726059532</v>
      </c>
      <c r="K94" s="101">
        <f t="shared" si="914"/>
        <v>-11.929732868757235</v>
      </c>
      <c r="L94" s="101">
        <f t="shared" si="914"/>
        <v>-0.47298230699750088</v>
      </c>
      <c r="M94" s="101">
        <f t="shared" si="914"/>
        <v>-1.0461740094767618</v>
      </c>
      <c r="N94" s="101">
        <f t="shared" si="914"/>
        <v>-0.95851528384282014</v>
      </c>
      <c r="O94" s="101">
        <f t="shared" si="914"/>
        <v>4.2105263157932997</v>
      </c>
      <c r="P94" s="101">
        <f t="shared" si="914"/>
        <v>-26.444444444440943</v>
      </c>
      <c r="Q94" s="101">
        <f t="shared" si="914"/>
        <v>4.8912266772529449</v>
      </c>
      <c r="R94" s="101">
        <f t="shared" si="914"/>
        <v>-0.64676549865228927</v>
      </c>
      <c r="S94" s="101">
        <f t="shared" si="914"/>
        <v>-2.4959938954597423</v>
      </c>
      <c r="T94" s="101">
        <f t="shared" si="914"/>
        <v>2.5735781688344792</v>
      </c>
      <c r="U94" s="101">
        <f t="shared" si="914"/>
        <v>0.11857693405652703</v>
      </c>
      <c r="V94" s="101">
        <f t="shared" si="914"/>
        <v>-3.8074775895619926</v>
      </c>
      <c r="W94" s="101">
        <f t="shared" si="914"/>
        <v>-0.70077040201804408</v>
      </c>
      <c r="X94" s="101">
        <f t="shared" si="914"/>
        <v>-4.7947140578719489</v>
      </c>
      <c r="Y94" s="101">
        <f t="shared" si="914"/>
        <v>0.25995196637646356</v>
      </c>
      <c r="Z94" s="101">
        <f t="shared" si="914"/>
        <v>0.27299514721183238</v>
      </c>
      <c r="AA94" s="101">
        <f t="shared" si="914"/>
        <v>0.12857579595580115</v>
      </c>
      <c r="AB94" s="174">
        <f t="shared" ref="AB94" si="915">+AB93/AA93-1</f>
        <v>0.16264025911723023</v>
      </c>
      <c r="AC94" s="174">
        <f t="shared" ref="AC94" si="916">+AC93/AB93-1</f>
        <v>0.2286093088312291</v>
      </c>
      <c r="AD94" s="174">
        <f t="shared" ref="AD94" si="917">+AD93/AC93-1</f>
        <v>0.10825759904258447</v>
      </c>
      <c r="AE94" s="174">
        <f t="shared" ref="AE94" si="918">+AE93/AD93-1</f>
        <v>9.2269729416989854E-2</v>
      </c>
      <c r="AL94" s="176"/>
      <c r="AM94" s="176"/>
      <c r="AN94" s="176"/>
      <c r="AO94" s="176"/>
      <c r="AP94" s="176">
        <f t="shared" ref="AP94:CL94" si="919">+IF(AL93&lt;0,1-AP93/AL93,AP93/AL93-1)</f>
        <v>-0.93279022403259948</v>
      </c>
      <c r="AQ94" s="176">
        <f t="shared" si="919"/>
        <v>-1.5970042796005788</v>
      </c>
      <c r="AR94" s="176">
        <f t="shared" si="919"/>
        <v>-2.3203617429432795</v>
      </c>
      <c r="AS94" s="176">
        <f t="shared" si="919"/>
        <v>-1.9666837519220923</v>
      </c>
      <c r="AT94" s="176">
        <f t="shared" si="919"/>
        <v>-26.44444444444925</v>
      </c>
      <c r="AU94" s="176">
        <f t="shared" si="919"/>
        <v>0.3751493428912942</v>
      </c>
      <c r="AV94" s="176">
        <f t="shared" si="919"/>
        <v>0.34080531340805642</v>
      </c>
      <c r="AW94" s="176">
        <f t="shared" si="919"/>
        <v>-1.2659066808059425</v>
      </c>
      <c r="AX94" s="176">
        <f t="shared" si="919"/>
        <v>-3.2072250893211676</v>
      </c>
      <c r="AY94" s="176">
        <f t="shared" si="919"/>
        <v>-13.217973231357767</v>
      </c>
      <c r="AZ94" s="176">
        <f t="shared" si="919"/>
        <v>-2.7024559193954767</v>
      </c>
      <c r="BA94" s="176">
        <f t="shared" si="919"/>
        <v>0.31110331110330858</v>
      </c>
      <c r="BB94" s="176">
        <f t="shared" si="919"/>
        <v>0.50537837327797475</v>
      </c>
      <c r="BC94" s="176">
        <f t="shared" si="919"/>
        <v>0.75591715976331231</v>
      </c>
      <c r="BD94" s="176">
        <f t="shared" si="919"/>
        <v>0.868866400204098</v>
      </c>
      <c r="BE94" s="176">
        <f t="shared" si="919"/>
        <v>0.82336956521739002</v>
      </c>
      <c r="BF94" s="176">
        <f t="shared" si="919"/>
        <v>2.4959938954597409</v>
      </c>
      <c r="BG94" s="176">
        <f t="shared" si="919"/>
        <v>4.8074380165289083</v>
      </c>
      <c r="BH94" s="176">
        <f t="shared" si="919"/>
        <v>16.458495460440865</v>
      </c>
      <c r="BI94" s="176">
        <f t="shared" si="919"/>
        <v>26.963461538461281</v>
      </c>
      <c r="BJ94" s="176">
        <f t="shared" si="919"/>
        <v>2.5735781688344845</v>
      </c>
      <c r="BK94" s="176">
        <f t="shared" si="919"/>
        <v>0.91332030967368283</v>
      </c>
      <c r="BL94" s="176">
        <f t="shared" si="919"/>
        <v>0.24151529135377747</v>
      </c>
      <c r="BM94" s="176">
        <f t="shared" si="919"/>
        <v>0.40541441374712917</v>
      </c>
      <c r="BN94" s="176">
        <f t="shared" si="919"/>
        <v>0.11857693405652348</v>
      </c>
      <c r="BO94" s="176">
        <f t="shared" si="919"/>
        <v>-1.2113522916351531</v>
      </c>
      <c r="BP94" s="176">
        <f t="shared" si="919"/>
        <v>-2.2771169831722649</v>
      </c>
      <c r="BQ94" s="176">
        <f t="shared" si="919"/>
        <v>-2.9215262589264546</v>
      </c>
      <c r="BR94" s="176">
        <f t="shared" si="919"/>
        <v>-3.8074775895619983</v>
      </c>
      <c r="BS94" s="176">
        <f t="shared" si="919"/>
        <v>-13.523886205045667</v>
      </c>
      <c r="BT94" s="176">
        <f t="shared" si="919"/>
        <v>-0.77534065352559867</v>
      </c>
      <c r="BU94" s="176">
        <f t="shared" si="919"/>
        <v>0.39958859023587501</v>
      </c>
      <c r="BV94" s="176">
        <f t="shared" si="919"/>
        <v>0.7007704020180443</v>
      </c>
      <c r="BW94" s="176">
        <f t="shared" si="919"/>
        <v>1.2630275704043166</v>
      </c>
      <c r="BX94" s="176">
        <f t="shared" si="919"/>
        <v>1.6445401570813276</v>
      </c>
      <c r="BY94" s="176">
        <f t="shared" si="919"/>
        <v>2.6647023891096797</v>
      </c>
      <c r="BZ94" s="176">
        <f t="shared" si="919"/>
        <v>4.7947140578719525</v>
      </c>
      <c r="CA94" s="176">
        <f t="shared" si="919"/>
        <v>3.8829563018125617</v>
      </c>
      <c r="CB94" s="176">
        <f t="shared" si="919"/>
        <v>1.5440714021457649</v>
      </c>
      <c r="CC94" s="176">
        <f t="shared" si="919"/>
        <v>0.60474178146095192</v>
      </c>
      <c r="CD94" s="176">
        <f t="shared" si="919"/>
        <v>0.25995196637646356</v>
      </c>
      <c r="CE94" s="176">
        <f t="shared" si="919"/>
        <v>0.23256215469613295</v>
      </c>
      <c r="CF94" s="176">
        <f t="shared" si="919"/>
        <v>0.24090669478123328</v>
      </c>
      <c r="CG94" s="176">
        <f t="shared" si="919"/>
        <v>0.27880471956224362</v>
      </c>
      <c r="CH94" s="176">
        <f t="shared" si="919"/>
        <v>0.27299514721183127</v>
      </c>
      <c r="CI94" s="176">
        <f t="shared" si="919"/>
        <v>0.28462592021914057</v>
      </c>
      <c r="CJ94" s="176">
        <f t="shared" si="919"/>
        <v>0.23668444027773727</v>
      </c>
      <c r="CK94" s="176">
        <f t="shared" si="919"/>
        <v>0.1592442284163158</v>
      </c>
      <c r="CL94" s="176">
        <f t="shared" si="919"/>
        <v>0.12857579595580182</v>
      </c>
      <c r="CM94" s="102">
        <f t="shared" ref="CM94:DB94" si="920">+IF(CI93&lt;0,1-CM93/CI93,CM93/CI93-1)</f>
        <v>0.21224021298759999</v>
      </c>
      <c r="CN94" s="102">
        <f t="shared" si="920"/>
        <v>0.32080662108389668</v>
      </c>
      <c r="CO94" s="102">
        <f t="shared" si="920"/>
        <v>0.24678433565420077</v>
      </c>
      <c r="CP94" s="102">
        <f t="shared" si="920"/>
        <v>0.16264025911723023</v>
      </c>
      <c r="CQ94" s="102">
        <f t="shared" si="920"/>
        <v>0.10594327924747615</v>
      </c>
      <c r="CR94" s="102">
        <f t="shared" si="920"/>
        <v>4.4296518229591575E-2</v>
      </c>
      <c r="CS94" s="102">
        <f t="shared" si="920"/>
        <v>0.12516823031127999</v>
      </c>
      <c r="CT94" s="102">
        <f t="shared" si="920"/>
        <v>0.22860930883122998</v>
      </c>
      <c r="CU94" s="102">
        <f t="shared" si="920"/>
        <v>0.20658009693147927</v>
      </c>
      <c r="CV94" s="102">
        <f t="shared" si="920"/>
        <v>0.17996974198683624</v>
      </c>
      <c r="CW94" s="102">
        <f t="shared" si="920"/>
        <v>0.15635206481899533</v>
      </c>
      <c r="CX94" s="102">
        <f t="shared" si="920"/>
        <v>0.10825759904258425</v>
      </c>
      <c r="CY94" s="102">
        <f t="shared" si="920"/>
        <v>9.8921478799919083E-2</v>
      </c>
      <c r="CZ94" s="102">
        <f t="shared" si="920"/>
        <v>9.2066794434019217E-2</v>
      </c>
      <c r="DA94" s="102">
        <f t="shared" si="920"/>
        <v>8.9571435949539424E-2</v>
      </c>
      <c r="DB94" s="102">
        <f t="shared" si="920"/>
        <v>9.2269729416988744E-2</v>
      </c>
      <c r="DE94" s="135"/>
      <c r="DF94" s="97">
        <v>0.14313918902820788</v>
      </c>
    </row>
    <row r="95" spans="1:110" s="144" customFormat="1" x14ac:dyDescent="0.2">
      <c r="A95" s="144" t="s">
        <v>424</v>
      </c>
      <c r="AB95" s="145"/>
      <c r="AC95" s="145"/>
      <c r="AD95" s="145"/>
      <c r="AE95" s="145"/>
      <c r="CM95" s="145"/>
      <c r="CN95" s="145"/>
      <c r="CO95" s="145"/>
      <c r="CP95" s="145">
        <v>16.2</v>
      </c>
      <c r="CQ95" s="145"/>
      <c r="CR95" s="145"/>
      <c r="CS95" s="145"/>
      <c r="CT95" s="145">
        <v>18.899999999999999</v>
      </c>
      <c r="CU95" s="145"/>
      <c r="CV95" s="145"/>
      <c r="CW95" s="145"/>
      <c r="CX95" s="145"/>
      <c r="CY95" s="145"/>
      <c r="CZ95" s="145"/>
      <c r="DA95" s="145"/>
      <c r="DB95" s="145"/>
      <c r="DE95" s="146"/>
      <c r="DF95" s="144">
        <v>13.4</v>
      </c>
    </row>
    <row r="96" spans="1:110" s="144" customFormat="1" x14ac:dyDescent="0.2">
      <c r="A96" s="144" t="s">
        <v>436</v>
      </c>
      <c r="AB96" s="145"/>
      <c r="AC96" s="145"/>
      <c r="AD96" s="145"/>
      <c r="AE96" s="145"/>
      <c r="CM96" s="145"/>
      <c r="CN96" s="145"/>
      <c r="CO96" s="145"/>
      <c r="CP96" s="145">
        <f>CP95/CP93-1</f>
        <v>9.6451087457184226E-2</v>
      </c>
      <c r="CQ96" s="145"/>
      <c r="CR96" s="145"/>
      <c r="CS96" s="145"/>
      <c r="CT96" s="145">
        <f>CT95/CT93-1</f>
        <v>4.1171449843241614E-2</v>
      </c>
      <c r="CU96" s="145"/>
      <c r="CV96" s="145"/>
      <c r="CW96" s="145"/>
      <c r="CX96" s="145"/>
      <c r="CY96" s="145"/>
      <c r="CZ96" s="145"/>
      <c r="DA96" s="145"/>
      <c r="DB96" s="145"/>
      <c r="DE96" s="146"/>
      <c r="DF96" s="144">
        <v>4.1012686700351519E-2</v>
      </c>
    </row>
    <row r="97" spans="1:110" s="3" customFormat="1" x14ac:dyDescent="0.2">
      <c r="A97" s="3" t="s">
        <v>34</v>
      </c>
      <c r="B97" s="3">
        <f>'Annual Raw'!C112</f>
        <v>35.380000000000003</v>
      </c>
      <c r="C97" s="3">
        <f>'Annual Raw'!D112</f>
        <v>37.380000000000003</v>
      </c>
      <c r="D97" s="3">
        <f>'Annual Raw'!E112</f>
        <v>37.380000000000003</v>
      </c>
      <c r="E97" s="3">
        <f>'Annual Raw'!F112</f>
        <v>37.06</v>
      </c>
      <c r="F97" s="3">
        <f>'Annual Raw'!G112</f>
        <v>35.81</v>
      </c>
      <c r="G97" s="3">
        <f>'Annual Raw'!H112</f>
        <v>29.28</v>
      </c>
      <c r="H97" s="3">
        <f>'Annual Raw'!I112</f>
        <v>28.28</v>
      </c>
      <c r="I97" s="3">
        <f>'Annual Raw'!J112</f>
        <v>29.18</v>
      </c>
      <c r="J97" s="3">
        <f>'Annual Raw'!K112</f>
        <v>29.53</v>
      </c>
      <c r="K97" s="3">
        <f>'Annual Raw'!L112</f>
        <v>29.46</v>
      </c>
      <c r="L97" s="3">
        <f>'Annual Raw'!M112</f>
        <v>33.58</v>
      </c>
      <c r="M97" s="3">
        <f>'Annual Raw'!N112</f>
        <v>33.58</v>
      </c>
      <c r="N97" s="3">
        <f>'Annual Raw'!O112</f>
        <v>37.53</v>
      </c>
      <c r="O97" s="3">
        <f>'Annual Raw'!P112</f>
        <v>37.53</v>
      </c>
      <c r="P97" s="3">
        <f>'Annual Raw'!Q112</f>
        <v>37.53</v>
      </c>
      <c r="Q97" s="3">
        <f>'Annual Raw'!R112</f>
        <v>38.65</v>
      </c>
      <c r="R97" s="3">
        <f>'Annual Raw'!S112</f>
        <v>38.65</v>
      </c>
      <c r="S97" s="3">
        <f>'Annual Raw'!T112</f>
        <v>39.090000000000003</v>
      </c>
      <c r="T97" s="3">
        <f>'Annual Raw'!U112</f>
        <v>39.090000000000003</v>
      </c>
      <c r="U97" s="3">
        <f>'Annual Raw'!V112</f>
        <v>40.75</v>
      </c>
      <c r="V97" s="3">
        <f>'Annual Raw'!W112</f>
        <v>40.75</v>
      </c>
      <c r="W97" s="3">
        <f>'Annual Raw'!X112</f>
        <v>38.19</v>
      </c>
      <c r="X97" s="3">
        <f>'Annual Raw'!Y112</f>
        <v>38.19</v>
      </c>
      <c r="Y97" s="3">
        <f>'Annual Raw'!Z112</f>
        <v>38.119999999999997</v>
      </c>
      <c r="Z97" s="3">
        <f>'Annual Raw'!AA112</f>
        <v>38.119999999999997</v>
      </c>
      <c r="AA97" s="3">
        <f>'Annual Raw'!AB112</f>
        <v>38.119999999999997</v>
      </c>
      <c r="AB97" s="37"/>
      <c r="AC97" s="37"/>
      <c r="AD97" s="37"/>
      <c r="AE97" s="37"/>
      <c r="AI97" s="3">
        <f>'QTR Raw'!C49</f>
        <v>37.53</v>
      </c>
      <c r="AJ97" s="3">
        <f>'QTR Raw'!D49</f>
        <v>37.53</v>
      </c>
      <c r="AK97" s="3">
        <f>'QTR Raw'!E49</f>
        <v>37.53</v>
      </c>
      <c r="AL97" s="3">
        <f>'QTR Raw'!F49</f>
        <v>37.53</v>
      </c>
      <c r="AM97" s="3">
        <f>'QTR Raw'!G49</f>
        <v>37.53</v>
      </c>
      <c r="AN97" s="3">
        <f>'QTR Raw'!H49</f>
        <v>37.53</v>
      </c>
      <c r="AO97" s="3">
        <f>'QTR Raw'!I49</f>
        <v>37.53</v>
      </c>
      <c r="AP97" s="3">
        <f>'QTR Raw'!J49</f>
        <v>37.53</v>
      </c>
      <c r="AQ97" s="3">
        <f>'QTR Raw'!K49</f>
        <v>37.53</v>
      </c>
      <c r="AR97" s="3">
        <f>'QTR Raw'!L49</f>
        <v>37.53</v>
      </c>
      <c r="AS97" s="3">
        <f>'QTR Raw'!M49</f>
        <v>37.53</v>
      </c>
      <c r="AT97" s="3">
        <f>'QTR Raw'!N49</f>
        <v>37.53</v>
      </c>
      <c r="AU97" s="3">
        <f>'QTR Raw'!O49</f>
        <v>37.53</v>
      </c>
      <c r="AV97" s="3">
        <f>'QTR Raw'!P49</f>
        <v>37.53</v>
      </c>
      <c r="AW97" s="3">
        <f>'QTR Raw'!Q49</f>
        <v>37.53</v>
      </c>
      <c r="AX97" s="3">
        <f>'QTR Raw'!R49</f>
        <v>38.65</v>
      </c>
      <c r="AY97" s="3">
        <f>'QTR Raw'!S49</f>
        <v>38.65</v>
      </c>
      <c r="AZ97" s="3">
        <f>'QTR Raw'!T49</f>
        <v>38.65</v>
      </c>
      <c r="BA97" s="3">
        <f>'QTR Raw'!U49</f>
        <v>38.65</v>
      </c>
      <c r="BB97" s="3">
        <f>'QTR Raw'!V49</f>
        <v>38.65</v>
      </c>
      <c r="BC97" s="3">
        <f>'QTR Raw'!W49</f>
        <v>38.65</v>
      </c>
      <c r="BD97" s="3">
        <f>'QTR Raw'!X49</f>
        <v>38.65</v>
      </c>
      <c r="BE97" s="3">
        <f>'QTR Raw'!Y49</f>
        <v>39.090000000000003</v>
      </c>
      <c r="BF97" s="3">
        <f>'QTR Raw'!Z49</f>
        <v>39.090000000000003</v>
      </c>
      <c r="BG97" s="3">
        <f>'QTR Raw'!AA49</f>
        <v>39.090000000000003</v>
      </c>
      <c r="BH97" s="3">
        <f>'QTR Raw'!AB49</f>
        <v>39.090000000000003</v>
      </c>
      <c r="BI97" s="3">
        <f>'QTR Raw'!AC49</f>
        <v>39.090000000000003</v>
      </c>
      <c r="BJ97" s="3">
        <f>'QTR Raw'!AD49</f>
        <v>39.090000000000003</v>
      </c>
      <c r="BK97" s="3">
        <f>'QTR Raw'!AE49</f>
        <v>39.090000000000003</v>
      </c>
      <c r="BL97" s="3">
        <f>'QTR Raw'!AF49</f>
        <v>39.090000000000003</v>
      </c>
      <c r="BM97" s="3">
        <f>'QTR Raw'!AG49</f>
        <v>39.090000000000003</v>
      </c>
      <c r="BN97" s="3">
        <f>'QTR Raw'!AH49</f>
        <v>40.75</v>
      </c>
      <c r="BO97" s="3">
        <f>'QTR Raw'!AI49</f>
        <v>40.75</v>
      </c>
      <c r="BP97" s="3">
        <f>'QTR Raw'!AJ49</f>
        <v>40.75</v>
      </c>
      <c r="BQ97" s="3">
        <f>'QTR Raw'!AK49</f>
        <v>40.75</v>
      </c>
      <c r="BR97" s="3">
        <f>'QTR Raw'!AL49</f>
        <v>40.75</v>
      </c>
      <c r="BS97" s="3">
        <f>'QTR Raw'!AM49</f>
        <v>40.75</v>
      </c>
      <c r="BT97" s="3">
        <f>'QTR Raw'!AN49</f>
        <v>40.75</v>
      </c>
      <c r="BU97" s="3">
        <f>'QTR Raw'!AO49</f>
        <v>41.05</v>
      </c>
      <c r="BV97" s="3">
        <f>'QTR Raw'!AP49</f>
        <v>38.19</v>
      </c>
      <c r="BW97" s="3">
        <f>'QTR Raw'!AQ49</f>
        <v>38.19</v>
      </c>
      <c r="BX97" s="3">
        <f>'QTR Raw'!AR49</f>
        <v>38.19</v>
      </c>
      <c r="BY97" s="3">
        <f>'QTR Raw'!AS49</f>
        <v>38.19</v>
      </c>
      <c r="BZ97" s="3">
        <f>'QTR Raw'!AT49</f>
        <v>38.19</v>
      </c>
      <c r="CA97" s="3">
        <f>'QTR Raw'!AU49</f>
        <v>38.19</v>
      </c>
      <c r="CB97" s="3">
        <f>'QTR Raw'!AV49</f>
        <v>38.19</v>
      </c>
      <c r="CC97" s="3">
        <f>'QTR Raw'!AW49</f>
        <v>38.119999999999997</v>
      </c>
      <c r="CD97" s="3">
        <f>'QTR Raw'!AX49</f>
        <v>38.119999999999997</v>
      </c>
      <c r="CE97" s="3">
        <f>'QTR Raw'!AY49</f>
        <v>38.119999999999997</v>
      </c>
      <c r="CF97" s="3">
        <f>'QTR Raw'!AZ49</f>
        <v>38.119999999999997</v>
      </c>
      <c r="CG97" s="3">
        <f>'QTR Raw'!BA49</f>
        <v>38.119999999999997</v>
      </c>
      <c r="CH97" s="3">
        <f>'QTR Raw'!BB49</f>
        <v>38.119999999999997</v>
      </c>
      <c r="CI97" s="3">
        <f>'QTR Raw'!BC49</f>
        <v>38.119999999999997</v>
      </c>
      <c r="CJ97" s="3">
        <f>'QTR Raw'!BD49</f>
        <v>38.119999999999997</v>
      </c>
      <c r="CK97" s="3">
        <f>'QTR Raw'!BE49</f>
        <v>38.119999999999997</v>
      </c>
      <c r="CL97" s="3">
        <f>'QTR Raw'!BF49</f>
        <v>38.119999999999997</v>
      </c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E97" s="134"/>
    </row>
    <row r="98" spans="1:110" s="3" customFormat="1" x14ac:dyDescent="0.2">
      <c r="A98" s="3" t="s">
        <v>35</v>
      </c>
      <c r="B98" s="3">
        <f>'Annual Raw'!C113</f>
        <v>0</v>
      </c>
      <c r="C98" s="3">
        <f>'Annual Raw'!D113</f>
        <v>0</v>
      </c>
      <c r="D98" s="3">
        <f>'Annual Raw'!E113</f>
        <v>0</v>
      </c>
      <c r="E98" s="3">
        <f>'Annual Raw'!F113</f>
        <v>0</v>
      </c>
      <c r="F98" s="3">
        <f>'Annual Raw'!G113</f>
        <v>0</v>
      </c>
      <c r="G98" s="3">
        <f>'Annual Raw'!H113</f>
        <v>0</v>
      </c>
      <c r="H98" s="3">
        <f>'Annual Raw'!I113</f>
        <v>0</v>
      </c>
      <c r="I98" s="3">
        <f>'Annual Raw'!J113</f>
        <v>0</v>
      </c>
      <c r="J98" s="3">
        <f>'Annual Raw'!K113</f>
        <v>11.7</v>
      </c>
      <c r="K98" s="3">
        <f>'Annual Raw'!L113</f>
        <v>4.6900000000000004</v>
      </c>
      <c r="L98" s="3">
        <f>'Annual Raw'!M113</f>
        <v>0</v>
      </c>
      <c r="M98" s="3">
        <f>'Annual Raw'!N113</f>
        <v>0</v>
      </c>
      <c r="N98" s="3">
        <f>'Annual Raw'!O113</f>
        <v>0</v>
      </c>
      <c r="O98" s="3">
        <f>'Annual Raw'!P113</f>
        <v>0</v>
      </c>
      <c r="P98" s="3">
        <f>'Annual Raw'!Q113</f>
        <v>0</v>
      </c>
      <c r="Q98" s="3">
        <f>'Annual Raw'!R113</f>
        <v>0</v>
      </c>
      <c r="R98" s="3">
        <f>'Annual Raw'!S113</f>
        <v>0</v>
      </c>
      <c r="S98" s="3">
        <f>'Annual Raw'!T113</f>
        <v>0</v>
      </c>
      <c r="T98" s="3">
        <f>'Annual Raw'!U113</f>
        <v>0</v>
      </c>
      <c r="U98" s="3">
        <f>'Annual Raw'!V113</f>
        <v>0</v>
      </c>
      <c r="V98" s="3">
        <f>'Annual Raw'!W113</f>
        <v>0</v>
      </c>
      <c r="W98" s="3">
        <f>'Annual Raw'!X113</f>
        <v>0</v>
      </c>
      <c r="X98" s="3">
        <f>'Annual Raw'!Y113</f>
        <v>0</v>
      </c>
      <c r="Y98" s="3">
        <f>'Annual Raw'!Z113</f>
        <v>0</v>
      </c>
      <c r="Z98" s="3">
        <f>'Annual Raw'!AA113</f>
        <v>0</v>
      </c>
      <c r="AA98" s="3">
        <f>'Annual Raw'!AB113</f>
        <v>0</v>
      </c>
      <c r="AB98" s="37"/>
      <c r="AC98" s="37"/>
      <c r="AD98" s="37"/>
      <c r="AE98" s="37"/>
      <c r="AI98" s="3">
        <f>'QTR Raw'!C50</f>
        <v>0</v>
      </c>
      <c r="AJ98" s="3">
        <f>'QTR Raw'!D50</f>
        <v>0</v>
      </c>
      <c r="AK98" s="3">
        <f>'QTR Raw'!E50</f>
        <v>0</v>
      </c>
      <c r="AL98" s="3">
        <f>'QTR Raw'!F50</f>
        <v>0</v>
      </c>
      <c r="AM98" s="3">
        <f>'QTR Raw'!G50</f>
        <v>0</v>
      </c>
      <c r="AN98" s="3">
        <f>'QTR Raw'!H50</f>
        <v>0</v>
      </c>
      <c r="AO98" s="3">
        <f>'QTR Raw'!I50</f>
        <v>0</v>
      </c>
      <c r="AP98" s="3">
        <f>'QTR Raw'!J50</f>
        <v>0</v>
      </c>
      <c r="AQ98" s="3">
        <f>'QTR Raw'!K50</f>
        <v>0</v>
      </c>
      <c r="AR98" s="3">
        <f>'QTR Raw'!L50</f>
        <v>0</v>
      </c>
      <c r="AS98" s="3">
        <f>'QTR Raw'!M50</f>
        <v>0</v>
      </c>
      <c r="AT98" s="3">
        <f>'QTR Raw'!N50</f>
        <v>0</v>
      </c>
      <c r="AU98" s="3">
        <f>'QTR Raw'!O50</f>
        <v>0</v>
      </c>
      <c r="AV98" s="3">
        <f>'QTR Raw'!P50</f>
        <v>0</v>
      </c>
      <c r="AW98" s="3">
        <f>'QTR Raw'!Q50</f>
        <v>0</v>
      </c>
      <c r="AX98" s="3">
        <f>'QTR Raw'!R50</f>
        <v>0</v>
      </c>
      <c r="AY98" s="3">
        <f>'QTR Raw'!S50</f>
        <v>0</v>
      </c>
      <c r="AZ98" s="3">
        <f>'QTR Raw'!T50</f>
        <v>0</v>
      </c>
      <c r="BA98" s="3">
        <f>'QTR Raw'!U50</f>
        <v>0</v>
      </c>
      <c r="BB98" s="3">
        <f>'QTR Raw'!V50</f>
        <v>0</v>
      </c>
      <c r="BC98" s="3">
        <f>'QTR Raw'!W50</f>
        <v>0</v>
      </c>
      <c r="BD98" s="3">
        <f>'QTR Raw'!X50</f>
        <v>0</v>
      </c>
      <c r="BE98" s="3">
        <f>'QTR Raw'!Y50</f>
        <v>0</v>
      </c>
      <c r="BF98" s="3">
        <f>'QTR Raw'!Z50</f>
        <v>0</v>
      </c>
      <c r="BG98" s="3">
        <f>'QTR Raw'!AA50</f>
        <v>0</v>
      </c>
      <c r="BH98" s="3">
        <f>'QTR Raw'!AB50</f>
        <v>0</v>
      </c>
      <c r="BI98" s="3">
        <f>'QTR Raw'!AC50</f>
        <v>0</v>
      </c>
      <c r="BJ98" s="3">
        <f>'QTR Raw'!AD50</f>
        <v>0</v>
      </c>
      <c r="BK98" s="3">
        <f>'QTR Raw'!AE50</f>
        <v>0</v>
      </c>
      <c r="BL98" s="3">
        <f>'QTR Raw'!AF50</f>
        <v>0</v>
      </c>
      <c r="BM98" s="3">
        <f>'QTR Raw'!AG50</f>
        <v>0</v>
      </c>
      <c r="BN98" s="3">
        <f>'QTR Raw'!AH50</f>
        <v>0</v>
      </c>
      <c r="BO98" s="3">
        <f>'QTR Raw'!AI50</f>
        <v>0</v>
      </c>
      <c r="BP98" s="3">
        <f>'QTR Raw'!AJ50</f>
        <v>0</v>
      </c>
      <c r="BQ98" s="3">
        <f>'QTR Raw'!AK50</f>
        <v>0</v>
      </c>
      <c r="BR98" s="3">
        <f>'QTR Raw'!AL50</f>
        <v>0</v>
      </c>
      <c r="BS98" s="3">
        <f>'QTR Raw'!AM50</f>
        <v>0</v>
      </c>
      <c r="BT98" s="3">
        <f>'QTR Raw'!AN50</f>
        <v>0</v>
      </c>
      <c r="BU98" s="3">
        <f>'QTR Raw'!AO50</f>
        <v>0</v>
      </c>
      <c r="BV98" s="3">
        <f>'QTR Raw'!AP50</f>
        <v>0</v>
      </c>
      <c r="BW98" s="3">
        <f>'QTR Raw'!AQ50</f>
        <v>0</v>
      </c>
      <c r="BX98" s="3">
        <f>'QTR Raw'!AR50</f>
        <v>0</v>
      </c>
      <c r="BY98" s="3">
        <f>'QTR Raw'!AS50</f>
        <v>0</v>
      </c>
      <c r="BZ98" s="3">
        <f>'QTR Raw'!AT50</f>
        <v>0</v>
      </c>
      <c r="CA98" s="3">
        <f>'QTR Raw'!AU50</f>
        <v>0</v>
      </c>
      <c r="CB98" s="3">
        <f>'QTR Raw'!AV50</f>
        <v>0</v>
      </c>
      <c r="CC98" s="3">
        <f>'QTR Raw'!AW50</f>
        <v>0</v>
      </c>
      <c r="CD98" s="3">
        <f>'QTR Raw'!AX50</f>
        <v>0</v>
      </c>
      <c r="CE98" s="3">
        <f>'QTR Raw'!AY50</f>
        <v>0</v>
      </c>
      <c r="CF98" s="3">
        <f>'QTR Raw'!AZ50</f>
        <v>0</v>
      </c>
      <c r="CG98" s="3">
        <f>'QTR Raw'!BA50</f>
        <v>0</v>
      </c>
      <c r="CH98" s="3">
        <f>'QTR Raw'!BB50</f>
        <v>0</v>
      </c>
      <c r="CI98" s="3">
        <f>'QTR Raw'!BC50</f>
        <v>0</v>
      </c>
      <c r="CJ98" s="3">
        <f>'QTR Raw'!BD50</f>
        <v>0</v>
      </c>
      <c r="CK98" s="3">
        <f>'QTR Raw'!BE50</f>
        <v>0</v>
      </c>
      <c r="CL98" s="3">
        <f>'QTR Raw'!BF50</f>
        <v>0</v>
      </c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E98" s="134"/>
    </row>
    <row r="99" spans="1:110" s="3" customFormat="1" x14ac:dyDescent="0.2">
      <c r="AB99" s="37"/>
      <c r="AC99" s="37"/>
      <c r="AD99" s="37"/>
      <c r="AE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</row>
    <row r="100" spans="1:110" s="13" customFormat="1" x14ac:dyDescent="0.2">
      <c r="A100" s="13" t="s">
        <v>36</v>
      </c>
      <c r="AB100" s="37"/>
      <c r="AC100" s="37"/>
      <c r="AD100" s="37"/>
      <c r="AE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E100" s="134"/>
    </row>
    <row r="101" spans="1:110" s="13" customFormat="1" x14ac:dyDescent="0.2">
      <c r="A101" s="13" t="s">
        <v>457</v>
      </c>
      <c r="B101" s="13">
        <f>'Annual Raw'!C106</f>
        <v>21.290735432645199</v>
      </c>
      <c r="C101" s="13">
        <f>'Annual Raw'!D106</f>
        <v>14.63685816355</v>
      </c>
      <c r="D101" s="13">
        <f>'Annual Raw'!E106</f>
        <v>15.217818553251099</v>
      </c>
      <c r="E101" s="13">
        <f>'Annual Raw'!F106</f>
        <v>35.020626656877603</v>
      </c>
      <c r="F101" s="13">
        <f>'Annual Raw'!G106</f>
        <v>52.637519049613999</v>
      </c>
      <c r="G101" s="13">
        <f>'Annual Raw'!H106</f>
        <v>113.42520183964</v>
      </c>
      <c r="H101" s="13">
        <f>'Annual Raw'!I106</f>
        <v>121.54192901086</v>
      </c>
      <c r="I101" s="13">
        <f>'Annual Raw'!J106</f>
        <v>101.485533657239</v>
      </c>
      <c r="J101" s="13">
        <f>'Annual Raw'!K106</f>
        <v>35.749039124677701</v>
      </c>
      <c r="K101" s="13">
        <f>'Annual Raw'!L106</f>
        <v>93.047308686185204</v>
      </c>
      <c r="L101" s="13">
        <f>'Annual Raw'!M106</f>
        <v>76.397692748676704</v>
      </c>
      <c r="M101" s="13">
        <f>'Annual Raw'!N106</f>
        <v>57.933404774382502</v>
      </c>
      <c r="N101" s="13">
        <f>'Annual Raw'!O106</f>
        <v>48.542476984016702</v>
      </c>
      <c r="O101" s="13">
        <f>'Annual Raw'!P106</f>
        <v>65.600394129801998</v>
      </c>
      <c r="P101" s="13">
        <f>'Annual Raw'!Q106</f>
        <v>106.022213749203</v>
      </c>
      <c r="Q101" s="13">
        <f>'Annual Raw'!R106</f>
        <v>90.098466626408495</v>
      </c>
      <c r="R101" s="13">
        <f>'Annual Raw'!S106</f>
        <v>115.23167433589001</v>
      </c>
      <c r="S101" s="13">
        <f>'Annual Raw'!T106</f>
        <v>123.460797638342</v>
      </c>
      <c r="T101" s="13">
        <f>'Annual Raw'!U106</f>
        <v>149.63623176661301</v>
      </c>
      <c r="U101" s="13">
        <f>'Annual Raw'!V106</f>
        <v>72.612593192868701</v>
      </c>
      <c r="V101" s="13">
        <f>'Annual Raw'!W106</f>
        <v>107.513172030563</v>
      </c>
      <c r="W101" s="13">
        <f>'Annual Raw'!X106</f>
        <v>238.4</v>
      </c>
      <c r="X101" s="13">
        <f>'Annual Raw'!Y106</f>
        <v>324.39999999999998</v>
      </c>
      <c r="Y101" s="13">
        <f>'Annual Raw'!Z106</f>
        <v>591.35</v>
      </c>
      <c r="Z101" s="13">
        <f>'Annual Raw'!AA106</f>
        <v>786.65</v>
      </c>
      <c r="AA101" s="13">
        <f>'Annual Raw'!AB106</f>
        <v>570.75</v>
      </c>
      <c r="AB101" s="37">
        <f>+CP101</f>
        <v>659</v>
      </c>
      <c r="AC101" s="37">
        <f>+CT101</f>
        <v>659</v>
      </c>
      <c r="AD101" s="37">
        <f>+CX101</f>
        <v>659</v>
      </c>
      <c r="AE101" s="37">
        <f>+DB101</f>
        <v>659</v>
      </c>
      <c r="AJ101" s="13">
        <f>'QTR Share Price'!HP21</f>
        <v>61.018347236918203</v>
      </c>
      <c r="AK101" s="13">
        <f>'QTR Share Price'!HQ21</f>
        <v>57.026068755989698</v>
      </c>
      <c r="AL101" s="13">
        <f>'QTR Share Price'!HR21</f>
        <v>48.542476984016702</v>
      </c>
      <c r="AM101" s="13">
        <f>'QTR Share Price'!HS21</f>
        <v>43.552128882856103</v>
      </c>
      <c r="AN101" s="13">
        <f>'QTR Share Price'!HT21</f>
        <v>43.506762081936401</v>
      </c>
      <c r="AO101" s="13">
        <f>'QTR Share Price'!HU21</f>
        <v>55.9372655339183</v>
      </c>
      <c r="AP101" s="13">
        <f>'QTR Share Price'!HV21</f>
        <v>65.600394129801998</v>
      </c>
      <c r="AQ101" s="13">
        <f>'QTR Share Price'!HW21</f>
        <v>94.408312713774507</v>
      </c>
      <c r="AR101" s="13">
        <f>'QTR Share Price'!HX21</f>
        <v>88.238427788703206</v>
      </c>
      <c r="AS101" s="13">
        <f>'QTR Share Price'!HY21</f>
        <v>113.870670308301</v>
      </c>
      <c r="AT101" s="13">
        <f>'QTR Share Price'!HZ21</f>
        <v>106.022213749203</v>
      </c>
      <c r="AU101" s="13">
        <f>'QTR Share Price'!IA21</f>
        <v>82.885145280185498</v>
      </c>
      <c r="AV101" s="13">
        <f>'QTR Share Price'!IB21</f>
        <v>78.166997984542704</v>
      </c>
      <c r="AW101" s="13">
        <f>'QTR Share Price'!IC21</f>
        <v>105.88611334644401</v>
      </c>
      <c r="AX101" s="13">
        <f>'QTR Share Price'!ID21</f>
        <v>90.098466626408495</v>
      </c>
      <c r="AY101" s="13">
        <f>'QTR Share Price'!IE21</f>
        <v>115.322407937729</v>
      </c>
      <c r="AZ101" s="13">
        <f>'QTR Share Price'!IF21</f>
        <v>118.679551205783</v>
      </c>
      <c r="BA101" s="13">
        <f>'QTR Share Price'!IG21</f>
        <v>89.100397006176394</v>
      </c>
      <c r="BB101" s="13">
        <f>'QTR Share Price'!IH21</f>
        <v>115.23167433589001</v>
      </c>
      <c r="BC101" s="13">
        <f>'QTR Share Price'!II21</f>
        <v>120.99325805268499</v>
      </c>
      <c r="BD101" s="13">
        <f>'QTR Share Price'!IJ21</f>
        <v>105.341711735408</v>
      </c>
      <c r="BE101" s="13">
        <f>'QTR Share Price'!IK21</f>
        <v>114.396341745774</v>
      </c>
      <c r="BF101" s="13">
        <f>'QTR Share Price'!IL21</f>
        <v>123.460797638342</v>
      </c>
      <c r="BG101" s="13">
        <f>'QTR Share Price'!IM21</f>
        <v>127.96878907154399</v>
      </c>
      <c r="BH101" s="13">
        <f>'QTR Share Price'!IN21</f>
        <v>131.313427876823</v>
      </c>
      <c r="BI101" s="13">
        <f>'QTR Share Price'!IO21</f>
        <v>143.18931928687201</v>
      </c>
      <c r="BJ101" s="13">
        <f>'QTR Share Price'!IP21</f>
        <v>149.63623176661301</v>
      </c>
      <c r="BK101" s="13">
        <f>'QTR Share Price'!IQ21</f>
        <v>152.641559388747</v>
      </c>
      <c r="BL101" s="13">
        <f>'QTR Share Price'!IR21</f>
        <v>154.82284556610301</v>
      </c>
      <c r="BM101" s="13">
        <f>'QTR Share Price'!IS21</f>
        <v>140.57177587404499</v>
      </c>
      <c r="BN101" s="13">
        <f>'QTR Share Price'!IT21</f>
        <v>72.612593192868701</v>
      </c>
      <c r="BO101" s="13">
        <f>'QTR Share Price'!IU21</f>
        <v>77.411422783051606</v>
      </c>
      <c r="BP101" s="13">
        <f>'QTR Share Price'!IV21</f>
        <v>91.807911553600405</v>
      </c>
      <c r="BQ101" s="13">
        <f>'QTR Share Price'!IW21</f>
        <v>116.43220884464</v>
      </c>
      <c r="BR101" s="13">
        <f>'QTR Share Price'!IX21</f>
        <v>107.513172030563</v>
      </c>
      <c r="BS101" s="13">
        <f>'QTR Share Price'!IY21</f>
        <v>136.98477193794901</v>
      </c>
      <c r="BT101" s="13">
        <f>'QTR Share Price'!IZ21</f>
        <v>175.76319286872001</v>
      </c>
      <c r="BU101" s="13">
        <f>'QTR Share Price'!JA21</f>
        <v>180.6</v>
      </c>
      <c r="BV101" s="13">
        <f>'QTR Share Price'!JB21</f>
        <v>238.4</v>
      </c>
      <c r="BW101" s="13">
        <f>'QTR Share Price'!JC21</f>
        <v>225.15</v>
      </c>
      <c r="BX101" s="13">
        <f>'QTR Share Price'!JD21</f>
        <v>331.75</v>
      </c>
      <c r="BY101" s="13">
        <f>'QTR Share Price'!JE21</f>
        <v>318.55</v>
      </c>
      <c r="BZ101" s="13">
        <f>'QTR Share Price'!JF21</f>
        <v>324.39999999999998</v>
      </c>
      <c r="CA101" s="13">
        <f>'QTR Share Price'!JG21</f>
        <v>392.55</v>
      </c>
      <c r="CB101" s="13">
        <f>'QTR Share Price'!JH21</f>
        <v>411.1</v>
      </c>
      <c r="CC101" s="13">
        <f>'QTR Share Price'!JI21</f>
        <v>438.2</v>
      </c>
      <c r="CD101" s="13">
        <f>'QTR Share Price'!JJ21</f>
        <v>591.35</v>
      </c>
      <c r="CE101" s="13">
        <f>'QTR Share Price'!JK21</f>
        <v>625.70000000000005</v>
      </c>
      <c r="CF101" s="13">
        <f>'QTR Share Price'!JL21</f>
        <v>684.75</v>
      </c>
      <c r="CG101" s="13">
        <f>'QTR Share Price'!JM21</f>
        <v>876.4</v>
      </c>
      <c r="CH101" s="13">
        <f>'QTR Share Price'!JN21</f>
        <v>786.65</v>
      </c>
      <c r="CI101" s="13">
        <f>'QTR Share Price'!JO21</f>
        <v>760.2</v>
      </c>
      <c r="CJ101" s="13">
        <f>'QTR Share Price'!JP21</f>
        <v>720.4</v>
      </c>
      <c r="CK101" s="13">
        <f>'QTR Share Price'!JQ21</f>
        <v>738.75</v>
      </c>
      <c r="CL101" s="13">
        <f>'QTR Share Price'!JR21</f>
        <v>570.75</v>
      </c>
      <c r="CM101" s="37">
        <v>659</v>
      </c>
      <c r="CN101" s="37">
        <f t="shared" ref="CN101" si="921">+CM101</f>
        <v>659</v>
      </c>
      <c r="CO101" s="37">
        <f t="shared" ref="CO101" si="922">+CN101</f>
        <v>659</v>
      </c>
      <c r="CP101" s="37">
        <f t="shared" ref="CP101" si="923">+CO101</f>
        <v>659</v>
      </c>
      <c r="CQ101" s="37">
        <f t="shared" ref="CQ101" si="924">+CP101</f>
        <v>659</v>
      </c>
      <c r="CR101" s="37">
        <f t="shared" ref="CR101" si="925">+CQ101</f>
        <v>659</v>
      </c>
      <c r="CS101" s="37">
        <f t="shared" ref="CS101" si="926">+CR101</f>
        <v>659</v>
      </c>
      <c r="CT101" s="37">
        <f t="shared" ref="CT101" si="927">+CS101</f>
        <v>659</v>
      </c>
      <c r="CU101" s="37">
        <f t="shared" ref="CU101" si="928">+CT101</f>
        <v>659</v>
      </c>
      <c r="CV101" s="37">
        <f t="shared" ref="CV101" si="929">+CU101</f>
        <v>659</v>
      </c>
      <c r="CW101" s="37">
        <f t="shared" ref="CW101" si="930">+CV101</f>
        <v>659</v>
      </c>
      <c r="CX101" s="37">
        <f t="shared" ref="CX101" si="931">+CW101</f>
        <v>659</v>
      </c>
      <c r="CY101" s="37">
        <f t="shared" ref="CY101" si="932">+CX101</f>
        <v>659</v>
      </c>
      <c r="CZ101" s="37">
        <f t="shared" ref="CZ101" si="933">+CY101</f>
        <v>659</v>
      </c>
      <c r="DA101" s="37">
        <f t="shared" ref="DA101" si="934">+CZ101</f>
        <v>659</v>
      </c>
      <c r="DB101" s="37">
        <f t="shared" ref="DB101" si="935">+DA101</f>
        <v>659</v>
      </c>
      <c r="DE101" s="134"/>
      <c r="DF101" s="13">
        <v>570.75</v>
      </c>
    </row>
    <row r="102" spans="1:110" s="13" customFormat="1" x14ac:dyDescent="0.2">
      <c r="A102" s="13" t="s">
        <v>458</v>
      </c>
      <c r="B102" s="13">
        <f>'Annual Raw'!C107</f>
        <v>26.824487633827498</v>
      </c>
      <c r="C102" s="13">
        <f>'Annual Raw'!D107</f>
        <v>21.8507979666017</v>
      </c>
      <c r="D102" s="13">
        <f>'Annual Raw'!E107</f>
        <v>18.900020735457701</v>
      </c>
      <c r="E102" s="13">
        <f>'Annual Raw'!F107</f>
        <v>41.377754374398798</v>
      </c>
      <c r="F102" s="13">
        <f>'Annual Raw'!G107</f>
        <v>58.004088404839102</v>
      </c>
      <c r="G102" s="13">
        <f>'Annual Raw'!H107</f>
        <v>115.088671156914</v>
      </c>
      <c r="H102" s="13">
        <f>'Annual Raw'!I107</f>
        <v>137.006342261898</v>
      </c>
      <c r="I102" s="13">
        <f>'Annual Raw'!J107</f>
        <v>148.62555005592199</v>
      </c>
      <c r="J102" s="13">
        <f>'Annual Raw'!K107</f>
        <v>110.694994243926</v>
      </c>
      <c r="K102" s="13">
        <f>'Annual Raw'!L107</f>
        <v>99.353294014015404</v>
      </c>
      <c r="L102" s="13">
        <f>'Annual Raw'!M107</f>
        <v>107.38321777679199</v>
      </c>
      <c r="M102" s="13">
        <f>'Annual Raw'!N107</f>
        <v>85.652520136283599</v>
      </c>
      <c r="N102" s="13">
        <f>'Annual Raw'!O107</f>
        <v>65.101359319685898</v>
      </c>
      <c r="O102" s="13">
        <f>'Annual Raw'!P107</f>
        <v>67.142865361069795</v>
      </c>
      <c r="P102" s="13">
        <f>'Annual Raw'!Q107</f>
        <v>115.458508340488</v>
      </c>
      <c r="Q102" s="13">
        <f>'Annual Raw'!R107</f>
        <v>113.235535095426</v>
      </c>
      <c r="R102" s="13">
        <f>'Annual Raw'!S107</f>
        <v>129.74905063017499</v>
      </c>
      <c r="S102" s="13">
        <f>'Annual Raw'!T107</f>
        <v>155.69536003704599</v>
      </c>
      <c r="T102" s="13">
        <f>'Annual Raw'!U107</f>
        <v>151.67209886547801</v>
      </c>
      <c r="U102" s="13">
        <f>'Annual Raw'!V107</f>
        <v>159.088471868488</v>
      </c>
      <c r="V102" s="13">
        <f>'Annual Raw'!W107</f>
        <v>134.75501273442899</v>
      </c>
      <c r="W102" s="13">
        <f>'Annual Raw'!X107</f>
        <v>245.45</v>
      </c>
      <c r="X102" s="13">
        <f>'Annual Raw'!Y107</f>
        <v>348.7</v>
      </c>
      <c r="Y102" s="13">
        <f>'Annual Raw'!Z107</f>
        <v>602.75</v>
      </c>
      <c r="Z102" s="13">
        <f>'Annual Raw'!AA107</f>
        <v>894.15</v>
      </c>
      <c r="AA102" s="13">
        <f>'Annual Raw'!AB107</f>
        <v>853.3</v>
      </c>
      <c r="AB102" s="37">
        <f>+MAX(CM102:CP102)</f>
        <v>925.9023086134697</v>
      </c>
      <c r="AC102" s="37">
        <f>+MAX(CQ102:CT102)</f>
        <v>1072.7514145252103</v>
      </c>
      <c r="AD102" s="37">
        <f>+MAX(CU102:CX102)</f>
        <v>1188.8849070312456</v>
      </c>
      <c r="AE102" s="37">
        <f>+MAX(CY102:DB102)</f>
        <v>1298.5829957109606</v>
      </c>
      <c r="AJ102" s="13">
        <f>'QTR Share Price'!HP19</f>
        <v>61.4266484451949</v>
      </c>
      <c r="AK102" s="13">
        <f>'QTR Share Price'!HQ19</f>
        <v>65.101359319685898</v>
      </c>
      <c r="AL102" s="13">
        <f>'QTR Share Price'!HR19</f>
        <v>61.789582852552101</v>
      </c>
      <c r="AM102" s="13">
        <f>'QTR Share Price'!HS19</f>
        <v>54.440161103570098</v>
      </c>
      <c r="AN102" s="13">
        <f>'QTR Share Price'!HT19</f>
        <v>48.315642979418499</v>
      </c>
      <c r="AO102" s="13">
        <f>'QTR Share Price'!HU19</f>
        <v>56.617767547712901</v>
      </c>
      <c r="AP102" s="13">
        <f>'QTR Share Price'!HV19</f>
        <v>67.142865361069795</v>
      </c>
      <c r="AQ102" s="13">
        <f>'QTR Share Price'!HW19</f>
        <v>101.25869965264</v>
      </c>
      <c r="AR102" s="13">
        <f>'QTR Share Price'!HX19</f>
        <v>99.670861620452897</v>
      </c>
      <c r="AS102" s="13">
        <f>'QTR Share Price'!HY19</f>
        <v>115.458508340488</v>
      </c>
      <c r="AT102" s="13">
        <f>'QTR Share Price'!HZ19</f>
        <v>115.18630753497</v>
      </c>
      <c r="AU102" s="13">
        <f>'QTR Share Price'!IA19</f>
        <v>106.611982161158</v>
      </c>
      <c r="AV102" s="13">
        <f>'QTR Share Price'!IB19</f>
        <v>95.270281931247695</v>
      </c>
      <c r="AW102" s="13">
        <f>'QTR Share Price'!IC19</f>
        <v>108.88032220714</v>
      </c>
      <c r="AX102" s="13">
        <f>'QTR Share Price'!ID19</f>
        <v>113.235535095426</v>
      </c>
      <c r="AY102" s="13">
        <f>'QTR Share Price'!IE19</f>
        <v>124.30503451981799</v>
      </c>
      <c r="AZ102" s="13">
        <f>'QTR Share Price'!IF19</f>
        <v>129.74905063017499</v>
      </c>
      <c r="BA102" s="13">
        <f>'QTR Share Price'!IG19</f>
        <v>121.49229286280099</v>
      </c>
      <c r="BB102" s="13">
        <f>'QTR Share Price'!IH19</f>
        <v>116.86487916899701</v>
      </c>
      <c r="BC102" s="13">
        <f>'QTR Share Price'!II19</f>
        <v>132.15349107891601</v>
      </c>
      <c r="BD102" s="13">
        <f>'QTR Share Price'!IJ19</f>
        <v>121.855227270158</v>
      </c>
      <c r="BE102" s="13">
        <f>'QTR Share Price'!IK19</f>
        <v>121.47340356564</v>
      </c>
      <c r="BF102" s="13">
        <f>'QTR Share Price'!IL19</f>
        <v>155.69536003704599</v>
      </c>
      <c r="BG102" s="13">
        <f>'QTR Share Price'!IM19</f>
        <v>151.13889557767999</v>
      </c>
      <c r="BH102" s="13">
        <f>'QTR Share Price'!IN19</f>
        <v>135.04585089141</v>
      </c>
      <c r="BI102" s="13">
        <f>'QTR Share Price'!IO19</f>
        <v>148.327460060199</v>
      </c>
      <c r="BJ102" s="13">
        <f>'QTR Share Price'!IP19</f>
        <v>151.67209886547801</v>
      </c>
      <c r="BK102" s="13">
        <f>'QTR Share Price'!IQ19</f>
        <v>159.088471868488</v>
      </c>
      <c r="BL102" s="13">
        <f>'QTR Share Price'!IR19</f>
        <v>157.97359226672799</v>
      </c>
      <c r="BM102" s="13">
        <f>'QTR Share Price'!IS19</f>
        <v>156.56787450798799</v>
      </c>
      <c r="BN102" s="13">
        <f>'QTR Share Price'!IT19</f>
        <v>145.95228177818899</v>
      </c>
      <c r="BO102" s="13">
        <f>'QTR Share Price'!IU19</f>
        <v>93.843778652465801</v>
      </c>
      <c r="BP102" s="13">
        <f>'QTR Share Price'!IV19</f>
        <v>108.91888978930299</v>
      </c>
      <c r="BQ102" s="13">
        <f>'QTR Share Price'!IW19</f>
        <v>134.75501273442899</v>
      </c>
      <c r="BR102" s="13">
        <f>'QTR Share Price'!IX19</f>
        <v>128.93824959481401</v>
      </c>
      <c r="BS102" s="13">
        <f>'QTR Share Price'!IY19</f>
        <v>146.00075480435299</v>
      </c>
      <c r="BT102" s="13">
        <f>'QTR Share Price'!IZ19</f>
        <v>194.76461912479701</v>
      </c>
      <c r="BU102" s="13">
        <f>'QTR Share Price'!JA19</f>
        <v>230.24687427645301</v>
      </c>
      <c r="BV102" s="13">
        <f>'QTR Share Price'!JB19</f>
        <v>245.45</v>
      </c>
      <c r="BW102" s="13">
        <f>'QTR Share Price'!JC19</f>
        <v>268.85000000000002</v>
      </c>
      <c r="BX102" s="13">
        <f>'QTR Share Price'!JD19</f>
        <v>337.3</v>
      </c>
      <c r="BY102" s="13">
        <f>'QTR Share Price'!JE19</f>
        <v>348.7</v>
      </c>
      <c r="BZ102" s="13">
        <f>'QTR Share Price'!JF19</f>
        <v>330.6</v>
      </c>
      <c r="CA102" s="13">
        <f>'QTR Share Price'!JG19</f>
        <v>405.2</v>
      </c>
      <c r="CB102" s="13">
        <f>'QTR Share Price'!JH19</f>
        <v>436.25</v>
      </c>
      <c r="CC102" s="13">
        <f>'QTR Share Price'!JI19</f>
        <v>451</v>
      </c>
      <c r="CD102" s="13">
        <f>'QTR Share Price'!JJ19</f>
        <v>602.75</v>
      </c>
      <c r="CE102" s="13">
        <f>'QTR Share Price'!JK19</f>
        <v>663.4</v>
      </c>
      <c r="CF102" s="13">
        <f>'QTR Share Price'!JL19</f>
        <v>720.6</v>
      </c>
      <c r="CG102" s="13">
        <f>'QTR Share Price'!JM19</f>
        <v>894.15</v>
      </c>
      <c r="CH102" s="13">
        <f>'QTR Share Price'!JN19</f>
        <v>883.8</v>
      </c>
      <c r="CI102" s="13">
        <f>'QTR Share Price'!JO19</f>
        <v>853.3</v>
      </c>
      <c r="CJ102" s="13">
        <f>'QTR Share Price'!JP19</f>
        <v>811.9</v>
      </c>
      <c r="CK102" s="13">
        <f>'QTR Share Price'!JQ19</f>
        <v>754.15</v>
      </c>
      <c r="CL102" s="13">
        <f>'QTR Share Price'!JR19</f>
        <v>751</v>
      </c>
      <c r="CM102" s="37">
        <f t="shared" ref="CM102:DB102" si="936">+CM93*CM110</f>
        <v>830.82170751438696</v>
      </c>
      <c r="CN102" s="37">
        <f t="shared" si="936"/>
        <v>925.9023086134697</v>
      </c>
      <c r="CO102" s="37">
        <f t="shared" si="936"/>
        <v>897.51238563391644</v>
      </c>
      <c r="CP102" s="37">
        <f t="shared" si="936"/>
        <v>873.14283459703984</v>
      </c>
      <c r="CQ102" s="37">
        <f t="shared" si="936"/>
        <v>918.84168367844859</v>
      </c>
      <c r="CR102" s="37">
        <f t="shared" si="936"/>
        <v>966.91655710578721</v>
      </c>
      <c r="CS102" s="37">
        <f t="shared" si="936"/>
        <v>1009.8524226261688</v>
      </c>
      <c r="CT102" s="37">
        <f t="shared" si="936"/>
        <v>1072.7514145252103</v>
      </c>
      <c r="CU102" s="37">
        <f t="shared" si="936"/>
        <v>1108.6560877574261</v>
      </c>
      <c r="CV102" s="37">
        <f t="shared" si="936"/>
        <v>1140.9322804109156</v>
      </c>
      <c r="CW102" s="37">
        <f t="shared" si="936"/>
        <v>1167.7449340662351</v>
      </c>
      <c r="CX102" s="37">
        <f t="shared" si="936"/>
        <v>1188.8849070312456</v>
      </c>
      <c r="CY102" s="37">
        <f t="shared" si="936"/>
        <v>1218.3259874389234</v>
      </c>
      <c r="CZ102" s="37">
        <f t="shared" si="936"/>
        <v>1245.9742581346441</v>
      </c>
      <c r="DA102" s="37">
        <f t="shared" si="936"/>
        <v>1272.3415246333479</v>
      </c>
      <c r="DB102" s="37">
        <f t="shared" si="936"/>
        <v>1298.5829957109606</v>
      </c>
      <c r="DE102" s="134"/>
      <c r="DF102" s="13">
        <v>751</v>
      </c>
    </row>
    <row r="103" spans="1:110" s="13" customFormat="1" x14ac:dyDescent="0.2">
      <c r="A103" s="13" t="s">
        <v>459</v>
      </c>
      <c r="B103" s="13">
        <f>'Annual Raw'!C108</f>
        <v>15.5605433874633</v>
      </c>
      <c r="C103" s="13">
        <f>'Annual Raw'!D108</f>
        <v>9.6589889251753291</v>
      </c>
      <c r="D103" s="13">
        <f>'Annual Raw'!E108</f>
        <v>11.619207794023101</v>
      </c>
      <c r="E103" s="13">
        <f>'Annual Raw'!F108</f>
        <v>14.2648763312953</v>
      </c>
      <c r="F103" s="13">
        <f>'Annual Raw'!G108</f>
        <v>26.916438199103901</v>
      </c>
      <c r="G103" s="13">
        <f>'Annual Raw'!H108</f>
        <v>50.163212929448001</v>
      </c>
      <c r="H103" s="13">
        <f>'Annual Raw'!I108</f>
        <v>69.004719668820698</v>
      </c>
      <c r="I103" s="13">
        <f>'Annual Raw'!J108</f>
        <v>84.427337208369394</v>
      </c>
      <c r="J103" s="13">
        <f>'Annual Raw'!K108</f>
        <v>30.849424625356399</v>
      </c>
      <c r="K103" s="13">
        <f>'Annual Raw'!L108</f>
        <v>35.386104717320599</v>
      </c>
      <c r="L103" s="13">
        <f>'Annual Raw'!M108</f>
        <v>69.048270999694694</v>
      </c>
      <c r="M103" s="13">
        <f>'Annual Raw'!N108</f>
        <v>46.274136938034601</v>
      </c>
      <c r="N103" s="13">
        <f>'Annual Raw'!O108</f>
        <v>46.5463377435524</v>
      </c>
      <c r="O103" s="13">
        <f>'Annual Raw'!P108</f>
        <v>34.070467490650998</v>
      </c>
      <c r="P103" s="13">
        <f>'Annual Raw'!Q108</f>
        <v>61.698849250712797</v>
      </c>
      <c r="Q103" s="13">
        <f>'Annual Raw'!R108</f>
        <v>73.267383485221401</v>
      </c>
      <c r="R103" s="13">
        <f>'Annual Raw'!S108</f>
        <v>80.571438433283703</v>
      </c>
      <c r="S103" s="13">
        <f>'Annual Raw'!T108</f>
        <v>98.309857592863693</v>
      </c>
      <c r="T103" s="13">
        <f>'Annual Raw'!U108</f>
        <v>106.64065755962</v>
      </c>
      <c r="U103" s="13">
        <f>'Annual Raw'!V108</f>
        <v>69.7042116230609</v>
      </c>
      <c r="V103" s="13">
        <f>'Annual Raw'!W108</f>
        <v>60.203498495021996</v>
      </c>
      <c r="W103" s="13">
        <f>'Annual Raw'!X108</f>
        <v>90.935397082658</v>
      </c>
      <c r="X103" s="13">
        <f>'Annual Raw'!Y108</f>
        <v>207.25</v>
      </c>
      <c r="Y103" s="13">
        <f>'Annual Raw'!Z108</f>
        <v>318.3</v>
      </c>
      <c r="Z103" s="13">
        <f>'Annual Raw'!AA108</f>
        <v>507.45</v>
      </c>
      <c r="AA103" s="13">
        <f>'Annual Raw'!AB108</f>
        <v>569</v>
      </c>
      <c r="AB103" s="37">
        <f>+MIN(CM103:CP103)</f>
        <v>629.47743219132656</v>
      </c>
      <c r="AC103" s="37">
        <f>+MIN(CQ103:CT103)</f>
        <v>696.16633556995635</v>
      </c>
      <c r="AD103" s="37">
        <f>+MIN(CU103:CX103)</f>
        <v>839.98044465243072</v>
      </c>
      <c r="AE103" s="37">
        <f>+MIN(CY103:DB103)</f>
        <v>923.07255240046265</v>
      </c>
      <c r="AJ103" s="13">
        <f>+'QTR Share Price'!HP20</f>
        <v>50.130315016204101</v>
      </c>
      <c r="AK103" s="13">
        <f>+'QTR Share Price'!HQ20</f>
        <v>46.5463377435524</v>
      </c>
      <c r="AL103" s="13">
        <f>+'QTR Share Price'!HR20</f>
        <v>47.861974970222001</v>
      </c>
      <c r="AM103" s="13">
        <f>+'QTR Share Price'!HS20</f>
        <v>41.782823646990003</v>
      </c>
      <c r="AN103" s="13">
        <f>+'QTR Share Price'!HT20</f>
        <v>34.070467490650998</v>
      </c>
      <c r="AO103" s="13">
        <f>+'QTR Share Price'!HU20</f>
        <v>41.737456846070401</v>
      </c>
      <c r="AP103" s="13">
        <f>+'QTR Share Price'!HV20</f>
        <v>50.810817029998802</v>
      </c>
      <c r="AQ103" s="13">
        <f>+'QTR Share Price'!HW20</f>
        <v>61.698849250712797</v>
      </c>
      <c r="AR103" s="13">
        <f>+'QTR Share Price'!HX20</f>
        <v>72.2693138649893</v>
      </c>
      <c r="AS103" s="13">
        <f>+'QTR Share Price'!HY20</f>
        <v>84.336882909614005</v>
      </c>
      <c r="AT103" s="13">
        <f>+'QTR Share Price'!HZ20</f>
        <v>92.049239065953103</v>
      </c>
      <c r="AU103" s="13">
        <f>+'QTR Share Price'!IA20</f>
        <v>81.705608456274803</v>
      </c>
      <c r="AV103" s="13">
        <f>+'QTR Share Price'!IB20</f>
        <v>73.267383485221401</v>
      </c>
      <c r="AW103" s="13">
        <f>+'QTR Share Price'!IC20</f>
        <v>77.395762368908805</v>
      </c>
      <c r="AX103" s="13">
        <f>+'QTR Share Price'!ID20</f>
        <v>83.474913692140802</v>
      </c>
      <c r="AY103" s="13">
        <f>+'QTR Share Price'!IE20</f>
        <v>89.055030205256799</v>
      </c>
      <c r="AZ103" s="13">
        <f>+'QTR Share Price'!IF20</f>
        <v>111.69306386415801</v>
      </c>
      <c r="BA103" s="13">
        <f>+'QTR Share Price'!IG20</f>
        <v>80.571438433283703</v>
      </c>
      <c r="BB103" s="13">
        <f>+'QTR Share Price'!IH20</f>
        <v>86.287655349158598</v>
      </c>
      <c r="BC103" s="13">
        <f>+'QTR Share Price'!II20</f>
        <v>112.32819907703301</v>
      </c>
      <c r="BD103" s="13">
        <f>+'QTR Share Price'!IJ20</f>
        <v>98.309857592863693</v>
      </c>
      <c r="BE103" s="13">
        <f>+'QTR Share Price'!IK20</f>
        <v>99.854433896735401</v>
      </c>
      <c r="BF103" s="13">
        <f>+'QTR Share Price'!IL20</f>
        <v>113.669246353323</v>
      </c>
      <c r="BG103" s="13">
        <f>+'QTR Share Price'!IM20</f>
        <v>123.654689742996</v>
      </c>
      <c r="BH103" s="13">
        <f>+'QTR Share Price'!IN20</f>
        <v>117.740980551053</v>
      </c>
      <c r="BI103" s="13">
        <f>+'QTR Share Price'!IO20</f>
        <v>106.64065755962</v>
      </c>
      <c r="BJ103" s="13">
        <f>+'QTR Share Price'!IP20</f>
        <v>126.70849039129401</v>
      </c>
      <c r="BK103" s="13">
        <f>+'QTR Share Price'!IQ20</f>
        <v>135.869892336189</v>
      </c>
      <c r="BL103" s="13">
        <f>+'QTR Share Price'!IR20</f>
        <v>117.450142394073</v>
      </c>
      <c r="BM103" s="13">
        <f>+'QTR Share Price'!IS20</f>
        <v>133.97944431581399</v>
      </c>
      <c r="BN103" s="13">
        <f>+'QTR Share Price'!IT20</f>
        <v>69.7042116230609</v>
      </c>
      <c r="BO103" s="13">
        <f>+'QTR Share Price'!IU20</f>
        <v>60.203498495021996</v>
      </c>
      <c r="BP103" s="13">
        <f>+'QTR Share Price'!IV20</f>
        <v>73.824418846955297</v>
      </c>
      <c r="BQ103" s="13">
        <f>+'QTR Share Price'!IW20</f>
        <v>89.190368140773302</v>
      </c>
      <c r="BR103" s="13">
        <f>+'QTR Share Price'!IX20</f>
        <v>99.612068765917996</v>
      </c>
      <c r="BS103" s="13">
        <f>+'QTR Share Price'!IY20</f>
        <v>90.935397082658</v>
      </c>
      <c r="BT103" s="13">
        <f>+'QTR Share Price'!IZ20</f>
        <v>128.98672262097699</v>
      </c>
      <c r="BU103" s="13">
        <f>+'QTR Share Price'!JA20</f>
        <v>171.15</v>
      </c>
      <c r="BV103" s="13">
        <f>+'QTR Share Price'!JB20</f>
        <v>178.2</v>
      </c>
      <c r="BW103" s="13">
        <f>+'QTR Share Price'!JC20</f>
        <v>207.25</v>
      </c>
      <c r="BX103" s="13">
        <f>+'QTR Share Price'!JD20</f>
        <v>220.5</v>
      </c>
      <c r="BY103" s="13">
        <f>+'QTR Share Price'!JE20</f>
        <v>294.05</v>
      </c>
      <c r="BZ103" s="13">
        <f>+'QTR Share Price'!JF20</f>
        <v>280.2</v>
      </c>
      <c r="CA103" s="13">
        <f>+'QTR Share Price'!JG20</f>
        <v>318.3</v>
      </c>
      <c r="CB103" s="13">
        <f>+'QTR Share Price'!JH20</f>
        <v>376.7</v>
      </c>
      <c r="CC103" s="13">
        <f>+'QTR Share Price'!JI20</f>
        <v>371.45</v>
      </c>
      <c r="CD103" s="13">
        <f>+'QTR Share Price'!JJ20</f>
        <v>429.3</v>
      </c>
      <c r="CE103" s="13">
        <f>+'QTR Share Price'!JK20</f>
        <v>507.45</v>
      </c>
      <c r="CF103" s="13">
        <f>+'QTR Share Price'!JL20</f>
        <v>571.15</v>
      </c>
      <c r="CG103" s="13">
        <f>+'QTR Share Price'!JM20</f>
        <v>646.5</v>
      </c>
      <c r="CH103" s="13">
        <f>+'QTR Share Price'!JN20</f>
        <v>683.5</v>
      </c>
      <c r="CI103" s="13">
        <f>+'QTR Share Price'!JO20</f>
        <v>698.75</v>
      </c>
      <c r="CJ103" s="13">
        <f>+'QTR Share Price'!JP20</f>
        <v>708.7</v>
      </c>
      <c r="CK103" s="13">
        <f>+'QTR Share Price'!JQ20</f>
        <v>672.55</v>
      </c>
      <c r="CL103" s="13">
        <f>+'QTR Share Price'!JR20</f>
        <v>569</v>
      </c>
      <c r="CM103" s="37">
        <f t="shared" ref="CM103:DB103" si="937">+CM111*CM93</f>
        <v>629.47743219132656</v>
      </c>
      <c r="CN103" s="37">
        <f t="shared" si="937"/>
        <v>701.51586364988589</v>
      </c>
      <c r="CO103" s="37">
        <f t="shared" si="937"/>
        <v>680.00605516071698</v>
      </c>
      <c r="CP103" s="37">
        <f t="shared" si="937"/>
        <v>661.54230743770404</v>
      </c>
      <c r="CQ103" s="37">
        <f t="shared" si="937"/>
        <v>696.16633556995635</v>
      </c>
      <c r="CR103" s="37">
        <f t="shared" si="937"/>
        <v>732.5905738924007</v>
      </c>
      <c r="CS103" s="37">
        <f t="shared" si="937"/>
        <v>765.12120968613863</v>
      </c>
      <c r="CT103" s="37">
        <f t="shared" si="937"/>
        <v>812.77703710365461</v>
      </c>
      <c r="CU103" s="37">
        <f t="shared" si="937"/>
        <v>839.98044465243072</v>
      </c>
      <c r="CV103" s="37">
        <f t="shared" si="937"/>
        <v>864.43471045780427</v>
      </c>
      <c r="CW103" s="37">
        <f t="shared" si="937"/>
        <v>884.74949065737394</v>
      </c>
      <c r="CX103" s="37">
        <f t="shared" si="937"/>
        <v>900.76632769744174</v>
      </c>
      <c r="CY103" s="37">
        <f t="shared" si="937"/>
        <v>923.07255240046265</v>
      </c>
      <c r="CZ103" s="37">
        <f t="shared" si="937"/>
        <v>944.02044324715382</v>
      </c>
      <c r="DA103" s="37">
        <f t="shared" si="937"/>
        <v>963.99777299117841</v>
      </c>
      <c r="DB103" s="37">
        <f t="shared" si="937"/>
        <v>983.87979302201938</v>
      </c>
      <c r="DE103" s="134"/>
      <c r="DF103" s="13">
        <v>569</v>
      </c>
    </row>
    <row r="104" spans="1:110" s="14" customFormat="1" x14ac:dyDescent="0.2">
      <c r="AB104" s="16"/>
      <c r="AC104" s="16"/>
      <c r="AD104" s="16"/>
      <c r="AE104" s="16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E104" s="134"/>
    </row>
    <row r="105" spans="1:110" s="51" customFormat="1" x14ac:dyDescent="0.2">
      <c r="A105" s="51" t="s">
        <v>346</v>
      </c>
      <c r="AB105" s="48">
        <f t="shared" ref="AB105:AD105" si="938">+AB102/AB101-1</f>
        <v>0.40501109046050021</v>
      </c>
      <c r="AC105" s="48">
        <f t="shared" si="938"/>
        <v>0.62784736650259521</v>
      </c>
      <c r="AD105" s="48">
        <f t="shared" si="938"/>
        <v>0.80407421400795998</v>
      </c>
      <c r="AE105" s="48">
        <f t="shared" ref="AE105" si="939">+AE102/AE101-1</f>
        <v>0.97053565358264127</v>
      </c>
      <c r="CM105" s="48">
        <f t="shared" ref="CM105:DB105" si="940">+CM102/CM101-1</f>
        <v>0.26073096739664181</v>
      </c>
      <c r="CN105" s="48">
        <f t="shared" si="940"/>
        <v>0.40501109046050021</v>
      </c>
      <c r="CO105" s="48">
        <f t="shared" si="940"/>
        <v>0.36193078244903854</v>
      </c>
      <c r="CP105" s="48">
        <f t="shared" si="940"/>
        <v>0.32495119058731392</v>
      </c>
      <c r="CQ105" s="48">
        <f t="shared" si="940"/>
        <v>0.39429694033148488</v>
      </c>
      <c r="CR105" s="48">
        <f t="shared" si="940"/>
        <v>0.46724818984186212</v>
      </c>
      <c r="CS105" s="48">
        <f t="shared" si="940"/>
        <v>0.53240124829464164</v>
      </c>
      <c r="CT105" s="48">
        <f t="shared" si="940"/>
        <v>0.62784736650259521</v>
      </c>
      <c r="CU105" s="48">
        <f t="shared" si="940"/>
        <v>0.68233093741642814</v>
      </c>
      <c r="CV105" s="48">
        <f t="shared" si="940"/>
        <v>0.73130846799835458</v>
      </c>
      <c r="CW105" s="48">
        <f t="shared" si="940"/>
        <v>0.77199534759671495</v>
      </c>
      <c r="CX105" s="48">
        <f t="shared" si="940"/>
        <v>0.80407421400795998</v>
      </c>
      <c r="CY105" s="48">
        <f t="shared" si="940"/>
        <v>0.84874960157651502</v>
      </c>
      <c r="CZ105" s="48">
        <f t="shared" si="940"/>
        <v>0.89070448882343567</v>
      </c>
      <c r="DA105" s="48">
        <f t="shared" si="940"/>
        <v>0.93071551537685582</v>
      </c>
      <c r="DB105" s="48">
        <f t="shared" si="940"/>
        <v>0.97053565358264127</v>
      </c>
      <c r="DE105" s="129"/>
      <c r="DF105" s="51">
        <v>0.49505037231712645</v>
      </c>
    </row>
    <row r="106" spans="1:110" s="51" customFormat="1" x14ac:dyDescent="0.2">
      <c r="A106" s="51" t="s">
        <v>347</v>
      </c>
      <c r="AB106" s="48">
        <f t="shared" ref="AB106:AD106" si="941">+AB103/AB101-1</f>
        <v>-4.4799040680839841E-2</v>
      </c>
      <c r="AC106" s="48">
        <f t="shared" si="941"/>
        <v>5.6398081289766866E-2</v>
      </c>
      <c r="AD106" s="48">
        <f t="shared" si="941"/>
        <v>0.27462889932083567</v>
      </c>
      <c r="AE106" s="48">
        <f t="shared" ref="AE106" si="942">+AE103/AE101-1</f>
        <v>0.40071707496276576</v>
      </c>
      <c r="CM106" s="48">
        <f t="shared" ref="CM106:DB106" si="943">+CM103/CM101-1</f>
        <v>-4.4799040680839841E-2</v>
      </c>
      <c r="CN106" s="48">
        <f t="shared" si="943"/>
        <v>6.4515726327596168E-2</v>
      </c>
      <c r="CO106" s="48">
        <f t="shared" si="943"/>
        <v>3.1875652747673788E-2</v>
      </c>
      <c r="CP106" s="48">
        <f t="shared" si="943"/>
        <v>3.8578261573658512E-3</v>
      </c>
      <c r="CQ106" s="48">
        <f t="shared" si="943"/>
        <v>5.6398081289766866E-2</v>
      </c>
      <c r="CR106" s="48">
        <f t="shared" si="943"/>
        <v>0.11167006660455336</v>
      </c>
      <c r="CS106" s="48">
        <f t="shared" si="943"/>
        <v>0.16103370210339696</v>
      </c>
      <c r="CT106" s="48">
        <f t="shared" si="943"/>
        <v>0.23334906996002225</v>
      </c>
      <c r="CU106" s="48">
        <f t="shared" si="943"/>
        <v>0.27462889932083567</v>
      </c>
      <c r="CV106" s="48">
        <f t="shared" si="943"/>
        <v>0.3117370416658638</v>
      </c>
      <c r="CW106" s="48">
        <f t="shared" si="943"/>
        <v>0.34256371875170544</v>
      </c>
      <c r="CX106" s="48">
        <f t="shared" si="943"/>
        <v>0.36686847905529851</v>
      </c>
      <c r="CY106" s="48">
        <f t="shared" si="943"/>
        <v>0.40071707496276576</v>
      </c>
      <c r="CZ106" s="48">
        <f t="shared" si="943"/>
        <v>0.43250446623240335</v>
      </c>
      <c r="DA106" s="48">
        <f t="shared" si="943"/>
        <v>0.46281907889404916</v>
      </c>
      <c r="DB106" s="48">
        <f t="shared" si="943"/>
        <v>0.49298906376634211</v>
      </c>
      <c r="DE106" s="129"/>
      <c r="DF106" s="51">
        <v>-3.0661410424879243E-3</v>
      </c>
    </row>
    <row r="107" spans="1:110" s="14" customFormat="1" x14ac:dyDescent="0.2">
      <c r="AB107" s="16"/>
      <c r="AC107" s="16"/>
      <c r="AD107" s="16"/>
      <c r="AE107" s="16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E107" s="134"/>
    </row>
    <row r="108" spans="1:110" s="13" customFormat="1" x14ac:dyDescent="0.2">
      <c r="A108" s="13" t="s">
        <v>40</v>
      </c>
      <c r="AB108" s="37"/>
      <c r="AC108" s="37"/>
      <c r="AD108" s="37"/>
      <c r="AE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E108" s="134"/>
    </row>
    <row r="109" spans="1:110" s="13" customFormat="1" x14ac:dyDescent="0.2">
      <c r="A109" s="13" t="s">
        <v>460</v>
      </c>
      <c r="B109" s="13">
        <f t="shared" ref="B109:D109" si="944">+B101/B93</f>
        <v>0.82253444877211301</v>
      </c>
      <c r="C109" s="13">
        <f t="shared" si="944"/>
        <v>-9.5297985618956833</v>
      </c>
      <c r="D109" s="13">
        <f t="shared" si="944"/>
        <v>3.5320368987792805</v>
      </c>
      <c r="E109" s="13">
        <f t="shared" ref="E109:AE109" si="945">+E101/E93</f>
        <v>103.63484404033184</v>
      </c>
      <c r="F109" s="13">
        <f t="shared" si="945"/>
        <v>58.388594619093404</v>
      </c>
      <c r="G109" s="13">
        <f t="shared" si="945"/>
        <v>64.90690371413676</v>
      </c>
      <c r="H109" s="13">
        <f t="shared" si="945"/>
        <v>46.71836616728099</v>
      </c>
      <c r="I109" s="13">
        <f t="shared" si="945"/>
        <v>35.306865280274216</v>
      </c>
      <c r="J109" s="13">
        <f t="shared" si="945"/>
        <v>295.50047787494867</v>
      </c>
      <c r="K109" s="13">
        <f t="shared" si="945"/>
        <v>-70.370086171784777</v>
      </c>
      <c r="L109" s="13">
        <f t="shared" si="945"/>
        <v>-109.63249910118572</v>
      </c>
      <c r="M109" s="13">
        <f t="shared" si="945"/>
        <v>1800.489265411702</v>
      </c>
      <c r="N109" s="13">
        <f t="shared" si="945"/>
        <v>36365.979862679764</v>
      </c>
      <c r="O109" s="13">
        <f t="shared" si="945"/>
        <v>9431.8788893281398</v>
      </c>
      <c r="P109" s="13">
        <f t="shared" si="945"/>
        <v>-599.09495454790635</v>
      </c>
      <c r="Q109" s="13">
        <f t="shared" si="945"/>
        <v>-86.419243528322212</v>
      </c>
      <c r="R109" s="13">
        <f t="shared" si="945"/>
        <v>-312.8973011249625</v>
      </c>
      <c r="S109" s="13">
        <f t="shared" si="945"/>
        <v>224.09347023516474</v>
      </c>
      <c r="T109" s="13">
        <f t="shared" si="945"/>
        <v>76.003501390450083</v>
      </c>
      <c r="U109" s="13">
        <f t="shared" si="945"/>
        <v>32.97182031796634</v>
      </c>
      <c r="V109" s="13">
        <f t="shared" si="945"/>
        <v>-17.389069957537377</v>
      </c>
      <c r="W109" s="13">
        <f t="shared" si="945"/>
        <v>-128.85948203842938</v>
      </c>
      <c r="X109" s="13">
        <f t="shared" si="945"/>
        <v>46.20744120884622</v>
      </c>
      <c r="Y109" s="13">
        <f t="shared" si="945"/>
        <v>66.853120954355234</v>
      </c>
      <c r="Z109" s="13">
        <f t="shared" ref="Z109:AA109" si="946">+Z101/Z93</f>
        <v>69.860531323504603</v>
      </c>
      <c r="AA109" s="13">
        <f t="shared" si="946"/>
        <v>44.91232371591105</v>
      </c>
      <c r="AB109" s="37">
        <f t="shared" si="945"/>
        <v>44.602547323103977</v>
      </c>
      <c r="AC109" s="37">
        <f t="shared" si="945"/>
        <v>36.303279653264383</v>
      </c>
      <c r="AD109" s="37">
        <f t="shared" si="945"/>
        <v>32.75707713136957</v>
      </c>
      <c r="AE109" s="37">
        <f t="shared" si="945"/>
        <v>29.989915722423248</v>
      </c>
      <c r="AL109" s="13">
        <f t="shared" ref="AL109:BQ109" si="947">+AL101/AL93</f>
        <v>469.07916998675711</v>
      </c>
      <c r="AM109" s="13">
        <f t="shared" si="947"/>
        <v>221.08452300947792</v>
      </c>
      <c r="AN109" s="13">
        <f t="shared" si="947"/>
        <v>169.71094860901204</v>
      </c>
      <c r="AO109" s="13">
        <f t="shared" si="947"/>
        <v>204.05203424136246</v>
      </c>
      <c r="AP109" s="13">
        <f t="shared" si="947"/>
        <v>9431.8788893311194</v>
      </c>
      <c r="AQ109" s="13">
        <f t="shared" si="947"/>
        <v>-802.75264227470291</v>
      </c>
      <c r="AR109" s="13">
        <f t="shared" si="947"/>
        <v>-260.68613141228701</v>
      </c>
      <c r="AS109" s="13">
        <f t="shared" si="947"/>
        <v>-429.70178185799602</v>
      </c>
      <c r="AT109" s="13">
        <f t="shared" si="947"/>
        <v>-599.09495454789999</v>
      </c>
      <c r="AU109" s="13">
        <f t="shared" si="947"/>
        <v>-1127.9035926560023</v>
      </c>
      <c r="AV109" s="13">
        <f t="shared" si="947"/>
        <v>-350.32400796976827</v>
      </c>
      <c r="AW109" s="13">
        <f t="shared" si="947"/>
        <v>-176.34058001325445</v>
      </c>
      <c r="AX109" s="13">
        <f t="shared" si="947"/>
        <v>-121.00977297228721</v>
      </c>
      <c r="AY109" s="13">
        <f t="shared" si="947"/>
        <v>-110.37514487531165</v>
      </c>
      <c r="AZ109" s="13">
        <f t="shared" si="947"/>
        <v>-143.65887676359515</v>
      </c>
      <c r="BA109" s="13">
        <f t="shared" si="947"/>
        <v>-215.39657795277031</v>
      </c>
      <c r="BB109" s="13">
        <f t="shared" si="947"/>
        <v>-312.89730112496233</v>
      </c>
      <c r="BC109" s="13">
        <f t="shared" si="947"/>
        <v>-474.44023006113218</v>
      </c>
      <c r="BD109" s="13">
        <f t="shared" si="947"/>
        <v>-972.39554140193638</v>
      </c>
      <c r="BE109" s="13">
        <f t="shared" si="947"/>
        <v>-1565.6899311628181</v>
      </c>
      <c r="BF109" s="13">
        <f t="shared" si="947"/>
        <v>224.0934702351648</v>
      </c>
      <c r="BG109" s="13">
        <f t="shared" si="947"/>
        <v>131.79276055599135</v>
      </c>
      <c r="BH109" s="13">
        <f t="shared" si="947"/>
        <v>78.41235610180388</v>
      </c>
      <c r="BI109" s="13">
        <f t="shared" si="947"/>
        <v>75.481696568007408</v>
      </c>
      <c r="BJ109" s="13">
        <f t="shared" si="947"/>
        <v>76.003501390449969</v>
      </c>
      <c r="BK109" s="13">
        <f t="shared" si="947"/>
        <v>82.162303597769863</v>
      </c>
      <c r="BL109" s="13">
        <f t="shared" si="947"/>
        <v>74.466053382033905</v>
      </c>
      <c r="BM109" s="13">
        <f t="shared" si="947"/>
        <v>52.725991667531616</v>
      </c>
      <c r="BN109" s="13">
        <f t="shared" si="947"/>
        <v>32.971820317966404</v>
      </c>
      <c r="BO109" s="13">
        <f t="shared" si="947"/>
        <v>-197.15050847986399</v>
      </c>
      <c r="BP109" s="13">
        <f t="shared" si="947"/>
        <v>-34.575838419207528</v>
      </c>
      <c r="BQ109" s="13">
        <f t="shared" si="947"/>
        <v>-22.727592713859107</v>
      </c>
      <c r="BR109" s="13">
        <f t="shared" ref="BR109:DB109" si="948">+BR101/BR93</f>
        <v>-17.389069957537373</v>
      </c>
      <c r="BS109" s="13">
        <f t="shared" si="948"/>
        <v>-24.020514496818766</v>
      </c>
      <c r="BT109" s="13">
        <f t="shared" si="948"/>
        <v>-37.285403467911017</v>
      </c>
      <c r="BU109" s="13">
        <f t="shared" si="948"/>
        <v>-58.715006166917924</v>
      </c>
      <c r="BV109" s="13">
        <f t="shared" si="948"/>
        <v>-128.85948203842943</v>
      </c>
      <c r="BW109" s="13">
        <f t="shared" si="948"/>
        <v>150.10000000000005</v>
      </c>
      <c r="BX109" s="13">
        <f t="shared" si="948"/>
        <v>109.18723409174994</v>
      </c>
      <c r="BY109" s="13">
        <f t="shared" si="948"/>
        <v>62.211743318149409</v>
      </c>
      <c r="BZ109" s="13">
        <f t="shared" si="948"/>
        <v>46.207441208846198</v>
      </c>
      <c r="CA109" s="13">
        <f t="shared" si="948"/>
        <v>53.59458160681401</v>
      </c>
      <c r="CB109" s="13">
        <f t="shared" si="948"/>
        <v>53.18376929089488</v>
      </c>
      <c r="CC109" s="13">
        <f t="shared" si="948"/>
        <v>53.328820109439128</v>
      </c>
      <c r="CD109" s="13">
        <f t="shared" si="948"/>
        <v>66.853120954355205</v>
      </c>
      <c r="CE109" s="13">
        <f t="shared" si="948"/>
        <v>69.3079780859442</v>
      </c>
      <c r="CF109" s="13">
        <f t="shared" si="948"/>
        <v>71.387890750886257</v>
      </c>
      <c r="CG109" s="13">
        <f t="shared" si="948"/>
        <v>83.404165301633356</v>
      </c>
      <c r="CH109" s="13">
        <f t="shared" si="948"/>
        <v>69.860531323504631</v>
      </c>
      <c r="CI109" s="13">
        <f t="shared" ref="CI109:CJ109" si="949">+CI101/CI93</f>
        <v>65.549330312520837</v>
      </c>
      <c r="CJ109" s="13">
        <f t="shared" si="949"/>
        <v>60.730564357080681</v>
      </c>
      <c r="CK109" s="13">
        <f t="shared" ref="CK109:CL109" si="950">+CK101/CK93</f>
        <v>60.646804547053719</v>
      </c>
      <c r="CL109" s="13">
        <f t="shared" si="950"/>
        <v>44.91232371591105</v>
      </c>
      <c r="CM109" s="37">
        <f t="shared" si="948"/>
        <v>46.874551119343785</v>
      </c>
      <c r="CN109" s="37">
        <f t="shared" si="948"/>
        <v>42.06101900562544</v>
      </c>
      <c r="CO109" s="37">
        <f t="shared" si="948"/>
        <v>43.39148431075639</v>
      </c>
      <c r="CP109" s="37">
        <f t="shared" si="948"/>
        <v>44.602547323103977</v>
      </c>
      <c r="CQ109" s="37">
        <f t="shared" si="948"/>
        <v>42.384227110850503</v>
      </c>
      <c r="CR109" s="37">
        <f t="shared" si="948"/>
        <v>40.276892885683459</v>
      </c>
      <c r="CS109" s="37">
        <f t="shared" si="948"/>
        <v>38.564441424685484</v>
      </c>
      <c r="CT109" s="37">
        <f t="shared" si="948"/>
        <v>36.303279653264354</v>
      </c>
      <c r="CU109" s="37">
        <f t="shared" si="948"/>
        <v>35.12757024472738</v>
      </c>
      <c r="CV109" s="37">
        <f t="shared" si="948"/>
        <v>34.133835345527693</v>
      </c>
      <c r="CW109" s="37">
        <f t="shared" si="948"/>
        <v>33.350086533310261</v>
      </c>
      <c r="CX109" s="37">
        <f t="shared" si="948"/>
        <v>32.757077131369542</v>
      </c>
      <c r="CY109" s="37">
        <f t="shared" si="948"/>
        <v>31.965496099947522</v>
      </c>
      <c r="CZ109" s="37">
        <f t="shared" si="948"/>
        <v>31.256179127045147</v>
      </c>
      <c r="DA109" s="37">
        <f t="shared" si="948"/>
        <v>30.60844423132875</v>
      </c>
      <c r="DB109" s="37">
        <f t="shared" si="948"/>
        <v>29.989915722423252</v>
      </c>
      <c r="DE109" s="134"/>
      <c r="DF109" s="13">
        <v>44.340148577181012</v>
      </c>
    </row>
    <row r="110" spans="1:110" s="13" customFormat="1" x14ac:dyDescent="0.2">
      <c r="A110" s="13" t="s">
        <v>461</v>
      </c>
      <c r="B110" s="13">
        <f t="shared" ref="B110:D110" si="951">+B102/B93</f>
        <v>1.0363223581113932</v>
      </c>
      <c r="C110" s="13">
        <f t="shared" si="951"/>
        <v>-14.226666728038399</v>
      </c>
      <c r="D110" s="13">
        <f t="shared" si="951"/>
        <v>4.3866714793408157</v>
      </c>
      <c r="E110" s="13">
        <f t="shared" ref="E110:AE110" si="952">+E102/E93</f>
        <v>122.44718415076775</v>
      </c>
      <c r="F110" s="13">
        <f t="shared" si="952"/>
        <v>64.341505171016266</v>
      </c>
      <c r="G110" s="13">
        <f t="shared" si="952"/>
        <v>65.858814233638185</v>
      </c>
      <c r="H110" s="13">
        <f t="shared" si="952"/>
        <v>52.662587447162032</v>
      </c>
      <c r="I110" s="13">
        <f t="shared" si="952"/>
        <v>51.706899337537095</v>
      </c>
      <c r="J110" s="13">
        <f t="shared" si="952"/>
        <v>915.00147971430908</v>
      </c>
      <c r="K110" s="13">
        <f t="shared" si="952"/>
        <v>-75.139194888448884</v>
      </c>
      <c r="L110" s="13">
        <f t="shared" si="952"/>
        <v>-154.09746162262857</v>
      </c>
      <c r="M110" s="13">
        <f t="shared" si="952"/>
        <v>2661.9606367245833</v>
      </c>
      <c r="N110" s="13">
        <f t="shared" si="952"/>
        <v>48771.197292472352</v>
      </c>
      <c r="O110" s="13">
        <f t="shared" si="952"/>
        <v>9653.6519752459499</v>
      </c>
      <c r="P110" s="13">
        <f t="shared" si="952"/>
        <v>-652.41619996765723</v>
      </c>
      <c r="Q110" s="13">
        <f t="shared" si="952"/>
        <v>-108.61149639813326</v>
      </c>
      <c r="R110" s="13">
        <f t="shared" si="952"/>
        <v>-352.31743355015362</v>
      </c>
      <c r="S110" s="13">
        <f t="shared" si="952"/>
        <v>282.60236607591366</v>
      </c>
      <c r="T110" s="13">
        <f t="shared" si="952"/>
        <v>77.03756263385732</v>
      </c>
      <c r="U110" s="13">
        <f t="shared" si="952"/>
        <v>72.238661070470968</v>
      </c>
      <c r="V110" s="13">
        <f t="shared" si="952"/>
        <v>-21.795137277706782</v>
      </c>
      <c r="W110" s="13">
        <f t="shared" si="952"/>
        <v>-132.67013366750203</v>
      </c>
      <c r="X110" s="13">
        <f t="shared" si="952"/>
        <v>49.66872610827582</v>
      </c>
      <c r="Y110" s="13">
        <f t="shared" si="952"/>
        <v>68.141910298871423</v>
      </c>
      <c r="Z110" s="13">
        <f t="shared" ref="Z110:AA110" si="953">+Z102/Z93</f>
        <v>79.407352803548761</v>
      </c>
      <c r="AA110" s="13">
        <f t="shared" si="953"/>
        <v>67.146186293100129</v>
      </c>
      <c r="AB110" s="60">
        <f t="shared" si="952"/>
        <v>62.667073651750393</v>
      </c>
      <c r="AC110" s="60">
        <f t="shared" si="952"/>
        <v>59.09619817897368</v>
      </c>
      <c r="AD110" s="60">
        <f t="shared" si="952"/>
        <v>59.096198178973673</v>
      </c>
      <c r="AE110" s="60">
        <f t="shared" si="952"/>
        <v>59.096198178973623</v>
      </c>
      <c r="AL110" s="13">
        <f t="shared" ref="AL110:BQ110" si="954">+AL102/AL93</f>
        <v>597.08956030090019</v>
      </c>
      <c r="AM110" s="13">
        <f t="shared" si="954"/>
        <v>276.35565376184724</v>
      </c>
      <c r="AN110" s="13">
        <f t="shared" si="954"/>
        <v>188.46940591094693</v>
      </c>
      <c r="AO110" s="13">
        <f t="shared" si="954"/>
        <v>206.53441908614781</v>
      </c>
      <c r="AP110" s="13">
        <f t="shared" si="954"/>
        <v>9653.6519752489985</v>
      </c>
      <c r="AQ110" s="13">
        <f t="shared" si="954"/>
        <v>-861.00139238689565</v>
      </c>
      <c r="AR110" s="13">
        <f t="shared" si="954"/>
        <v>-294.461403965447</v>
      </c>
      <c r="AS110" s="13">
        <f t="shared" si="954"/>
        <v>-435.6936393739424</v>
      </c>
      <c r="AT110" s="13">
        <f t="shared" si="954"/>
        <v>-650.87808711900277</v>
      </c>
      <c r="AU110" s="13">
        <f t="shared" si="954"/>
        <v>-1450.7791148010956</v>
      </c>
      <c r="AV110" s="13">
        <f t="shared" si="954"/>
        <v>-426.97644616164473</v>
      </c>
      <c r="AW110" s="13">
        <f t="shared" si="954"/>
        <v>-181.32707456375718</v>
      </c>
      <c r="AX110" s="13">
        <f t="shared" si="954"/>
        <v>-152.08479020082046</v>
      </c>
      <c r="AY110" s="13">
        <f t="shared" si="954"/>
        <v>-118.97242209219269</v>
      </c>
      <c r="AZ110" s="13">
        <f t="shared" si="954"/>
        <v>-157.05825211922024</v>
      </c>
      <c r="BA110" s="13">
        <f t="shared" si="954"/>
        <v>-293.70266586431813</v>
      </c>
      <c r="BB110" s="13">
        <f t="shared" si="954"/>
        <v>-317.3320660227962</v>
      </c>
      <c r="BC110" s="13">
        <f t="shared" si="954"/>
        <v>-518.2018710791408</v>
      </c>
      <c r="BD110" s="13">
        <f t="shared" si="954"/>
        <v>-1124.8296400540958</v>
      </c>
      <c r="BE110" s="13">
        <f t="shared" si="954"/>
        <v>-1662.5504099550985</v>
      </c>
      <c r="BF110" s="13">
        <f t="shared" si="954"/>
        <v>282.60236607591372</v>
      </c>
      <c r="BG110" s="13">
        <f t="shared" si="954"/>
        <v>155.65523765665986</v>
      </c>
      <c r="BH110" s="13">
        <f t="shared" si="954"/>
        <v>80.641131081441898</v>
      </c>
      <c r="BI110" s="13">
        <f t="shared" si="954"/>
        <v>78.190247629689367</v>
      </c>
      <c r="BJ110" s="13">
        <f t="shared" si="954"/>
        <v>77.037562633857206</v>
      </c>
      <c r="BK110" s="13">
        <f t="shared" si="954"/>
        <v>85.632480281956589</v>
      </c>
      <c r="BL110" s="13">
        <f t="shared" si="954"/>
        <v>75.981486528506025</v>
      </c>
      <c r="BM110" s="13">
        <f t="shared" si="954"/>
        <v>58.725845891767953</v>
      </c>
      <c r="BN110" s="13">
        <f t="shared" si="954"/>
        <v>66.273799050331505</v>
      </c>
      <c r="BO110" s="13">
        <f t="shared" si="954"/>
        <v>-239.00024071197032</v>
      </c>
      <c r="BP110" s="13">
        <f t="shared" si="954"/>
        <v>-41.020015273473724</v>
      </c>
      <c r="BQ110" s="13">
        <f t="shared" si="954"/>
        <v>-26.304208053508813</v>
      </c>
      <c r="BR110" s="13">
        <f t="shared" ref="BR110:CH110" si="955">+BR102/BR93</f>
        <v>-20.854339985144001</v>
      </c>
      <c r="BS110" s="13">
        <f t="shared" si="955"/>
        <v>-25.601482542256889</v>
      </c>
      <c r="BT110" s="13">
        <f t="shared" si="955"/>
        <v>-41.316257896874191</v>
      </c>
      <c r="BU110" s="13">
        <f t="shared" si="955"/>
        <v>-74.855739994770303</v>
      </c>
      <c r="BV110" s="13">
        <f t="shared" si="955"/>
        <v>-132.67013366750211</v>
      </c>
      <c r="BW110" s="13">
        <f t="shared" si="955"/>
        <v>179.23333333333341</v>
      </c>
      <c r="BX110" s="13">
        <f t="shared" si="955"/>
        <v>111.01387809840921</v>
      </c>
      <c r="BY110" s="13">
        <f t="shared" si="955"/>
        <v>68.099936886010667</v>
      </c>
      <c r="BZ110" s="13">
        <f t="shared" si="955"/>
        <v>47.090567397178042</v>
      </c>
      <c r="CA110" s="13">
        <f t="shared" si="955"/>
        <v>55.321677409453663</v>
      </c>
      <c r="CB110" s="13">
        <f t="shared" si="955"/>
        <v>56.437410248486721</v>
      </c>
      <c r="CC110" s="13">
        <f t="shared" si="955"/>
        <v>54.886576607387148</v>
      </c>
      <c r="CD110" s="13">
        <f t="shared" si="955"/>
        <v>68.141910298871395</v>
      </c>
      <c r="CE110" s="13">
        <f t="shared" si="955"/>
        <v>73.483958226331112</v>
      </c>
      <c r="CF110" s="13">
        <f t="shared" si="955"/>
        <v>75.125394779245923</v>
      </c>
      <c r="CG110" s="13">
        <f t="shared" si="955"/>
        <v>85.093375632651146</v>
      </c>
      <c r="CH110" s="13">
        <f t="shared" si="955"/>
        <v>78.488193712214311</v>
      </c>
      <c r="CI110" s="13">
        <f t="shared" ref="CI110:CJ110" si="956">+CI102/CI93</f>
        <v>73.577010728326783</v>
      </c>
      <c r="CJ110" s="13">
        <f t="shared" si="956"/>
        <v>68.444121601212942</v>
      </c>
      <c r="CK110" s="13">
        <f t="shared" ref="CK110:CL110" si="957">+CK102/CK93</f>
        <v>61.911049271283332</v>
      </c>
      <c r="CL110" s="13">
        <f t="shared" si="957"/>
        <v>59.09619817897363</v>
      </c>
      <c r="CM110" s="60">
        <f t="shared" ref="CM110:CM111" si="958">+CL110</f>
        <v>59.09619817897363</v>
      </c>
      <c r="CN110" s="60">
        <f t="shared" ref="CN110:CN111" si="959">+CM110</f>
        <v>59.09619817897363</v>
      </c>
      <c r="CO110" s="60">
        <f t="shared" ref="CO110:CO111" si="960">+CN110</f>
        <v>59.09619817897363</v>
      </c>
      <c r="CP110" s="60">
        <f t="shared" ref="CP110:CP111" si="961">+CO110</f>
        <v>59.09619817897363</v>
      </c>
      <c r="CQ110" s="60">
        <f t="shared" ref="CQ110:CQ111" si="962">+CP110</f>
        <v>59.09619817897363</v>
      </c>
      <c r="CR110" s="60">
        <f t="shared" ref="CR110:CR111" si="963">+CQ110</f>
        <v>59.09619817897363</v>
      </c>
      <c r="CS110" s="60">
        <f t="shared" ref="CS110:CS111" si="964">+CR110</f>
        <v>59.09619817897363</v>
      </c>
      <c r="CT110" s="60">
        <f t="shared" ref="CT110:CT111" si="965">+CS110</f>
        <v>59.09619817897363</v>
      </c>
      <c r="CU110" s="60">
        <f t="shared" ref="CU110:CU111" si="966">+CT110</f>
        <v>59.09619817897363</v>
      </c>
      <c r="CV110" s="60">
        <f t="shared" ref="CV110:CV111" si="967">+CU110</f>
        <v>59.09619817897363</v>
      </c>
      <c r="CW110" s="60">
        <f t="shared" ref="CW110:CW111" si="968">+CV110</f>
        <v>59.09619817897363</v>
      </c>
      <c r="CX110" s="60">
        <f t="shared" ref="CX110:CX111" si="969">+CW110</f>
        <v>59.09619817897363</v>
      </c>
      <c r="CY110" s="60">
        <f t="shared" ref="CY110:CY111" si="970">+CX110</f>
        <v>59.09619817897363</v>
      </c>
      <c r="CZ110" s="60">
        <f t="shared" ref="CZ110:CZ111" si="971">+CY110</f>
        <v>59.09619817897363</v>
      </c>
      <c r="DA110" s="60">
        <f t="shared" ref="DA110:DA111" si="972">+CZ110</f>
        <v>59.09619817897363</v>
      </c>
      <c r="DB110" s="60">
        <f t="shared" ref="DB110:DB111" si="973">+DA110</f>
        <v>59.09619817897363</v>
      </c>
      <c r="DE110" s="136"/>
      <c r="DF110" s="13">
        <v>58.343322963579396</v>
      </c>
    </row>
    <row r="111" spans="1:110" s="13" customFormat="1" x14ac:dyDescent="0.2">
      <c r="A111" s="13" t="s">
        <v>462</v>
      </c>
      <c r="B111" s="13">
        <f t="shared" ref="B111:D111" si="974">+B103/B93</f>
        <v>0.60115739159375259</v>
      </c>
      <c r="C111" s="13">
        <f t="shared" si="974"/>
        <v>-6.288796252581637</v>
      </c>
      <c r="D111" s="13">
        <f t="shared" si="974"/>
        <v>2.6968037842917916</v>
      </c>
      <c r="E111" s="13">
        <f t="shared" ref="E111:AE111" si="975">+E103/E93</f>
        <v>42.213357525916308</v>
      </c>
      <c r="F111" s="13">
        <f t="shared" si="975"/>
        <v>29.857277223039695</v>
      </c>
      <c r="G111" s="13">
        <f t="shared" si="975"/>
        <v>28.705603153403707</v>
      </c>
      <c r="H111" s="13">
        <f t="shared" si="975"/>
        <v>26.524079278604262</v>
      </c>
      <c r="I111" s="13">
        <f t="shared" si="975"/>
        <v>29.372310647307266</v>
      </c>
      <c r="J111" s="13">
        <f t="shared" si="975"/>
        <v>255.00041237939737</v>
      </c>
      <c r="K111" s="13">
        <f t="shared" si="975"/>
        <v>-26.761905028762648</v>
      </c>
      <c r="L111" s="13">
        <f t="shared" si="975"/>
        <v>-99.085904769598898</v>
      </c>
      <c r="M111" s="13">
        <f t="shared" si="975"/>
        <v>1438.1355134846806</v>
      </c>
      <c r="N111" s="13">
        <f t="shared" si="975"/>
        <v>34870.556391691011</v>
      </c>
      <c r="O111" s="13">
        <f t="shared" si="975"/>
        <v>4898.576103655214</v>
      </c>
      <c r="P111" s="13">
        <f t="shared" si="975"/>
        <v>-348.63891235992776</v>
      </c>
      <c r="Q111" s="13">
        <f t="shared" si="975"/>
        <v>-70.275467421067646</v>
      </c>
      <c r="R111" s="13">
        <f t="shared" si="975"/>
        <v>-218.78173495981628</v>
      </c>
      <c r="S111" s="13">
        <f t="shared" si="975"/>
        <v>178.44204450099761</v>
      </c>
      <c r="T111" s="13">
        <f t="shared" si="975"/>
        <v>54.165112749915551</v>
      </c>
      <c r="U111" s="13">
        <f t="shared" si="975"/>
        <v>31.651186660370907</v>
      </c>
      <c r="V111" s="13">
        <f t="shared" si="975"/>
        <v>-9.7372519780258546</v>
      </c>
      <c r="W111" s="13">
        <f t="shared" si="975"/>
        <v>-49.152215465730748</v>
      </c>
      <c r="X111" s="13">
        <f t="shared" si="975"/>
        <v>29.520629440608445</v>
      </c>
      <c r="Y111" s="13">
        <f t="shared" si="975"/>
        <v>35.984355119254708</v>
      </c>
      <c r="Z111" s="13">
        <f t="shared" ref="Z111:AA111" si="976">+Z103/Z93</f>
        <v>45.065437767892213</v>
      </c>
      <c r="AA111" s="13">
        <f t="shared" si="976"/>
        <v>44.774616196852193</v>
      </c>
      <c r="AB111" s="60">
        <f t="shared" si="975"/>
        <v>42.604395991107161</v>
      </c>
      <c r="AC111" s="60">
        <f t="shared" si="975"/>
        <v>38.350714970234328</v>
      </c>
      <c r="AD111" s="60">
        <f t="shared" si="975"/>
        <v>41.753117168925307</v>
      </c>
      <c r="AE111" s="60">
        <f t="shared" si="975"/>
        <v>42.007387029092548</v>
      </c>
      <c r="AL111" s="13">
        <f t="shared" ref="AL111:BQ111" si="977">+AL103/AL93</f>
        <v>462.50329377198881</v>
      </c>
      <c r="AM111" s="13">
        <f t="shared" si="977"/>
        <v>212.10296426221754</v>
      </c>
      <c r="AN111" s="13">
        <f t="shared" si="977"/>
        <v>132.90190031842369</v>
      </c>
      <c r="AO111" s="13">
        <f t="shared" si="977"/>
        <v>152.25293714683971</v>
      </c>
      <c r="AP111" s="13">
        <f t="shared" si="977"/>
        <v>7305.4663596478958</v>
      </c>
      <c r="AQ111" s="13">
        <f t="shared" si="977"/>
        <v>-524.62450432176649</v>
      </c>
      <c r="AR111" s="13">
        <f t="shared" si="977"/>
        <v>-213.50797292533323</v>
      </c>
      <c r="AS111" s="13">
        <f t="shared" si="977"/>
        <v>-318.25323206135977</v>
      </c>
      <c r="AT111" s="13">
        <f t="shared" si="977"/>
        <v>-520.13849498403351</v>
      </c>
      <c r="AU111" s="13">
        <f t="shared" si="977"/>
        <v>-1111.8524194709687</v>
      </c>
      <c r="AV111" s="13">
        <f t="shared" si="977"/>
        <v>-328.36521931002659</v>
      </c>
      <c r="AW111" s="13">
        <f t="shared" si="977"/>
        <v>-128.89332883573758</v>
      </c>
      <c r="AX111" s="13">
        <f t="shared" si="977"/>
        <v>-112.11378764804051</v>
      </c>
      <c r="AY111" s="13">
        <f t="shared" si="977"/>
        <v>-85.234622104735436</v>
      </c>
      <c r="AZ111" s="13">
        <f t="shared" si="977"/>
        <v>-135.20189395717537</v>
      </c>
      <c r="BA111" s="13">
        <f t="shared" si="977"/>
        <v>-194.77816825057022</v>
      </c>
      <c r="BB111" s="13">
        <f t="shared" si="977"/>
        <v>-234.30341210223563</v>
      </c>
      <c r="BC111" s="13">
        <f t="shared" si="977"/>
        <v>-440.46269577478785</v>
      </c>
      <c r="BD111" s="13">
        <f t="shared" si="977"/>
        <v>-907.48541697588269</v>
      </c>
      <c r="BE111" s="13">
        <f t="shared" si="977"/>
        <v>-1366.6615500828052</v>
      </c>
      <c r="BF111" s="13">
        <f t="shared" si="977"/>
        <v>206.32084322790126</v>
      </c>
      <c r="BG111" s="13">
        <f t="shared" si="977"/>
        <v>127.34974703724798</v>
      </c>
      <c r="BH111" s="13">
        <f t="shared" si="977"/>
        <v>70.307719812211644</v>
      </c>
      <c r="BI111" s="13">
        <f t="shared" si="977"/>
        <v>56.215210714155653</v>
      </c>
      <c r="BJ111" s="13">
        <f t="shared" si="977"/>
        <v>64.358002149217796</v>
      </c>
      <c r="BK111" s="13">
        <f t="shared" si="977"/>
        <v>73.134625908081816</v>
      </c>
      <c r="BL111" s="13">
        <f t="shared" si="977"/>
        <v>56.490684829263905</v>
      </c>
      <c r="BM111" s="13">
        <f t="shared" si="977"/>
        <v>50.253324472088785</v>
      </c>
      <c r="BN111" s="13">
        <f t="shared" si="977"/>
        <v>31.651186660370964</v>
      </c>
      <c r="BO111" s="13">
        <f t="shared" si="977"/>
        <v>-153.32556764683227</v>
      </c>
      <c r="BP111" s="13">
        <f t="shared" si="977"/>
        <v>-27.803063311749227</v>
      </c>
      <c r="BQ111" s="13">
        <f t="shared" si="977"/>
        <v>-17.409979431099387</v>
      </c>
      <c r="BR111" s="13">
        <f t="shared" ref="BR111:CH111" si="978">+BR103/BR93</f>
        <v>-16.111153635139388</v>
      </c>
      <c r="BS111" s="13">
        <f t="shared" si="978"/>
        <v>-15.945677705602215</v>
      </c>
      <c r="BT111" s="13">
        <f t="shared" si="978"/>
        <v>-27.362509274161866</v>
      </c>
      <c r="BU111" s="13">
        <f t="shared" si="978"/>
        <v>-55.642709332602458</v>
      </c>
      <c r="BV111" s="13">
        <f t="shared" si="978"/>
        <v>-96.320300751879714</v>
      </c>
      <c r="BW111" s="13">
        <f t="shared" si="978"/>
        <v>138.16666666666671</v>
      </c>
      <c r="BX111" s="13">
        <f t="shared" si="978"/>
        <v>72.57207269700335</v>
      </c>
      <c r="BY111" s="13">
        <f t="shared" si="978"/>
        <v>57.426975742275417</v>
      </c>
      <c r="BZ111" s="13">
        <f t="shared" si="978"/>
        <v>39.911606124287012</v>
      </c>
      <c r="CA111" s="13">
        <f t="shared" si="978"/>
        <v>43.457280156537763</v>
      </c>
      <c r="CB111" s="13">
        <f t="shared" si="978"/>
        <v>48.733461181902456</v>
      </c>
      <c r="CC111" s="13">
        <f t="shared" si="978"/>
        <v>45.205363372093025</v>
      </c>
      <c r="CD111" s="13">
        <f t="shared" si="978"/>
        <v>48.533093473754448</v>
      </c>
      <c r="CE111" s="13">
        <f t="shared" si="978"/>
        <v>56.20957883923986</v>
      </c>
      <c r="CF111" s="13">
        <f t="shared" si="978"/>
        <v>59.544642281662924</v>
      </c>
      <c r="CG111" s="13">
        <f t="shared" si="978"/>
        <v>61.525322760732507</v>
      </c>
      <c r="CH111" s="13">
        <f t="shared" si="978"/>
        <v>60.700023084745972</v>
      </c>
      <c r="CI111" s="13">
        <f t="shared" ref="CI111:CJ111" si="979">+CI103/CI93</f>
        <v>60.250716332378232</v>
      </c>
      <c r="CJ111" s="13">
        <f t="shared" si="979"/>
        <v>59.744240643896561</v>
      </c>
      <c r="CK111" s="13">
        <f t="shared" ref="CK111:CL111" si="980">+CK103/CK93</f>
        <v>55.212194109131609</v>
      </c>
      <c r="CL111" s="13">
        <f t="shared" si="980"/>
        <v>44.774616196852193</v>
      </c>
      <c r="CM111" s="60">
        <f t="shared" si="958"/>
        <v>44.774616196852193</v>
      </c>
      <c r="CN111" s="60">
        <f t="shared" si="959"/>
        <v>44.774616196852193</v>
      </c>
      <c r="CO111" s="60">
        <f t="shared" si="960"/>
        <v>44.774616196852193</v>
      </c>
      <c r="CP111" s="60">
        <f t="shared" si="961"/>
        <v>44.774616196852193</v>
      </c>
      <c r="CQ111" s="60">
        <f t="shared" si="962"/>
        <v>44.774616196852193</v>
      </c>
      <c r="CR111" s="60">
        <f t="shared" si="963"/>
        <v>44.774616196852193</v>
      </c>
      <c r="CS111" s="60">
        <f t="shared" si="964"/>
        <v>44.774616196852193</v>
      </c>
      <c r="CT111" s="60">
        <f t="shared" si="965"/>
        <v>44.774616196852193</v>
      </c>
      <c r="CU111" s="60">
        <f t="shared" si="966"/>
        <v>44.774616196852193</v>
      </c>
      <c r="CV111" s="60">
        <f t="shared" si="967"/>
        <v>44.774616196852193</v>
      </c>
      <c r="CW111" s="60">
        <f t="shared" si="968"/>
        <v>44.774616196852193</v>
      </c>
      <c r="CX111" s="60">
        <f t="shared" si="969"/>
        <v>44.774616196852193</v>
      </c>
      <c r="CY111" s="60">
        <f t="shared" si="970"/>
        <v>44.774616196852193</v>
      </c>
      <c r="CZ111" s="60">
        <f t="shared" si="971"/>
        <v>44.774616196852193</v>
      </c>
      <c r="DA111" s="60">
        <f t="shared" si="972"/>
        <v>44.774616196852193</v>
      </c>
      <c r="DB111" s="60">
        <f t="shared" si="973"/>
        <v>44.774616196852193</v>
      </c>
      <c r="DE111" s="136"/>
      <c r="DF111" s="13">
        <v>44.204195427798503</v>
      </c>
    </row>
    <row r="112" spans="1:110" s="13" customFormat="1" x14ac:dyDescent="0.2">
      <c r="AB112" s="60"/>
      <c r="AC112" s="60"/>
      <c r="AD112" s="60"/>
      <c r="AE112" s="60"/>
      <c r="CM112" s="60"/>
      <c r="CN112" s="60"/>
      <c r="CO112" s="60"/>
      <c r="CP112" s="60"/>
      <c r="CQ112" s="60"/>
      <c r="CR112" s="60"/>
      <c r="CS112" s="60"/>
      <c r="CT112" s="60"/>
      <c r="CU112" s="60"/>
      <c r="CV112" s="60"/>
      <c r="CW112" s="60"/>
      <c r="CX112" s="60"/>
      <c r="CY112" s="60"/>
      <c r="CZ112" s="60"/>
      <c r="DA112" s="60"/>
      <c r="DB112" s="60"/>
      <c r="DE112" s="136"/>
    </row>
    <row r="113" spans="1:110" s="13" customFormat="1" x14ac:dyDescent="0.2">
      <c r="A113" s="13" t="s">
        <v>463</v>
      </c>
      <c r="B113" s="13">
        <f t="shared" ref="B113:AD113" si="981">+B102/C93</f>
        <v>-17.464947792760277</v>
      </c>
      <c r="C113" s="13">
        <f t="shared" si="981"/>
        <v>5.0715432317544877</v>
      </c>
      <c r="D113" s="13">
        <f t="shared" si="981"/>
        <v>55.929915831290046</v>
      </c>
      <c r="E113" s="13">
        <f t="shared" si="981"/>
        <v>45.898609395666554</v>
      </c>
      <c r="F113" s="13">
        <f t="shared" si="981"/>
        <v>33.192497963917383</v>
      </c>
      <c r="G113" s="13">
        <f t="shared" si="981"/>
        <v>44.237858692649802</v>
      </c>
      <c r="H113" s="13">
        <f t="shared" si="981"/>
        <v>47.664571436570739</v>
      </c>
      <c r="I113" s="13">
        <f t="shared" si="981"/>
        <v>1228.5343086504008</v>
      </c>
      <c r="J113" s="13">
        <f t="shared" si="981"/>
        <v>-83.716728551513938</v>
      </c>
      <c r="K113" s="13">
        <f t="shared" si="981"/>
        <v>-142.57433077885787</v>
      </c>
      <c r="L113" s="13">
        <f t="shared" si="981"/>
        <v>3337.3203533512124</v>
      </c>
      <c r="M113" s="13">
        <f t="shared" si="981"/>
        <v>64167.26166424236</v>
      </c>
      <c r="N113" s="13">
        <f t="shared" si="981"/>
        <v>9360.1287732959008</v>
      </c>
      <c r="O113" s="13">
        <f t="shared" si="981"/>
        <v>-379.40116933286248</v>
      </c>
      <c r="P113" s="13">
        <f t="shared" si="981"/>
        <v>-110.7436932424872</v>
      </c>
      <c r="Q113" s="13">
        <f t="shared" si="981"/>
        <v>-307.47703291649924</v>
      </c>
      <c r="R113" s="13">
        <f t="shared" si="981"/>
        <v>235.50726685410774</v>
      </c>
      <c r="S113" s="13">
        <f t="shared" si="981"/>
        <v>79.081064614877107</v>
      </c>
      <c r="T113" s="13">
        <f t="shared" si="981"/>
        <v>68.871045243602566</v>
      </c>
      <c r="U113" s="13">
        <f t="shared" si="981"/>
        <v>-25.730805951594881</v>
      </c>
      <c r="V113" s="13">
        <f t="shared" si="981"/>
        <v>-72.837504794632849</v>
      </c>
      <c r="W113" s="13">
        <f t="shared" si="981"/>
        <v>34.961826278394895</v>
      </c>
      <c r="X113" s="13">
        <f t="shared" si="981"/>
        <v>39.421126704631213</v>
      </c>
      <c r="Y113" s="13">
        <f t="shared" si="981"/>
        <v>53.528806019503463</v>
      </c>
      <c r="Z113" s="13">
        <f t="shared" ref="Z113:AA113" si="982">+Z102/AA93</f>
        <v>70.360673237988379</v>
      </c>
      <c r="AA113" s="13">
        <f t="shared" si="982"/>
        <v>57.753192156000949</v>
      </c>
      <c r="AB113" s="37">
        <f t="shared" si="981"/>
        <v>51.006510532925489</v>
      </c>
      <c r="AC113" s="37">
        <f t="shared" si="981"/>
        <v>53.32352174262234</v>
      </c>
      <c r="AD113" s="37">
        <f t="shared" si="981"/>
        <v>54.104033635095675</v>
      </c>
      <c r="AE113" s="37"/>
      <c r="AL113" s="13">
        <f t="shared" ref="AL113:BQ113" si="983">+AL102/AP93</f>
        <v>8883.9689123575281</v>
      </c>
      <c r="AM113" s="13">
        <f t="shared" si="983"/>
        <v>-462.90397440155851</v>
      </c>
      <c r="AN113" s="13">
        <f t="shared" si="983"/>
        <v>-142.74073519490275</v>
      </c>
      <c r="AO113" s="13">
        <f t="shared" si="983"/>
        <v>-213.65251942580798</v>
      </c>
      <c r="AP113" s="13">
        <f t="shared" si="983"/>
        <v>-379.40116933285839</v>
      </c>
      <c r="AQ113" s="13">
        <f t="shared" si="983"/>
        <v>-1377.9314826536327</v>
      </c>
      <c r="AR113" s="13">
        <f t="shared" si="983"/>
        <v>-446.69869153196811</v>
      </c>
      <c r="AS113" s="13">
        <f t="shared" si="983"/>
        <v>-192.28225198531743</v>
      </c>
      <c r="AT113" s="13">
        <f t="shared" si="983"/>
        <v>-154.70484067302931</v>
      </c>
      <c r="AU113" s="13">
        <f t="shared" si="983"/>
        <v>-102.03839121045745</v>
      </c>
      <c r="AV113" s="13">
        <f t="shared" si="983"/>
        <v>-115.32249281481246</v>
      </c>
      <c r="AW113" s="13">
        <f t="shared" si="983"/>
        <v>-263.21374087914859</v>
      </c>
      <c r="AX113" s="13">
        <f t="shared" si="983"/>
        <v>-307.47703291649907</v>
      </c>
      <c r="AY113" s="13">
        <f t="shared" si="983"/>
        <v>-487.42640808679909</v>
      </c>
      <c r="AZ113" s="13">
        <f t="shared" si="983"/>
        <v>-1197.6964894097903</v>
      </c>
      <c r="BA113" s="13">
        <f t="shared" si="983"/>
        <v>-1662.8089390472039</v>
      </c>
      <c r="BB113" s="13">
        <f t="shared" si="983"/>
        <v>212.1212305650989</v>
      </c>
      <c r="BC113" s="13">
        <f t="shared" si="983"/>
        <v>136.10251009458719</v>
      </c>
      <c r="BD113" s="13">
        <f t="shared" si="983"/>
        <v>72.7644965794114</v>
      </c>
      <c r="BE113" s="13">
        <f t="shared" si="983"/>
        <v>64.034235477124639</v>
      </c>
      <c r="BF113" s="13">
        <f t="shared" si="983"/>
        <v>79.081064614877008</v>
      </c>
      <c r="BG113" s="13">
        <f t="shared" si="983"/>
        <v>81.353465423260417</v>
      </c>
      <c r="BH113" s="13">
        <f t="shared" si="983"/>
        <v>64.953796093408485</v>
      </c>
      <c r="BI113" s="13">
        <f t="shared" si="983"/>
        <v>55.635011897464324</v>
      </c>
      <c r="BJ113" s="13">
        <f t="shared" si="983"/>
        <v>68.871045243602694</v>
      </c>
      <c r="BK113" s="13">
        <f t="shared" si="983"/>
        <v>-405.16466426481747</v>
      </c>
      <c r="BL113" s="13">
        <f t="shared" si="983"/>
        <v>-59.494539286270857</v>
      </c>
      <c r="BM113" s="13">
        <f t="shared" si="983"/>
        <v>-30.562083457853834</v>
      </c>
      <c r="BN113" s="13">
        <f t="shared" si="983"/>
        <v>-23.606172065890309</v>
      </c>
      <c r="BO113" s="13">
        <f t="shared" si="983"/>
        <v>-16.45566739767904</v>
      </c>
      <c r="BP113" s="13">
        <f t="shared" si="983"/>
        <v>-23.105433423164865</v>
      </c>
      <c r="BQ113" s="13">
        <f t="shared" si="983"/>
        <v>-43.810306775886502</v>
      </c>
      <c r="BR113" s="13">
        <f t="shared" ref="BR113:CL113" si="984">+BR102/BV93</f>
        <v>-69.693439839469249</v>
      </c>
      <c r="BS113" s="13">
        <f t="shared" si="984"/>
        <v>97.333836536235353</v>
      </c>
      <c r="BT113" s="13">
        <f t="shared" si="984"/>
        <v>64.101914276321708</v>
      </c>
      <c r="BU113" s="13">
        <f t="shared" si="984"/>
        <v>44.966439938135025</v>
      </c>
      <c r="BV113" s="13">
        <f t="shared" si="984"/>
        <v>34.961826278394881</v>
      </c>
      <c r="BW113" s="13">
        <f t="shared" si="984"/>
        <v>36.705905655310019</v>
      </c>
      <c r="BX113" s="13">
        <f t="shared" si="984"/>
        <v>43.636305964044865</v>
      </c>
      <c r="BY113" s="13">
        <f t="shared" si="984"/>
        <v>42.436694596443232</v>
      </c>
      <c r="BZ113" s="13">
        <f t="shared" si="984"/>
        <v>37.374890990969533</v>
      </c>
      <c r="CA113" s="13">
        <f t="shared" si="984"/>
        <v>44.883478856360213</v>
      </c>
      <c r="CB113" s="13">
        <f t="shared" si="984"/>
        <v>45.480784724460214</v>
      </c>
      <c r="CC113" s="13">
        <f t="shared" si="984"/>
        <v>42.920217424733735</v>
      </c>
      <c r="CD113" s="13">
        <f t="shared" si="984"/>
        <v>53.528806019503484</v>
      </c>
      <c r="CE113" s="13">
        <f t="shared" si="984"/>
        <v>57.202612114346643</v>
      </c>
      <c r="CF113" s="13">
        <f t="shared" si="984"/>
        <v>60.747424591494088</v>
      </c>
      <c r="CG113" s="13">
        <f t="shared" si="984"/>
        <v>73.404183127916184</v>
      </c>
      <c r="CH113" s="13">
        <f t="shared" si="984"/>
        <v>69.546231625268831</v>
      </c>
      <c r="CI113" s="13">
        <f t="shared" si="984"/>
        <v>60.695075068491725</v>
      </c>
      <c r="CJ113" s="13">
        <f t="shared" si="984"/>
        <v>51.819941321194683</v>
      </c>
      <c r="CK113" s="13">
        <f t="shared" si="984"/>
        <v>49.656582538629635</v>
      </c>
      <c r="CL113" s="13">
        <f t="shared" si="984"/>
        <v>50.82930658520651</v>
      </c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E113" s="134"/>
      <c r="DF113" s="13">
        <v>48.207285541466582</v>
      </c>
    </row>
    <row r="114" spans="1:110" s="98" customFormat="1" x14ac:dyDescent="0.2">
      <c r="A114" s="98" t="s">
        <v>426</v>
      </c>
      <c r="AB114" s="99"/>
      <c r="AC114" s="99"/>
      <c r="AD114" s="99"/>
      <c r="AE114" s="99"/>
      <c r="AL114" s="175"/>
      <c r="AM114" s="175"/>
      <c r="AN114" s="175"/>
      <c r="AO114" s="175">
        <f t="shared" ref="AO114:CI114" si="985">+CORREL(AL93:AO93,AL110:AO110)</f>
        <v>-0.96334564922823362</v>
      </c>
      <c r="AP114" s="175">
        <f t="shared" si="985"/>
        <v>-0.96489934194625804</v>
      </c>
      <c r="AQ114" s="175">
        <f t="shared" si="985"/>
        <v>-0.24324869709912253</v>
      </c>
      <c r="AR114" s="175">
        <f t="shared" si="985"/>
        <v>0.183894955168108</v>
      </c>
      <c r="AS114" s="175">
        <f t="shared" si="985"/>
        <v>0.77386428260775797</v>
      </c>
      <c r="AT114" s="175">
        <f t="shared" si="985"/>
        <v>-0.9924139993283807</v>
      </c>
      <c r="AU114" s="175">
        <f t="shared" si="985"/>
        <v>-0.94632203904435563</v>
      </c>
      <c r="AV114" s="175">
        <f t="shared" si="985"/>
        <v>-0.9594339669062435</v>
      </c>
      <c r="AW114" s="175">
        <f t="shared" si="985"/>
        <v>-0.79504636254239003</v>
      </c>
      <c r="AX114" s="175">
        <f t="shared" si="985"/>
        <v>-0.83890018965415292</v>
      </c>
      <c r="AY114" s="175">
        <f t="shared" si="985"/>
        <v>-0.92326848286495566</v>
      </c>
      <c r="AZ114" s="175">
        <f t="shared" si="985"/>
        <v>-0.96635700710205852</v>
      </c>
      <c r="BA114" s="175">
        <f t="shared" si="985"/>
        <v>-0.9518217377940168</v>
      </c>
      <c r="BB114" s="175">
        <f t="shared" si="985"/>
        <v>-0.99230872119741598</v>
      </c>
      <c r="BC114" s="175">
        <f t="shared" si="985"/>
        <v>-0.88754918841552288</v>
      </c>
      <c r="BD114" s="175">
        <f t="shared" si="985"/>
        <v>-0.96692016082524557</v>
      </c>
      <c r="BE114" s="175">
        <f t="shared" si="985"/>
        <v>-0.94671848086891253</v>
      </c>
      <c r="BF114" s="175">
        <f t="shared" si="985"/>
        <v>0.69049310298733035</v>
      </c>
      <c r="BG114" s="175">
        <f t="shared" si="985"/>
        <v>0.89319508334959818</v>
      </c>
      <c r="BH114" s="175">
        <f t="shared" si="985"/>
        <v>0.71753891187234475</v>
      </c>
      <c r="BI114" s="175">
        <f t="shared" si="985"/>
        <v>-0.94976033050736686</v>
      </c>
      <c r="BJ114" s="175">
        <f t="shared" si="985"/>
        <v>-0.9714153468784561</v>
      </c>
      <c r="BK114" s="175">
        <f t="shared" si="985"/>
        <v>-0.35207518338648158</v>
      </c>
      <c r="BL114" s="175">
        <f t="shared" si="985"/>
        <v>-0.78067517559625565</v>
      </c>
      <c r="BM114" s="175">
        <f t="shared" si="985"/>
        <v>-0.98179108873909759</v>
      </c>
      <c r="BN114" s="175">
        <f t="shared" si="985"/>
        <v>-0.94819361557922632</v>
      </c>
      <c r="BO114" s="175">
        <f t="shared" si="985"/>
        <v>0.97417588709708691</v>
      </c>
      <c r="BP114" s="175">
        <f t="shared" si="985"/>
        <v>0.54613461101374439</v>
      </c>
      <c r="BQ114" s="175">
        <f t="shared" si="985"/>
        <v>0.10387989880987961</v>
      </c>
      <c r="BR114" s="175">
        <f t="shared" si="985"/>
        <v>-0.86511545537239931</v>
      </c>
      <c r="BS114" s="175">
        <f t="shared" si="985"/>
        <v>-0.99206007818424791</v>
      </c>
      <c r="BT114" s="175">
        <f t="shared" si="985"/>
        <v>-0.87696726577136075</v>
      </c>
      <c r="BU114" s="175">
        <f t="shared" si="985"/>
        <v>-0.99459544383376342</v>
      </c>
      <c r="BV114" s="175">
        <f t="shared" si="985"/>
        <v>-0.97136313376506467</v>
      </c>
      <c r="BW114" s="175">
        <f t="shared" si="985"/>
        <v>0.74039997784470546</v>
      </c>
      <c r="BX114" s="175">
        <f t="shared" si="985"/>
        <v>0.86047121368262858</v>
      </c>
      <c r="BY114" s="175">
        <f t="shared" si="985"/>
        <v>0.64294433247052163</v>
      </c>
      <c r="BZ114" s="175">
        <f t="shared" si="985"/>
        <v>-0.96023933110610571</v>
      </c>
      <c r="CA114" s="175">
        <f t="shared" si="985"/>
        <v>-0.95863478983056261</v>
      </c>
      <c r="CB114" s="175">
        <f t="shared" si="985"/>
        <v>-0.74146549363945924</v>
      </c>
      <c r="CC114" s="175">
        <f t="shared" si="985"/>
        <v>0.66741644528299138</v>
      </c>
      <c r="CD114" s="175">
        <f t="shared" si="985"/>
        <v>0.80764027466426269</v>
      </c>
      <c r="CE114" s="175">
        <f t="shared" si="985"/>
        <v>0.91101220623992651</v>
      </c>
      <c r="CF114" s="175">
        <f t="shared" si="985"/>
        <v>0.93500014571134671</v>
      </c>
      <c r="CG114" s="175">
        <f t="shared" si="985"/>
        <v>0.97030695268744627</v>
      </c>
      <c r="CH114" s="175">
        <f t="shared" si="985"/>
        <v>0.64192273203015748</v>
      </c>
      <c r="CI114" s="175">
        <f t="shared" si="985"/>
        <v>-0.13805500512491858</v>
      </c>
      <c r="CJ114" s="175">
        <f>+CORREL(CG93:CJ93,CG110:CJ110)</f>
        <v>-0.98254268665924793</v>
      </c>
      <c r="CK114" s="175">
        <f>+CORREL(CH93:CK93,CH110:CK110)</f>
        <v>-0.99664819702729923</v>
      </c>
      <c r="CL114" s="175">
        <f>+CORREL(CI93:CL93,CI110:CL110)</f>
        <v>-0.95573383072731266</v>
      </c>
      <c r="CM114" s="99"/>
      <c r="CN114" s="99"/>
      <c r="CO114" s="99"/>
      <c r="CP114" s="99"/>
      <c r="CQ114" s="99"/>
      <c r="CR114" s="99"/>
      <c r="CS114" s="99"/>
      <c r="CT114" s="99"/>
      <c r="CU114" s="99"/>
      <c r="CV114" s="99"/>
      <c r="CW114" s="99"/>
      <c r="CX114" s="99"/>
      <c r="CY114" s="99"/>
      <c r="CZ114" s="99"/>
      <c r="DA114" s="99"/>
      <c r="DB114" s="99"/>
      <c r="DE114" s="137"/>
      <c r="DF114" s="98">
        <v>-0.94524457493593039</v>
      </c>
    </row>
    <row r="115" spans="1:110" s="4" customFormat="1" x14ac:dyDescent="0.2">
      <c r="A115" s="3"/>
      <c r="AB115" s="17"/>
      <c r="AC115" s="17"/>
      <c r="AD115" s="17"/>
      <c r="AE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E115" s="119"/>
    </row>
    <row r="116" spans="1:110" s="162" customFormat="1" x14ac:dyDescent="0.2">
      <c r="A116" s="49" t="s">
        <v>505</v>
      </c>
      <c r="E116" s="162">
        <f t="shared" ref="E116:AE116" si="986">+E$144/E$89</f>
        <v>7.5208655332302934</v>
      </c>
      <c r="F116" s="162">
        <f t="shared" si="986"/>
        <v>9.2747646480258545</v>
      </c>
      <c r="G116" s="162">
        <f t="shared" si="986"/>
        <v>13.57411830827596</v>
      </c>
      <c r="H116" s="162">
        <f t="shared" si="986"/>
        <v>14.72966137417451</v>
      </c>
      <c r="I116" s="162">
        <f t="shared" si="986"/>
        <v>15.941337642264999</v>
      </c>
      <c r="J116" s="162">
        <f t="shared" si="986"/>
        <v>23.169102149782212</v>
      </c>
      <c r="K116" s="162">
        <f t="shared" si="986"/>
        <v>17.880778417872698</v>
      </c>
      <c r="L116" s="162">
        <f t="shared" si="986"/>
        <v>20.447168750878181</v>
      </c>
      <c r="M116" s="162">
        <f t="shared" si="986"/>
        <v>21.734579176619359</v>
      </c>
      <c r="N116" s="162">
        <f t="shared" si="986"/>
        <v>20.930729239848251</v>
      </c>
      <c r="O116" s="162">
        <f t="shared" si="986"/>
        <v>18.522270619643109</v>
      </c>
      <c r="P116" s="162">
        <f t="shared" si="986"/>
        <v>15.647182801742305</v>
      </c>
      <c r="Q116" s="162">
        <f t="shared" si="986"/>
        <v>18.127371083321624</v>
      </c>
      <c r="R116" s="162">
        <f t="shared" si="986"/>
        <v>17.687860053393283</v>
      </c>
      <c r="S116" s="162">
        <f t="shared" si="986"/>
        <v>29.374034003091193</v>
      </c>
      <c r="T116" s="162">
        <f t="shared" si="986"/>
        <v>30.546578614584796</v>
      </c>
      <c r="U116" s="162">
        <f t="shared" si="986"/>
        <v>30.608472671069272</v>
      </c>
      <c r="V116" s="162">
        <f t="shared" si="986"/>
        <v>25.63186735984263</v>
      </c>
      <c r="W116" s="162">
        <f t="shared" si="986"/>
        <v>49.61535759449206</v>
      </c>
      <c r="X116" s="162">
        <f t="shared" si="986"/>
        <v>56.076717718139662</v>
      </c>
      <c r="Y116" s="162">
        <f t="shared" si="986"/>
        <v>66.437052128705915</v>
      </c>
      <c r="Z116" s="162">
        <f t="shared" si="986"/>
        <v>78.408809891808346</v>
      </c>
      <c r="AA116" s="162">
        <f t="shared" si="986"/>
        <v>91.697976675565556</v>
      </c>
      <c r="AB116" s="21">
        <f t="shared" si="986"/>
        <v>106.47291756013338</v>
      </c>
      <c r="AC116" s="21">
        <f t="shared" si="986"/>
        <v>124.62554746834454</v>
      </c>
      <c r="AD116" s="21">
        <f t="shared" si="986"/>
        <v>144.74333750672722</v>
      </c>
      <c r="AE116" s="21">
        <f t="shared" si="986"/>
        <v>166.71739058841928</v>
      </c>
      <c r="AL116" s="162">
        <f t="shared" ref="AL116:BQ116" si="987">+AL$144/AL$89</f>
        <v>20.930729239848251</v>
      </c>
      <c r="AM116" s="162">
        <f t="shared" si="987"/>
        <v>20.796613741745116</v>
      </c>
      <c r="AN116" s="162">
        <f t="shared" si="987"/>
        <v>20.828438948995363</v>
      </c>
      <c r="AO116" s="162">
        <f t="shared" si="987"/>
        <v>21.246943937052126</v>
      </c>
      <c r="AP116" s="162">
        <f t="shared" si="987"/>
        <v>18.522270619643109</v>
      </c>
      <c r="AQ116" s="162">
        <f t="shared" si="987"/>
        <v>18.277645075172121</v>
      </c>
      <c r="AR116" s="162">
        <f t="shared" si="987"/>
        <v>18.760432766615146</v>
      </c>
      <c r="AS116" s="162">
        <f t="shared" si="987"/>
        <v>19.194885485457355</v>
      </c>
      <c r="AT116" s="162">
        <f t="shared" si="987"/>
        <v>15.647182801742305</v>
      </c>
      <c r="AU116" s="162">
        <f t="shared" si="987"/>
        <v>15.89152732893073</v>
      </c>
      <c r="AV116" s="162">
        <f t="shared" si="987"/>
        <v>18.722073907545315</v>
      </c>
      <c r="AW116" s="162">
        <f t="shared" si="987"/>
        <v>18.815582408318111</v>
      </c>
      <c r="AX116" s="162">
        <f t="shared" si="987"/>
        <v>18.127371083321624</v>
      </c>
      <c r="AY116" s="162">
        <f t="shared" si="987"/>
        <v>16.936911620064631</v>
      </c>
      <c r="AZ116" s="162">
        <f t="shared" si="987"/>
        <v>18.113039201910919</v>
      </c>
      <c r="BA116" s="162">
        <f t="shared" si="987"/>
        <v>18.766263875228326</v>
      </c>
      <c r="BB116" s="162">
        <f t="shared" si="987"/>
        <v>17.687860053393283</v>
      </c>
      <c r="BC116" s="162">
        <f t="shared" si="987"/>
        <v>17.512505269074047</v>
      </c>
      <c r="BD116" s="162">
        <f t="shared" si="987"/>
        <v>17.676900379373329</v>
      </c>
      <c r="BE116" s="162">
        <f t="shared" si="987"/>
        <v>18.43473373612477</v>
      </c>
      <c r="BF116" s="162">
        <f t="shared" si="987"/>
        <v>29.374034003091193</v>
      </c>
      <c r="BG116" s="162">
        <f t="shared" si="987"/>
        <v>29.481242096388932</v>
      </c>
      <c r="BH116" s="162">
        <f t="shared" si="987"/>
        <v>29.508008992553041</v>
      </c>
      <c r="BI116" s="162">
        <f t="shared" si="987"/>
        <v>30.644583391878598</v>
      </c>
      <c r="BJ116" s="162">
        <f t="shared" si="987"/>
        <v>30.546578614584796</v>
      </c>
      <c r="BK116" s="162">
        <f t="shared" si="987"/>
        <v>30.586342560067443</v>
      </c>
      <c r="BL116" s="162">
        <f t="shared" si="987"/>
        <v>28.535408177602921</v>
      </c>
      <c r="BM116" s="162">
        <f t="shared" si="987"/>
        <v>29.962484192777858</v>
      </c>
      <c r="BN116" s="162">
        <f t="shared" si="987"/>
        <v>30.608472671069272</v>
      </c>
      <c r="BO116" s="162">
        <f t="shared" si="987"/>
        <v>28.641913727694252</v>
      </c>
      <c r="BP116" s="162">
        <f t="shared" si="987"/>
        <v>25.925811437403397</v>
      </c>
      <c r="BQ116" s="162">
        <f t="shared" si="987"/>
        <v>25.090628073626526</v>
      </c>
      <c r="BR116" s="162">
        <f t="shared" ref="BR116:DB116" si="988">+BR$144/BR$89</f>
        <v>25.63186735984263</v>
      </c>
      <c r="BS116" s="162">
        <f t="shared" si="988"/>
        <v>23.683434031192917</v>
      </c>
      <c r="BT116" s="162">
        <f t="shared" si="988"/>
        <v>22.836588450189687</v>
      </c>
      <c r="BU116" s="162">
        <f t="shared" si="988"/>
        <v>23.370591541379792</v>
      </c>
      <c r="BV116" s="162">
        <f t="shared" si="988"/>
        <v>49.61535759449206</v>
      </c>
      <c r="BW116" s="162">
        <f t="shared" si="988"/>
        <v>50.810032316987495</v>
      </c>
      <c r="BX116" s="162">
        <f t="shared" si="988"/>
        <v>50.498665167907824</v>
      </c>
      <c r="BY116" s="162">
        <f t="shared" si="988"/>
        <v>53.187368273148792</v>
      </c>
      <c r="BZ116" s="162">
        <f t="shared" si="988"/>
        <v>56.076717718139662</v>
      </c>
      <c r="CA116" s="162">
        <f t="shared" si="988"/>
        <v>57.639454826471827</v>
      </c>
      <c r="CB116" s="162">
        <f t="shared" si="988"/>
        <v>58.196009554587611</v>
      </c>
      <c r="CC116" s="162">
        <f t="shared" si="988"/>
        <v>61.37115357594493</v>
      </c>
      <c r="CD116" s="162">
        <f t="shared" si="988"/>
        <v>66.437052128705915</v>
      </c>
      <c r="CE116" s="162">
        <f t="shared" si="988"/>
        <v>68.182099199100733</v>
      </c>
      <c r="CF116" s="162">
        <f t="shared" si="988"/>
        <v>71.352957706898977</v>
      </c>
      <c r="CG116" s="162">
        <f t="shared" si="988"/>
        <v>75.44400730644935</v>
      </c>
      <c r="CH116" s="162">
        <f t="shared" si="988"/>
        <v>78.408809891808346</v>
      </c>
      <c r="CI116" s="162">
        <f t="shared" si="988"/>
        <v>80.490937192637347</v>
      </c>
      <c r="CJ116" s="162">
        <f t="shared" si="988"/>
        <v>81.280244485035823</v>
      </c>
      <c r="CK116" s="162">
        <f t="shared" si="988"/>
        <v>87.625825488267523</v>
      </c>
      <c r="CL116" s="162">
        <f t="shared" si="988"/>
        <v>91.697976675565556</v>
      </c>
      <c r="CM116" s="21">
        <f t="shared" si="988"/>
        <v>95.130811974101036</v>
      </c>
      <c r="CN116" s="21">
        <f t="shared" si="988"/>
        <v>98.741410394137461</v>
      </c>
      <c r="CO116" s="21">
        <f t="shared" si="988"/>
        <v>102.67101275861141</v>
      </c>
      <c r="CP116" s="21">
        <f t="shared" si="988"/>
        <v>106.47291756013338</v>
      </c>
      <c r="CQ116" s="21">
        <f t="shared" si="988"/>
        <v>110.67904878107336</v>
      </c>
      <c r="CR116" s="21">
        <f t="shared" si="988"/>
        <v>115.10314916754329</v>
      </c>
      <c r="CS116" s="21">
        <f t="shared" si="988"/>
        <v>119.75929345592155</v>
      </c>
      <c r="CT116" s="21">
        <f t="shared" si="988"/>
        <v>124.62554746834454</v>
      </c>
      <c r="CU116" s="21">
        <f t="shared" si="988"/>
        <v>129.43924185474361</v>
      </c>
      <c r="CV116" s="21">
        <f t="shared" si="988"/>
        <v>134.40950584645495</v>
      </c>
      <c r="CW116" s="21">
        <f t="shared" si="988"/>
        <v>139.51936212446267</v>
      </c>
      <c r="CX116" s="21">
        <f t="shared" si="988"/>
        <v>144.74333750672722</v>
      </c>
      <c r="CY116" s="21">
        <f t="shared" si="988"/>
        <v>150.05522096983333</v>
      </c>
      <c r="CZ116" s="21">
        <f t="shared" si="988"/>
        <v>155.49333689699384</v>
      </c>
      <c r="DA116" s="21">
        <f t="shared" si="988"/>
        <v>161.04936851810658</v>
      </c>
      <c r="DB116" s="21">
        <f t="shared" si="988"/>
        <v>166.71739058841928</v>
      </c>
      <c r="DE116" s="22"/>
      <c r="DF116" s="162">
        <v>92.004089228484759</v>
      </c>
    </row>
    <row r="117" spans="1:110" s="162" customFormat="1" x14ac:dyDescent="0.2">
      <c r="A117" s="49" t="s">
        <v>501</v>
      </c>
      <c r="AB117" s="21"/>
      <c r="AC117" s="21"/>
      <c r="AD117" s="21"/>
      <c r="AE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E117" s="22"/>
    </row>
    <row r="118" spans="1:110" s="162" customFormat="1" x14ac:dyDescent="0.2">
      <c r="A118" s="49" t="s">
        <v>502</v>
      </c>
      <c r="E118" s="162">
        <f t="shared" ref="E118:AE120" si="989">+E101/E$116</f>
        <v>4.6564622784627643</v>
      </c>
      <c r="F118" s="162">
        <f t="shared" si="989"/>
        <v>5.6753482214578845</v>
      </c>
      <c r="G118" s="162">
        <f t="shared" si="989"/>
        <v>8.3559903681174017</v>
      </c>
      <c r="H118" s="162">
        <f t="shared" si="989"/>
        <v>8.251508702295034</v>
      </c>
      <c r="I118" s="162">
        <f t="shared" si="989"/>
        <v>6.3661868241327575</v>
      </c>
      <c r="J118" s="162">
        <f t="shared" si="989"/>
        <v>1.5429617813227925</v>
      </c>
      <c r="K118" s="162">
        <f t="shared" si="989"/>
        <v>5.2037616322777058</v>
      </c>
      <c r="L118" s="162">
        <f t="shared" si="989"/>
        <v>3.7363457835890124</v>
      </c>
      <c r="M118" s="162">
        <f t="shared" si="989"/>
        <v>2.6654946619211968</v>
      </c>
      <c r="N118" s="162">
        <f t="shared" si="989"/>
        <v>2.3191966427811206</v>
      </c>
      <c r="O118" s="162">
        <f t="shared" si="989"/>
        <v>3.5417036861685807</v>
      </c>
      <c r="P118" s="162">
        <f t="shared" si="989"/>
        <v>6.7758020784033715</v>
      </c>
      <c r="Q118" s="162">
        <f t="shared" si="989"/>
        <v>4.9702996762340801</v>
      </c>
      <c r="R118" s="162">
        <f t="shared" si="989"/>
        <v>6.5147323637821115</v>
      </c>
      <c r="S118" s="162">
        <f t="shared" si="989"/>
        <v>4.203058988266628</v>
      </c>
      <c r="T118" s="162">
        <f t="shared" si="989"/>
        <v>4.8986249378242173</v>
      </c>
      <c r="U118" s="162">
        <f t="shared" si="989"/>
        <v>2.3723037073163464</v>
      </c>
      <c r="V118" s="162">
        <f t="shared" si="989"/>
        <v>4.1945118754400061</v>
      </c>
      <c r="W118" s="162">
        <f t="shared" si="989"/>
        <v>4.804963857127686</v>
      </c>
      <c r="X118" s="162">
        <f t="shared" si="989"/>
        <v>5.7849320217089533</v>
      </c>
      <c r="Y118" s="162">
        <f t="shared" si="989"/>
        <v>8.9009066635647933</v>
      </c>
      <c r="Z118" s="162">
        <f t="shared" si="989"/>
        <v>10.032673638146676</v>
      </c>
      <c r="AA118" s="162">
        <f t="shared" ref="AA118" si="990">+AA101/AA$116</f>
        <v>6.2242376625097968</v>
      </c>
      <c r="AB118" s="21">
        <f t="shared" si="989"/>
        <v>6.1893673537011171</v>
      </c>
      <c r="AC118" s="21">
        <f t="shared" si="989"/>
        <v>5.2878403616833785</v>
      </c>
      <c r="AD118" s="21">
        <f t="shared" si="989"/>
        <v>4.552886587746201</v>
      </c>
      <c r="AE118" s="21">
        <f t="shared" si="989"/>
        <v>3.9527969918081016</v>
      </c>
      <c r="AL118" s="162">
        <f t="shared" ref="AL118:CI120" si="991">+AL101/AL$116</f>
        <v>2.3191966427811206</v>
      </c>
      <c r="AM118" s="162">
        <f t="shared" si="991"/>
        <v>2.094193286642323</v>
      </c>
      <c r="AN118" s="162">
        <f t="shared" si="991"/>
        <v>2.0888153062490984</v>
      </c>
      <c r="AO118" s="162">
        <f t="shared" si="991"/>
        <v>2.6327205314628994</v>
      </c>
      <c r="AP118" s="162">
        <f t="shared" si="991"/>
        <v>3.5417036861685807</v>
      </c>
      <c r="AQ118" s="162">
        <f t="shared" si="991"/>
        <v>5.1652339415440514</v>
      </c>
      <c r="AR118" s="162">
        <f t="shared" si="991"/>
        <v>4.703432425382351</v>
      </c>
      <c r="AS118" s="162">
        <f t="shared" si="991"/>
        <v>5.9323443421724491</v>
      </c>
      <c r="AT118" s="162">
        <f t="shared" si="991"/>
        <v>6.7758020784033715</v>
      </c>
      <c r="AU118" s="162">
        <f t="shared" si="991"/>
        <v>5.2156815115745374</v>
      </c>
      <c r="AV118" s="162">
        <f t="shared" si="991"/>
        <v>4.1751249552027501</v>
      </c>
      <c r="AW118" s="162">
        <f t="shared" si="991"/>
        <v>5.6275756470675713</v>
      </c>
      <c r="AX118" s="162">
        <f t="shared" si="991"/>
        <v>4.9702996762340801</v>
      </c>
      <c r="AY118" s="162">
        <f t="shared" si="991"/>
        <v>6.8089395826515462</v>
      </c>
      <c r="AZ118" s="162">
        <f t="shared" si="991"/>
        <v>6.5521611190054925</v>
      </c>
      <c r="BA118" s="162">
        <f t="shared" si="991"/>
        <v>4.7479028110539305</v>
      </c>
      <c r="BB118" s="162">
        <f t="shared" si="991"/>
        <v>6.5147323637821115</v>
      </c>
      <c r="BC118" s="162">
        <f t="shared" si="991"/>
        <v>6.908963406072532</v>
      </c>
      <c r="BD118" s="162">
        <f t="shared" si="991"/>
        <v>5.959286383620074</v>
      </c>
      <c r="BE118" s="162">
        <f t="shared" si="991"/>
        <v>6.2054783857063534</v>
      </c>
      <c r="BF118" s="162">
        <f t="shared" si="991"/>
        <v>4.203058988266628</v>
      </c>
      <c r="BG118" s="162">
        <f t="shared" si="991"/>
        <v>4.3406851262626587</v>
      </c>
      <c r="BH118" s="162">
        <f t="shared" si="991"/>
        <v>4.4500944780775509</v>
      </c>
      <c r="BI118" s="162">
        <f t="shared" si="991"/>
        <v>4.6725816910540843</v>
      </c>
      <c r="BJ118" s="162">
        <f t="shared" si="991"/>
        <v>4.8986249378242173</v>
      </c>
      <c r="BK118" s="162">
        <f t="shared" si="991"/>
        <v>4.9905136283940976</v>
      </c>
      <c r="BL118" s="162">
        <f t="shared" si="991"/>
        <v>5.4256397736627262</v>
      </c>
      <c r="BM118" s="162">
        <f t="shared" si="991"/>
        <v>4.6915928255350847</v>
      </c>
      <c r="BN118" s="162">
        <f t="shared" si="991"/>
        <v>2.3723037073163464</v>
      </c>
      <c r="BO118" s="162">
        <f t="shared" si="991"/>
        <v>2.7027322098314071</v>
      </c>
      <c r="BP118" s="162">
        <f t="shared" si="991"/>
        <v>3.5411779405734749</v>
      </c>
      <c r="BQ118" s="162">
        <f t="shared" si="991"/>
        <v>4.6404660936736457</v>
      </c>
      <c r="BR118" s="162">
        <f t="shared" si="991"/>
        <v>4.1945118754400061</v>
      </c>
      <c r="BS118" s="162">
        <f t="shared" si="991"/>
        <v>5.7839911119953911</v>
      </c>
      <c r="BT118" s="162">
        <f t="shared" si="991"/>
        <v>7.696560861185028</v>
      </c>
      <c r="BU118" s="162">
        <f t="shared" si="991"/>
        <v>7.7276606234048897</v>
      </c>
      <c r="BV118" s="162">
        <f t="shared" si="991"/>
        <v>4.804963857127686</v>
      </c>
      <c r="BW118" s="162">
        <f t="shared" si="991"/>
        <v>4.4312115094783122</v>
      </c>
      <c r="BX118" s="162">
        <f t="shared" si="991"/>
        <v>6.5694805772970994</v>
      </c>
      <c r="BY118" s="162">
        <f t="shared" si="991"/>
        <v>5.9892040223546346</v>
      </c>
      <c r="BZ118" s="162">
        <f t="shared" si="991"/>
        <v>5.7849320217089533</v>
      </c>
      <c r="CA118" s="162">
        <f t="shared" si="991"/>
        <v>6.8104391545999707</v>
      </c>
      <c r="CB118" s="162">
        <f t="shared" si="991"/>
        <v>7.064058225751543</v>
      </c>
      <c r="CC118" s="162">
        <f t="shared" si="991"/>
        <v>7.1401623477346057</v>
      </c>
      <c r="CD118" s="162">
        <f t="shared" si="991"/>
        <v>8.9009066635647933</v>
      </c>
      <c r="CE118" s="162">
        <f t="shared" si="991"/>
        <v>9.1768955099618363</v>
      </c>
      <c r="CF118" s="162">
        <f t="shared" si="991"/>
        <v>9.5966589473808579</v>
      </c>
      <c r="CG118" s="162">
        <f t="shared" si="991"/>
        <v>11.616562153705756</v>
      </c>
      <c r="CH118" s="162">
        <f t="shared" si="991"/>
        <v>10.032673638146676</v>
      </c>
      <c r="CI118" s="162">
        <f t="shared" si="991"/>
        <v>9.4445415411256626</v>
      </c>
      <c r="CJ118" s="162">
        <f>+CJ101/CJ$116</f>
        <v>8.8631623165531934</v>
      </c>
      <c r="CK118" s="162">
        <f>+CK101/CK$116</f>
        <v>8.4307337007502809</v>
      </c>
      <c r="CL118" s="162">
        <f>+CL101/CL$116</f>
        <v>6.2242376625097968</v>
      </c>
      <c r="CM118" s="21">
        <f t="shared" ref="CM118:DB118" si="992">+CM101/CM$116</f>
        <v>6.9273034290867823</v>
      </c>
      <c r="CN118" s="21">
        <f t="shared" si="992"/>
        <v>6.6739982482478961</v>
      </c>
      <c r="CO118" s="21">
        <f t="shared" si="992"/>
        <v>6.4185594579588594</v>
      </c>
      <c r="CP118" s="21">
        <f t="shared" si="992"/>
        <v>6.1893673537011171</v>
      </c>
      <c r="CQ118" s="21">
        <f t="shared" si="992"/>
        <v>5.9541530873067288</v>
      </c>
      <c r="CR118" s="21">
        <f t="shared" si="992"/>
        <v>5.7252994793458214</v>
      </c>
      <c r="CS118" s="21">
        <f t="shared" si="992"/>
        <v>5.5027044748101384</v>
      </c>
      <c r="CT118" s="21">
        <f t="shared" si="992"/>
        <v>5.2878403616833785</v>
      </c>
      <c r="CU118" s="21">
        <f t="shared" si="992"/>
        <v>5.0911917480135438</v>
      </c>
      <c r="CV118" s="21">
        <f t="shared" si="992"/>
        <v>4.9029270351817242</v>
      </c>
      <c r="CW118" s="21">
        <f t="shared" si="992"/>
        <v>4.7233587508242634</v>
      </c>
      <c r="CX118" s="21">
        <f t="shared" si="992"/>
        <v>4.552886587746201</v>
      </c>
      <c r="CY118" s="21">
        <f t="shared" si="992"/>
        <v>4.3917165676793308</v>
      </c>
      <c r="CZ118" s="21">
        <f t="shared" si="992"/>
        <v>4.2381237238258826</v>
      </c>
      <c r="DA118" s="21">
        <f t="shared" si="992"/>
        <v>4.0919129709341862</v>
      </c>
      <c r="DB118" s="21">
        <f t="shared" si="992"/>
        <v>3.9527969918081016</v>
      </c>
      <c r="DE118" s="22"/>
      <c r="DF118" s="162">
        <v>6.2035286125444733</v>
      </c>
    </row>
    <row r="119" spans="1:110" s="162" customFormat="1" x14ac:dyDescent="0.2">
      <c r="A119" s="49" t="s">
        <v>503</v>
      </c>
      <c r="E119" s="162">
        <f t="shared" si="989"/>
        <v>5.5017277189141023</v>
      </c>
      <c r="F119" s="162">
        <f t="shared" si="989"/>
        <v>6.2539687642839912</v>
      </c>
      <c r="G119" s="162">
        <f t="shared" si="989"/>
        <v>8.4785375037394495</v>
      </c>
      <c r="H119" s="162">
        <f t="shared" si="989"/>
        <v>9.3013911712940658</v>
      </c>
      <c r="I119" s="162">
        <f t="shared" si="989"/>
        <v>9.3232797266569136</v>
      </c>
      <c r="J119" s="162">
        <f t="shared" si="989"/>
        <v>4.7776989167863171</v>
      </c>
      <c r="K119" s="162">
        <f t="shared" si="989"/>
        <v>5.5564300217884819</v>
      </c>
      <c r="L119" s="162">
        <f t="shared" si="989"/>
        <v>5.2517401839401368</v>
      </c>
      <c r="M119" s="162">
        <f t="shared" si="989"/>
        <v>3.9408409723627402</v>
      </c>
      <c r="N119" s="162">
        <f t="shared" si="989"/>
        <v>3.1103244695242109</v>
      </c>
      <c r="O119" s="162">
        <f t="shared" si="989"/>
        <v>3.6249802597022804</v>
      </c>
      <c r="P119" s="162">
        <f t="shared" si="989"/>
        <v>7.3788687588945248</v>
      </c>
      <c r="Q119" s="162">
        <f t="shared" si="989"/>
        <v>6.2466606202821193</v>
      </c>
      <c r="R119" s="162">
        <f t="shared" si="989"/>
        <v>7.3354860474081836</v>
      </c>
      <c r="S119" s="162">
        <f t="shared" si="989"/>
        <v>5.3004418807665745</v>
      </c>
      <c r="T119" s="162">
        <f t="shared" si="989"/>
        <v>4.9652728961619461</v>
      </c>
      <c r="U119" s="162">
        <f t="shared" si="989"/>
        <v>5.1975305523446238</v>
      </c>
      <c r="V119" s="162">
        <f t="shared" si="989"/>
        <v>5.2573232703891586</v>
      </c>
      <c r="W119" s="162">
        <f t="shared" si="989"/>
        <v>4.9470569577684165</v>
      </c>
      <c r="X119" s="162">
        <f t="shared" si="989"/>
        <v>6.2182669419541066</v>
      </c>
      <c r="Y119" s="162">
        <f t="shared" si="989"/>
        <v>9.0724976603765608</v>
      </c>
      <c r="Z119" s="162">
        <f t="shared" si="989"/>
        <v>11.403693044618128</v>
      </c>
      <c r="AA119" s="162">
        <f t="shared" ref="AA119" si="993">+AA102/AA$116</f>
        <v>9.3055488347255526</v>
      </c>
      <c r="AB119" s="21">
        <f t="shared" si="989"/>
        <v>8.6961297748842288</v>
      </c>
      <c r="AC119" s="21">
        <f t="shared" si="989"/>
        <v>8.6077970072524188</v>
      </c>
      <c r="AD119" s="21">
        <f t="shared" si="989"/>
        <v>8.2137452922556111</v>
      </c>
      <c r="AE119" s="21">
        <f t="shared" si="989"/>
        <v>7.7891274037320759</v>
      </c>
      <c r="AL119" s="162">
        <f t="shared" si="991"/>
        <v>2.9520989041755947</v>
      </c>
      <c r="AM119" s="162">
        <f t="shared" si="991"/>
        <v>2.6177416083029024</v>
      </c>
      <c r="AN119" s="162">
        <f t="shared" si="991"/>
        <v>2.3196958301932153</v>
      </c>
      <c r="AO119" s="162">
        <f t="shared" si="991"/>
        <v>2.6647487617726657</v>
      </c>
      <c r="AP119" s="162">
        <f t="shared" si="991"/>
        <v>3.6249802597022804</v>
      </c>
      <c r="AQ119" s="162">
        <f t="shared" si="991"/>
        <v>5.5400298690659664</v>
      </c>
      <c r="AR119" s="162">
        <f t="shared" si="991"/>
        <v>5.3128231560745611</v>
      </c>
      <c r="AS119" s="162">
        <f t="shared" si="991"/>
        <v>6.0150662752306063</v>
      </c>
      <c r="AT119" s="162">
        <f t="shared" si="991"/>
        <v>7.3614726046495775</v>
      </c>
      <c r="AU119" s="162">
        <f t="shared" si="991"/>
        <v>6.70873100831973</v>
      </c>
      <c r="AV119" s="162">
        <f t="shared" si="991"/>
        <v>5.088660711506547</v>
      </c>
      <c r="AW119" s="162">
        <f t="shared" si="991"/>
        <v>5.7867101769332159</v>
      </c>
      <c r="AX119" s="162">
        <f t="shared" si="991"/>
        <v>6.2466606202821193</v>
      </c>
      <c r="AY119" s="162">
        <f t="shared" si="991"/>
        <v>7.3392975831885252</v>
      </c>
      <c r="AZ119" s="162">
        <f t="shared" si="991"/>
        <v>7.1632954129799771</v>
      </c>
      <c r="BA119" s="162">
        <f t="shared" si="991"/>
        <v>6.4739733849299732</v>
      </c>
      <c r="BB119" s="162">
        <f t="shared" si="991"/>
        <v>6.6070671531900409</v>
      </c>
      <c r="BC119" s="162">
        <f t="shared" si="991"/>
        <v>7.5462356212557733</v>
      </c>
      <c r="BD119" s="162">
        <f t="shared" si="991"/>
        <v>6.8934725350575254</v>
      </c>
      <c r="BE119" s="162">
        <f t="shared" si="991"/>
        <v>6.5893766248221031</v>
      </c>
      <c r="BF119" s="162">
        <f t="shared" si="991"/>
        <v>5.3004418807665745</v>
      </c>
      <c r="BG119" s="162">
        <f t="shared" si="991"/>
        <v>5.1266122059420463</v>
      </c>
      <c r="BH119" s="162">
        <f t="shared" si="991"/>
        <v>4.5765829516146486</v>
      </c>
      <c r="BI119" s="162">
        <f t="shared" si="991"/>
        <v>4.840250499196169</v>
      </c>
      <c r="BJ119" s="162">
        <f t="shared" si="991"/>
        <v>4.9652728961619461</v>
      </c>
      <c r="BK119" s="162">
        <f t="shared" si="991"/>
        <v>5.2012911173037359</v>
      </c>
      <c r="BL119" s="162">
        <f t="shared" si="991"/>
        <v>5.5360551103214792</v>
      </c>
      <c r="BM119" s="162">
        <f t="shared" si="991"/>
        <v>5.225463733268386</v>
      </c>
      <c r="BN119" s="162">
        <f t="shared" si="991"/>
        <v>4.7683621246525369</v>
      </c>
      <c r="BO119" s="162">
        <f t="shared" si="991"/>
        <v>3.276449316364185</v>
      </c>
      <c r="BP119" s="162">
        <f t="shared" si="991"/>
        <v>4.2011757299200578</v>
      </c>
      <c r="BQ119" s="162">
        <f t="shared" si="991"/>
        <v>5.3707309493808095</v>
      </c>
      <c r="BR119" s="162">
        <f t="shared" si="991"/>
        <v>5.0303884529623142</v>
      </c>
      <c r="BS119" s="162">
        <f t="shared" si="991"/>
        <v>6.1646784250991091</v>
      </c>
      <c r="BT119" s="162">
        <f t="shared" si="991"/>
        <v>8.5286214948266164</v>
      </c>
      <c r="BU119" s="162">
        <f t="shared" si="991"/>
        <v>9.8519917165459692</v>
      </c>
      <c r="BV119" s="162">
        <f t="shared" si="991"/>
        <v>4.9470569577684165</v>
      </c>
      <c r="BW119" s="162">
        <f t="shared" si="991"/>
        <v>5.2912778784065928</v>
      </c>
      <c r="BX119" s="162">
        <f t="shared" si="991"/>
        <v>6.6793844724108862</v>
      </c>
      <c r="BY119" s="162">
        <f t="shared" si="991"/>
        <v>6.5560679409670719</v>
      </c>
      <c r="BZ119" s="162">
        <f t="shared" si="991"/>
        <v>5.8954948408661538</v>
      </c>
      <c r="CA119" s="162">
        <f t="shared" si="991"/>
        <v>7.0299068792355319</v>
      </c>
      <c r="CB119" s="162">
        <f t="shared" si="991"/>
        <v>7.4962184407300185</v>
      </c>
      <c r="CC119" s="162">
        <f t="shared" si="991"/>
        <v>7.3487293902973692</v>
      </c>
      <c r="CD119" s="162">
        <f t="shared" si="991"/>
        <v>9.0724976603765608</v>
      </c>
      <c r="CE119" s="162">
        <f t="shared" si="991"/>
        <v>9.7298265643418276</v>
      </c>
      <c r="CF119" s="162">
        <f t="shared" si="991"/>
        <v>10.099090817791378</v>
      </c>
      <c r="CG119" s="162">
        <f t="shared" si="991"/>
        <v>11.851835976421727</v>
      </c>
      <c r="CH119" s="162">
        <f t="shared" si="991"/>
        <v>11.271692571529947</v>
      </c>
      <c r="CI119" s="162">
        <f t="shared" si="991"/>
        <v>10.601193497819688</v>
      </c>
      <c r="CJ119" s="162">
        <f t="shared" ref="CJ119:CL120" si="994">+CJ102/CJ$116</f>
        <v>9.9888971193913623</v>
      </c>
      <c r="CK119" s="162">
        <f t="shared" ref="CK119" si="995">+CK102/CK$116</f>
        <v>8.6064809751889335</v>
      </c>
      <c r="CL119" s="162">
        <f t="shared" si="994"/>
        <v>8.189929889697515</v>
      </c>
      <c r="CM119" s="94">
        <f t="shared" ref="CM119:DB119" si="996">+CL119</f>
        <v>8.189929889697515</v>
      </c>
      <c r="CN119" s="94">
        <f t="shared" si="996"/>
        <v>8.189929889697515</v>
      </c>
      <c r="CO119" s="94">
        <f t="shared" si="996"/>
        <v>8.189929889697515</v>
      </c>
      <c r="CP119" s="94">
        <f t="shared" si="996"/>
        <v>8.189929889697515</v>
      </c>
      <c r="CQ119" s="94">
        <f t="shared" si="996"/>
        <v>8.189929889697515</v>
      </c>
      <c r="CR119" s="94">
        <f t="shared" si="996"/>
        <v>8.189929889697515</v>
      </c>
      <c r="CS119" s="94">
        <f t="shared" si="996"/>
        <v>8.189929889697515</v>
      </c>
      <c r="CT119" s="94">
        <f t="shared" si="996"/>
        <v>8.189929889697515</v>
      </c>
      <c r="CU119" s="94">
        <f t="shared" si="996"/>
        <v>8.189929889697515</v>
      </c>
      <c r="CV119" s="94">
        <f t="shared" si="996"/>
        <v>8.189929889697515</v>
      </c>
      <c r="CW119" s="94">
        <f t="shared" si="996"/>
        <v>8.189929889697515</v>
      </c>
      <c r="CX119" s="94">
        <f t="shared" si="996"/>
        <v>8.189929889697515</v>
      </c>
      <c r="CY119" s="94">
        <f t="shared" si="996"/>
        <v>8.189929889697515</v>
      </c>
      <c r="CZ119" s="94">
        <f t="shared" si="996"/>
        <v>8.189929889697515</v>
      </c>
      <c r="DA119" s="94">
        <f t="shared" si="996"/>
        <v>8.189929889697515</v>
      </c>
      <c r="DB119" s="94">
        <f t="shared" si="996"/>
        <v>8.189929889697515</v>
      </c>
      <c r="DC119" s="94"/>
      <c r="DE119" s="22"/>
      <c r="DF119" s="162">
        <v>8.1626806623230834</v>
      </c>
    </row>
    <row r="120" spans="1:110" s="162" customFormat="1" x14ac:dyDescent="0.2">
      <c r="A120" s="49" t="s">
        <v>504</v>
      </c>
      <c r="E120" s="162">
        <f t="shared" si="989"/>
        <v>1.8967067378438265</v>
      </c>
      <c r="F120" s="162">
        <f t="shared" si="989"/>
        <v>2.9021154951714165</v>
      </c>
      <c r="G120" s="162">
        <f t="shared" si="989"/>
        <v>3.69550432596894</v>
      </c>
      <c r="H120" s="162">
        <f t="shared" si="989"/>
        <v>4.6847458278848526</v>
      </c>
      <c r="I120" s="162">
        <f t="shared" si="989"/>
        <v>5.2961262789220784</v>
      </c>
      <c r="J120" s="162">
        <f t="shared" si="989"/>
        <v>1.3314898620552018</v>
      </c>
      <c r="K120" s="162">
        <f t="shared" si="989"/>
        <v>1.9790024735137082</v>
      </c>
      <c r="L120" s="162">
        <f t="shared" si="989"/>
        <v>3.3769110941938676</v>
      </c>
      <c r="M120" s="162">
        <f t="shared" si="989"/>
        <v>2.1290560337976681</v>
      </c>
      <c r="N120" s="162">
        <f t="shared" si="989"/>
        <v>2.2238278088723611</v>
      </c>
      <c r="O120" s="162">
        <f t="shared" si="989"/>
        <v>1.8394325507002809</v>
      </c>
      <c r="P120" s="162">
        <f t="shared" si="989"/>
        <v>3.9431282955192843</v>
      </c>
      <c r="Q120" s="162">
        <f t="shared" si="989"/>
        <v>4.0418096561520844</v>
      </c>
      <c r="R120" s="162">
        <f t="shared" si="989"/>
        <v>4.5551829441248142</v>
      </c>
      <c r="S120" s="162">
        <f t="shared" si="989"/>
        <v>3.3468286168157224</v>
      </c>
      <c r="T120" s="162">
        <f t="shared" si="989"/>
        <v>3.4910835319770723</v>
      </c>
      <c r="U120" s="162">
        <f t="shared" si="989"/>
        <v>2.2772848672369208</v>
      </c>
      <c r="V120" s="162">
        <f t="shared" si="989"/>
        <v>2.3487753603681112</v>
      </c>
      <c r="W120" s="162">
        <f t="shared" si="989"/>
        <v>1.8328074509887839</v>
      </c>
      <c r="X120" s="162">
        <f t="shared" si="989"/>
        <v>3.6958297210209023</v>
      </c>
      <c r="Y120" s="162">
        <f t="shared" si="989"/>
        <v>4.7910012530864527</v>
      </c>
      <c r="Z120" s="162">
        <f t="shared" si="989"/>
        <v>6.4718492819901243</v>
      </c>
      <c r="AA120" s="162">
        <f t="shared" ref="AA120" si="997">+AA103/AA$116</f>
        <v>6.2051532719545763</v>
      </c>
      <c r="AB120" s="21">
        <f t="shared" si="989"/>
        <v>5.9120896338339994</v>
      </c>
      <c r="AC120" s="21">
        <f t="shared" si="989"/>
        <v>5.5860644122489074</v>
      </c>
      <c r="AD120" s="21">
        <f t="shared" si="989"/>
        <v>5.8032408200715357</v>
      </c>
      <c r="AE120" s="21">
        <f t="shared" si="989"/>
        <v>5.5367502402870636</v>
      </c>
      <c r="AL120" s="162">
        <f t="shared" si="991"/>
        <v>2.2866845403122231</v>
      </c>
      <c r="AM120" s="162">
        <f t="shared" si="991"/>
        <v>2.0091166843724753</v>
      </c>
      <c r="AN120" s="162">
        <f t="shared" si="991"/>
        <v>1.6357667309625405</v>
      </c>
      <c r="AO120" s="162">
        <f t="shared" si="991"/>
        <v>1.9643981256657468</v>
      </c>
      <c r="AP120" s="162">
        <f t="shared" si="991"/>
        <v>2.7432283046395658</v>
      </c>
      <c r="AQ120" s="162">
        <f t="shared" si="991"/>
        <v>3.3756454399326814</v>
      </c>
      <c r="AR120" s="162">
        <f t="shared" si="991"/>
        <v>3.852219976161483</v>
      </c>
      <c r="AS120" s="162">
        <f t="shared" si="991"/>
        <v>4.3937163872902634</v>
      </c>
      <c r="AT120" s="162">
        <f t="shared" si="991"/>
        <v>5.8827994938298716</v>
      </c>
      <c r="AU120" s="162">
        <f t="shared" si="991"/>
        <v>5.1414572536101479</v>
      </c>
      <c r="AV120" s="162">
        <f t="shared" si="991"/>
        <v>3.9134224043252708</v>
      </c>
      <c r="AW120" s="162">
        <f t="shared" si="991"/>
        <v>4.1133864841033674</v>
      </c>
      <c r="AX120" s="162">
        <f t="shared" si="991"/>
        <v>4.604910072643861</v>
      </c>
      <c r="AY120" s="162">
        <f t="shared" si="991"/>
        <v>5.2580442174449376</v>
      </c>
      <c r="AZ120" s="162">
        <f t="shared" si="991"/>
        <v>6.1664452121527145</v>
      </c>
      <c r="BA120" s="162">
        <f t="shared" si="991"/>
        <v>4.2934192425823703</v>
      </c>
      <c r="BB120" s="162">
        <f t="shared" si="991"/>
        <v>4.8783547070525897</v>
      </c>
      <c r="BC120" s="162">
        <f t="shared" si="991"/>
        <v>6.4141707511944244</v>
      </c>
      <c r="BD120" s="162">
        <f t="shared" si="991"/>
        <v>5.5614873356178816</v>
      </c>
      <c r="BE120" s="162">
        <f t="shared" si="991"/>
        <v>5.4166463875233681</v>
      </c>
      <c r="BF120" s="162">
        <f t="shared" si="991"/>
        <v>3.8697186209208092</v>
      </c>
      <c r="BG120" s="162">
        <f t="shared" si="991"/>
        <v>4.1943514231424492</v>
      </c>
      <c r="BH120" s="162">
        <f t="shared" si="991"/>
        <v>3.9901363924881337</v>
      </c>
      <c r="BI120" s="162">
        <f t="shared" si="991"/>
        <v>3.4799186595527942</v>
      </c>
      <c r="BJ120" s="162">
        <f t="shared" si="991"/>
        <v>4.1480419784491236</v>
      </c>
      <c r="BK120" s="162">
        <f t="shared" si="991"/>
        <v>4.4421751985991422</v>
      </c>
      <c r="BL120" s="162">
        <f t="shared" si="991"/>
        <v>4.1159440111411518</v>
      </c>
      <c r="BM120" s="162">
        <f t="shared" si="991"/>
        <v>4.4715732999237874</v>
      </c>
      <c r="BN120" s="162">
        <f t="shared" si="991"/>
        <v>2.2772848672369208</v>
      </c>
      <c r="BO120" s="162">
        <f t="shared" si="991"/>
        <v>2.1019370097749586</v>
      </c>
      <c r="BP120" s="162">
        <f t="shared" si="991"/>
        <v>2.8475258730165782</v>
      </c>
      <c r="BQ120" s="162">
        <f t="shared" si="991"/>
        <v>3.5547283981513336</v>
      </c>
      <c r="BR120" s="162">
        <f t="shared" si="991"/>
        <v>3.8862587484351581</v>
      </c>
      <c r="BS120" s="162">
        <f t="shared" si="991"/>
        <v>3.8396204267881524</v>
      </c>
      <c r="BT120" s="162">
        <f t="shared" si="991"/>
        <v>5.6482483319396852</v>
      </c>
      <c r="BU120" s="162">
        <f t="shared" si="991"/>
        <v>7.3233062884592854</v>
      </c>
      <c r="BV120" s="162">
        <f t="shared" si="991"/>
        <v>3.591629863004</v>
      </c>
      <c r="BW120" s="162">
        <f t="shared" si="991"/>
        <v>4.078918877812038</v>
      </c>
      <c r="BX120" s="162">
        <f t="shared" si="991"/>
        <v>4.3664520491153285</v>
      </c>
      <c r="BY120" s="162">
        <f t="shared" si="991"/>
        <v>5.5285683339299334</v>
      </c>
      <c r="BZ120" s="162">
        <f t="shared" si="991"/>
        <v>4.9967261173947248</v>
      </c>
      <c r="CA120" s="162">
        <f t="shared" si="991"/>
        <v>5.5222590317390674</v>
      </c>
      <c r="CB120" s="162">
        <f t="shared" si="991"/>
        <v>6.4729524048664704</v>
      </c>
      <c r="CC120" s="162">
        <f t="shared" si="991"/>
        <v>6.0525178093701948</v>
      </c>
      <c r="CD120" s="162">
        <f t="shared" si="991"/>
        <v>6.4617556957273452</v>
      </c>
      <c r="CE120" s="162">
        <f t="shared" si="991"/>
        <v>7.4425693248044329</v>
      </c>
      <c r="CF120" s="162">
        <f t="shared" si="991"/>
        <v>8.0045735783812724</v>
      </c>
      <c r="CG120" s="162">
        <f t="shared" si="991"/>
        <v>8.5692690921619938</v>
      </c>
      <c r="CH120" s="162">
        <f t="shared" si="991"/>
        <v>8.7171326913789535</v>
      </c>
      <c r="CI120" s="162">
        <f t="shared" si="991"/>
        <v>8.6811015546718711</v>
      </c>
      <c r="CJ120" s="162">
        <f t="shared" si="994"/>
        <v>8.7192158991410995</v>
      </c>
      <c r="CK120" s="162">
        <f t="shared" ref="CK120" si="998">+CK103/CK$116</f>
        <v>7.6752486638776327</v>
      </c>
      <c r="CL120" s="162">
        <f t="shared" si="994"/>
        <v>6.2051532719545763</v>
      </c>
      <c r="CM120" s="94">
        <f t="shared" ref="CM120:DB120" si="999">+CL120</f>
        <v>6.2051532719545763</v>
      </c>
      <c r="CN120" s="94">
        <f t="shared" si="999"/>
        <v>6.2051532719545763</v>
      </c>
      <c r="CO120" s="94">
        <f t="shared" si="999"/>
        <v>6.2051532719545763</v>
      </c>
      <c r="CP120" s="94">
        <f t="shared" si="999"/>
        <v>6.2051532719545763</v>
      </c>
      <c r="CQ120" s="94">
        <f t="shared" si="999"/>
        <v>6.2051532719545763</v>
      </c>
      <c r="CR120" s="94">
        <f t="shared" si="999"/>
        <v>6.2051532719545763</v>
      </c>
      <c r="CS120" s="94">
        <f t="shared" si="999"/>
        <v>6.2051532719545763</v>
      </c>
      <c r="CT120" s="94">
        <f t="shared" si="999"/>
        <v>6.2051532719545763</v>
      </c>
      <c r="CU120" s="94">
        <f t="shared" si="999"/>
        <v>6.2051532719545763</v>
      </c>
      <c r="CV120" s="94">
        <f t="shared" si="999"/>
        <v>6.2051532719545763</v>
      </c>
      <c r="CW120" s="94">
        <f t="shared" si="999"/>
        <v>6.2051532719545763</v>
      </c>
      <c r="CX120" s="94">
        <f t="shared" si="999"/>
        <v>6.2051532719545763</v>
      </c>
      <c r="CY120" s="94">
        <f t="shared" si="999"/>
        <v>6.2051532719545763</v>
      </c>
      <c r="CZ120" s="94">
        <f t="shared" si="999"/>
        <v>6.2051532719545763</v>
      </c>
      <c r="DA120" s="94">
        <f t="shared" si="999"/>
        <v>6.2051532719545763</v>
      </c>
      <c r="DB120" s="94">
        <f t="shared" si="999"/>
        <v>6.2051532719545763</v>
      </c>
      <c r="DC120" s="94"/>
      <c r="DE120" s="22"/>
      <c r="DF120" s="162">
        <v>6.1845077188573025</v>
      </c>
    </row>
    <row r="121" spans="1:110" s="4" customFormat="1" x14ac:dyDescent="0.2">
      <c r="A121" s="3"/>
      <c r="AB121" s="17"/>
      <c r="AC121" s="17"/>
      <c r="AD121" s="17"/>
      <c r="AE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E121" s="119"/>
    </row>
    <row r="122" spans="1:110" s="177" customFormat="1" x14ac:dyDescent="0.2">
      <c r="A122" s="177" t="s">
        <v>510</v>
      </c>
      <c r="E122" s="177">
        <f t="shared" ref="E122:Y122" si="1000">+E34</f>
        <v>1002.34</v>
      </c>
      <c r="F122" s="177">
        <f t="shared" si="1000"/>
        <v>1313.53</v>
      </c>
      <c r="G122" s="177">
        <f t="shared" si="1000"/>
        <v>1837.31</v>
      </c>
      <c r="H122" s="177">
        <f t="shared" si="1000"/>
        <v>2506.25</v>
      </c>
      <c r="I122" s="177">
        <f t="shared" si="1000"/>
        <v>2920.03</v>
      </c>
      <c r="J122" s="177">
        <f t="shared" si="1000"/>
        <v>2686.13</v>
      </c>
      <c r="K122" s="177">
        <f t="shared" si="1000"/>
        <v>2521.02</v>
      </c>
      <c r="L122" s="177">
        <f t="shared" si="1000"/>
        <v>2862.47</v>
      </c>
      <c r="M122" s="177">
        <f t="shared" si="1000"/>
        <v>3443.52</v>
      </c>
      <c r="N122" s="177">
        <f t="shared" si="1000"/>
        <v>3743.36</v>
      </c>
      <c r="O122" s="177">
        <f t="shared" si="1000"/>
        <v>4066.19</v>
      </c>
      <c r="P122" s="177">
        <f t="shared" si="1000"/>
        <v>4188.6400000000003</v>
      </c>
      <c r="Q122" s="177">
        <f t="shared" si="1000"/>
        <v>4023.02</v>
      </c>
      <c r="R122" s="177">
        <f t="shared" si="1000"/>
        <v>4020.57</v>
      </c>
      <c r="S122" s="177">
        <f t="shared" si="1000"/>
        <v>4103.55</v>
      </c>
      <c r="T122" s="177">
        <f t="shared" si="1000"/>
        <v>4512</v>
      </c>
      <c r="U122" s="177">
        <f t="shared" si="1000"/>
        <v>4463.1400000000003</v>
      </c>
      <c r="V122" s="177">
        <f t="shared" si="1000"/>
        <v>1575.16</v>
      </c>
      <c r="W122" s="177">
        <f t="shared" si="1000"/>
        <v>3056.22</v>
      </c>
      <c r="X122" s="177">
        <f t="shared" si="1000"/>
        <v>5809.91</v>
      </c>
      <c r="Y122" s="177">
        <f t="shared" si="1000"/>
        <v>6768.75</v>
      </c>
      <c r="Z122" s="177">
        <f>+Z34</f>
        <v>8334.5400000000009</v>
      </c>
      <c r="AA122" s="177">
        <f>+AA34</f>
        <v>9689.2199999999993</v>
      </c>
      <c r="AB122" s="178">
        <f t="shared" ref="AA122:AE122" si="1001">+AB34</f>
        <v>10884.819311307354</v>
      </c>
      <c r="AC122" s="178">
        <f t="shared" si="1001"/>
        <v>11608.32696678337</v>
      </c>
      <c r="AD122" s="178">
        <f t="shared" si="1001"/>
        <v>12372.16090184034</v>
      </c>
      <c r="AE122" s="178">
        <f t="shared" si="1001"/>
        <v>13146.876714471027</v>
      </c>
      <c r="AL122" s="177">
        <f t="shared" ref="AL122:BQ122" si="1002">+SUM(AI32:AL32)</f>
        <v>3227.44</v>
      </c>
      <c r="AM122" s="177">
        <f t="shared" si="1002"/>
        <v>3283.5699999999997</v>
      </c>
      <c r="AN122" s="177">
        <f t="shared" si="1002"/>
        <v>3365.69</v>
      </c>
      <c r="AO122" s="177">
        <f t="shared" si="1002"/>
        <v>3988.75</v>
      </c>
      <c r="AP122" s="177">
        <f t="shared" si="1002"/>
        <v>4066.1899999999996</v>
      </c>
      <c r="AQ122" s="177">
        <f t="shared" si="1002"/>
        <v>4094.95</v>
      </c>
      <c r="AR122" s="177">
        <f t="shared" si="1002"/>
        <v>4136.03</v>
      </c>
      <c r="AS122" s="177">
        <f t="shared" si="1002"/>
        <v>4175.3</v>
      </c>
      <c r="AT122" s="177">
        <f t="shared" si="1002"/>
        <v>4188.6400000000003</v>
      </c>
      <c r="AU122" s="177">
        <f t="shared" si="1002"/>
        <v>4284.1000000000004</v>
      </c>
      <c r="AV122" s="177">
        <f t="shared" si="1002"/>
        <v>4241.47</v>
      </c>
      <c r="AW122" s="177">
        <f t="shared" si="1002"/>
        <v>4196.7800000000007</v>
      </c>
      <c r="AX122" s="177">
        <f t="shared" si="1002"/>
        <v>4317.93</v>
      </c>
      <c r="AY122" s="177">
        <f t="shared" si="1002"/>
        <v>4231.6400000000003</v>
      </c>
      <c r="AZ122" s="177">
        <f t="shared" si="1002"/>
        <v>4224.5400000000009</v>
      </c>
      <c r="BA122" s="177">
        <f t="shared" si="1002"/>
        <v>4194.4399999999996</v>
      </c>
      <c r="BB122" s="177">
        <f t="shared" si="1002"/>
        <v>4018.21</v>
      </c>
      <c r="BC122" s="177">
        <f t="shared" si="1002"/>
        <v>3982.74</v>
      </c>
      <c r="BD122" s="177">
        <f t="shared" si="1002"/>
        <v>3947.14</v>
      </c>
      <c r="BE122" s="177">
        <f t="shared" si="1002"/>
        <v>4012.3100000000004</v>
      </c>
      <c r="BF122" s="177">
        <f t="shared" si="1002"/>
        <v>4103.55</v>
      </c>
      <c r="BG122" s="177">
        <f t="shared" si="1002"/>
        <v>4172.09</v>
      </c>
      <c r="BH122" s="177">
        <f t="shared" si="1002"/>
        <v>4284.95</v>
      </c>
      <c r="BI122" s="177">
        <f t="shared" si="1002"/>
        <v>4411.1399999999994</v>
      </c>
      <c r="BJ122" s="177">
        <f t="shared" si="1002"/>
        <v>4512</v>
      </c>
      <c r="BK122" s="177">
        <f t="shared" si="1002"/>
        <v>4552.3</v>
      </c>
      <c r="BL122" s="177">
        <f t="shared" si="1002"/>
        <v>4595.21</v>
      </c>
      <c r="BM122" s="177">
        <f t="shared" si="1002"/>
        <v>4644.4799999999996</v>
      </c>
      <c r="BN122" s="177">
        <f t="shared" si="1002"/>
        <v>4463.1399999999994</v>
      </c>
      <c r="BO122" s="177">
        <f t="shared" si="1002"/>
        <v>3586.75</v>
      </c>
      <c r="BP122" s="177">
        <f t="shared" si="1002"/>
        <v>2835.98</v>
      </c>
      <c r="BQ122" s="177">
        <f t="shared" si="1002"/>
        <v>2023.1200000000003</v>
      </c>
      <c r="BR122" s="177">
        <f t="shared" ref="BR122:CW122" si="1003">+SUM(BO32:BR32)</f>
        <v>1575.16</v>
      </c>
      <c r="BS122" s="177">
        <f t="shared" si="1003"/>
        <v>1776.1</v>
      </c>
      <c r="BT122" s="177">
        <f t="shared" si="1003"/>
        <v>2247.8000000000002</v>
      </c>
      <c r="BU122" s="177">
        <f t="shared" si="1003"/>
        <v>2799.16</v>
      </c>
      <c r="BV122" s="177">
        <f t="shared" si="1003"/>
        <v>3056.2200000000003</v>
      </c>
      <c r="BW122" s="177">
        <f t="shared" si="1003"/>
        <v>3977.74</v>
      </c>
      <c r="BX122" s="177">
        <f t="shared" si="1003"/>
        <v>4481.9799999999996</v>
      </c>
      <c r="BY122" s="177">
        <f t="shared" si="1003"/>
        <v>5056.5600000000004</v>
      </c>
      <c r="BZ122" s="177">
        <f t="shared" si="1003"/>
        <v>5809.91</v>
      </c>
      <c r="CA122" s="177">
        <f t="shared" si="1003"/>
        <v>6010.21</v>
      </c>
      <c r="CB122" s="177">
        <f t="shared" si="1003"/>
        <v>6210.8</v>
      </c>
      <c r="CC122" s="177">
        <f t="shared" si="1003"/>
        <v>6488.84</v>
      </c>
      <c r="CD122" s="177">
        <f t="shared" si="1003"/>
        <v>6768.75</v>
      </c>
      <c r="CE122" s="177">
        <f t="shared" si="1003"/>
        <v>6852.6100000000006</v>
      </c>
      <c r="CF122" s="177">
        <f t="shared" si="1003"/>
        <v>7245.53</v>
      </c>
      <c r="CG122" s="177">
        <f t="shared" si="1003"/>
        <v>7814.74</v>
      </c>
      <c r="CH122" s="177">
        <f t="shared" si="1003"/>
        <v>8334.5399999999991</v>
      </c>
      <c r="CI122" s="177">
        <f t="shared" si="1003"/>
        <v>8825.39</v>
      </c>
      <c r="CJ122" s="177">
        <f t="shared" si="1003"/>
        <v>9040.16</v>
      </c>
      <c r="CK122" s="177">
        <f t="shared" si="1003"/>
        <v>9349.07</v>
      </c>
      <c r="CL122" s="177">
        <f t="shared" si="1003"/>
        <v>9689.2200000000012</v>
      </c>
      <c r="CM122" s="178">
        <f t="shared" si="1003"/>
        <v>10345.759758099675</v>
      </c>
      <c r="CN122" s="178">
        <f t="shared" si="1003"/>
        <v>11015.929047691308</v>
      </c>
      <c r="CO122" s="178">
        <f t="shared" si="1003"/>
        <v>10930.274795942589</v>
      </c>
      <c r="CP122" s="178">
        <f t="shared" si="1003"/>
        <v>10884.819311307354</v>
      </c>
      <c r="CQ122" s="178">
        <f t="shared" si="1003"/>
        <v>11031.614520893776</v>
      </c>
      <c r="CR122" s="178">
        <f t="shared" si="1003"/>
        <v>11200.537364592714</v>
      </c>
      <c r="CS122" s="178">
        <f t="shared" si="1003"/>
        <v>11365.855757437992</v>
      </c>
      <c r="CT122" s="178">
        <f t="shared" si="1003"/>
        <v>11608.32696678337</v>
      </c>
      <c r="CU122" s="178">
        <f t="shared" si="1003"/>
        <v>11787.898797849473</v>
      </c>
      <c r="CV122" s="178">
        <f t="shared" si="1003"/>
        <v>11976.470150376896</v>
      </c>
      <c r="CW122" s="178">
        <f t="shared" si="1003"/>
        <v>12170.417404052314</v>
      </c>
      <c r="CX122" s="178">
        <f t="shared" ref="CX122:DB122" si="1004">+SUM(CU32:CX32)</f>
        <v>12372.16090184034</v>
      </c>
      <c r="CY122" s="178">
        <f t="shared" si="1004"/>
        <v>12562.809971566936</v>
      </c>
      <c r="CZ122" s="178">
        <f t="shared" si="1004"/>
        <v>12756.477268149969</v>
      </c>
      <c r="DA122" s="178">
        <f t="shared" si="1004"/>
        <v>12951.528355713199</v>
      </c>
      <c r="DB122" s="178">
        <f t="shared" si="1004"/>
        <v>13146.876714471027</v>
      </c>
      <c r="DE122" s="179"/>
      <c r="DF122" s="177">
        <v>9755.6071346929893</v>
      </c>
    </row>
    <row r="123" spans="1:110" s="163" customFormat="1" x14ac:dyDescent="0.2">
      <c r="A123" s="163" t="s">
        <v>511</v>
      </c>
      <c r="E123" s="163">
        <f t="shared" ref="E123:AE123" si="1005">+E122/E89</f>
        <v>7.0418715751018688</v>
      </c>
      <c r="F123" s="163">
        <f t="shared" si="1005"/>
        <v>9.2281157791204151</v>
      </c>
      <c r="G123" s="163">
        <f t="shared" si="1005"/>
        <v>12.907896585640016</v>
      </c>
      <c r="H123" s="163">
        <f t="shared" si="1005"/>
        <v>17.6074891105803</v>
      </c>
      <c r="I123" s="163">
        <f t="shared" si="1005"/>
        <v>20.514472390051989</v>
      </c>
      <c r="J123" s="163">
        <f t="shared" si="1005"/>
        <v>18.87122383026556</v>
      </c>
      <c r="K123" s="163">
        <f t="shared" si="1005"/>
        <v>17.711254742166641</v>
      </c>
      <c r="L123" s="163">
        <f t="shared" si="1005"/>
        <v>20.110088520444005</v>
      </c>
      <c r="M123" s="163">
        <f t="shared" si="1005"/>
        <v>24.192215821273006</v>
      </c>
      <c r="N123" s="163">
        <f t="shared" si="1005"/>
        <v>26.298721371364341</v>
      </c>
      <c r="O123" s="163">
        <f t="shared" si="1005"/>
        <v>28.566741604608684</v>
      </c>
      <c r="P123" s="163">
        <f t="shared" si="1005"/>
        <v>29.427005760854293</v>
      </c>
      <c r="Q123" s="163">
        <f t="shared" si="1005"/>
        <v>28.263453702402696</v>
      </c>
      <c r="R123" s="163">
        <f t="shared" si="1005"/>
        <v>28.246241393845722</v>
      </c>
      <c r="S123" s="163">
        <f t="shared" si="1005"/>
        <v>28.829211746522411</v>
      </c>
      <c r="T123" s="163">
        <f t="shared" si="1005"/>
        <v>31.698749473092594</v>
      </c>
      <c r="U123" s="163">
        <f t="shared" si="1005"/>
        <v>31.355486862442042</v>
      </c>
      <c r="V123" s="163">
        <f t="shared" si="1005"/>
        <v>11.066179570043557</v>
      </c>
      <c r="W123" s="163">
        <f t="shared" si="1005"/>
        <v>21.471265982857943</v>
      </c>
      <c r="X123" s="163">
        <f t="shared" si="1005"/>
        <v>40.817128003372204</v>
      </c>
      <c r="Y123" s="163">
        <f t="shared" si="1005"/>
        <v>47.553393283686944</v>
      </c>
      <c r="Z123" s="163">
        <f t="shared" ref="Z123:AA123" si="1006">+Z122/Z89</f>
        <v>58.553744555290152</v>
      </c>
      <c r="AA123" s="163">
        <f t="shared" si="1006"/>
        <v>68.070956863847115</v>
      </c>
      <c r="AB123" s="94">
        <f t="shared" si="1005"/>
        <v>76.470558601288133</v>
      </c>
      <c r="AC123" s="94">
        <f t="shared" si="1005"/>
        <v>81.553512482670854</v>
      </c>
      <c r="AD123" s="94">
        <f t="shared" si="1005"/>
        <v>86.919775901646332</v>
      </c>
      <c r="AE123" s="94">
        <f t="shared" si="1005"/>
        <v>92.362489212245521</v>
      </c>
      <c r="AL123" s="163">
        <f t="shared" ref="AL123:BQ123" si="1007">+AL122/AL89</f>
        <v>22.674160460868343</v>
      </c>
      <c r="AM123" s="163">
        <f t="shared" si="1007"/>
        <v>23.068497962624697</v>
      </c>
      <c r="AN123" s="163">
        <f t="shared" si="1007"/>
        <v>23.64542644372629</v>
      </c>
      <c r="AO123" s="163">
        <f t="shared" si="1007"/>
        <v>28.022692145566953</v>
      </c>
      <c r="AP123" s="163">
        <f t="shared" si="1007"/>
        <v>28.56674160460868</v>
      </c>
      <c r="AQ123" s="163">
        <f t="shared" si="1007"/>
        <v>28.768793030771391</v>
      </c>
      <c r="AR123" s="163">
        <f t="shared" si="1007"/>
        <v>29.057397779963466</v>
      </c>
      <c r="AS123" s="163">
        <f t="shared" si="1007"/>
        <v>29.333286497119573</v>
      </c>
      <c r="AT123" s="163">
        <f t="shared" si="1007"/>
        <v>29.427005760854293</v>
      </c>
      <c r="AU123" s="163">
        <f t="shared" si="1007"/>
        <v>30.097653505690602</v>
      </c>
      <c r="AV123" s="163">
        <f t="shared" si="1007"/>
        <v>29.798159336799213</v>
      </c>
      <c r="AW123" s="163">
        <f t="shared" si="1007"/>
        <v>29.484192777855842</v>
      </c>
      <c r="AX123" s="163">
        <f t="shared" si="1007"/>
        <v>30.335323872418154</v>
      </c>
      <c r="AY123" s="163">
        <f t="shared" si="1007"/>
        <v>29.729099339609387</v>
      </c>
      <c r="AZ123" s="163">
        <f t="shared" si="1007"/>
        <v>29.679218771954481</v>
      </c>
      <c r="BA123" s="163">
        <f t="shared" si="1007"/>
        <v>29.467753266825905</v>
      </c>
      <c r="BB123" s="163">
        <f t="shared" si="1007"/>
        <v>28.229661374174512</v>
      </c>
      <c r="BC123" s="163">
        <f t="shared" si="1007"/>
        <v>27.980469298861877</v>
      </c>
      <c r="BD123" s="163">
        <f t="shared" si="1007"/>
        <v>27.730363917380917</v>
      </c>
      <c r="BE123" s="163">
        <f t="shared" si="1007"/>
        <v>28.188211324996491</v>
      </c>
      <c r="BF123" s="163">
        <f t="shared" si="1007"/>
        <v>28.829211746522411</v>
      </c>
      <c r="BG123" s="163">
        <f t="shared" si="1007"/>
        <v>29.310734860193904</v>
      </c>
      <c r="BH123" s="163">
        <f t="shared" si="1007"/>
        <v>30.103625122945058</v>
      </c>
      <c r="BI123" s="163">
        <f t="shared" si="1007"/>
        <v>30.990164395110295</v>
      </c>
      <c r="BJ123" s="163">
        <f t="shared" si="1007"/>
        <v>31.698749473092594</v>
      </c>
      <c r="BK123" s="163">
        <f t="shared" si="1007"/>
        <v>31.981874385274693</v>
      </c>
      <c r="BL123" s="163">
        <f t="shared" si="1007"/>
        <v>32.283335675144023</v>
      </c>
      <c r="BM123" s="163">
        <f t="shared" si="1007"/>
        <v>32.629478712940845</v>
      </c>
      <c r="BN123" s="163">
        <f t="shared" si="1007"/>
        <v>31.355486862442035</v>
      </c>
      <c r="BO123" s="163">
        <f t="shared" si="1007"/>
        <v>25.198468455810033</v>
      </c>
      <c r="BP123" s="163">
        <f t="shared" si="1007"/>
        <v>19.923984825066743</v>
      </c>
      <c r="BQ123" s="163">
        <f t="shared" si="1007"/>
        <v>14.213292117465226</v>
      </c>
      <c r="BR123" s="163">
        <f t="shared" ref="BR123:CW123" si="1008">+BR122/BR89</f>
        <v>11.066179570043557</v>
      </c>
      <c r="BS123" s="163">
        <f t="shared" si="1008"/>
        <v>12.477869888998173</v>
      </c>
      <c r="BT123" s="163">
        <f t="shared" si="1008"/>
        <v>15.791766193620909</v>
      </c>
      <c r="BU123" s="163">
        <f t="shared" si="1008"/>
        <v>19.66530841646761</v>
      </c>
      <c r="BV123" s="163">
        <f t="shared" si="1008"/>
        <v>21.471265982857947</v>
      </c>
      <c r="BW123" s="163">
        <f t="shared" si="1008"/>
        <v>27.94534213854152</v>
      </c>
      <c r="BX123" s="163">
        <f t="shared" si="1008"/>
        <v>31.487846002529153</v>
      </c>
      <c r="BY123" s="163">
        <f t="shared" si="1008"/>
        <v>35.524518757903614</v>
      </c>
      <c r="BZ123" s="163">
        <f t="shared" si="1008"/>
        <v>40.817128003372204</v>
      </c>
      <c r="CA123" s="163">
        <f t="shared" si="1008"/>
        <v>42.224322045805813</v>
      </c>
      <c r="CB123" s="163">
        <f t="shared" si="1008"/>
        <v>43.633553463538007</v>
      </c>
      <c r="CC123" s="163">
        <f t="shared" si="1008"/>
        <v>45.586904594632571</v>
      </c>
      <c r="CD123" s="163">
        <f t="shared" si="1008"/>
        <v>47.553393283686944</v>
      </c>
      <c r="CE123" s="163">
        <f t="shared" si="1008"/>
        <v>48.14254601658002</v>
      </c>
      <c r="CF123" s="163">
        <f t="shared" si="1008"/>
        <v>50.902978783195167</v>
      </c>
      <c r="CG123" s="163">
        <f t="shared" si="1008"/>
        <v>54.901924968385551</v>
      </c>
      <c r="CH123" s="163">
        <f t="shared" si="1008"/>
        <v>58.553744555290145</v>
      </c>
      <c r="CI123" s="163">
        <f t="shared" si="1008"/>
        <v>62.002177883939858</v>
      </c>
      <c r="CJ123" s="163">
        <f t="shared" si="1008"/>
        <v>63.511029928340591</v>
      </c>
      <c r="CK123" s="163">
        <f t="shared" ref="CK123:CL123" si="1009">+CK122/CK89</f>
        <v>65.681256147253052</v>
      </c>
      <c r="CL123" s="163">
        <f t="shared" si="1009"/>
        <v>68.07095686384713</v>
      </c>
      <c r="CM123" s="50">
        <f t="shared" si="1008"/>
        <v>72.683432331738615</v>
      </c>
      <c r="CN123" s="50">
        <f t="shared" si="1008"/>
        <v>77.391661147191996</v>
      </c>
      <c r="CO123" s="50">
        <f t="shared" si="1008"/>
        <v>76.789903020532449</v>
      </c>
      <c r="CP123" s="50">
        <f t="shared" si="1008"/>
        <v>76.470558601288133</v>
      </c>
      <c r="CQ123" s="50">
        <f t="shared" si="1008"/>
        <v>77.501858373568751</v>
      </c>
      <c r="CR123" s="50">
        <f t="shared" si="1008"/>
        <v>78.688614336045475</v>
      </c>
      <c r="CS123" s="50">
        <f t="shared" si="1008"/>
        <v>79.850047473921535</v>
      </c>
      <c r="CT123" s="50">
        <f t="shared" si="1008"/>
        <v>81.553512482670854</v>
      </c>
      <c r="CU123" s="50">
        <f t="shared" si="1008"/>
        <v>82.815082182446773</v>
      </c>
      <c r="CV123" s="50">
        <f t="shared" si="1008"/>
        <v>84.139877408858339</v>
      </c>
      <c r="CW123" s="50">
        <f t="shared" si="1008"/>
        <v>85.502440663568308</v>
      </c>
      <c r="CX123" s="50">
        <f t="shared" ref="CX123:DB123" si="1010">+CX122/CX89</f>
        <v>86.919775901646332</v>
      </c>
      <c r="CY123" s="50">
        <f t="shared" si="1010"/>
        <v>88.25916798908905</v>
      </c>
      <c r="CZ123" s="50">
        <f t="shared" si="1010"/>
        <v>89.619764424265625</v>
      </c>
      <c r="DA123" s="50">
        <f t="shared" si="1010"/>
        <v>90.990082588964441</v>
      </c>
      <c r="DB123" s="50">
        <f t="shared" si="1010"/>
        <v>92.362489212245521</v>
      </c>
      <c r="DE123" s="164"/>
      <c r="DF123" s="163">
        <v>68.53735516856112</v>
      </c>
    </row>
    <row r="124" spans="1:110" s="163" customFormat="1" x14ac:dyDescent="0.2">
      <c r="AB124" s="94"/>
      <c r="AC124" s="94"/>
      <c r="AD124" s="94"/>
      <c r="AE124" s="94"/>
      <c r="CM124" s="94"/>
      <c r="CN124" s="94"/>
      <c r="CO124" s="94"/>
      <c r="CP124" s="94"/>
      <c r="CQ124" s="94"/>
      <c r="CR124" s="94"/>
      <c r="CS124" s="94"/>
      <c r="CT124" s="94"/>
      <c r="CU124" s="94"/>
      <c r="CV124" s="94"/>
      <c r="CW124" s="94"/>
      <c r="CX124" s="94"/>
      <c r="CY124" s="94"/>
      <c r="CZ124" s="94"/>
      <c r="DA124" s="94"/>
      <c r="DB124" s="94"/>
      <c r="DE124" s="164"/>
    </row>
    <row r="125" spans="1:110" s="163" customFormat="1" x14ac:dyDescent="0.2">
      <c r="A125" s="163" t="s">
        <v>506</v>
      </c>
      <c r="AB125" s="94"/>
      <c r="AC125" s="94"/>
      <c r="AD125" s="94"/>
      <c r="AE125" s="94"/>
      <c r="CM125" s="94"/>
      <c r="CN125" s="94"/>
      <c r="CO125" s="94"/>
      <c r="CP125" s="94"/>
      <c r="CQ125" s="94"/>
      <c r="CR125" s="94"/>
      <c r="CS125" s="94"/>
      <c r="CT125" s="94"/>
      <c r="CU125" s="94"/>
      <c r="CV125" s="94"/>
      <c r="CW125" s="94"/>
      <c r="CX125" s="94"/>
      <c r="CY125" s="94"/>
      <c r="CZ125" s="94"/>
      <c r="DA125" s="94"/>
      <c r="DB125" s="94"/>
      <c r="DE125" s="164"/>
    </row>
    <row r="126" spans="1:110" s="163" customFormat="1" x14ac:dyDescent="0.2">
      <c r="A126" s="163" t="s">
        <v>507</v>
      </c>
      <c r="E126" s="163">
        <f t="shared" ref="E126:AE128" si="1011">+E101/E$123</f>
        <v>4.9731987133507172</v>
      </c>
      <c r="F126" s="163">
        <f t="shared" si="1011"/>
        <v>5.7040375640617702</v>
      </c>
      <c r="G126" s="163">
        <f t="shared" si="1011"/>
        <v>8.787272278414834</v>
      </c>
      <c r="H126" s="163">
        <f t="shared" si="1011"/>
        <v>6.9028541348252626</v>
      </c>
      <c r="I126" s="163">
        <f t="shared" si="1011"/>
        <v>4.9470213870307491</v>
      </c>
      <c r="J126" s="163">
        <f t="shared" si="1011"/>
        <v>1.8943678187603072</v>
      </c>
      <c r="K126" s="163">
        <f t="shared" si="1011"/>
        <v>5.253569554542052</v>
      </c>
      <c r="L126" s="163">
        <f t="shared" si="1011"/>
        <v>3.7989734690133496</v>
      </c>
      <c r="M126" s="163">
        <f t="shared" si="1011"/>
        <v>2.3947126299790931</v>
      </c>
      <c r="N126" s="163">
        <f t="shared" si="1011"/>
        <v>1.8458112962431978</v>
      </c>
      <c r="O126" s="163">
        <f t="shared" si="1011"/>
        <v>2.2963905032563692</v>
      </c>
      <c r="P126" s="163">
        <f t="shared" si="1011"/>
        <v>3.6028882656570045</v>
      </c>
      <c r="Q126" s="163">
        <f t="shared" si="1011"/>
        <v>3.1878080992893363</v>
      </c>
      <c r="R126" s="163">
        <f t="shared" si="1011"/>
        <v>4.0795400962974364</v>
      </c>
      <c r="S126" s="163">
        <f t="shared" si="1011"/>
        <v>4.2824895360947473</v>
      </c>
      <c r="T126" s="163">
        <f t="shared" si="1011"/>
        <v>4.720572081041599</v>
      </c>
      <c r="U126" s="163">
        <f t="shared" si="1011"/>
        <v>2.3157858626601295</v>
      </c>
      <c r="V126" s="163">
        <f t="shared" si="1011"/>
        <v>9.715473289589843</v>
      </c>
      <c r="W126" s="163">
        <f t="shared" si="1011"/>
        <v>11.10321115626493</v>
      </c>
      <c r="X126" s="163">
        <f t="shared" si="1011"/>
        <v>7.9476439394069791</v>
      </c>
      <c r="Y126" s="163">
        <f t="shared" si="1011"/>
        <v>12.435495327793168</v>
      </c>
      <c r="Z126" s="163">
        <f>+Z101/Z$123</f>
        <v>13.434665980366042</v>
      </c>
      <c r="AA126" s="163">
        <f>+AA101/AA$123</f>
        <v>8.3846331283632747</v>
      </c>
      <c r="AB126" s="50">
        <f t="shared" ref="AA126:AE126" si="1012">+AB101/AB$123</f>
        <v>8.6176956472356565</v>
      </c>
      <c r="AC126" s="50">
        <f t="shared" si="1012"/>
        <v>8.080583900540514</v>
      </c>
      <c r="AD126" s="50">
        <f t="shared" si="1012"/>
        <v>7.5817038546635045</v>
      </c>
      <c r="AE126" s="50">
        <f t="shared" si="1012"/>
        <v>7.1349311351455986</v>
      </c>
      <c r="AL126" s="163">
        <f t="shared" ref="AL126:BQ126" si="1013">+AL101/AL123</f>
        <v>2.1408720762910969</v>
      </c>
      <c r="AM126" s="163">
        <f t="shared" si="1013"/>
        <v>1.8879481860248872</v>
      </c>
      <c r="AN126" s="163">
        <f t="shared" si="1013"/>
        <v>1.839965212108907</v>
      </c>
      <c r="AO126" s="163">
        <f t="shared" si="1013"/>
        <v>1.9961417426757582</v>
      </c>
      <c r="AP126" s="163">
        <f t="shared" si="1013"/>
        <v>2.2963905032563696</v>
      </c>
      <c r="AQ126" s="163">
        <f t="shared" si="1013"/>
        <v>3.2816222986064942</v>
      </c>
      <c r="AR126" s="163">
        <f t="shared" si="1013"/>
        <v>3.0366940789704171</v>
      </c>
      <c r="AS126" s="163">
        <f t="shared" si="1013"/>
        <v>3.881960867885796</v>
      </c>
      <c r="AT126" s="163">
        <f t="shared" si="1013"/>
        <v>3.6028882656570045</v>
      </c>
      <c r="AU126" s="163">
        <f t="shared" si="1013"/>
        <v>2.7538739943469115</v>
      </c>
      <c r="AV126" s="163">
        <f t="shared" si="1013"/>
        <v>2.6232156523846233</v>
      </c>
      <c r="AW126" s="163">
        <f t="shared" si="1013"/>
        <v>3.5912841210958968</v>
      </c>
      <c r="AX126" s="163">
        <f t="shared" si="1013"/>
        <v>2.970084216187614</v>
      </c>
      <c r="AY126" s="163">
        <f t="shared" si="1013"/>
        <v>3.8791087015569246</v>
      </c>
      <c r="AZ126" s="163">
        <f t="shared" si="1013"/>
        <v>3.9987424237032076</v>
      </c>
      <c r="BA126" s="163">
        <f t="shared" si="1013"/>
        <v>3.0236576300672198</v>
      </c>
      <c r="BB126" s="163">
        <f t="shared" si="1013"/>
        <v>4.0819361170696862</v>
      </c>
      <c r="BC126" s="163">
        <f t="shared" si="1013"/>
        <v>4.3242040281864202</v>
      </c>
      <c r="BD126" s="163">
        <f t="shared" si="1013"/>
        <v>3.7987857660022133</v>
      </c>
      <c r="BE126" s="163">
        <f t="shared" si="1013"/>
        <v>4.0583043892654027</v>
      </c>
      <c r="BF126" s="163">
        <f t="shared" si="1013"/>
        <v>4.2824895360947473</v>
      </c>
      <c r="BG126" s="163">
        <f t="shared" si="1013"/>
        <v>4.3659358826016623</v>
      </c>
      <c r="BH126" s="163">
        <f t="shared" si="1013"/>
        <v>4.3620470073132678</v>
      </c>
      <c r="BI126" s="163">
        <f t="shared" si="1013"/>
        <v>4.6204762730934323</v>
      </c>
      <c r="BJ126" s="163">
        <f t="shared" si="1013"/>
        <v>4.720572081041599</v>
      </c>
      <c r="BK126" s="163">
        <f t="shared" si="1013"/>
        <v>4.7727521392250614</v>
      </c>
      <c r="BL126" s="163">
        <f t="shared" si="1013"/>
        <v>4.7957511926286509</v>
      </c>
      <c r="BM126" s="163">
        <f t="shared" si="1013"/>
        <v>4.3081220239750335</v>
      </c>
      <c r="BN126" s="163">
        <f t="shared" si="1013"/>
        <v>2.31578586266013</v>
      </c>
      <c r="BO126" s="163">
        <f t="shared" si="1013"/>
        <v>3.0720685631670914</v>
      </c>
      <c r="BP126" s="163">
        <f t="shared" si="1013"/>
        <v>4.6079091286043914</v>
      </c>
      <c r="BQ126" s="163">
        <f t="shared" si="1013"/>
        <v>8.191783288656163</v>
      </c>
      <c r="BR126" s="163">
        <f t="shared" ref="BR126:DB126" si="1014">+BR101/BR123</f>
        <v>9.715473289589843</v>
      </c>
      <c r="BS126" s="163">
        <f t="shared" si="1014"/>
        <v>10.978217689120918</v>
      </c>
      <c r="BT126" s="163">
        <f t="shared" si="1014"/>
        <v>11.130052884123856</v>
      </c>
      <c r="BU126" s="163">
        <f t="shared" si="1014"/>
        <v>9.1836851055316604</v>
      </c>
      <c r="BV126" s="163">
        <f t="shared" si="1014"/>
        <v>11.103211156264928</v>
      </c>
      <c r="BW126" s="163">
        <f t="shared" si="1014"/>
        <v>8.0567988355196665</v>
      </c>
      <c r="BX126" s="163">
        <f t="shared" si="1014"/>
        <v>10.535811181665247</v>
      </c>
      <c r="BY126" s="163">
        <f t="shared" si="1014"/>
        <v>8.9670461736832934</v>
      </c>
      <c r="BZ126" s="163">
        <f t="shared" si="1014"/>
        <v>7.9476439394069791</v>
      </c>
      <c r="CA126" s="163">
        <f t="shared" si="1014"/>
        <v>9.2967744887449868</v>
      </c>
      <c r="CB126" s="163">
        <f t="shared" si="1014"/>
        <v>9.4216484188832368</v>
      </c>
      <c r="CC126" s="163">
        <f t="shared" si="1014"/>
        <v>9.6124096140450366</v>
      </c>
      <c r="CD126" s="163">
        <f t="shared" si="1014"/>
        <v>12.435495327793168</v>
      </c>
      <c r="CE126" s="163">
        <f t="shared" si="1014"/>
        <v>12.996819897819956</v>
      </c>
      <c r="CF126" s="163">
        <f t="shared" si="1014"/>
        <v>13.452061477904309</v>
      </c>
      <c r="CG126" s="163">
        <f t="shared" si="1014"/>
        <v>15.963010413654198</v>
      </c>
      <c r="CH126" s="163">
        <f t="shared" si="1014"/>
        <v>13.434665980366043</v>
      </c>
      <c r="CI126" s="163">
        <f t="shared" si="1014"/>
        <v>12.260859633398638</v>
      </c>
      <c r="CJ126" s="163">
        <f t="shared" si="1014"/>
        <v>11.342911629882657</v>
      </c>
      <c r="CK126" s="163">
        <f t="shared" ref="CK126:CL126" si="1015">+CK101/CK123</f>
        <v>11.247501088343547</v>
      </c>
      <c r="CL126" s="163">
        <f t="shared" si="1015"/>
        <v>8.3846331283632729</v>
      </c>
      <c r="CM126" s="50">
        <f t="shared" si="1014"/>
        <v>9.0667154653927238</v>
      </c>
      <c r="CN126" s="50">
        <f t="shared" si="1014"/>
        <v>8.5151292817793518</v>
      </c>
      <c r="CO126" s="50">
        <f t="shared" si="1014"/>
        <v>8.5818574327902652</v>
      </c>
      <c r="CP126" s="50">
        <f t="shared" si="1014"/>
        <v>8.6176956472356565</v>
      </c>
      <c r="CQ126" s="50">
        <f t="shared" si="1014"/>
        <v>8.5030219123719171</v>
      </c>
      <c r="CR126" s="50">
        <f t="shared" si="1014"/>
        <v>8.3747821150553285</v>
      </c>
      <c r="CS126" s="50">
        <f t="shared" si="1014"/>
        <v>8.2529694201525032</v>
      </c>
      <c r="CT126" s="50">
        <f t="shared" si="1014"/>
        <v>8.080583900540514</v>
      </c>
      <c r="CU126" s="50">
        <f t="shared" si="1014"/>
        <v>7.957487726066395</v>
      </c>
      <c r="CV126" s="50">
        <f t="shared" si="1014"/>
        <v>7.8321958659119675</v>
      </c>
      <c r="CW126" s="50">
        <f t="shared" si="1014"/>
        <v>7.7073823259970755</v>
      </c>
      <c r="CX126" s="50">
        <f t="shared" si="1014"/>
        <v>7.5817038546635045</v>
      </c>
      <c r="CY126" s="50">
        <f t="shared" si="1014"/>
        <v>7.4666464120924889</v>
      </c>
      <c r="CZ126" s="50">
        <f t="shared" si="1014"/>
        <v>7.3532886884220359</v>
      </c>
      <c r="DA126" s="50">
        <f t="shared" si="1014"/>
        <v>7.2425475529783236</v>
      </c>
      <c r="DB126" s="50">
        <f t="shared" si="1014"/>
        <v>7.1349311351455986</v>
      </c>
      <c r="DE126" s="106"/>
      <c r="DF126" s="163">
        <v>8.3275755038445034</v>
      </c>
    </row>
    <row r="127" spans="1:110" s="163" customFormat="1" x14ac:dyDescent="0.2">
      <c r="A127" s="163" t="s">
        <v>508</v>
      </c>
      <c r="E127" s="163">
        <f t="shared" si="1011"/>
        <v>5.8759598116925646</v>
      </c>
      <c r="F127" s="163">
        <f t="shared" si="1011"/>
        <v>6.2855830803596406</v>
      </c>
      <c r="G127" s="163">
        <f t="shared" si="1011"/>
        <v>8.9161445006423197</v>
      </c>
      <c r="H127" s="163">
        <f t="shared" si="1011"/>
        <v>7.7811402523924436</v>
      </c>
      <c r="I127" s="163">
        <f t="shared" si="1011"/>
        <v>7.2449121395875853</v>
      </c>
      <c r="J127" s="163">
        <f t="shared" si="1011"/>
        <v>5.8658089819481667</v>
      </c>
      <c r="K127" s="163">
        <f t="shared" si="1011"/>
        <v>5.6096135175266175</v>
      </c>
      <c r="L127" s="163">
        <f t="shared" si="1011"/>
        <v>5.3397685280015423</v>
      </c>
      <c r="M127" s="163">
        <f t="shared" si="1011"/>
        <v>3.5404991741585961</v>
      </c>
      <c r="N127" s="163">
        <f t="shared" si="1011"/>
        <v>2.4754572057093331</v>
      </c>
      <c r="O127" s="163">
        <f t="shared" si="1011"/>
        <v>2.3503858539553426</v>
      </c>
      <c r="P127" s="163">
        <f t="shared" si="1011"/>
        <v>3.9235561130068617</v>
      </c>
      <c r="Q127" s="163">
        <f t="shared" si="1011"/>
        <v>4.0064295145147026</v>
      </c>
      <c r="R127" s="163">
        <f t="shared" si="1011"/>
        <v>4.5934979037049741</v>
      </c>
      <c r="S127" s="163">
        <f t="shared" si="1011"/>
        <v>5.4006110678980699</v>
      </c>
      <c r="T127" s="163">
        <f t="shared" si="1011"/>
        <v>4.7847975515319456</v>
      </c>
      <c r="U127" s="163">
        <f t="shared" si="1011"/>
        <v>5.0737044067093082</v>
      </c>
      <c r="V127" s="163">
        <f t="shared" si="1011"/>
        <v>12.177193753408304</v>
      </c>
      <c r="W127" s="163">
        <f t="shared" si="1011"/>
        <v>11.431556955978301</v>
      </c>
      <c r="X127" s="163">
        <f t="shared" si="1011"/>
        <v>8.5429822492947398</v>
      </c>
      <c r="Y127" s="163">
        <f t="shared" si="1011"/>
        <v>12.675225854108957</v>
      </c>
      <c r="Z127" s="163">
        <f t="shared" ref="Z127:AA128" si="1016">+Z102/Z$123</f>
        <v>15.270586139127055</v>
      </c>
      <c r="AA127" s="163">
        <f t="shared" si="1016"/>
        <v>12.535448880302027</v>
      </c>
      <c r="AB127" s="94">
        <f t="shared" si="1011"/>
        <v>12.107957958579277</v>
      </c>
      <c r="AC127" s="94">
        <f t="shared" si="1011"/>
        <v>13.153957222298146</v>
      </c>
      <c r="AD127" s="94">
        <f t="shared" si="1011"/>
        <v>13.677956422443183</v>
      </c>
      <c r="AE127" s="94">
        <f t="shared" si="1011"/>
        <v>14.059636187661269</v>
      </c>
      <c r="AL127" s="163">
        <f t="shared" ref="AL127:BQ127" si="1017">+AL102/AL123</f>
        <v>2.7251100634658636</v>
      </c>
      <c r="AM127" s="163">
        <f t="shared" si="1017"/>
        <v>2.3599352325311078</v>
      </c>
      <c r="AN127" s="163">
        <f t="shared" si="1017"/>
        <v>2.0433398862314798</v>
      </c>
      <c r="AO127" s="163">
        <f t="shared" si="1017"/>
        <v>2.0204257054820318</v>
      </c>
      <c r="AP127" s="163">
        <f t="shared" si="1017"/>
        <v>2.3503858539553431</v>
      </c>
      <c r="AQ127" s="163">
        <f t="shared" si="1017"/>
        <v>3.5197409757278546</v>
      </c>
      <c r="AR127" s="163">
        <f t="shared" si="1017"/>
        <v>3.4301372192791799</v>
      </c>
      <c r="AS127" s="163">
        <f t="shared" si="1017"/>
        <v>3.9360917963224344</v>
      </c>
      <c r="AT127" s="163">
        <f t="shared" si="1017"/>
        <v>3.9143060789486874</v>
      </c>
      <c r="AU127" s="163">
        <f t="shared" si="1017"/>
        <v>3.5422024557828315</v>
      </c>
      <c r="AV127" s="163">
        <f t="shared" si="1017"/>
        <v>3.1971868078976859</v>
      </c>
      <c r="AW127" s="163">
        <f t="shared" si="1017"/>
        <v>3.6928371425150486</v>
      </c>
      <c r="AX127" s="163">
        <f t="shared" si="1017"/>
        <v>3.7327946644533228</v>
      </c>
      <c r="AY127" s="163">
        <f t="shared" si="1017"/>
        <v>4.1812580024649764</v>
      </c>
      <c r="AZ127" s="163">
        <f t="shared" si="1017"/>
        <v>4.3717138118467584</v>
      </c>
      <c r="BA127" s="163">
        <f t="shared" si="1017"/>
        <v>4.122889579083524</v>
      </c>
      <c r="BB127" s="163">
        <f t="shared" si="1017"/>
        <v>4.13979032975256</v>
      </c>
      <c r="BC127" s="163">
        <f t="shared" si="1017"/>
        <v>4.7230619925410409</v>
      </c>
      <c r="BD127" s="163">
        <f t="shared" si="1017"/>
        <v>4.3942887887519291</v>
      </c>
      <c r="BE127" s="163">
        <f t="shared" si="1017"/>
        <v>4.3093689828386132</v>
      </c>
      <c r="BF127" s="163">
        <f t="shared" si="1017"/>
        <v>5.4006110678980699</v>
      </c>
      <c r="BG127" s="163">
        <f t="shared" si="1017"/>
        <v>5.1564348795272794</v>
      </c>
      <c r="BH127" s="163">
        <f t="shared" si="1017"/>
        <v>4.4860328395624922</v>
      </c>
      <c r="BI127" s="163">
        <f t="shared" si="1017"/>
        <v>4.7862753539830356</v>
      </c>
      <c r="BJ127" s="163">
        <f t="shared" si="1017"/>
        <v>4.7847975515319456</v>
      </c>
      <c r="BK127" s="163">
        <f t="shared" si="1017"/>
        <v>4.9743323343717645</v>
      </c>
      <c r="BL127" s="163">
        <f t="shared" si="1017"/>
        <v>4.8933478825224661</v>
      </c>
      <c r="BM127" s="163">
        <f t="shared" si="1017"/>
        <v>4.7983565991170192</v>
      </c>
      <c r="BN127" s="163">
        <f t="shared" si="1017"/>
        <v>4.6547605023161776</v>
      </c>
      <c r="BO127" s="163">
        <f t="shared" si="1017"/>
        <v>3.7241858098256029</v>
      </c>
      <c r="BP127" s="163">
        <f t="shared" si="1017"/>
        <v>5.4667221816124894</v>
      </c>
      <c r="BQ127" s="163">
        <f t="shared" si="1017"/>
        <v>9.4809148802931205</v>
      </c>
      <c r="BR127" s="163">
        <f t="shared" ref="BR127:CJ127" si="1018">+BR102/BR123</f>
        <v>11.651559490671314</v>
      </c>
      <c r="BS127" s="163">
        <f t="shared" si="1018"/>
        <v>11.700775541271103</v>
      </c>
      <c r="BT127" s="163">
        <f t="shared" si="1018"/>
        <v>12.333301844569625</v>
      </c>
      <c r="BU127" s="163">
        <f t="shared" si="1018"/>
        <v>11.708276798936225</v>
      </c>
      <c r="BV127" s="163">
        <f t="shared" si="1018"/>
        <v>11.4315569559783</v>
      </c>
      <c r="BW127" s="163">
        <f t="shared" si="1018"/>
        <v>9.6205656981099832</v>
      </c>
      <c r="BX127" s="163">
        <f t="shared" si="1018"/>
        <v>10.712069665638849</v>
      </c>
      <c r="BY127" s="163">
        <f t="shared" si="1018"/>
        <v>9.8157557707215961</v>
      </c>
      <c r="BZ127" s="163">
        <f t="shared" si="1018"/>
        <v>8.0995409567445975</v>
      </c>
      <c r="CA127" s="163">
        <f t="shared" si="1018"/>
        <v>9.5963648524760377</v>
      </c>
      <c r="CB127" s="163">
        <f t="shared" si="1018"/>
        <v>9.9980397050299477</v>
      </c>
      <c r="CC127" s="163">
        <f t="shared" si="1018"/>
        <v>9.8931920035013956</v>
      </c>
      <c r="CD127" s="163">
        <f t="shared" si="1018"/>
        <v>12.675225854108957</v>
      </c>
      <c r="CE127" s="163">
        <f t="shared" si="1018"/>
        <v>13.779911012008563</v>
      </c>
      <c r="CF127" s="163">
        <f t="shared" si="1018"/>
        <v>14.156342462180131</v>
      </c>
      <c r="CG127" s="163">
        <f t="shared" si="1018"/>
        <v>16.286314195993725</v>
      </c>
      <c r="CH127" s="163">
        <f t="shared" si="1018"/>
        <v>15.093825454074251</v>
      </c>
      <c r="CI127" s="163">
        <f t="shared" si="1018"/>
        <v>13.762419791080054</v>
      </c>
      <c r="CJ127" s="163">
        <f t="shared" si="1018"/>
        <v>12.783606263605954</v>
      </c>
      <c r="CK127" s="163">
        <f t="shared" ref="CK127:CL127" si="1019">+CK102/CK123</f>
        <v>11.481966762469423</v>
      </c>
      <c r="CL127" s="163">
        <f t="shared" si="1019"/>
        <v>11.032605307754391</v>
      </c>
      <c r="CM127" s="94">
        <f t="shared" ref="CM127:DB127" si="1020">+CL127</f>
        <v>11.032605307754391</v>
      </c>
      <c r="CN127" s="94">
        <f t="shared" si="1020"/>
        <v>11.032605307754391</v>
      </c>
      <c r="CO127" s="94">
        <f t="shared" si="1020"/>
        <v>11.032605307754391</v>
      </c>
      <c r="CP127" s="94">
        <f t="shared" si="1020"/>
        <v>11.032605307754391</v>
      </c>
      <c r="CQ127" s="94">
        <f t="shared" si="1020"/>
        <v>11.032605307754391</v>
      </c>
      <c r="CR127" s="94">
        <f t="shared" si="1020"/>
        <v>11.032605307754391</v>
      </c>
      <c r="CS127" s="94">
        <f t="shared" si="1020"/>
        <v>11.032605307754391</v>
      </c>
      <c r="CT127" s="94">
        <f t="shared" si="1020"/>
        <v>11.032605307754391</v>
      </c>
      <c r="CU127" s="94">
        <f t="shared" si="1020"/>
        <v>11.032605307754391</v>
      </c>
      <c r="CV127" s="94">
        <f t="shared" si="1020"/>
        <v>11.032605307754391</v>
      </c>
      <c r="CW127" s="94">
        <f t="shared" si="1020"/>
        <v>11.032605307754391</v>
      </c>
      <c r="CX127" s="94">
        <f t="shared" si="1020"/>
        <v>11.032605307754391</v>
      </c>
      <c r="CY127" s="94">
        <f t="shared" si="1020"/>
        <v>11.032605307754391</v>
      </c>
      <c r="CZ127" s="94">
        <f t="shared" si="1020"/>
        <v>11.032605307754391</v>
      </c>
      <c r="DA127" s="94">
        <f t="shared" si="1020"/>
        <v>11.032605307754391</v>
      </c>
      <c r="DB127" s="94">
        <f t="shared" si="1020"/>
        <v>11.032605307754391</v>
      </c>
      <c r="DE127" s="164"/>
      <c r="DF127" s="163">
        <v>10.957528170630262</v>
      </c>
    </row>
    <row r="128" spans="1:110" s="163" customFormat="1" x14ac:dyDescent="0.2">
      <c r="A128" s="163" t="s">
        <v>509</v>
      </c>
      <c r="E128" s="163">
        <f t="shared" si="1011"/>
        <v>2.0257223067986643</v>
      </c>
      <c r="F128" s="163">
        <f t="shared" si="1011"/>
        <v>2.9167859228646851</v>
      </c>
      <c r="G128" s="163">
        <f t="shared" si="1011"/>
        <v>3.8862422391309193</v>
      </c>
      <c r="H128" s="163">
        <f t="shared" si="1011"/>
        <v>3.919055081360574</v>
      </c>
      <c r="I128" s="163">
        <f t="shared" si="1011"/>
        <v>4.1155012716442299</v>
      </c>
      <c r="J128" s="163">
        <f t="shared" si="1011"/>
        <v>1.6347336507068646</v>
      </c>
      <c r="K128" s="163">
        <f t="shared" si="1011"/>
        <v>1.9979445404889349</v>
      </c>
      <c r="L128" s="163">
        <f t="shared" si="1011"/>
        <v>3.433514026032253</v>
      </c>
      <c r="M128" s="163">
        <f t="shared" si="1011"/>
        <v>1.9127696809543275</v>
      </c>
      <c r="N128" s="163">
        <f t="shared" si="1011"/>
        <v>1.7699087756500171</v>
      </c>
      <c r="O128" s="163">
        <f t="shared" si="1011"/>
        <v>1.1926620110273409</v>
      </c>
      <c r="P128" s="163">
        <f t="shared" si="1011"/>
        <v>2.0966743865184068</v>
      </c>
      <c r="Q128" s="163">
        <f t="shared" si="1011"/>
        <v>2.5923011482136342</v>
      </c>
      <c r="R128" s="163">
        <f t="shared" si="1011"/>
        <v>2.8524658311119078</v>
      </c>
      <c r="S128" s="163">
        <f t="shared" si="1011"/>
        <v>3.4100778910378131</v>
      </c>
      <c r="T128" s="163">
        <f t="shared" si="1011"/>
        <v>3.3641913113998916</v>
      </c>
      <c r="U128" s="163">
        <f t="shared" si="1011"/>
        <v>2.2230307546764134</v>
      </c>
      <c r="V128" s="163">
        <f t="shared" si="1011"/>
        <v>5.4403146193284693</v>
      </c>
      <c r="W128" s="163">
        <f t="shared" si="1011"/>
        <v>4.2352135712565007</v>
      </c>
      <c r="X128" s="163">
        <f t="shared" si="1011"/>
        <v>5.0775252972937626</v>
      </c>
      <c r="Y128" s="163">
        <f t="shared" si="1011"/>
        <v>6.6935286426592802</v>
      </c>
      <c r="Z128" s="163">
        <f t="shared" si="1016"/>
        <v>8.666397065704885</v>
      </c>
      <c r="AA128" s="163">
        <f t="shared" si="1016"/>
        <v>8.358924660602197</v>
      </c>
      <c r="AB128" s="94">
        <f t="shared" si="1011"/>
        <v>8.2316311493600516</v>
      </c>
      <c r="AC128" s="94">
        <f t="shared" si="1011"/>
        <v>8.5363133282319801</v>
      </c>
      <c r="AD128" s="94">
        <f t="shared" si="1011"/>
        <v>9.6638588392462808</v>
      </c>
      <c r="AE128" s="94">
        <f t="shared" si="1011"/>
        <v>9.9940198696819085</v>
      </c>
      <c r="AL128" s="163">
        <f t="shared" ref="AL128:BQ128" si="1021">+AL103/AL123</f>
        <v>2.1108598509225267</v>
      </c>
      <c r="AM128" s="163">
        <f t="shared" si="1021"/>
        <v>1.8112502909676231</v>
      </c>
      <c r="AN128" s="163">
        <f t="shared" si="1021"/>
        <v>1.4408903798683963</v>
      </c>
      <c r="AO128" s="163">
        <f t="shared" si="1021"/>
        <v>1.4894163854514975</v>
      </c>
      <c r="AP128" s="163">
        <f t="shared" si="1021"/>
        <v>1.7786703759662068</v>
      </c>
      <c r="AQ128" s="163">
        <f t="shared" si="1021"/>
        <v>2.1446450389739704</v>
      </c>
      <c r="AR128" s="163">
        <f t="shared" si="1021"/>
        <v>2.4871227083803982</v>
      </c>
      <c r="AS128" s="163">
        <f t="shared" si="1021"/>
        <v>2.8751255989640163</v>
      </c>
      <c r="AT128" s="163">
        <f t="shared" si="1021"/>
        <v>3.1280531840042984</v>
      </c>
      <c r="AU128" s="163">
        <f t="shared" si="1021"/>
        <v>2.7146836693042076</v>
      </c>
      <c r="AV128" s="163">
        <f t="shared" si="1021"/>
        <v>2.4587889022641711</v>
      </c>
      <c r="AW128" s="163">
        <f t="shared" si="1021"/>
        <v>2.6249917354711179</v>
      </c>
      <c r="AX128" s="163">
        <f t="shared" si="1021"/>
        <v>2.7517396564880214</v>
      </c>
      <c r="AY128" s="163">
        <f t="shared" si="1021"/>
        <v>2.9955508973864156</v>
      </c>
      <c r="AZ128" s="163">
        <f t="shared" si="1021"/>
        <v>3.7633424492191452</v>
      </c>
      <c r="BA128" s="163">
        <f t="shared" si="1021"/>
        <v>2.7342240076371587</v>
      </c>
      <c r="BB128" s="163">
        <f t="shared" si="1021"/>
        <v>3.0566309034120254</v>
      </c>
      <c r="BC128" s="163">
        <f t="shared" si="1021"/>
        <v>4.0145216249679567</v>
      </c>
      <c r="BD128" s="163">
        <f t="shared" si="1021"/>
        <v>3.5452061821390219</v>
      </c>
      <c r="BE128" s="163">
        <f t="shared" si="1021"/>
        <v>3.5424182380876141</v>
      </c>
      <c r="BF128" s="163">
        <f t="shared" si="1021"/>
        <v>3.9428496121485046</v>
      </c>
      <c r="BG128" s="163">
        <f t="shared" si="1021"/>
        <v>4.2187509229230553</v>
      </c>
      <c r="BH128" s="163">
        <f t="shared" si="1021"/>
        <v>3.9111894354979371</v>
      </c>
      <c r="BI128" s="163">
        <f t="shared" si="1021"/>
        <v>3.4411129995956404</v>
      </c>
      <c r="BJ128" s="163">
        <f t="shared" si="1021"/>
        <v>3.9972709490906007</v>
      </c>
      <c r="BK128" s="163">
        <f t="shared" si="1021"/>
        <v>4.248340503730673</v>
      </c>
      <c r="BL128" s="163">
        <f t="shared" si="1021"/>
        <v>3.6381043017342733</v>
      </c>
      <c r="BM128" s="163">
        <f t="shared" si="1021"/>
        <v>4.1060859566437928</v>
      </c>
      <c r="BN128" s="163">
        <f t="shared" si="1021"/>
        <v>2.2230307546764139</v>
      </c>
      <c r="BO128" s="163">
        <f t="shared" si="1021"/>
        <v>2.3891729213860544</v>
      </c>
      <c r="BP128" s="163">
        <f t="shared" si="1021"/>
        <v>3.7053039085873722</v>
      </c>
      <c r="BQ128" s="163">
        <f t="shared" si="1021"/>
        <v>6.2751379063810697</v>
      </c>
      <c r="BR128" s="163">
        <f t="shared" ref="BR128:CJ128" si="1022">+BR103/BR123</f>
        <v>9.0014867493719795</v>
      </c>
      <c r="BS128" s="163">
        <f t="shared" si="1022"/>
        <v>7.287734035665526</v>
      </c>
      <c r="BT128" s="163">
        <f t="shared" si="1022"/>
        <v>8.1679731728222542</v>
      </c>
      <c r="BU128" s="163">
        <f t="shared" si="1022"/>
        <v>8.7031434430329107</v>
      </c>
      <c r="BV128" s="163">
        <f t="shared" si="1022"/>
        <v>8.2994640438188334</v>
      </c>
      <c r="BW128" s="163">
        <f t="shared" si="1022"/>
        <v>7.4162627522160829</v>
      </c>
      <c r="BX128" s="163">
        <f t="shared" si="1022"/>
        <v>7.0027019308430658</v>
      </c>
      <c r="BY128" s="163">
        <f t="shared" si="1022"/>
        <v>8.2773816586770455</v>
      </c>
      <c r="BZ128" s="163">
        <f t="shared" si="1022"/>
        <v>6.8647652029033157</v>
      </c>
      <c r="CA128" s="163">
        <f t="shared" si="1022"/>
        <v>7.5383093103236005</v>
      </c>
      <c r="CB128" s="163">
        <f t="shared" si="1022"/>
        <v>8.633264313776003</v>
      </c>
      <c r="CC128" s="163">
        <f t="shared" si="1022"/>
        <v>8.1481733252784778</v>
      </c>
      <c r="CD128" s="163">
        <f t="shared" si="1022"/>
        <v>9.0277469252077562</v>
      </c>
      <c r="CE128" s="163">
        <f t="shared" si="1022"/>
        <v>10.540572570159398</v>
      </c>
      <c r="CF128" s="163">
        <f t="shared" si="1022"/>
        <v>11.220364969850376</v>
      </c>
      <c r="CG128" s="163">
        <f t="shared" si="1022"/>
        <v>11.775543396197444</v>
      </c>
      <c r="CH128" s="163">
        <f t="shared" si="1022"/>
        <v>11.673036544308385</v>
      </c>
      <c r="CI128" s="163">
        <f t="shared" si="1022"/>
        <v>11.269765415466059</v>
      </c>
      <c r="CJ128" s="163">
        <f t="shared" si="1022"/>
        <v>11.158691660324598</v>
      </c>
      <c r="CK128" s="163">
        <f t="shared" ref="CK128:CL128" si="1023">+CK103/CK123</f>
        <v>10.239603190477769</v>
      </c>
      <c r="CL128" s="163">
        <f t="shared" si="1023"/>
        <v>8.3589246606021952</v>
      </c>
      <c r="CM128" s="94">
        <f t="shared" ref="CM128:DB128" si="1024">+CL128</f>
        <v>8.3589246606021952</v>
      </c>
      <c r="CN128" s="94">
        <f t="shared" si="1024"/>
        <v>8.3589246606021952</v>
      </c>
      <c r="CO128" s="94">
        <f t="shared" si="1024"/>
        <v>8.3589246606021952</v>
      </c>
      <c r="CP128" s="94">
        <f t="shared" si="1024"/>
        <v>8.3589246606021952</v>
      </c>
      <c r="CQ128" s="94">
        <f t="shared" si="1024"/>
        <v>8.3589246606021952</v>
      </c>
      <c r="CR128" s="94">
        <f t="shared" si="1024"/>
        <v>8.3589246606021952</v>
      </c>
      <c r="CS128" s="94">
        <f t="shared" si="1024"/>
        <v>8.3589246606021952</v>
      </c>
      <c r="CT128" s="94">
        <f t="shared" si="1024"/>
        <v>8.3589246606021952</v>
      </c>
      <c r="CU128" s="94">
        <f t="shared" si="1024"/>
        <v>8.3589246606021952</v>
      </c>
      <c r="CV128" s="94">
        <f t="shared" si="1024"/>
        <v>8.3589246606021952</v>
      </c>
      <c r="CW128" s="94">
        <f t="shared" si="1024"/>
        <v>8.3589246606021952</v>
      </c>
      <c r="CX128" s="94">
        <f t="shared" si="1024"/>
        <v>8.3589246606021952</v>
      </c>
      <c r="CY128" s="94">
        <f t="shared" si="1024"/>
        <v>8.3589246606021952</v>
      </c>
      <c r="CZ128" s="94">
        <f t="shared" si="1024"/>
        <v>8.3589246606021952</v>
      </c>
      <c r="DA128" s="94">
        <f t="shared" si="1024"/>
        <v>8.3589246606021952</v>
      </c>
      <c r="DB128" s="94">
        <f t="shared" si="1024"/>
        <v>8.3589246606021952</v>
      </c>
      <c r="DE128" s="164"/>
      <c r="DF128" s="163">
        <v>8.3020419828077472</v>
      </c>
    </row>
    <row r="129" spans="1:110" s="4" customFormat="1" x14ac:dyDescent="0.2">
      <c r="A129" s="3"/>
      <c r="AB129" s="17"/>
      <c r="AC129" s="17"/>
      <c r="AD129" s="17"/>
      <c r="AE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E129" s="119"/>
    </row>
    <row r="130" spans="1:110" s="4" customFormat="1" x14ac:dyDescent="0.2">
      <c r="A130" s="3"/>
      <c r="AB130" s="17"/>
      <c r="AC130" s="17"/>
      <c r="AD130" s="17"/>
      <c r="AE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E130" s="119"/>
    </row>
    <row r="131" spans="1:110" s="162" customFormat="1" x14ac:dyDescent="0.2">
      <c r="A131" s="49" t="s">
        <v>340</v>
      </c>
      <c r="B131" s="162">
        <f t="shared" ref="B131:AE131" si="1025">+B102*B89</f>
        <v>121.03208820382966</v>
      </c>
      <c r="C131" s="162">
        <f t="shared" si="1025"/>
        <v>98.590800425306867</v>
      </c>
      <c r="D131" s="162">
        <f t="shared" si="1025"/>
        <v>85.27689355838514</v>
      </c>
      <c r="E131" s="162">
        <f t="shared" si="1025"/>
        <v>5889.709557651925</v>
      </c>
      <c r="F131" s="162">
        <f t="shared" si="1025"/>
        <v>8256.3019435447986</v>
      </c>
      <c r="G131" s="162">
        <f t="shared" si="1025"/>
        <v>16381.72145247514</v>
      </c>
      <c r="H131" s="162">
        <f t="shared" si="1025"/>
        <v>19501.482757558562</v>
      </c>
      <c r="I131" s="162">
        <f t="shared" si="1025"/>
        <v>21155.360794959935</v>
      </c>
      <c r="J131" s="162">
        <f t="shared" si="1025"/>
        <v>15756.325480680427</v>
      </c>
      <c r="K131" s="162">
        <f t="shared" si="1025"/>
        <v>14141.947869954953</v>
      </c>
      <c r="L131" s="162">
        <f t="shared" si="1025"/>
        <v>15284.927218348574</v>
      </c>
      <c r="M131" s="162">
        <f t="shared" si="1025"/>
        <v>12191.779716198607</v>
      </c>
      <c r="N131" s="162">
        <f t="shared" si="1025"/>
        <v>9266.527485564091</v>
      </c>
      <c r="O131" s="162">
        <f t="shared" si="1025"/>
        <v>9557.1154554946752</v>
      </c>
      <c r="P131" s="162">
        <f t="shared" si="1025"/>
        <v>16434.364077185062</v>
      </c>
      <c r="Q131" s="162">
        <f t="shared" si="1025"/>
        <v>16117.946065482938</v>
      </c>
      <c r="R131" s="162">
        <f t="shared" si="1025"/>
        <v>18468.479866699108</v>
      </c>
      <c r="S131" s="162">
        <f t="shared" si="1025"/>
        <v>22161.677547673127</v>
      </c>
      <c r="T131" s="162">
        <f t="shared" si="1025"/>
        <v>21589.006552512139</v>
      </c>
      <c r="U131" s="162">
        <f t="shared" si="1025"/>
        <v>22644.653085760583</v>
      </c>
      <c r="V131" s="162">
        <f t="shared" si="1025"/>
        <v>19181.028512618621</v>
      </c>
      <c r="W131" s="162">
        <f t="shared" si="1025"/>
        <v>34937.353000000003</v>
      </c>
      <c r="X131" s="162">
        <f t="shared" si="1025"/>
        <v>49633.957999999999</v>
      </c>
      <c r="Y131" s="162">
        <f t="shared" si="1025"/>
        <v>85795.434999999998</v>
      </c>
      <c r="Z131" s="162">
        <f t="shared" si="1025"/>
        <v>127273.311</v>
      </c>
      <c r="AA131" s="162">
        <f t="shared" ref="AA131" si="1026">+AA102*AA89</f>
        <v>121458.72199999999</v>
      </c>
      <c r="AB131" s="21">
        <f t="shared" si="1025"/>
        <v>131792.93460804128</v>
      </c>
      <c r="AC131" s="21">
        <f t="shared" si="1025"/>
        <v>152695.43634351844</v>
      </c>
      <c r="AD131" s="21">
        <f t="shared" si="1025"/>
        <v>169225.87766682749</v>
      </c>
      <c r="AE131" s="21">
        <f t="shared" si="1025"/>
        <v>184840.30360949814</v>
      </c>
      <c r="AL131" s="162">
        <f t="shared" ref="AL131:BQ131" si="1027">+AL102*AL89</f>
        <v>8795.1292232322667</v>
      </c>
      <c r="AM131" s="162">
        <f t="shared" si="1027"/>
        <v>7749.012531482168</v>
      </c>
      <c r="AN131" s="162">
        <f t="shared" si="1027"/>
        <v>6877.248621690429</v>
      </c>
      <c r="AO131" s="162">
        <f t="shared" si="1027"/>
        <v>8058.9730327414545</v>
      </c>
      <c r="AP131" s="162">
        <f t="shared" si="1027"/>
        <v>9557.1154554946752</v>
      </c>
      <c r="AQ131" s="162">
        <f t="shared" si="1027"/>
        <v>14413.163308556779</v>
      </c>
      <c r="AR131" s="162">
        <f t="shared" si="1027"/>
        <v>14187.150443055265</v>
      </c>
      <c r="AS131" s="162">
        <f t="shared" si="1027"/>
        <v>16434.364077185062</v>
      </c>
      <c r="AT131" s="162">
        <f t="shared" si="1027"/>
        <v>16395.61901452763</v>
      </c>
      <c r="AU131" s="162">
        <f t="shared" si="1027"/>
        <v>15175.14954081923</v>
      </c>
      <c r="AV131" s="162">
        <f t="shared" si="1027"/>
        <v>13560.771930093797</v>
      </c>
      <c r="AW131" s="162">
        <f t="shared" si="1027"/>
        <v>15498.025062964307</v>
      </c>
      <c r="AX131" s="162">
        <f t="shared" si="1027"/>
        <v>16117.946065482938</v>
      </c>
      <c r="AY131" s="162">
        <f t="shared" si="1027"/>
        <v>17693.578613550893</v>
      </c>
      <c r="AZ131" s="162">
        <f t="shared" si="1027"/>
        <v>18468.479866699108</v>
      </c>
      <c r="BA131" s="162">
        <f t="shared" si="1027"/>
        <v>17293.212966091094</v>
      </c>
      <c r="BB131" s="162">
        <f t="shared" si="1027"/>
        <v>16634.546900915033</v>
      </c>
      <c r="BC131" s="162">
        <f t="shared" si="1027"/>
        <v>18810.727920172903</v>
      </c>
      <c r="BD131" s="162">
        <f t="shared" si="1027"/>
        <v>17344.873049634291</v>
      </c>
      <c r="BE131" s="162">
        <f t="shared" si="1027"/>
        <v>17290.524263533196</v>
      </c>
      <c r="BF131" s="162">
        <f t="shared" si="1027"/>
        <v>22161.677547673127</v>
      </c>
      <c r="BG131" s="162">
        <f t="shared" si="1027"/>
        <v>21513.110396526969</v>
      </c>
      <c r="BH131" s="162">
        <f t="shared" si="1027"/>
        <v>19222.426415883299</v>
      </c>
      <c r="BI131" s="162">
        <f t="shared" si="1027"/>
        <v>21112.930664968728</v>
      </c>
      <c r="BJ131" s="162">
        <f t="shared" si="1027"/>
        <v>21589.006552512139</v>
      </c>
      <c r="BK131" s="162">
        <f t="shared" si="1027"/>
        <v>22644.653085760583</v>
      </c>
      <c r="BL131" s="162">
        <f t="shared" si="1027"/>
        <v>22485.961123246063</v>
      </c>
      <c r="BM131" s="162">
        <f t="shared" si="1027"/>
        <v>22285.871257467013</v>
      </c>
      <c r="BN131" s="162">
        <f t="shared" si="1027"/>
        <v>20774.847788307423</v>
      </c>
      <c r="BO131" s="162">
        <f t="shared" si="1027"/>
        <v>13357.723453391982</v>
      </c>
      <c r="BP131" s="162">
        <f t="shared" si="1027"/>
        <v>15503.514772609389</v>
      </c>
      <c r="BQ131" s="162">
        <f t="shared" si="1027"/>
        <v>19181.028512618621</v>
      </c>
      <c r="BR131" s="162">
        <f t="shared" ref="BR131:CJ131" si="1028">+BR102*BR89</f>
        <v>18353.070447325827</v>
      </c>
      <c r="BS131" s="162">
        <f t="shared" si="1028"/>
        <v>20781.747438851606</v>
      </c>
      <c r="BT131" s="162">
        <f t="shared" si="1028"/>
        <v>27722.795886223608</v>
      </c>
      <c r="BU131" s="162">
        <f t="shared" si="1028"/>
        <v>32773.340084510324</v>
      </c>
      <c r="BV131" s="162">
        <f t="shared" si="1028"/>
        <v>34937.353000000003</v>
      </c>
      <c r="BW131" s="162">
        <f t="shared" si="1028"/>
        <v>38268.109000000004</v>
      </c>
      <c r="BX131" s="162">
        <f t="shared" si="1028"/>
        <v>48011.281999999999</v>
      </c>
      <c r="BY131" s="162">
        <f t="shared" si="1028"/>
        <v>49633.957999999999</v>
      </c>
      <c r="BZ131" s="162">
        <f t="shared" si="1028"/>
        <v>47057.604000000007</v>
      </c>
      <c r="CA131" s="162">
        <f t="shared" si="1028"/>
        <v>57676.167999999998</v>
      </c>
      <c r="CB131" s="162">
        <f t="shared" si="1028"/>
        <v>62095.825000000004</v>
      </c>
      <c r="CC131" s="162">
        <f t="shared" si="1028"/>
        <v>64195.340000000004</v>
      </c>
      <c r="CD131" s="162">
        <f t="shared" si="1028"/>
        <v>85795.434999999998</v>
      </c>
      <c r="CE131" s="162">
        <f t="shared" si="1028"/>
        <v>94428.356</v>
      </c>
      <c r="CF131" s="162">
        <f t="shared" si="1028"/>
        <v>102570.20400000001</v>
      </c>
      <c r="CG131" s="162">
        <f t="shared" si="1028"/>
        <v>127273.311</v>
      </c>
      <c r="CH131" s="162">
        <f t="shared" si="1028"/>
        <v>125800.09199999999</v>
      </c>
      <c r="CI131" s="162">
        <f t="shared" si="1028"/>
        <v>121458.72199999999</v>
      </c>
      <c r="CJ131" s="162">
        <f t="shared" si="1028"/>
        <v>115565.84600000001</v>
      </c>
      <c r="CK131" s="162">
        <f t="shared" ref="CK131:CL131" si="1029">+CK102*CK89</f>
        <v>107345.711</v>
      </c>
      <c r="CL131" s="162">
        <f t="shared" si="1029"/>
        <v>106897.34</v>
      </c>
      <c r="CM131" s="21">
        <f t="shared" ref="CM131:DB131" si="1030">+CM102*CM89</f>
        <v>118259.16184759785</v>
      </c>
      <c r="CN131" s="21">
        <f t="shared" si="1030"/>
        <v>131792.93460804128</v>
      </c>
      <c r="CO131" s="21">
        <f t="shared" si="1030"/>
        <v>127751.91297113166</v>
      </c>
      <c r="CP131" s="21">
        <f t="shared" si="1030"/>
        <v>124283.15107654265</v>
      </c>
      <c r="CQ131" s="21">
        <f t="shared" si="1030"/>
        <v>130787.92525479037</v>
      </c>
      <c r="CR131" s="21">
        <f t="shared" si="1030"/>
        <v>137630.90273843776</v>
      </c>
      <c r="CS131" s="21">
        <f t="shared" si="1030"/>
        <v>143742.39383660888</v>
      </c>
      <c r="CT131" s="21">
        <f t="shared" si="1030"/>
        <v>152695.43634351844</v>
      </c>
      <c r="CU131" s="21">
        <f t="shared" si="1030"/>
        <v>157806.10753139204</v>
      </c>
      <c r="CV131" s="21">
        <f t="shared" si="1030"/>
        <v>162400.30079368973</v>
      </c>
      <c r="CW131" s="21">
        <f t="shared" si="1030"/>
        <v>166216.81391498793</v>
      </c>
      <c r="CX131" s="21">
        <f t="shared" si="1030"/>
        <v>169225.87766682749</v>
      </c>
      <c r="CY131" s="21">
        <f t="shared" si="1030"/>
        <v>173416.52105205637</v>
      </c>
      <c r="CZ131" s="21">
        <f t="shared" si="1030"/>
        <v>177351.97590288523</v>
      </c>
      <c r="DA131" s="21">
        <f t="shared" si="1030"/>
        <v>181105.09261631075</v>
      </c>
      <c r="DB131" s="21">
        <f t="shared" si="1030"/>
        <v>184840.30360949814</v>
      </c>
      <c r="DE131" s="22"/>
      <c r="DF131" s="162">
        <v>106897.34</v>
      </c>
    </row>
    <row r="132" spans="1:110" s="162" customFormat="1" x14ac:dyDescent="0.2">
      <c r="A132" s="49" t="s">
        <v>341</v>
      </c>
      <c r="B132" s="162">
        <f t="shared" ref="B132:AE132" si="1031">+B103*B89</f>
        <v>70.209171764234398</v>
      </c>
      <c r="C132" s="162">
        <f t="shared" si="1031"/>
        <v>43.58135803039108</v>
      </c>
      <c r="D132" s="162">
        <f t="shared" si="1031"/>
        <v>52.425865566632226</v>
      </c>
      <c r="E132" s="162">
        <f t="shared" si="1031"/>
        <v>2030.462496996573</v>
      </c>
      <c r="F132" s="162">
        <f t="shared" si="1031"/>
        <v>3831.2858132604492</v>
      </c>
      <c r="G132" s="162">
        <f t="shared" si="1031"/>
        <v>7140.2317283776283</v>
      </c>
      <c r="H132" s="162">
        <f t="shared" si="1031"/>
        <v>9822.1317976599385</v>
      </c>
      <c r="I132" s="162">
        <f t="shared" si="1031"/>
        <v>12017.3871782393</v>
      </c>
      <c r="J132" s="162">
        <f t="shared" si="1031"/>
        <v>4391.1071011732301</v>
      </c>
      <c r="K132" s="162">
        <f t="shared" si="1031"/>
        <v>5036.8581454634141</v>
      </c>
      <c r="L132" s="162">
        <f t="shared" si="1031"/>
        <v>9828.3308940965435</v>
      </c>
      <c r="M132" s="162">
        <f t="shared" si="1031"/>
        <v>6586.6606517598457</v>
      </c>
      <c r="N132" s="162">
        <f t="shared" si="1031"/>
        <v>6625.4057144172484</v>
      </c>
      <c r="O132" s="162">
        <f t="shared" si="1031"/>
        <v>4849.5903426192635</v>
      </c>
      <c r="P132" s="162">
        <f t="shared" si="1031"/>
        <v>8782.2142023464603</v>
      </c>
      <c r="Q132" s="162">
        <f t="shared" si="1031"/>
        <v>10428.879365286415</v>
      </c>
      <c r="R132" s="162">
        <f t="shared" si="1031"/>
        <v>11468.538546593603</v>
      </c>
      <c r="S132" s="162">
        <f t="shared" si="1031"/>
        <v>13993.425129768219</v>
      </c>
      <c r="T132" s="162">
        <f t="shared" si="1031"/>
        <v>15179.23119703631</v>
      </c>
      <c r="U132" s="162">
        <f t="shared" si="1031"/>
        <v>9921.6974824264889</v>
      </c>
      <c r="V132" s="162">
        <f t="shared" si="1031"/>
        <v>8569.3659757814312</v>
      </c>
      <c r="W132" s="162">
        <f t="shared" si="1031"/>
        <v>12943.744420745539</v>
      </c>
      <c r="X132" s="162">
        <f t="shared" si="1031"/>
        <v>29499.965</v>
      </c>
      <c r="Y132" s="162">
        <f t="shared" si="1031"/>
        <v>45306.822</v>
      </c>
      <c r="Z132" s="162">
        <f t="shared" si="1031"/>
        <v>72230.433000000005</v>
      </c>
      <c r="AA132" s="162">
        <f t="shared" ref="AA132" si="1032">+AA103*AA89</f>
        <v>80991.460000000006</v>
      </c>
      <c r="AB132" s="21">
        <f t="shared" si="1031"/>
        <v>89599.817698113431</v>
      </c>
      <c r="AC132" s="21">
        <f t="shared" si="1031"/>
        <v>99092.316205027586</v>
      </c>
      <c r="AD132" s="21">
        <f t="shared" si="1031"/>
        <v>119562.81649182699</v>
      </c>
      <c r="AE132" s="21">
        <f t="shared" si="1031"/>
        <v>131390.14710868185</v>
      </c>
      <c r="AL132" s="162">
        <f t="shared" ref="AL132:BQ132" si="1033">+AL103*AL89</f>
        <v>6812.6735172613999</v>
      </c>
      <c r="AM132" s="162">
        <f t="shared" si="1033"/>
        <v>5947.3671179125577</v>
      </c>
      <c r="AN132" s="162">
        <f t="shared" si="1033"/>
        <v>4849.5903426192635</v>
      </c>
      <c r="AO132" s="162">
        <f t="shared" si="1033"/>
        <v>5940.9096074696608</v>
      </c>
      <c r="AP132" s="162">
        <f t="shared" si="1033"/>
        <v>7232.4116960500296</v>
      </c>
      <c r="AQ132" s="162">
        <f t="shared" si="1033"/>
        <v>8782.2142023464603</v>
      </c>
      <c r="AR132" s="162">
        <f t="shared" si="1033"/>
        <v>10286.814135542578</v>
      </c>
      <c r="AS132" s="162">
        <f t="shared" si="1033"/>
        <v>12004.511913354458</v>
      </c>
      <c r="AT132" s="162">
        <f t="shared" si="1033"/>
        <v>13102.288688647765</v>
      </c>
      <c r="AU132" s="162">
        <f t="shared" si="1033"/>
        <v>11629.976307666157</v>
      </c>
      <c r="AV132" s="162">
        <f t="shared" si="1033"/>
        <v>10428.879365286415</v>
      </c>
      <c r="AW132" s="162">
        <f t="shared" si="1033"/>
        <v>11016.51281559048</v>
      </c>
      <c r="AX132" s="162">
        <f t="shared" si="1033"/>
        <v>11881.819214939322</v>
      </c>
      <c r="AY132" s="162">
        <f t="shared" si="1033"/>
        <v>12676.092999416252</v>
      </c>
      <c r="AZ132" s="162">
        <f t="shared" si="1033"/>
        <v>15898.390710424252</v>
      </c>
      <c r="BA132" s="162">
        <f t="shared" si="1033"/>
        <v>11468.538546593603</v>
      </c>
      <c r="BB132" s="162">
        <f t="shared" si="1033"/>
        <v>12282.184862399235</v>
      </c>
      <c r="BC132" s="162">
        <f t="shared" si="1033"/>
        <v>15988.795856624878</v>
      </c>
      <c r="BD132" s="162">
        <f t="shared" si="1033"/>
        <v>13993.425129768219</v>
      </c>
      <c r="BE132" s="162">
        <f t="shared" si="1033"/>
        <v>14213.280120861316</v>
      </c>
      <c r="BF132" s="162">
        <f t="shared" si="1033"/>
        <v>16179.680525931997</v>
      </c>
      <c r="BG132" s="162">
        <f t="shared" si="1033"/>
        <v>17601.00853801805</v>
      </c>
      <c r="BH132" s="162">
        <f t="shared" si="1033"/>
        <v>16759.251171636883</v>
      </c>
      <c r="BI132" s="162">
        <f t="shared" si="1033"/>
        <v>15179.23119703631</v>
      </c>
      <c r="BJ132" s="162">
        <f t="shared" si="1033"/>
        <v>18035.68652229679</v>
      </c>
      <c r="BK132" s="162">
        <f t="shared" si="1033"/>
        <v>19339.720475133141</v>
      </c>
      <c r="BL132" s="162">
        <f t="shared" si="1033"/>
        <v>16717.85326837235</v>
      </c>
      <c r="BM132" s="162">
        <f t="shared" si="1033"/>
        <v>19070.634103912966</v>
      </c>
      <c r="BN132" s="162">
        <f t="shared" si="1033"/>
        <v>9921.6974824264889</v>
      </c>
      <c r="BO132" s="162">
        <f t="shared" si="1033"/>
        <v>8569.3659757814312</v>
      </c>
      <c r="BP132" s="162">
        <f t="shared" si="1033"/>
        <v>10508.167778675617</v>
      </c>
      <c r="BQ132" s="162">
        <f t="shared" si="1033"/>
        <v>12695.357001157672</v>
      </c>
      <c r="BR132" s="162">
        <f t="shared" ref="BR132:CJ132" si="1034">+BR103*BR89</f>
        <v>14178.781868140768</v>
      </c>
      <c r="BS132" s="162">
        <f t="shared" si="1034"/>
        <v>12943.744420745539</v>
      </c>
      <c r="BT132" s="162">
        <f t="shared" si="1034"/>
        <v>18359.970097869864</v>
      </c>
      <c r="BU132" s="162">
        <f t="shared" si="1034"/>
        <v>24361.491000000002</v>
      </c>
      <c r="BV132" s="162">
        <f t="shared" si="1034"/>
        <v>25364.987999999998</v>
      </c>
      <c r="BW132" s="162">
        <f t="shared" si="1034"/>
        <v>29499.965</v>
      </c>
      <c r="BX132" s="162">
        <f t="shared" si="1034"/>
        <v>31385.97</v>
      </c>
      <c r="BY132" s="162">
        <f t="shared" si="1034"/>
        <v>41855.077000000005</v>
      </c>
      <c r="BZ132" s="162">
        <f t="shared" si="1034"/>
        <v>39883.667999999998</v>
      </c>
      <c r="CA132" s="162">
        <f t="shared" si="1034"/>
        <v>45306.822</v>
      </c>
      <c r="CB132" s="162">
        <f t="shared" si="1034"/>
        <v>53619.478000000003</v>
      </c>
      <c r="CC132" s="162">
        <f t="shared" si="1034"/>
        <v>52872.192999999999</v>
      </c>
      <c r="CD132" s="162">
        <f t="shared" si="1034"/>
        <v>61106.562000000005</v>
      </c>
      <c r="CE132" s="162">
        <f t="shared" si="1034"/>
        <v>72230.433000000005</v>
      </c>
      <c r="CF132" s="162">
        <f t="shared" si="1034"/>
        <v>81297.490999999995</v>
      </c>
      <c r="CG132" s="162">
        <f t="shared" si="1034"/>
        <v>92022.81</v>
      </c>
      <c r="CH132" s="162">
        <f t="shared" si="1034"/>
        <v>97289.39</v>
      </c>
      <c r="CI132" s="162">
        <f t="shared" si="1034"/>
        <v>99460.074999999997</v>
      </c>
      <c r="CJ132" s="162">
        <f t="shared" si="1034"/>
        <v>100876.35800000001</v>
      </c>
      <c r="CK132" s="162">
        <f t="shared" ref="CK132:CL132" si="1035">+CK103*CK89</f>
        <v>95730.766999999993</v>
      </c>
      <c r="CL132" s="162">
        <f t="shared" si="1035"/>
        <v>80991.460000000006</v>
      </c>
      <c r="CM132" s="21">
        <f t="shared" ref="CM132:DB132" si="1036">+CM103*CM89</f>
        <v>89599.817698113431</v>
      </c>
      <c r="CN132" s="21">
        <f t="shared" si="1036"/>
        <v>99853.768031924759</v>
      </c>
      <c r="CO132" s="21">
        <f t="shared" si="1036"/>
        <v>96792.061891576464</v>
      </c>
      <c r="CP132" s="21">
        <f t="shared" si="1036"/>
        <v>94163.93204068279</v>
      </c>
      <c r="CQ132" s="21">
        <f t="shared" si="1036"/>
        <v>99092.316205027586</v>
      </c>
      <c r="CR132" s="21">
        <f t="shared" si="1036"/>
        <v>104276.94228784431</v>
      </c>
      <c r="CS132" s="21">
        <f t="shared" si="1036"/>
        <v>108907.35298672497</v>
      </c>
      <c r="CT132" s="21">
        <f t="shared" si="1036"/>
        <v>115690.68346133419</v>
      </c>
      <c r="CU132" s="21">
        <f t="shared" si="1036"/>
        <v>119562.81649182699</v>
      </c>
      <c r="CV132" s="21">
        <f t="shared" si="1036"/>
        <v>123043.63668656387</v>
      </c>
      <c r="CW132" s="21">
        <f t="shared" si="1036"/>
        <v>125935.24250017061</v>
      </c>
      <c r="CX132" s="21">
        <f t="shared" si="1036"/>
        <v>128215.07908445386</v>
      </c>
      <c r="CY132" s="21">
        <f t="shared" si="1036"/>
        <v>131390.14710868185</v>
      </c>
      <c r="CZ132" s="21">
        <f t="shared" si="1036"/>
        <v>134371.86989179987</v>
      </c>
      <c r="DA132" s="21">
        <f t="shared" si="1036"/>
        <v>137215.44300756435</v>
      </c>
      <c r="DB132" s="21">
        <f t="shared" si="1036"/>
        <v>140045.44973875425</v>
      </c>
      <c r="DE132" s="22"/>
      <c r="DF132" s="162">
        <v>80991.460000000006</v>
      </c>
    </row>
    <row r="133" spans="1:110" s="162" customFormat="1" x14ac:dyDescent="0.2">
      <c r="A133" s="49" t="s">
        <v>80</v>
      </c>
      <c r="B133" s="162">
        <f>+B192</f>
        <v>531.27</v>
      </c>
      <c r="C133" s="162">
        <f t="shared" ref="C133:W133" si="1037">+C192</f>
        <v>1369.27</v>
      </c>
      <c r="D133" s="162">
        <f t="shared" si="1037"/>
        <v>1411.92</v>
      </c>
      <c r="E133" s="162">
        <f t="shared" si="1037"/>
        <v>1453.7400000000002</v>
      </c>
      <c r="F133" s="162">
        <f t="shared" si="1037"/>
        <v>1545.13</v>
      </c>
      <c r="G133" s="162">
        <f t="shared" si="1037"/>
        <v>1087.5</v>
      </c>
      <c r="H133" s="162">
        <f t="shared" si="1037"/>
        <v>1880.19</v>
      </c>
      <c r="I133" s="162">
        <f t="shared" si="1037"/>
        <v>3230.25</v>
      </c>
      <c r="J133" s="162">
        <f t="shared" si="1037"/>
        <v>3992.11</v>
      </c>
      <c r="K133" s="162">
        <f t="shared" si="1037"/>
        <v>3910.5600000000004</v>
      </c>
      <c r="L133" s="162">
        <f t="shared" si="1037"/>
        <v>3397.9</v>
      </c>
      <c r="M133" s="162">
        <f t="shared" si="1037"/>
        <v>3580.8100000000004</v>
      </c>
      <c r="N133" s="162">
        <f t="shared" si="1037"/>
        <v>3566.89</v>
      </c>
      <c r="O133" s="162">
        <f t="shared" si="1037"/>
        <v>3960.53</v>
      </c>
      <c r="P133" s="162">
        <f t="shared" si="1037"/>
        <v>4024.6000000000004</v>
      </c>
      <c r="Q133" s="162">
        <f t="shared" si="1037"/>
        <v>4172.93</v>
      </c>
      <c r="R133" s="162">
        <f t="shared" si="1037"/>
        <v>3045.1199999999994</v>
      </c>
      <c r="S133" s="162">
        <f t="shared" si="1037"/>
        <v>1826.58</v>
      </c>
      <c r="T133" s="162">
        <f t="shared" si="1037"/>
        <v>1873.83</v>
      </c>
      <c r="U133" s="162">
        <f t="shared" si="1037"/>
        <v>1850.2500000000002</v>
      </c>
      <c r="V133" s="162">
        <f t="shared" si="1037"/>
        <v>3030.58</v>
      </c>
      <c r="W133" s="162">
        <f t="shared" si="1037"/>
        <v>-105.51999999999975</v>
      </c>
      <c r="X133" s="162">
        <f t="shared" ref="X133:Y133" si="1038">+X192</f>
        <v>-992.50000000000023</v>
      </c>
      <c r="Y133" s="162">
        <f t="shared" si="1038"/>
        <v>-1949.16</v>
      </c>
      <c r="Z133" s="162">
        <f t="shared" ref="Z133:AA133" si="1039">+Z192</f>
        <v>-2855.73</v>
      </c>
      <c r="AA133" s="162">
        <f t="shared" si="1039"/>
        <v>-4279.7700000000004</v>
      </c>
      <c r="AB133" s="21">
        <f t="shared" ref="AA133:AD133" si="1040">+AB192</f>
        <v>-6513.1082851408974</v>
      </c>
      <c r="AC133" s="21">
        <f t="shared" si="1040"/>
        <v>-9326.8566347208071</v>
      </c>
      <c r="AD133" s="21">
        <f t="shared" si="1040"/>
        <v>-12393.294172978047</v>
      </c>
      <c r="AE133" s="21">
        <f t="shared" ref="AE133" si="1041">+AE192</f>
        <v>-15711.183542340494</v>
      </c>
      <c r="AL133" s="162">
        <f t="shared" ref="AL133:AM133" si="1042">+AL192</f>
        <v>3428.1</v>
      </c>
      <c r="AM133" s="162">
        <f t="shared" si="1042"/>
        <v>3441.7179642309052</v>
      </c>
      <c r="AN133" s="162">
        <f t="shared" ref="AN133:AO133" si="1043">+AN192</f>
        <v>2832.02</v>
      </c>
      <c r="AO133" s="162">
        <f t="shared" si="1043"/>
        <v>2775.9859244128938</v>
      </c>
      <c r="AP133" s="162">
        <f t="shared" ref="AP133:CD133" si="1044">+AP192</f>
        <v>2953.65</v>
      </c>
      <c r="AQ133" s="162">
        <f t="shared" si="1044"/>
        <v>2982.5717084719731</v>
      </c>
      <c r="AR133" s="162">
        <f t="shared" si="1044"/>
        <v>2443.48</v>
      </c>
      <c r="AS133" s="162">
        <f t="shared" si="1044"/>
        <v>2391.4789549626466</v>
      </c>
      <c r="AT133" s="162">
        <f t="shared" si="1044"/>
        <v>3581.1800000000003</v>
      </c>
      <c r="AU133" s="162">
        <f t="shared" si="1044"/>
        <v>3541.5884408922611</v>
      </c>
      <c r="AV133" s="162">
        <f t="shared" si="1044"/>
        <v>2273.4699999999998</v>
      </c>
      <c r="AW133" s="162">
        <f t="shared" si="1044"/>
        <v>2267.873858022966</v>
      </c>
      <c r="AX133" s="162">
        <f t="shared" si="1044"/>
        <v>3159.4400000000005</v>
      </c>
      <c r="AY133" s="162">
        <f t="shared" si="1044"/>
        <v>3320.8743780373647</v>
      </c>
      <c r="AZ133" s="162">
        <f t="shared" si="1044"/>
        <v>1217.2199999999998</v>
      </c>
      <c r="BA133" s="162">
        <f t="shared" si="1044"/>
        <v>1140.1332816391846</v>
      </c>
      <c r="BB133" s="162">
        <f t="shared" si="1044"/>
        <v>2470.16</v>
      </c>
      <c r="BC133" s="162">
        <f t="shared" si="1044"/>
        <v>2487.1515082397223</v>
      </c>
      <c r="BD133" s="162">
        <f t="shared" si="1044"/>
        <v>3094.7400000000002</v>
      </c>
      <c r="BE133" s="162">
        <f t="shared" si="1044"/>
        <v>3014.1830002230913</v>
      </c>
      <c r="BF133" s="162">
        <f t="shared" si="1044"/>
        <v>1733.3600000000001</v>
      </c>
      <c r="BG133" s="162">
        <f t="shared" si="1044"/>
        <v>1707.4548696062827</v>
      </c>
      <c r="BH133" s="162">
        <f t="shared" si="1044"/>
        <v>1999.46</v>
      </c>
      <c r="BI133" s="162">
        <f t="shared" si="1044"/>
        <v>1860.2341364187737</v>
      </c>
      <c r="BJ133" s="162">
        <f t="shared" si="1044"/>
        <v>1271.0500000000002</v>
      </c>
      <c r="BK133" s="162">
        <f t="shared" si="1044"/>
        <v>1251.5935412112635</v>
      </c>
      <c r="BL133" s="162">
        <f t="shared" si="1044"/>
        <v>1236.1599999999999</v>
      </c>
      <c r="BM133" s="162">
        <f t="shared" si="1044"/>
        <v>1061.5906146271727</v>
      </c>
      <c r="BN133" s="162">
        <f t="shared" si="1044"/>
        <v>1540.2300000000002</v>
      </c>
      <c r="BO133" s="162">
        <f t="shared" si="1044"/>
        <v>1825.0712734952695</v>
      </c>
      <c r="BP133" s="162">
        <f t="shared" si="1044"/>
        <v>2078.4</v>
      </c>
      <c r="BQ133" s="162">
        <f t="shared" si="1044"/>
        <v>2189.2121007519372</v>
      </c>
      <c r="BR133" s="162">
        <f t="shared" si="1044"/>
        <v>3030.58</v>
      </c>
      <c r="BS133" s="162">
        <f t="shared" si="1044"/>
        <v>3310.1584512698778</v>
      </c>
      <c r="BT133" s="162">
        <f t="shared" si="1044"/>
        <v>3495.0299999999997</v>
      </c>
      <c r="BU133" s="162">
        <f t="shared" si="1044"/>
        <v>3407.3826467317435</v>
      </c>
      <c r="BV133" s="162">
        <f t="shared" si="1044"/>
        <v>-105.51999999999953</v>
      </c>
      <c r="BW133" s="162">
        <f t="shared" si="1044"/>
        <v>-289.64752545637975</v>
      </c>
      <c r="BX133" s="162">
        <f t="shared" si="1044"/>
        <v>-397.9699999999998</v>
      </c>
      <c r="BY133" s="162">
        <f t="shared" si="1044"/>
        <v>-776.50697974217246</v>
      </c>
      <c r="BZ133" s="162">
        <f t="shared" si="1044"/>
        <v>-992.50000000000023</v>
      </c>
      <c r="CA133" s="162">
        <f t="shared" si="1044"/>
        <v>-1222.6785459847549</v>
      </c>
      <c r="CB133" s="162">
        <f t="shared" si="1044"/>
        <v>-1110.46</v>
      </c>
      <c r="CC133" s="162">
        <f t="shared" si="1044"/>
        <v>-1507.531782863522</v>
      </c>
      <c r="CD133" s="162">
        <f t="shared" si="1044"/>
        <v>-1949.16</v>
      </c>
      <c r="CE133" s="162">
        <f t="shared" ref="CE133:CF133" si="1045">+CE192</f>
        <v>-2211.2542408703957</v>
      </c>
      <c r="CF133" s="162">
        <f t="shared" si="1045"/>
        <v>-2182.09</v>
      </c>
      <c r="CG133" s="162">
        <f t="shared" ref="CG133:CH133" si="1046">+CG192</f>
        <v>-2703.508072634876</v>
      </c>
      <c r="CH133" s="162">
        <f t="shared" si="1046"/>
        <v>-2855.73</v>
      </c>
      <c r="CI133" s="162">
        <f t="shared" ref="CI133:CJ133" si="1047">+CI192</f>
        <v>-2770.4633692075508</v>
      </c>
      <c r="CJ133" s="162">
        <f t="shared" si="1047"/>
        <v>-2577.7299999999996</v>
      </c>
      <c r="CK133" s="162">
        <f t="shared" ref="CK133:CL133" si="1048">+CK192</f>
        <v>-3644.6466413672488</v>
      </c>
      <c r="CL133" s="162">
        <f t="shared" si="1048"/>
        <v>-4279.7700000000004</v>
      </c>
      <c r="CM133" s="21">
        <f t="shared" ref="CM133:DB133" si="1049">+CM192</f>
        <v>-4780.2991406480769</v>
      </c>
      <c r="CN133" s="21">
        <f t="shared" si="1049"/>
        <v>-5336.8251580010538</v>
      </c>
      <c r="CO133" s="21">
        <f t="shared" si="1049"/>
        <v>-5950.3171751449745</v>
      </c>
      <c r="CP133" s="21">
        <f t="shared" si="1049"/>
        <v>-6513.1082851408974</v>
      </c>
      <c r="CQ133" s="21">
        <f t="shared" si="1049"/>
        <v>-7195.236726605458</v>
      </c>
      <c r="CR133" s="21">
        <f t="shared" si="1049"/>
        <v>-7873.0652823533146</v>
      </c>
      <c r="CS133" s="21">
        <f t="shared" si="1049"/>
        <v>-8585.5517451677588</v>
      </c>
      <c r="CT133" s="21">
        <f t="shared" si="1049"/>
        <v>-9326.8566347208071</v>
      </c>
      <c r="CU133" s="21">
        <f t="shared" si="1049"/>
        <v>-10068.137523831283</v>
      </c>
      <c r="CV133" s="21">
        <f t="shared" si="1049"/>
        <v>-10824.370869245524</v>
      </c>
      <c r="CW133" s="21">
        <f t="shared" si="1049"/>
        <v>-11600.755298363358</v>
      </c>
      <c r="CX133" s="21">
        <f t="shared" si="1049"/>
        <v>-12393.294172978047</v>
      </c>
      <c r="CY133" s="21">
        <f t="shared" si="1049"/>
        <v>-13198.522687841982</v>
      </c>
      <c r="CZ133" s="21">
        <f t="shared" si="1049"/>
        <v>-14019.924360988187</v>
      </c>
      <c r="DA133" s="21">
        <f t="shared" si="1049"/>
        <v>-14857.812152372111</v>
      </c>
      <c r="DB133" s="21">
        <f t="shared" si="1049"/>
        <v>-15711.183542340494</v>
      </c>
      <c r="DE133" s="22"/>
      <c r="DF133" s="162">
        <v>-4266.0655323036744</v>
      </c>
    </row>
    <row r="134" spans="1:110" s="162" customFormat="1" x14ac:dyDescent="0.2">
      <c r="A134" s="49" t="s">
        <v>342</v>
      </c>
      <c r="B134" s="162">
        <f>+B131+B133</f>
        <v>652.30208820382961</v>
      </c>
      <c r="C134" s="162">
        <f t="shared" ref="C134:W134" si="1050">+C131+C133</f>
        <v>1467.8608004253069</v>
      </c>
      <c r="D134" s="162">
        <f t="shared" si="1050"/>
        <v>1497.1968935583852</v>
      </c>
      <c r="E134" s="162">
        <f t="shared" si="1050"/>
        <v>7343.4495576519257</v>
      </c>
      <c r="F134" s="162">
        <f t="shared" si="1050"/>
        <v>9801.4319435447978</v>
      </c>
      <c r="G134" s="162">
        <f t="shared" si="1050"/>
        <v>17469.22145247514</v>
      </c>
      <c r="H134" s="162">
        <f t="shared" si="1050"/>
        <v>21381.672757558561</v>
      </c>
      <c r="I134" s="162">
        <f t="shared" si="1050"/>
        <v>24385.610794959935</v>
      </c>
      <c r="J134" s="162">
        <f t="shared" si="1050"/>
        <v>19748.435480680426</v>
      </c>
      <c r="K134" s="162">
        <f t="shared" si="1050"/>
        <v>18052.507869954952</v>
      </c>
      <c r="L134" s="162">
        <f t="shared" si="1050"/>
        <v>18682.827218348575</v>
      </c>
      <c r="M134" s="162">
        <f t="shared" si="1050"/>
        <v>15772.589716198607</v>
      </c>
      <c r="N134" s="162">
        <f t="shared" si="1050"/>
        <v>12833.41748556409</v>
      </c>
      <c r="O134" s="162">
        <f t="shared" si="1050"/>
        <v>13517.645455494676</v>
      </c>
      <c r="P134" s="162">
        <f t="shared" si="1050"/>
        <v>20458.964077185061</v>
      </c>
      <c r="Q134" s="162">
        <f t="shared" si="1050"/>
        <v>20290.876065482938</v>
      </c>
      <c r="R134" s="162">
        <f t="shared" si="1050"/>
        <v>21513.599866699107</v>
      </c>
      <c r="S134" s="162">
        <f t="shared" si="1050"/>
        <v>23988.257547673129</v>
      </c>
      <c r="T134" s="162">
        <f t="shared" si="1050"/>
        <v>23462.836552512141</v>
      </c>
      <c r="U134" s="162">
        <f t="shared" si="1050"/>
        <v>24494.903085760583</v>
      </c>
      <c r="V134" s="162">
        <f t="shared" si="1050"/>
        <v>22211.608512618623</v>
      </c>
      <c r="W134" s="162">
        <f t="shared" si="1050"/>
        <v>34831.833000000006</v>
      </c>
      <c r="X134" s="162">
        <f t="shared" ref="X134:Y134" si="1051">+X131+X133</f>
        <v>48641.457999999999</v>
      </c>
      <c r="Y134" s="162">
        <f t="shared" si="1051"/>
        <v>83846.274999999994</v>
      </c>
      <c r="Z134" s="162">
        <f t="shared" ref="Z134:AA134" si="1052">+Z131+Z133</f>
        <v>124417.58100000001</v>
      </c>
      <c r="AA134" s="162">
        <f t="shared" si="1052"/>
        <v>117178.95199999999</v>
      </c>
      <c r="AB134" s="21">
        <f t="shared" ref="AA134:AD134" si="1053">+AB131+AB133</f>
        <v>125279.82632290038</v>
      </c>
      <c r="AC134" s="21">
        <f t="shared" si="1053"/>
        <v>143368.57970879762</v>
      </c>
      <c r="AD134" s="21">
        <f t="shared" si="1053"/>
        <v>156832.58349384944</v>
      </c>
      <c r="AE134" s="21">
        <f t="shared" ref="AE134" si="1054">+AE131+AE133</f>
        <v>169129.12006715764</v>
      </c>
      <c r="AL134" s="162">
        <f t="shared" ref="AL134" si="1055">+AL131+AL133</f>
        <v>12223.229223232267</v>
      </c>
      <c r="AM134" s="162">
        <f t="shared" ref="AM134:AO134" si="1056">+AM131+AM133</f>
        <v>11190.730495713073</v>
      </c>
      <c r="AN134" s="162">
        <f t="shared" si="1056"/>
        <v>9709.2686216904294</v>
      </c>
      <c r="AO134" s="162">
        <f t="shared" si="1056"/>
        <v>10834.958957154347</v>
      </c>
      <c r="AP134" s="162">
        <f t="shared" ref="AP134:CD134" si="1057">+AP131+AP133</f>
        <v>12510.765455494675</v>
      </c>
      <c r="AQ134" s="162">
        <f t="shared" si="1057"/>
        <v>17395.735017028754</v>
      </c>
      <c r="AR134" s="162">
        <f t="shared" si="1057"/>
        <v>16630.630443055266</v>
      </c>
      <c r="AS134" s="162">
        <f t="shared" si="1057"/>
        <v>18825.84303214771</v>
      </c>
      <c r="AT134" s="162">
        <f t="shared" si="1057"/>
        <v>19976.799014527631</v>
      </c>
      <c r="AU134" s="162">
        <f t="shared" si="1057"/>
        <v>18716.737981711492</v>
      </c>
      <c r="AV134" s="162">
        <f t="shared" si="1057"/>
        <v>15834.241930093796</v>
      </c>
      <c r="AW134" s="162">
        <f t="shared" si="1057"/>
        <v>17765.898920987274</v>
      </c>
      <c r="AX134" s="162">
        <f t="shared" si="1057"/>
        <v>19277.38606548294</v>
      </c>
      <c r="AY134" s="162">
        <f t="shared" si="1057"/>
        <v>21014.452991588259</v>
      </c>
      <c r="AZ134" s="162">
        <f t="shared" si="1057"/>
        <v>19685.699866699109</v>
      </c>
      <c r="BA134" s="162">
        <f t="shared" si="1057"/>
        <v>18433.346247730278</v>
      </c>
      <c r="BB134" s="162">
        <f t="shared" si="1057"/>
        <v>19104.706900915033</v>
      </c>
      <c r="BC134" s="162">
        <f t="shared" si="1057"/>
        <v>21297.879428412627</v>
      </c>
      <c r="BD134" s="162">
        <f t="shared" si="1057"/>
        <v>20439.613049634292</v>
      </c>
      <c r="BE134" s="162">
        <f t="shared" si="1057"/>
        <v>20304.707263756289</v>
      </c>
      <c r="BF134" s="162">
        <f t="shared" si="1057"/>
        <v>23895.037547673128</v>
      </c>
      <c r="BG134" s="162">
        <f t="shared" si="1057"/>
        <v>23220.56526613325</v>
      </c>
      <c r="BH134" s="162">
        <f t="shared" si="1057"/>
        <v>21221.886415883298</v>
      </c>
      <c r="BI134" s="162">
        <f t="shared" si="1057"/>
        <v>22973.164801387502</v>
      </c>
      <c r="BJ134" s="162">
        <f t="shared" si="1057"/>
        <v>22860.056552512138</v>
      </c>
      <c r="BK134" s="162">
        <f t="shared" si="1057"/>
        <v>23896.246626971846</v>
      </c>
      <c r="BL134" s="162">
        <f t="shared" si="1057"/>
        <v>23722.121123246063</v>
      </c>
      <c r="BM134" s="162">
        <f t="shared" si="1057"/>
        <v>23347.461872094187</v>
      </c>
      <c r="BN134" s="162">
        <f t="shared" si="1057"/>
        <v>22315.077788307422</v>
      </c>
      <c r="BO134" s="162">
        <f t="shared" si="1057"/>
        <v>15182.794726887252</v>
      </c>
      <c r="BP134" s="162">
        <f t="shared" si="1057"/>
        <v>17581.914772609391</v>
      </c>
      <c r="BQ134" s="162">
        <f t="shared" si="1057"/>
        <v>21370.240613370559</v>
      </c>
      <c r="BR134" s="162">
        <f t="shared" si="1057"/>
        <v>21383.650447325825</v>
      </c>
      <c r="BS134" s="162">
        <f t="shared" si="1057"/>
        <v>24091.905890121485</v>
      </c>
      <c r="BT134" s="162">
        <f t="shared" si="1057"/>
        <v>31217.825886223607</v>
      </c>
      <c r="BU134" s="162">
        <f t="shared" si="1057"/>
        <v>36180.722731242065</v>
      </c>
      <c r="BV134" s="162">
        <f t="shared" si="1057"/>
        <v>34831.833000000006</v>
      </c>
      <c r="BW134" s="162">
        <f t="shared" si="1057"/>
        <v>37978.461474543627</v>
      </c>
      <c r="BX134" s="162">
        <f t="shared" si="1057"/>
        <v>47613.311999999998</v>
      </c>
      <c r="BY134" s="162">
        <f t="shared" si="1057"/>
        <v>48857.451020257824</v>
      </c>
      <c r="BZ134" s="162">
        <f t="shared" si="1057"/>
        <v>46065.104000000007</v>
      </c>
      <c r="CA134" s="162">
        <f t="shared" si="1057"/>
        <v>56453.489454015245</v>
      </c>
      <c r="CB134" s="162">
        <f t="shared" si="1057"/>
        <v>60985.365000000005</v>
      </c>
      <c r="CC134" s="162">
        <f t="shared" si="1057"/>
        <v>62687.80821713648</v>
      </c>
      <c r="CD134" s="162">
        <f t="shared" si="1057"/>
        <v>83846.274999999994</v>
      </c>
      <c r="CE134" s="162">
        <f t="shared" ref="CE134:CF134" si="1058">+CE131+CE133</f>
        <v>92217.101759129611</v>
      </c>
      <c r="CF134" s="162">
        <f t="shared" si="1058"/>
        <v>100388.11400000002</v>
      </c>
      <c r="CG134" s="162">
        <f t="shared" ref="CG134:CH134" si="1059">+CG131+CG133</f>
        <v>124569.80292736512</v>
      </c>
      <c r="CH134" s="162">
        <f t="shared" si="1059"/>
        <v>122944.36199999999</v>
      </c>
      <c r="CI134" s="162">
        <f t="shared" ref="CI134:CJ134" si="1060">+CI131+CI133</f>
        <v>118688.25863079245</v>
      </c>
      <c r="CJ134" s="162">
        <f t="shared" si="1060"/>
        <v>112988.11600000001</v>
      </c>
      <c r="CK134" s="162">
        <f t="shared" ref="CK134:CL134" si="1061">+CK131+CK133</f>
        <v>103701.06435863275</v>
      </c>
      <c r="CL134" s="162">
        <f t="shared" si="1061"/>
        <v>102617.56999999999</v>
      </c>
      <c r="CM134" s="21">
        <f t="shared" ref="CM134:DB134" si="1062">+CM131+CM133</f>
        <v>113478.86270694977</v>
      </c>
      <c r="CN134" s="21">
        <f t="shared" si="1062"/>
        <v>126456.10945004023</v>
      </c>
      <c r="CO134" s="21">
        <f t="shared" si="1062"/>
        <v>121801.59579598669</v>
      </c>
      <c r="CP134" s="21">
        <f t="shared" si="1062"/>
        <v>117770.04279140175</v>
      </c>
      <c r="CQ134" s="21">
        <f t="shared" si="1062"/>
        <v>123592.68852818491</v>
      </c>
      <c r="CR134" s="21">
        <f t="shared" si="1062"/>
        <v>129757.83745608444</v>
      </c>
      <c r="CS134" s="21">
        <f t="shared" si="1062"/>
        <v>135156.84209144113</v>
      </c>
      <c r="CT134" s="21">
        <f t="shared" si="1062"/>
        <v>143368.57970879762</v>
      </c>
      <c r="CU134" s="21">
        <f t="shared" si="1062"/>
        <v>147737.97000756077</v>
      </c>
      <c r="CV134" s="21">
        <f t="shared" si="1062"/>
        <v>151575.92992444421</v>
      </c>
      <c r="CW134" s="21">
        <f t="shared" si="1062"/>
        <v>154616.05861662456</v>
      </c>
      <c r="CX134" s="21">
        <f t="shared" si="1062"/>
        <v>156832.58349384944</v>
      </c>
      <c r="CY134" s="21">
        <f t="shared" si="1062"/>
        <v>160217.99836421438</v>
      </c>
      <c r="CZ134" s="21">
        <f t="shared" si="1062"/>
        <v>163332.05154189703</v>
      </c>
      <c r="DA134" s="21">
        <f t="shared" si="1062"/>
        <v>166247.28046393863</v>
      </c>
      <c r="DB134" s="21">
        <f t="shared" si="1062"/>
        <v>169129.12006715764</v>
      </c>
      <c r="DE134" s="22"/>
      <c r="DF134" s="162">
        <v>102631.27446769632</v>
      </c>
    </row>
    <row r="135" spans="1:110" s="162" customFormat="1" x14ac:dyDescent="0.2">
      <c r="A135" s="49" t="s">
        <v>345</v>
      </c>
      <c r="B135" s="162">
        <f>+B132+B133</f>
        <v>601.47917176423437</v>
      </c>
      <c r="C135" s="162">
        <f t="shared" ref="C135:W135" si="1063">+C132+C133</f>
        <v>1412.8513580303911</v>
      </c>
      <c r="D135" s="162">
        <f t="shared" si="1063"/>
        <v>1464.3458655666323</v>
      </c>
      <c r="E135" s="162">
        <f t="shared" si="1063"/>
        <v>3484.2024969965732</v>
      </c>
      <c r="F135" s="162">
        <f t="shared" si="1063"/>
        <v>5376.4158132604498</v>
      </c>
      <c r="G135" s="162">
        <f t="shared" si="1063"/>
        <v>8227.7317283776283</v>
      </c>
      <c r="H135" s="162">
        <f t="shared" si="1063"/>
        <v>11702.321797659939</v>
      </c>
      <c r="I135" s="162">
        <f t="shared" si="1063"/>
        <v>15247.6371782393</v>
      </c>
      <c r="J135" s="162">
        <f t="shared" si="1063"/>
        <v>8383.2171011732298</v>
      </c>
      <c r="K135" s="162">
        <f t="shared" si="1063"/>
        <v>8947.4181454634145</v>
      </c>
      <c r="L135" s="162">
        <f t="shared" si="1063"/>
        <v>13226.230894096543</v>
      </c>
      <c r="M135" s="162">
        <f t="shared" si="1063"/>
        <v>10167.470651759846</v>
      </c>
      <c r="N135" s="162">
        <f t="shared" si="1063"/>
        <v>10192.295714417249</v>
      </c>
      <c r="O135" s="162">
        <f t="shared" si="1063"/>
        <v>8810.1203426192642</v>
      </c>
      <c r="P135" s="162">
        <f t="shared" si="1063"/>
        <v>12806.814202346461</v>
      </c>
      <c r="Q135" s="162">
        <f t="shared" si="1063"/>
        <v>14601.809365286415</v>
      </c>
      <c r="R135" s="162">
        <f t="shared" si="1063"/>
        <v>14513.658546593602</v>
      </c>
      <c r="S135" s="162">
        <f t="shared" si="1063"/>
        <v>15820.005129768218</v>
      </c>
      <c r="T135" s="162">
        <f t="shared" si="1063"/>
        <v>17053.06119703631</v>
      </c>
      <c r="U135" s="162">
        <f t="shared" si="1063"/>
        <v>11771.947482426489</v>
      </c>
      <c r="V135" s="162">
        <f t="shared" si="1063"/>
        <v>11599.945975781431</v>
      </c>
      <c r="W135" s="162">
        <f t="shared" si="1063"/>
        <v>12838.224420745539</v>
      </c>
      <c r="X135" s="162">
        <f t="shared" ref="X135:Y135" si="1064">+X132+X133</f>
        <v>28507.465</v>
      </c>
      <c r="Y135" s="162">
        <f t="shared" si="1064"/>
        <v>43357.661999999997</v>
      </c>
      <c r="Z135" s="162">
        <f t="shared" ref="Z135:AA135" si="1065">+Z132+Z133</f>
        <v>69374.703000000009</v>
      </c>
      <c r="AA135" s="162">
        <f t="shared" si="1065"/>
        <v>76711.69</v>
      </c>
      <c r="AB135" s="21">
        <f t="shared" ref="AA135:AD135" si="1066">+AB132+AB133</f>
        <v>83086.70941297253</v>
      </c>
      <c r="AC135" s="21">
        <f t="shared" si="1066"/>
        <v>89765.459570306775</v>
      </c>
      <c r="AD135" s="21">
        <f t="shared" si="1066"/>
        <v>107169.52231884895</v>
      </c>
      <c r="AE135" s="21">
        <f t="shared" ref="AE135" si="1067">+AE132+AE133</f>
        <v>115678.96356634135</v>
      </c>
      <c r="AL135" s="162">
        <f t="shared" ref="AL135:AM135" si="1068">+AL132+AL133</f>
        <v>10240.773517261399</v>
      </c>
      <c r="AM135" s="162">
        <f t="shared" si="1068"/>
        <v>9389.0850821434633</v>
      </c>
      <c r="AN135" s="162">
        <f t="shared" ref="AN135:AO135" si="1069">+AN132+AN133</f>
        <v>7681.610342619264</v>
      </c>
      <c r="AO135" s="162">
        <f t="shared" si="1069"/>
        <v>8716.8955318825538</v>
      </c>
      <c r="AP135" s="162">
        <f t="shared" ref="AP135:CD135" si="1070">+AP132+AP133</f>
        <v>10186.06169605003</v>
      </c>
      <c r="AQ135" s="162">
        <f t="shared" si="1070"/>
        <v>11764.785910818433</v>
      </c>
      <c r="AR135" s="162">
        <f t="shared" si="1070"/>
        <v>12730.294135542577</v>
      </c>
      <c r="AS135" s="162">
        <f t="shared" si="1070"/>
        <v>14395.990868317105</v>
      </c>
      <c r="AT135" s="162">
        <f t="shared" si="1070"/>
        <v>16683.468688647765</v>
      </c>
      <c r="AU135" s="162">
        <f t="shared" si="1070"/>
        <v>15171.564748558418</v>
      </c>
      <c r="AV135" s="162">
        <f t="shared" si="1070"/>
        <v>12702.349365286414</v>
      </c>
      <c r="AW135" s="162">
        <f t="shared" si="1070"/>
        <v>13284.386673613446</v>
      </c>
      <c r="AX135" s="162">
        <f t="shared" si="1070"/>
        <v>15041.259214939322</v>
      </c>
      <c r="AY135" s="162">
        <f t="shared" si="1070"/>
        <v>15996.967377453617</v>
      </c>
      <c r="AZ135" s="162">
        <f t="shared" si="1070"/>
        <v>17115.610710424251</v>
      </c>
      <c r="BA135" s="162">
        <f t="shared" si="1070"/>
        <v>12608.671828232787</v>
      </c>
      <c r="BB135" s="162">
        <f t="shared" si="1070"/>
        <v>14752.344862399235</v>
      </c>
      <c r="BC135" s="162">
        <f t="shared" si="1070"/>
        <v>18475.947364864602</v>
      </c>
      <c r="BD135" s="162">
        <f t="shared" si="1070"/>
        <v>17088.165129768218</v>
      </c>
      <c r="BE135" s="162">
        <f t="shared" si="1070"/>
        <v>17227.463121084409</v>
      </c>
      <c r="BF135" s="162">
        <f t="shared" si="1070"/>
        <v>17913.040525931996</v>
      </c>
      <c r="BG135" s="162">
        <f t="shared" si="1070"/>
        <v>19308.463407624331</v>
      </c>
      <c r="BH135" s="162">
        <f t="shared" si="1070"/>
        <v>18758.711171636882</v>
      </c>
      <c r="BI135" s="162">
        <f t="shared" si="1070"/>
        <v>17039.465333455082</v>
      </c>
      <c r="BJ135" s="162">
        <f t="shared" si="1070"/>
        <v>19306.736522296789</v>
      </c>
      <c r="BK135" s="162">
        <f t="shared" si="1070"/>
        <v>20591.314016344404</v>
      </c>
      <c r="BL135" s="162">
        <f t="shared" si="1070"/>
        <v>17954.01326837235</v>
      </c>
      <c r="BM135" s="162">
        <f t="shared" si="1070"/>
        <v>20132.224718540139</v>
      </c>
      <c r="BN135" s="162">
        <f t="shared" si="1070"/>
        <v>11461.927482426488</v>
      </c>
      <c r="BO135" s="162">
        <f t="shared" si="1070"/>
        <v>10394.4372492767</v>
      </c>
      <c r="BP135" s="162">
        <f t="shared" si="1070"/>
        <v>12586.567778675617</v>
      </c>
      <c r="BQ135" s="162">
        <f t="shared" si="1070"/>
        <v>14884.569101909608</v>
      </c>
      <c r="BR135" s="162">
        <f t="shared" si="1070"/>
        <v>17209.361868140768</v>
      </c>
      <c r="BS135" s="162">
        <f t="shared" si="1070"/>
        <v>16253.902872015417</v>
      </c>
      <c r="BT135" s="162">
        <f t="shared" si="1070"/>
        <v>21855.000097869863</v>
      </c>
      <c r="BU135" s="162">
        <f t="shared" si="1070"/>
        <v>27768.873646731747</v>
      </c>
      <c r="BV135" s="162">
        <f t="shared" si="1070"/>
        <v>25259.467999999997</v>
      </c>
      <c r="BW135" s="162">
        <f t="shared" si="1070"/>
        <v>29210.317474543619</v>
      </c>
      <c r="BX135" s="162">
        <f t="shared" si="1070"/>
        <v>30988</v>
      </c>
      <c r="BY135" s="162">
        <f t="shared" si="1070"/>
        <v>41078.57002025783</v>
      </c>
      <c r="BZ135" s="162">
        <f t="shared" si="1070"/>
        <v>38891.167999999998</v>
      </c>
      <c r="CA135" s="162">
        <f t="shared" si="1070"/>
        <v>44084.143454015248</v>
      </c>
      <c r="CB135" s="162">
        <f t="shared" si="1070"/>
        <v>52509.018000000004</v>
      </c>
      <c r="CC135" s="162">
        <f t="shared" si="1070"/>
        <v>51364.661217136476</v>
      </c>
      <c r="CD135" s="162">
        <f t="shared" si="1070"/>
        <v>59157.402000000002</v>
      </c>
      <c r="CE135" s="162">
        <f t="shared" ref="CE135:CF135" si="1071">+CE132+CE133</f>
        <v>70019.178759129602</v>
      </c>
      <c r="CF135" s="162">
        <f t="shared" si="1071"/>
        <v>79115.400999999998</v>
      </c>
      <c r="CG135" s="162">
        <f t="shared" ref="CG135:CH135" si="1072">+CG132+CG133</f>
        <v>89319.301927365115</v>
      </c>
      <c r="CH135" s="162">
        <f t="shared" si="1072"/>
        <v>94433.66</v>
      </c>
      <c r="CI135" s="162">
        <f t="shared" ref="CI135:CJ135" si="1073">+CI132+CI133</f>
        <v>96689.611630792453</v>
      </c>
      <c r="CJ135" s="162">
        <f t="shared" si="1073"/>
        <v>98298.628000000012</v>
      </c>
      <c r="CK135" s="162">
        <f t="shared" ref="CK135:CL135" si="1074">+CK132+CK133</f>
        <v>92086.120358632747</v>
      </c>
      <c r="CL135" s="162">
        <f t="shared" si="1074"/>
        <v>76711.69</v>
      </c>
      <c r="CM135" s="21">
        <f t="shared" ref="CM135:DB135" si="1075">+CM132+CM133</f>
        <v>84819.518557465359</v>
      </c>
      <c r="CN135" s="21">
        <f t="shared" si="1075"/>
        <v>94516.942873923705</v>
      </c>
      <c r="CO135" s="21">
        <f t="shared" si="1075"/>
        <v>90841.744716431494</v>
      </c>
      <c r="CP135" s="21">
        <f t="shared" si="1075"/>
        <v>87650.823755541889</v>
      </c>
      <c r="CQ135" s="21">
        <f t="shared" si="1075"/>
        <v>91897.079478422122</v>
      </c>
      <c r="CR135" s="21">
        <f t="shared" si="1075"/>
        <v>96403.877005490998</v>
      </c>
      <c r="CS135" s="21">
        <f t="shared" si="1075"/>
        <v>100321.80124155722</v>
      </c>
      <c r="CT135" s="21">
        <f t="shared" si="1075"/>
        <v>106363.82682661338</v>
      </c>
      <c r="CU135" s="21">
        <f t="shared" si="1075"/>
        <v>109494.67896799571</v>
      </c>
      <c r="CV135" s="21">
        <f t="shared" si="1075"/>
        <v>112219.26581731834</v>
      </c>
      <c r="CW135" s="21">
        <f t="shared" si="1075"/>
        <v>114334.48720180726</v>
      </c>
      <c r="CX135" s="21">
        <f t="shared" si="1075"/>
        <v>115821.78491147581</v>
      </c>
      <c r="CY135" s="21">
        <f t="shared" si="1075"/>
        <v>118191.62442083987</v>
      </c>
      <c r="CZ135" s="21">
        <f t="shared" si="1075"/>
        <v>120351.94553081169</v>
      </c>
      <c r="DA135" s="21">
        <f t="shared" si="1075"/>
        <v>122357.63085519224</v>
      </c>
      <c r="DB135" s="21">
        <f t="shared" si="1075"/>
        <v>124334.26619641375</v>
      </c>
      <c r="DE135" s="22"/>
      <c r="DF135" s="162">
        <v>76725.394467696329</v>
      </c>
    </row>
    <row r="136" spans="1:110" s="162" customFormat="1" x14ac:dyDescent="0.2">
      <c r="A136" s="49" t="s">
        <v>13</v>
      </c>
      <c r="B136" s="162">
        <f t="shared" ref="B136:AE136" si="1076">+B52</f>
        <v>184.76000000000005</v>
      </c>
      <c r="C136" s="162">
        <f t="shared" si="1076"/>
        <v>135.93999999999994</v>
      </c>
      <c r="D136" s="162">
        <f t="shared" si="1076"/>
        <v>143.68999999999994</v>
      </c>
      <c r="E136" s="162">
        <f t="shared" si="1076"/>
        <v>175.66999999999996</v>
      </c>
      <c r="F136" s="162">
        <f t="shared" si="1076"/>
        <v>332.12999999999988</v>
      </c>
      <c r="G136" s="162">
        <f t="shared" si="1076"/>
        <v>508.35999999999967</v>
      </c>
      <c r="H136" s="162">
        <f t="shared" si="1076"/>
        <v>720.48999999999978</v>
      </c>
      <c r="I136" s="162">
        <f t="shared" si="1076"/>
        <v>892.0300000000002</v>
      </c>
      <c r="J136" s="162">
        <f t="shared" si="1076"/>
        <v>510.51</v>
      </c>
      <c r="K136" s="162">
        <f t="shared" si="1076"/>
        <v>398.15000000000009</v>
      </c>
      <c r="L136" s="162">
        <f t="shared" si="1076"/>
        <v>450.81999999999971</v>
      </c>
      <c r="M136" s="162">
        <f t="shared" si="1076"/>
        <v>545.25</v>
      </c>
      <c r="N136" s="162">
        <f t="shared" si="1076"/>
        <v>537.63999999999987</v>
      </c>
      <c r="O136" s="162">
        <f t="shared" si="1076"/>
        <v>559.57000000000016</v>
      </c>
      <c r="P136" s="162">
        <f t="shared" si="1076"/>
        <v>488.58000000000038</v>
      </c>
      <c r="Q136" s="162">
        <f t="shared" si="1076"/>
        <v>552.16000000000031</v>
      </c>
      <c r="R136" s="162">
        <f t="shared" si="1076"/>
        <v>609.61999999999989</v>
      </c>
      <c r="S136" s="162">
        <f t="shared" si="1076"/>
        <v>670.34999999999991</v>
      </c>
      <c r="T136" s="162">
        <f t="shared" si="1076"/>
        <v>829.72999999999956</v>
      </c>
      <c r="U136" s="162">
        <f t="shared" si="1076"/>
        <v>967.53000000000065</v>
      </c>
      <c r="V136" s="162">
        <f t="shared" si="1076"/>
        <v>-361.75999999999976</v>
      </c>
      <c r="W136" s="162">
        <f t="shared" si="1076"/>
        <v>404.75</v>
      </c>
      <c r="X136" s="162">
        <f t="shared" si="1076"/>
        <v>1804.4299999999994</v>
      </c>
      <c r="Y136" s="162">
        <f t="shared" si="1076"/>
        <v>2157.1299999999992</v>
      </c>
      <c r="Z136" s="162">
        <f t="shared" si="1076"/>
        <v>2769.3300000000008</v>
      </c>
      <c r="AA136" s="162">
        <f t="shared" ref="AA136" si="1077">+AA52</f>
        <v>3194.6499999999996</v>
      </c>
      <c r="AB136" s="21">
        <f t="shared" si="1076"/>
        <v>3650.7587788053661</v>
      </c>
      <c r="AC136" s="21">
        <f t="shared" si="1076"/>
        <v>4204.1725847519592</v>
      </c>
      <c r="AD136" s="21">
        <f t="shared" si="1076"/>
        <v>4509.9902252259599</v>
      </c>
      <c r="AE136" s="21">
        <f t="shared" si="1076"/>
        <v>4798.7868762363123</v>
      </c>
      <c r="AL136" s="162">
        <f t="shared" ref="AL136:BQ136" si="1078">+SUM(AI52:AL52)</f>
        <v>479.05</v>
      </c>
      <c r="AM136" s="162">
        <f t="shared" si="1078"/>
        <v>483.92999999999989</v>
      </c>
      <c r="AN136" s="162">
        <f t="shared" si="1078"/>
        <v>483.82999999999987</v>
      </c>
      <c r="AO136" s="162">
        <f t="shared" si="1078"/>
        <v>577.91999999999985</v>
      </c>
      <c r="AP136" s="162">
        <f t="shared" si="1078"/>
        <v>559.56999999999982</v>
      </c>
      <c r="AQ136" s="162">
        <f t="shared" si="1078"/>
        <v>533.41999999999985</v>
      </c>
      <c r="AR136" s="162">
        <f t="shared" si="1078"/>
        <v>509.94999999999993</v>
      </c>
      <c r="AS136" s="162">
        <f t="shared" si="1078"/>
        <v>501.75000000000011</v>
      </c>
      <c r="AT136" s="162">
        <f t="shared" si="1078"/>
        <v>488.58000000000004</v>
      </c>
      <c r="AU136" s="162">
        <f t="shared" si="1078"/>
        <v>514.87000000000012</v>
      </c>
      <c r="AV136" s="162">
        <f t="shared" si="1078"/>
        <v>557.83000000000004</v>
      </c>
      <c r="AW136" s="162">
        <f t="shared" si="1078"/>
        <v>571.95000000000005</v>
      </c>
      <c r="AX136" s="162">
        <f t="shared" si="1078"/>
        <v>598.06000000000006</v>
      </c>
      <c r="AY136" s="162">
        <f t="shared" si="1078"/>
        <v>585.77</v>
      </c>
      <c r="AZ136" s="162">
        <f t="shared" si="1078"/>
        <v>598.67999999999995</v>
      </c>
      <c r="BA136" s="162">
        <f t="shared" si="1078"/>
        <v>614.29999999999984</v>
      </c>
      <c r="BB136" s="162">
        <f t="shared" si="1078"/>
        <v>609.61999999999978</v>
      </c>
      <c r="BC136" s="162">
        <f t="shared" si="1078"/>
        <v>605.97999999999979</v>
      </c>
      <c r="BD136" s="162">
        <f t="shared" si="1078"/>
        <v>589.89999999999986</v>
      </c>
      <c r="BE136" s="162">
        <f t="shared" si="1078"/>
        <v>603.36999999999989</v>
      </c>
      <c r="BF136" s="162">
        <f t="shared" si="1078"/>
        <v>670.34999999999991</v>
      </c>
      <c r="BG136" s="162">
        <f t="shared" si="1078"/>
        <v>690.42000000000007</v>
      </c>
      <c r="BH136" s="162">
        <f t="shared" si="1078"/>
        <v>735.06999999999994</v>
      </c>
      <c r="BI136" s="162">
        <f t="shared" si="1078"/>
        <v>790.1</v>
      </c>
      <c r="BJ136" s="162">
        <f t="shared" si="1078"/>
        <v>829.7299999999999</v>
      </c>
      <c r="BK136" s="162">
        <f t="shared" si="1078"/>
        <v>892.50999999999976</v>
      </c>
      <c r="BL136" s="162">
        <f t="shared" si="1078"/>
        <v>953.7399999999999</v>
      </c>
      <c r="BM136" s="162">
        <f t="shared" si="1078"/>
        <v>1043.9199999999998</v>
      </c>
      <c r="BN136" s="162">
        <f t="shared" si="1078"/>
        <v>967.53000000000009</v>
      </c>
      <c r="BO136" s="162">
        <f t="shared" si="1078"/>
        <v>528.10000000000014</v>
      </c>
      <c r="BP136" s="162">
        <f t="shared" si="1078"/>
        <v>217.30000000000013</v>
      </c>
      <c r="BQ136" s="162">
        <f t="shared" si="1078"/>
        <v>-225.15999999999985</v>
      </c>
      <c r="BR136" s="162">
        <f t="shared" ref="BR136:CW136" si="1079">+SUM(BO52:BR52)</f>
        <v>-361.75999999999993</v>
      </c>
      <c r="BS136" s="162">
        <f t="shared" si="1079"/>
        <v>-244.58999999999992</v>
      </c>
      <c r="BT136" s="162">
        <f t="shared" si="1079"/>
        <v>-21.409999999999911</v>
      </c>
      <c r="BU136" s="162">
        <f t="shared" si="1079"/>
        <v>317.08000000000004</v>
      </c>
      <c r="BV136" s="162">
        <f t="shared" si="1079"/>
        <v>404.75000000000006</v>
      </c>
      <c r="BW136" s="162">
        <f t="shared" si="1079"/>
        <v>931.44999999999993</v>
      </c>
      <c r="BX136" s="162">
        <f t="shared" si="1079"/>
        <v>1152.5899999999997</v>
      </c>
      <c r="BY136" s="162">
        <f t="shared" si="1079"/>
        <v>1428.0499999999997</v>
      </c>
      <c r="BZ136" s="162">
        <f t="shared" si="1079"/>
        <v>1804.5599999999997</v>
      </c>
      <c r="CA136" s="162">
        <f t="shared" si="1079"/>
        <v>1836.8499999999997</v>
      </c>
      <c r="CB136" s="162">
        <f t="shared" si="1079"/>
        <v>1897.65</v>
      </c>
      <c r="CC136" s="162">
        <f t="shared" si="1079"/>
        <v>2032.82</v>
      </c>
      <c r="CD136" s="162">
        <f t="shared" si="1079"/>
        <v>2157.13</v>
      </c>
      <c r="CE136" s="162">
        <f t="shared" si="1079"/>
        <v>2196.56</v>
      </c>
      <c r="CF136" s="162">
        <f t="shared" si="1079"/>
        <v>2343.0499999999997</v>
      </c>
      <c r="CG136" s="162">
        <f t="shared" si="1079"/>
        <v>2572.3500000000004</v>
      </c>
      <c r="CH136" s="162">
        <f t="shared" si="1079"/>
        <v>2769.33</v>
      </c>
      <c r="CI136" s="162">
        <f t="shared" si="1079"/>
        <v>2895.76</v>
      </c>
      <c r="CJ136" s="162">
        <f t="shared" si="1079"/>
        <v>2964.6099999999997</v>
      </c>
      <c r="CK136" s="162">
        <f t="shared" si="1079"/>
        <v>3078.75</v>
      </c>
      <c r="CL136" s="162">
        <f t="shared" si="1079"/>
        <v>3194.6499999999996</v>
      </c>
      <c r="CM136" s="21">
        <f t="shared" si="1079"/>
        <v>3489.8578914481432</v>
      </c>
      <c r="CN136" s="21">
        <f t="shared" si="1079"/>
        <v>3822.9332920811735</v>
      </c>
      <c r="CO136" s="21">
        <f t="shared" si="1079"/>
        <v>3702.4573725544378</v>
      </c>
      <c r="CP136" s="21">
        <f t="shared" si="1079"/>
        <v>3650.7587788053661</v>
      </c>
      <c r="CQ136" s="21">
        <f t="shared" si="1079"/>
        <v>3781.752186509495</v>
      </c>
      <c r="CR136" s="21">
        <f t="shared" si="1079"/>
        <v>3913.8684238644455</v>
      </c>
      <c r="CS136" s="21">
        <f t="shared" si="1079"/>
        <v>4027.4770107535714</v>
      </c>
      <c r="CT136" s="21">
        <f t="shared" si="1079"/>
        <v>4204.172584751961</v>
      </c>
      <c r="CU136" s="21">
        <f t="shared" si="1079"/>
        <v>4296.8213538898008</v>
      </c>
      <c r="CV136" s="21">
        <f t="shared" si="1079"/>
        <v>4379.9781938066553</v>
      </c>
      <c r="CW136" s="21">
        <f t="shared" si="1079"/>
        <v>4450.532652859235</v>
      </c>
      <c r="CX136" s="21">
        <f t="shared" ref="CX136:DB136" si="1080">+SUM(CU52:CX52)</f>
        <v>4509.9902252259626</v>
      </c>
      <c r="CY136" s="21">
        <f t="shared" si="1080"/>
        <v>4586.8592390260328</v>
      </c>
      <c r="CZ136" s="21">
        <f t="shared" si="1080"/>
        <v>4659.4741853172454</v>
      </c>
      <c r="DA136" s="21">
        <f t="shared" si="1080"/>
        <v>4729.2362527276282</v>
      </c>
      <c r="DB136" s="21">
        <f t="shared" si="1080"/>
        <v>4798.7868762363123</v>
      </c>
      <c r="DE136" s="22"/>
      <c r="DF136" s="162">
        <v>3301.0052489365198</v>
      </c>
    </row>
    <row r="137" spans="1:110" s="162" customFormat="1" x14ac:dyDescent="0.2">
      <c r="A137" s="49" t="s">
        <v>343</v>
      </c>
      <c r="B137" s="162">
        <f>+B134/B136</f>
        <v>3.53053739014846</v>
      </c>
      <c r="C137" s="162">
        <f t="shared" ref="C137:W137" si="1081">+C134/C136</f>
        <v>10.79785788160444</v>
      </c>
      <c r="D137" s="162">
        <f t="shared" si="1081"/>
        <v>10.419631801505922</v>
      </c>
      <c r="E137" s="162">
        <f t="shared" si="1081"/>
        <v>41.802524948209296</v>
      </c>
      <c r="F137" s="162">
        <f t="shared" si="1081"/>
        <v>29.510829926669683</v>
      </c>
      <c r="G137" s="162">
        <f t="shared" si="1081"/>
        <v>34.363878850568788</v>
      </c>
      <c r="H137" s="162">
        <f t="shared" si="1081"/>
        <v>29.676571163456213</v>
      </c>
      <c r="I137" s="162">
        <f t="shared" si="1081"/>
        <v>27.337209281033072</v>
      </c>
      <c r="J137" s="162">
        <f t="shared" si="1081"/>
        <v>38.683738772365722</v>
      </c>
      <c r="K137" s="162">
        <f t="shared" si="1081"/>
        <v>45.340971668855829</v>
      </c>
      <c r="L137" s="162">
        <f t="shared" si="1081"/>
        <v>41.441877508425954</v>
      </c>
      <c r="M137" s="162">
        <f t="shared" si="1081"/>
        <v>28.927262203023581</v>
      </c>
      <c r="N137" s="162">
        <f t="shared" si="1081"/>
        <v>23.869908276103143</v>
      </c>
      <c r="O137" s="162">
        <f t="shared" si="1081"/>
        <v>24.157201879111945</v>
      </c>
      <c r="P137" s="162">
        <f t="shared" si="1081"/>
        <v>41.874338035091583</v>
      </c>
      <c r="Q137" s="162">
        <f t="shared" si="1081"/>
        <v>36.748181805061805</v>
      </c>
      <c r="R137" s="162">
        <f t="shared" si="1081"/>
        <v>35.290180549685232</v>
      </c>
      <c r="S137" s="162">
        <f t="shared" si="1081"/>
        <v>35.784675986683276</v>
      </c>
      <c r="T137" s="162">
        <f t="shared" si="1081"/>
        <v>28.277676536357795</v>
      </c>
      <c r="U137" s="162">
        <f t="shared" si="1081"/>
        <v>25.316944266080192</v>
      </c>
      <c r="V137" s="162">
        <f t="shared" si="1081"/>
        <v>-61.398740912811355</v>
      </c>
      <c r="W137" s="162">
        <f t="shared" si="1081"/>
        <v>86.057647930821503</v>
      </c>
      <c r="X137" s="162">
        <f t="shared" ref="X137:Y137" si="1082">+X134/X136</f>
        <v>26.956688815858755</v>
      </c>
      <c r="Y137" s="162">
        <f t="shared" si="1082"/>
        <v>38.869365777676833</v>
      </c>
      <c r="Z137" s="162">
        <f t="shared" ref="Z137:AA137" si="1083">+Z134/Z136</f>
        <v>44.926961033896276</v>
      </c>
      <c r="AA137" s="162">
        <f t="shared" si="1083"/>
        <v>36.679746451097934</v>
      </c>
      <c r="AB137" s="21">
        <f t="shared" ref="AA137:AD137" si="1084">+AB134/AB136</f>
        <v>34.316106298290016</v>
      </c>
      <c r="AC137" s="21">
        <f t="shared" si="1084"/>
        <v>34.10149721940023</v>
      </c>
      <c r="AD137" s="21">
        <f t="shared" si="1084"/>
        <v>34.774484125626195</v>
      </c>
      <c r="AE137" s="21">
        <f t="shared" ref="AE137" si="1085">+AE134/AE136</f>
        <v>35.244140744130227</v>
      </c>
      <c r="AL137" s="162">
        <f t="shared" ref="AL137" si="1086">+AL134/AL136</f>
        <v>25.515560428415128</v>
      </c>
      <c r="AM137" s="162">
        <f t="shared" ref="AM137:AO137" si="1087">+AM134/AM136</f>
        <v>23.124688479145899</v>
      </c>
      <c r="AN137" s="162">
        <f t="shared" si="1087"/>
        <v>20.067520868260406</v>
      </c>
      <c r="AO137" s="162">
        <f t="shared" si="1087"/>
        <v>18.748198638486901</v>
      </c>
      <c r="AP137" s="162">
        <f t="shared" ref="AP137:CD137" si="1088">+AP134/AP136</f>
        <v>22.357820211045407</v>
      </c>
      <c r="AQ137" s="162">
        <f t="shared" si="1088"/>
        <v>32.611703755068724</v>
      </c>
      <c r="AR137" s="162">
        <f t="shared" si="1088"/>
        <v>32.612276582126228</v>
      </c>
      <c r="AS137" s="162">
        <f t="shared" si="1088"/>
        <v>37.520364787539023</v>
      </c>
      <c r="AT137" s="162">
        <f t="shared" si="1088"/>
        <v>40.887467793457837</v>
      </c>
      <c r="AU137" s="162">
        <f t="shared" si="1088"/>
        <v>36.352356870106021</v>
      </c>
      <c r="AV137" s="162">
        <f t="shared" si="1088"/>
        <v>28.385425541999883</v>
      </c>
      <c r="AW137" s="162">
        <f t="shared" si="1088"/>
        <v>31.061979055839274</v>
      </c>
      <c r="AX137" s="162">
        <f t="shared" si="1088"/>
        <v>32.23319744755198</v>
      </c>
      <c r="AY137" s="162">
        <f t="shared" si="1088"/>
        <v>35.874921883313007</v>
      </c>
      <c r="AZ137" s="162">
        <f t="shared" si="1088"/>
        <v>32.881839825447834</v>
      </c>
      <c r="BA137" s="162">
        <f t="shared" si="1088"/>
        <v>30.007075122465054</v>
      </c>
      <c r="BB137" s="162">
        <f t="shared" si="1088"/>
        <v>31.338714118491911</v>
      </c>
      <c r="BC137" s="162">
        <f t="shared" si="1088"/>
        <v>35.146175498222114</v>
      </c>
      <c r="BD137" s="162">
        <f t="shared" si="1088"/>
        <v>34.649284708652814</v>
      </c>
      <c r="BE137" s="162">
        <f t="shared" si="1088"/>
        <v>33.652165775156689</v>
      </c>
      <c r="BF137" s="162">
        <f t="shared" si="1088"/>
        <v>35.645614302488447</v>
      </c>
      <c r="BG137" s="162">
        <f t="shared" si="1088"/>
        <v>33.632521169915769</v>
      </c>
      <c r="BH137" s="162">
        <f t="shared" si="1088"/>
        <v>28.870565273896773</v>
      </c>
      <c r="BI137" s="162">
        <f t="shared" si="1088"/>
        <v>29.076274903667258</v>
      </c>
      <c r="BJ137" s="162">
        <f t="shared" si="1088"/>
        <v>27.551199248565364</v>
      </c>
      <c r="BK137" s="162">
        <f t="shared" si="1088"/>
        <v>26.774206033514304</v>
      </c>
      <c r="BL137" s="162">
        <f t="shared" si="1088"/>
        <v>24.872733788292475</v>
      </c>
      <c r="BM137" s="162">
        <f t="shared" si="1088"/>
        <v>22.365183033272846</v>
      </c>
      <c r="BN137" s="162">
        <f t="shared" si="1088"/>
        <v>23.063964722858639</v>
      </c>
      <c r="BO137" s="162">
        <f t="shared" si="1088"/>
        <v>28.749847996378051</v>
      </c>
      <c r="BP137" s="162">
        <f t="shared" si="1088"/>
        <v>80.910790486007272</v>
      </c>
      <c r="BQ137" s="162">
        <f t="shared" si="1088"/>
        <v>-94.911354651672468</v>
      </c>
      <c r="BR137" s="162">
        <f t="shared" si="1088"/>
        <v>-59.110046570449548</v>
      </c>
      <c r="BS137" s="162">
        <f t="shared" si="1088"/>
        <v>-98.499145059575184</v>
      </c>
      <c r="BT137" s="162">
        <f t="shared" si="1088"/>
        <v>-1458.095557506947</v>
      </c>
      <c r="BU137" s="162">
        <f t="shared" si="1088"/>
        <v>114.10597556213592</v>
      </c>
      <c r="BV137" s="162">
        <f t="shared" si="1088"/>
        <v>86.057647930821503</v>
      </c>
      <c r="BW137" s="162">
        <f t="shared" si="1088"/>
        <v>40.773483788226557</v>
      </c>
      <c r="BX137" s="162">
        <f t="shared" si="1088"/>
        <v>41.30984304913283</v>
      </c>
      <c r="BY137" s="162">
        <f t="shared" si="1088"/>
        <v>34.21270335090356</v>
      </c>
      <c r="BZ137" s="162">
        <f t="shared" si="1088"/>
        <v>25.527055902823964</v>
      </c>
      <c r="CA137" s="162">
        <f t="shared" si="1088"/>
        <v>30.733859299352289</v>
      </c>
      <c r="CB137" s="162">
        <f t="shared" si="1088"/>
        <v>32.137309303612362</v>
      </c>
      <c r="CC137" s="162">
        <f t="shared" si="1088"/>
        <v>30.837854909503292</v>
      </c>
      <c r="CD137" s="162">
        <f t="shared" si="1088"/>
        <v>38.869365777676819</v>
      </c>
      <c r="CE137" s="162">
        <f t="shared" ref="CE137:CF137" si="1089">+CE134/CE136</f>
        <v>41.982509814951385</v>
      </c>
      <c r="CF137" s="162">
        <f t="shared" si="1089"/>
        <v>42.845058364098087</v>
      </c>
      <c r="CG137" s="162">
        <f t="shared" ref="CG137:CH137" si="1090">+CG134/CG136</f>
        <v>48.426459434900032</v>
      </c>
      <c r="CH137" s="162">
        <f t="shared" si="1090"/>
        <v>44.394984346394253</v>
      </c>
      <c r="CI137" s="162">
        <f t="shared" ref="CI137:CJ137" si="1091">+CI134/CI136</f>
        <v>40.986911425944292</v>
      </c>
      <c r="CJ137" s="162">
        <f t="shared" si="1091"/>
        <v>38.112303473306781</v>
      </c>
      <c r="CK137" s="162">
        <f t="shared" ref="CK137:CL137" si="1092">+CK134/CK136</f>
        <v>33.682846726311894</v>
      </c>
      <c r="CL137" s="162">
        <f t="shared" si="1092"/>
        <v>32.121694082293835</v>
      </c>
      <c r="CM137" s="21">
        <f t="shared" ref="CM137:DB137" si="1093">+CM134/CM136</f>
        <v>32.516757483170998</v>
      </c>
      <c r="CN137" s="21">
        <f t="shared" si="1093"/>
        <v>33.078293495725255</v>
      </c>
      <c r="CO137" s="21">
        <f t="shared" si="1093"/>
        <v>32.897501183640117</v>
      </c>
      <c r="CP137" s="21">
        <f t="shared" si="1093"/>
        <v>32.259058986619628</v>
      </c>
      <c r="CQ137" s="21">
        <f t="shared" si="1093"/>
        <v>32.681329297322165</v>
      </c>
      <c r="CR137" s="21">
        <f t="shared" si="1093"/>
        <v>33.153346869020481</v>
      </c>
      <c r="CS137" s="21">
        <f t="shared" si="1093"/>
        <v>33.558687419087775</v>
      </c>
      <c r="CT137" s="21">
        <f t="shared" si="1093"/>
        <v>34.101497219400215</v>
      </c>
      <c r="CU137" s="21">
        <f t="shared" si="1093"/>
        <v>34.383084107934209</v>
      </c>
      <c r="CV137" s="21">
        <f t="shared" si="1093"/>
        <v>34.606548986653515</v>
      </c>
      <c r="CW137" s="21">
        <f t="shared" si="1093"/>
        <v>34.741023305893918</v>
      </c>
      <c r="CX137" s="21">
        <f t="shared" si="1093"/>
        <v>34.774484125626174</v>
      </c>
      <c r="CY137" s="21">
        <f t="shared" si="1093"/>
        <v>34.92978310758776</v>
      </c>
      <c r="CZ137" s="21">
        <f t="shared" si="1093"/>
        <v>35.053751785251364</v>
      </c>
      <c r="DA137" s="21">
        <f t="shared" si="1093"/>
        <v>35.153092715140644</v>
      </c>
      <c r="DB137" s="21">
        <f t="shared" si="1093"/>
        <v>35.244140744130227</v>
      </c>
      <c r="DE137" s="22"/>
      <c r="DF137" s="162">
        <v>31.090915260059308</v>
      </c>
    </row>
    <row r="138" spans="1:110" s="162" customFormat="1" x14ac:dyDescent="0.2">
      <c r="A138" s="49" t="s">
        <v>344</v>
      </c>
      <c r="B138" s="162">
        <f>+B135/B136</f>
        <v>3.2554620684359938</v>
      </c>
      <c r="C138" s="162">
        <f t="shared" ref="C138:W138" si="1094">+C135/C136</f>
        <v>10.39319816117693</v>
      </c>
      <c r="D138" s="162">
        <f t="shared" si="1094"/>
        <v>10.191007485326974</v>
      </c>
      <c r="E138" s="162">
        <f t="shared" si="1094"/>
        <v>19.833793459307646</v>
      </c>
      <c r="F138" s="162">
        <f t="shared" si="1094"/>
        <v>16.187684982568427</v>
      </c>
      <c r="G138" s="162">
        <f t="shared" si="1094"/>
        <v>16.184852719288759</v>
      </c>
      <c r="H138" s="162">
        <f t="shared" si="1094"/>
        <v>16.242171019250708</v>
      </c>
      <c r="I138" s="162">
        <f t="shared" si="1094"/>
        <v>17.093188769704266</v>
      </c>
      <c r="J138" s="162">
        <f t="shared" si="1094"/>
        <v>16.421259331204542</v>
      </c>
      <c r="K138" s="162">
        <f t="shared" si="1094"/>
        <v>22.472480586370494</v>
      </c>
      <c r="L138" s="162">
        <f t="shared" si="1094"/>
        <v>29.3381635555134</v>
      </c>
      <c r="M138" s="162">
        <f t="shared" si="1094"/>
        <v>18.647355619917185</v>
      </c>
      <c r="N138" s="162">
        <f t="shared" si="1094"/>
        <v>18.957472871098229</v>
      </c>
      <c r="O138" s="162">
        <f t="shared" si="1094"/>
        <v>15.744447240951555</v>
      </c>
      <c r="P138" s="162">
        <f t="shared" si="1094"/>
        <v>26.212317741918316</v>
      </c>
      <c r="Q138" s="162">
        <f t="shared" si="1094"/>
        <v>26.444888013051301</v>
      </c>
      <c r="R138" s="162">
        <f t="shared" si="1094"/>
        <v>23.80771389815558</v>
      </c>
      <c r="S138" s="162">
        <f t="shared" si="1094"/>
        <v>23.599619795283392</v>
      </c>
      <c r="T138" s="162">
        <f t="shared" si="1094"/>
        <v>20.552542630779072</v>
      </c>
      <c r="U138" s="162">
        <f t="shared" si="1094"/>
        <v>12.167010307097952</v>
      </c>
      <c r="V138" s="162">
        <f t="shared" si="1094"/>
        <v>-32.06530842487129</v>
      </c>
      <c r="W138" s="162">
        <f t="shared" si="1094"/>
        <v>31.718899124757353</v>
      </c>
      <c r="X138" s="162">
        <f t="shared" ref="X138:Y138" si="1095">+X135/X136</f>
        <v>15.798598449371829</v>
      </c>
      <c r="Y138" s="162">
        <f t="shared" si="1095"/>
        <v>20.099698210121787</v>
      </c>
      <c r="Z138" s="162">
        <f t="shared" ref="Z138:AA138" si="1096">+Z135/Z136</f>
        <v>25.051078419689958</v>
      </c>
      <c r="AA138" s="162">
        <f t="shared" si="1096"/>
        <v>24.012549105535822</v>
      </c>
      <c r="AB138" s="21">
        <f t="shared" ref="AA138:AD138" si="1097">+AB135/AB136</f>
        <v>22.758750837041308</v>
      </c>
      <c r="AC138" s="21">
        <f t="shared" si="1097"/>
        <v>21.351516323539041</v>
      </c>
      <c r="AD138" s="21">
        <f t="shared" si="1097"/>
        <v>23.762695031889905</v>
      </c>
      <c r="AE138" s="21">
        <f t="shared" ref="AE138" si="1098">+AE135/AE136</f>
        <v>24.105876453731643</v>
      </c>
      <c r="AL138" s="162">
        <f t="shared" ref="AL138:AM138" si="1099">+AL135/AL136</f>
        <v>21.377253976122322</v>
      </c>
      <c r="AM138" s="162">
        <f t="shared" si="1099"/>
        <v>19.401742157219982</v>
      </c>
      <c r="AN138" s="162">
        <f t="shared" ref="AN138:AO138" si="1100">+AN135/AN136</f>
        <v>15.876672266331699</v>
      </c>
      <c r="AO138" s="162">
        <f t="shared" si="1100"/>
        <v>15.083221781358244</v>
      </c>
      <c r="AP138" s="162">
        <f t="shared" ref="AP138:CD138" si="1101">+AP135/AP136</f>
        <v>18.203373476151391</v>
      </c>
      <c r="AQ138" s="162">
        <f t="shared" si="1101"/>
        <v>22.055389581977497</v>
      </c>
      <c r="AR138" s="162">
        <f t="shared" si="1101"/>
        <v>24.963808482287636</v>
      </c>
      <c r="AS138" s="162">
        <f t="shared" si="1101"/>
        <v>28.69156127218157</v>
      </c>
      <c r="AT138" s="162">
        <f t="shared" si="1101"/>
        <v>34.146851464750426</v>
      </c>
      <c r="AU138" s="162">
        <f t="shared" si="1101"/>
        <v>29.466787244466399</v>
      </c>
      <c r="AV138" s="162">
        <f t="shared" si="1101"/>
        <v>22.771004365642604</v>
      </c>
      <c r="AW138" s="162">
        <f t="shared" si="1101"/>
        <v>23.226482513529934</v>
      </c>
      <c r="AX138" s="162">
        <f t="shared" si="1101"/>
        <v>25.15008396304605</v>
      </c>
      <c r="AY138" s="162">
        <f t="shared" si="1101"/>
        <v>27.309297808787779</v>
      </c>
      <c r="AZ138" s="162">
        <f t="shared" si="1101"/>
        <v>28.588913460319791</v>
      </c>
      <c r="BA138" s="162">
        <f t="shared" si="1101"/>
        <v>20.525267504855591</v>
      </c>
      <c r="BB138" s="162">
        <f t="shared" si="1101"/>
        <v>24.199246846230835</v>
      </c>
      <c r="BC138" s="162">
        <f t="shared" si="1101"/>
        <v>30.489368238002257</v>
      </c>
      <c r="BD138" s="162">
        <f t="shared" si="1101"/>
        <v>28.967901559193461</v>
      </c>
      <c r="BE138" s="162">
        <f t="shared" si="1101"/>
        <v>28.552071069301444</v>
      </c>
      <c r="BF138" s="162">
        <f t="shared" si="1101"/>
        <v>26.721922168914745</v>
      </c>
      <c r="BG138" s="162">
        <f t="shared" si="1101"/>
        <v>27.966257361641215</v>
      </c>
      <c r="BH138" s="162">
        <f t="shared" si="1101"/>
        <v>25.519625575301514</v>
      </c>
      <c r="BI138" s="162">
        <f t="shared" si="1101"/>
        <v>21.56621355961914</v>
      </c>
      <c r="BJ138" s="162">
        <f t="shared" si="1101"/>
        <v>23.268697675505035</v>
      </c>
      <c r="BK138" s="162">
        <f t="shared" si="1101"/>
        <v>23.071241797116457</v>
      </c>
      <c r="BL138" s="162">
        <f t="shared" si="1101"/>
        <v>18.824850869600048</v>
      </c>
      <c r="BM138" s="162">
        <f t="shared" si="1101"/>
        <v>19.285217946337021</v>
      </c>
      <c r="BN138" s="162">
        <f t="shared" si="1101"/>
        <v>11.846586134204095</v>
      </c>
      <c r="BO138" s="162">
        <f t="shared" si="1101"/>
        <v>19.682706398933341</v>
      </c>
      <c r="BP138" s="162">
        <f t="shared" si="1101"/>
        <v>57.922539248392127</v>
      </c>
      <c r="BQ138" s="162">
        <f t="shared" si="1101"/>
        <v>-66.106631292901127</v>
      </c>
      <c r="BR138" s="162">
        <f t="shared" si="1101"/>
        <v>-47.571212594374089</v>
      </c>
      <c r="BS138" s="162">
        <f t="shared" si="1101"/>
        <v>-66.453668882682948</v>
      </c>
      <c r="BT138" s="162">
        <f t="shared" si="1101"/>
        <v>-1020.7846846272748</v>
      </c>
      <c r="BU138" s="162">
        <f t="shared" si="1101"/>
        <v>87.576869076358463</v>
      </c>
      <c r="BV138" s="162">
        <f t="shared" si="1101"/>
        <v>62.407579987646677</v>
      </c>
      <c r="BW138" s="162">
        <f t="shared" si="1101"/>
        <v>31.360048821239594</v>
      </c>
      <c r="BX138" s="162">
        <f t="shared" si="1101"/>
        <v>26.885536053583674</v>
      </c>
      <c r="BY138" s="162">
        <f t="shared" si="1101"/>
        <v>28.765498421104191</v>
      </c>
      <c r="BZ138" s="162">
        <f t="shared" si="1101"/>
        <v>21.551607039943256</v>
      </c>
      <c r="CA138" s="162">
        <f t="shared" si="1101"/>
        <v>23.999860333731799</v>
      </c>
      <c r="CB138" s="162">
        <f t="shared" si="1101"/>
        <v>27.670549363686664</v>
      </c>
      <c r="CC138" s="162">
        <f t="shared" si="1101"/>
        <v>25.267687850934404</v>
      </c>
      <c r="CD138" s="162">
        <f t="shared" si="1101"/>
        <v>27.424124647100545</v>
      </c>
      <c r="CE138" s="162">
        <f t="shared" ref="CE138:CF138" si="1102">+CE135/CE136</f>
        <v>31.876743070587466</v>
      </c>
      <c r="CF138" s="162">
        <f t="shared" si="1102"/>
        <v>33.765989202108365</v>
      </c>
      <c r="CG138" s="162">
        <f t="shared" ref="CG138:CH138" si="1103">+CG135/CG136</f>
        <v>34.722841731243847</v>
      </c>
      <c r="CH138" s="162">
        <f t="shared" si="1103"/>
        <v>34.099821978601327</v>
      </c>
      <c r="CI138" s="162">
        <f t="shared" ref="CI138:CJ138" si="1104">+CI135/CI136</f>
        <v>33.390063966210057</v>
      </c>
      <c r="CJ138" s="162">
        <f t="shared" si="1104"/>
        <v>33.157355604953104</v>
      </c>
      <c r="CK138" s="162">
        <f t="shared" ref="CK138:CL138" si="1105">+CK135/CK136</f>
        <v>29.9102299175421</v>
      </c>
      <c r="CL138" s="162">
        <f t="shared" si="1105"/>
        <v>24.012549105535822</v>
      </c>
      <c r="CM138" s="21">
        <f t="shared" ref="CM138:DB138" si="1106">+CM135/CM136</f>
        <v>24.304576631992557</v>
      </c>
      <c r="CN138" s="21">
        <f t="shared" si="1106"/>
        <v>24.723670452138457</v>
      </c>
      <c r="CO138" s="21">
        <f t="shared" si="1106"/>
        <v>24.535527509330112</v>
      </c>
      <c r="CP138" s="21">
        <f t="shared" si="1106"/>
        <v>24.008933229005006</v>
      </c>
      <c r="CQ138" s="21">
        <f t="shared" si="1106"/>
        <v>24.300132569829188</v>
      </c>
      <c r="CR138" s="21">
        <f t="shared" si="1106"/>
        <v>24.631353577876407</v>
      </c>
      <c r="CS138" s="21">
        <f t="shared" si="1106"/>
        <v>24.909341747623344</v>
      </c>
      <c r="CT138" s="21">
        <f t="shared" si="1106"/>
        <v>25.299586228306243</v>
      </c>
      <c r="CU138" s="21">
        <f t="shared" si="1106"/>
        <v>25.482716163862161</v>
      </c>
      <c r="CV138" s="21">
        <f t="shared" si="1106"/>
        <v>25.620964500690395</v>
      </c>
      <c r="CW138" s="21">
        <f t="shared" si="1106"/>
        <v>25.690068160347799</v>
      </c>
      <c r="CX138" s="21">
        <f t="shared" si="1106"/>
        <v>25.681160962088967</v>
      </c>
      <c r="CY138" s="21">
        <f t="shared" si="1106"/>
        <v>25.767440913651519</v>
      </c>
      <c r="CZ138" s="21">
        <f t="shared" si="1106"/>
        <v>25.829512246265914</v>
      </c>
      <c r="DA138" s="21">
        <f t="shared" si="1106"/>
        <v>25.872598516223718</v>
      </c>
      <c r="DB138" s="21">
        <f t="shared" si="1106"/>
        <v>25.909520344010172</v>
      </c>
      <c r="DE138" s="22"/>
      <c r="DF138" s="162">
        <v>23.243039220375319</v>
      </c>
    </row>
    <row r="139" spans="1:110" s="10" customFormat="1" x14ac:dyDescent="0.2">
      <c r="A139" s="149" t="s">
        <v>490</v>
      </c>
      <c r="AB139" s="20"/>
      <c r="AC139" s="20"/>
      <c r="AD139" s="20"/>
      <c r="AE139" s="20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E139" s="126"/>
    </row>
    <row r="140" spans="1:110" x14ac:dyDescent="0.2">
      <c r="A140" s="152" t="s">
        <v>491</v>
      </c>
      <c r="AA140" s="2"/>
      <c r="CL140" s="2"/>
    </row>
    <row r="141" spans="1:110" s="23" customFormat="1" outlineLevel="1" x14ac:dyDescent="0.2">
      <c r="A141" s="23" t="s">
        <v>41</v>
      </c>
      <c r="B141" s="23">
        <f>'Annual Raw'!C41</f>
        <v>45.12</v>
      </c>
      <c r="C141" s="23">
        <f>'Annual Raw'!D41</f>
        <v>45.12</v>
      </c>
      <c r="D141" s="23">
        <f>'Annual Raw'!E41</f>
        <v>45.12</v>
      </c>
      <c r="E141" s="23">
        <f>'Annual Raw'!F41</f>
        <v>45.12</v>
      </c>
      <c r="F141" s="23">
        <f>'Annual Raw'!G41</f>
        <v>46.41</v>
      </c>
      <c r="G141" s="23">
        <f>'Annual Raw'!H41</f>
        <v>56.67</v>
      </c>
      <c r="H141" s="23">
        <f>'Annual Raw'!I41</f>
        <v>58.67</v>
      </c>
      <c r="I141" s="23">
        <f>'Annual Raw'!J41</f>
        <v>60.29</v>
      </c>
      <c r="J141" s="23">
        <f>'Annual Raw'!K41</f>
        <v>192.34</v>
      </c>
      <c r="K141" s="23">
        <f>'Annual Raw'!L41</f>
        <v>192.35</v>
      </c>
      <c r="L141" s="23">
        <f>'Annual Raw'!M41</f>
        <v>215.95</v>
      </c>
      <c r="M141" s="23">
        <f>'Annual Raw'!N41</f>
        <v>75.61</v>
      </c>
      <c r="N141" s="23">
        <f>'Annual Raw'!O41</f>
        <v>80.75</v>
      </c>
      <c r="O141" s="23">
        <f>'Annual Raw'!P41</f>
        <v>80.75</v>
      </c>
      <c r="P141" s="23">
        <f>'Annual Raw'!Q41</f>
        <v>80.75</v>
      </c>
      <c r="Q141" s="23">
        <f>'Annual Raw'!R41</f>
        <v>98.93</v>
      </c>
      <c r="R141" s="23">
        <f>'Annual Raw'!S41</f>
        <v>98.93</v>
      </c>
      <c r="S141" s="23">
        <f>'Annual Raw'!T41</f>
        <v>118.93</v>
      </c>
      <c r="T141" s="23">
        <f>'Annual Raw'!U41</f>
        <v>118.93</v>
      </c>
      <c r="U141" s="23">
        <f>'Annual Raw'!V41</f>
        <v>118.93</v>
      </c>
      <c r="V141" s="23">
        <f>'Annual Raw'!W41</f>
        <v>118.93</v>
      </c>
      <c r="W141" s="23">
        <f>'Annual Raw'!X41</f>
        <v>142.04</v>
      </c>
      <c r="X141" s="23">
        <f>'Annual Raw'!Y41</f>
        <v>142.04</v>
      </c>
      <c r="Y141" s="23">
        <f>'Annual Raw'!Z41</f>
        <v>142.34</v>
      </c>
      <c r="Z141" s="23">
        <f>'Annual Raw'!AA41</f>
        <v>142.34</v>
      </c>
      <c r="AA141" s="23">
        <f>'Annual Raw'!AB41</f>
        <v>142.34</v>
      </c>
      <c r="AB141" s="24">
        <f>+CP141</f>
        <v>142.34</v>
      </c>
      <c r="AC141" s="24">
        <f>+CT141</f>
        <v>142.34</v>
      </c>
      <c r="AD141" s="24">
        <f>+CX141</f>
        <v>142.34</v>
      </c>
      <c r="AE141" s="24">
        <f>+DB141</f>
        <v>142.34</v>
      </c>
      <c r="AJ141" s="23">
        <f>+'QTR Raw'!D56</f>
        <v>80.75</v>
      </c>
      <c r="AK141" s="23">
        <f t="shared" ref="AK141:CE141" si="1107">+AJ141</f>
        <v>80.75</v>
      </c>
      <c r="AL141" s="23">
        <f>+'QTR Raw'!F56</f>
        <v>80.75</v>
      </c>
      <c r="AM141" s="23">
        <f t="shared" si="1107"/>
        <v>80.75</v>
      </c>
      <c r="AN141" s="23">
        <f>+'QTR Raw'!H56</f>
        <v>80.75</v>
      </c>
      <c r="AO141" s="23">
        <f t="shared" si="1107"/>
        <v>80.75</v>
      </c>
      <c r="AP141" s="23">
        <f>+'QTR Raw'!J56</f>
        <v>80.75</v>
      </c>
      <c r="AQ141" s="23">
        <f t="shared" si="1107"/>
        <v>80.75</v>
      </c>
      <c r="AR141" s="23">
        <f>+'QTR Raw'!L56</f>
        <v>80.75</v>
      </c>
      <c r="AS141" s="23">
        <f t="shared" si="1107"/>
        <v>80.75</v>
      </c>
      <c r="AT141" s="23">
        <f>+'QTR Raw'!N56</f>
        <v>80.75</v>
      </c>
      <c r="AU141" s="23">
        <f t="shared" si="1107"/>
        <v>80.75</v>
      </c>
      <c r="AV141" s="23">
        <f>+'QTR Raw'!P56</f>
        <v>80.75</v>
      </c>
      <c r="AW141" s="23">
        <f t="shared" si="1107"/>
        <v>80.75</v>
      </c>
      <c r="AX141" s="23">
        <f>+'QTR Raw'!R56</f>
        <v>98.93</v>
      </c>
      <c r="AY141" s="23">
        <f t="shared" si="1107"/>
        <v>98.93</v>
      </c>
      <c r="AZ141" s="23">
        <f>+'QTR Raw'!T56</f>
        <v>98.93</v>
      </c>
      <c r="BA141" s="23">
        <f t="shared" si="1107"/>
        <v>98.93</v>
      </c>
      <c r="BB141" s="23">
        <f>+'QTR Raw'!V56</f>
        <v>98.93</v>
      </c>
      <c r="BC141" s="23">
        <f t="shared" si="1107"/>
        <v>98.93</v>
      </c>
      <c r="BD141" s="23">
        <f>+'QTR Raw'!X56</f>
        <v>98.93</v>
      </c>
      <c r="BE141" s="23">
        <f t="shared" si="1107"/>
        <v>98.93</v>
      </c>
      <c r="BF141" s="23">
        <f>+'QTR Raw'!Z56</f>
        <v>118.93</v>
      </c>
      <c r="BG141" s="23">
        <f t="shared" si="1107"/>
        <v>118.93</v>
      </c>
      <c r="BH141" s="23">
        <f>+'QTR Raw'!AB56</f>
        <v>118.93</v>
      </c>
      <c r="BI141" s="23">
        <f t="shared" si="1107"/>
        <v>118.93</v>
      </c>
      <c r="BJ141" s="23">
        <f>+'QTR Raw'!AD56</f>
        <v>118.93</v>
      </c>
      <c r="BK141" s="23">
        <f t="shared" si="1107"/>
        <v>118.93</v>
      </c>
      <c r="BL141" s="23">
        <f>+'QTR Raw'!AF56</f>
        <v>118.93</v>
      </c>
      <c r="BM141" s="23">
        <f t="shared" si="1107"/>
        <v>118.93</v>
      </c>
      <c r="BN141" s="23">
        <f>+'QTR Raw'!AH56</f>
        <v>118.93</v>
      </c>
      <c r="BO141" s="23">
        <f t="shared" si="1107"/>
        <v>118.93</v>
      </c>
      <c r="BP141" s="23">
        <f>+'QTR Raw'!AJ56</f>
        <v>118.93</v>
      </c>
      <c r="BQ141" s="23">
        <f t="shared" si="1107"/>
        <v>118.93</v>
      </c>
      <c r="BR141" s="23">
        <f>+'QTR Raw'!AL56</f>
        <v>118.93</v>
      </c>
      <c r="BS141" s="23">
        <f t="shared" si="1107"/>
        <v>118.93</v>
      </c>
      <c r="BT141" s="23">
        <f>+'QTR Raw'!AN56</f>
        <v>118.93</v>
      </c>
      <c r="BU141" s="23">
        <f t="shared" si="1107"/>
        <v>118.93</v>
      </c>
      <c r="BV141" s="23">
        <f>+'QTR Raw'!AP56</f>
        <v>142.04</v>
      </c>
      <c r="BW141" s="23">
        <f t="shared" si="1107"/>
        <v>142.04</v>
      </c>
      <c r="BX141" s="23">
        <f>+'QTR Raw'!AR56</f>
        <v>142.04</v>
      </c>
      <c r="BY141" s="23">
        <f t="shared" si="1107"/>
        <v>142.04</v>
      </c>
      <c r="BZ141" s="23">
        <f>+'QTR Raw'!AT56</f>
        <v>142.04</v>
      </c>
      <c r="CA141" s="23">
        <f t="shared" si="1107"/>
        <v>142.04</v>
      </c>
      <c r="CB141" s="23">
        <f>+'QTR Raw'!AV56</f>
        <v>142.04</v>
      </c>
      <c r="CC141" s="23">
        <f t="shared" si="1107"/>
        <v>142.04</v>
      </c>
      <c r="CD141" s="23">
        <f>+'QTR Raw'!AX56</f>
        <v>142.34</v>
      </c>
      <c r="CE141" s="23">
        <f t="shared" si="1107"/>
        <v>142.34</v>
      </c>
      <c r="CF141" s="23">
        <f>+'QTR Raw'!AZ56</f>
        <v>142.34</v>
      </c>
      <c r="CG141" s="23">
        <f t="shared" ref="CG141:CG142" si="1108">+CF141</f>
        <v>142.34</v>
      </c>
      <c r="CH141" s="23">
        <f>Z141</f>
        <v>142.34</v>
      </c>
      <c r="CI141" s="23">
        <f>CH141</f>
        <v>142.34</v>
      </c>
      <c r="CJ141" s="23">
        <f>+'QTR Raw'!BD56</f>
        <v>142.34</v>
      </c>
      <c r="CK141" s="23">
        <f t="shared" ref="CK141:DB141" si="1109">CJ141</f>
        <v>142.34</v>
      </c>
      <c r="CL141" s="23">
        <f>+'QTR Raw'!BF56</f>
        <v>142.34</v>
      </c>
      <c r="CM141" s="24">
        <f t="shared" si="1109"/>
        <v>142.34</v>
      </c>
      <c r="CN141" s="24">
        <f t="shared" si="1109"/>
        <v>142.34</v>
      </c>
      <c r="CO141" s="24">
        <f t="shared" si="1109"/>
        <v>142.34</v>
      </c>
      <c r="CP141" s="24">
        <f t="shared" si="1109"/>
        <v>142.34</v>
      </c>
      <c r="CQ141" s="24">
        <f t="shared" si="1109"/>
        <v>142.34</v>
      </c>
      <c r="CR141" s="24">
        <f t="shared" si="1109"/>
        <v>142.34</v>
      </c>
      <c r="CS141" s="24">
        <f t="shared" si="1109"/>
        <v>142.34</v>
      </c>
      <c r="CT141" s="24">
        <f t="shared" si="1109"/>
        <v>142.34</v>
      </c>
      <c r="CU141" s="24">
        <f t="shared" si="1109"/>
        <v>142.34</v>
      </c>
      <c r="CV141" s="24">
        <f t="shared" si="1109"/>
        <v>142.34</v>
      </c>
      <c r="CW141" s="24">
        <f t="shared" si="1109"/>
        <v>142.34</v>
      </c>
      <c r="CX141" s="24">
        <f t="shared" si="1109"/>
        <v>142.34</v>
      </c>
      <c r="CY141" s="24">
        <f t="shared" si="1109"/>
        <v>142.34</v>
      </c>
      <c r="CZ141" s="24">
        <f t="shared" si="1109"/>
        <v>142.34</v>
      </c>
      <c r="DA141" s="24">
        <f t="shared" si="1109"/>
        <v>142.34</v>
      </c>
      <c r="DB141" s="24">
        <f t="shared" si="1109"/>
        <v>142.34</v>
      </c>
      <c r="DE141" s="123"/>
      <c r="DF141" s="23">
        <v>142.34</v>
      </c>
    </row>
    <row r="142" spans="1:110" s="23" customFormat="1" outlineLevel="1" x14ac:dyDescent="0.2">
      <c r="A142" s="23" t="s">
        <v>42</v>
      </c>
      <c r="B142" s="23">
        <f>'Annual Raw'!C42</f>
        <v>0</v>
      </c>
      <c r="C142" s="23">
        <f>'Annual Raw'!D42</f>
        <v>0</v>
      </c>
      <c r="D142" s="23">
        <f>'Annual Raw'!E42</f>
        <v>0</v>
      </c>
      <c r="E142" s="23">
        <f>'Annual Raw'!F42</f>
        <v>0</v>
      </c>
      <c r="F142" s="23">
        <f>'Annual Raw'!G42</f>
        <v>3.84</v>
      </c>
      <c r="G142" s="23">
        <f>'Annual Raw'!H42</f>
        <v>1.74</v>
      </c>
      <c r="H142" s="23">
        <f>'Annual Raw'!I42</f>
        <v>1.62</v>
      </c>
      <c r="I142" s="23">
        <f>'Annual Raw'!J42</f>
        <v>19.97</v>
      </c>
      <c r="J142" s="23">
        <f>'Annual Raw'!K42</f>
        <v>0</v>
      </c>
      <c r="K142" s="23">
        <f>'Annual Raw'!L42</f>
        <v>0</v>
      </c>
      <c r="L142" s="23">
        <f>'Annual Raw'!M42</f>
        <v>124.37</v>
      </c>
      <c r="M142" s="23">
        <f>'Annual Raw'!N42</f>
        <v>124.37</v>
      </c>
      <c r="N142" s="23">
        <f>'Annual Raw'!O42</f>
        <v>0</v>
      </c>
      <c r="O142" s="23">
        <f>'Annual Raw'!P42</f>
        <v>0</v>
      </c>
      <c r="P142" s="23">
        <f>'Annual Raw'!Q42</f>
        <v>0</v>
      </c>
      <c r="Q142" s="23">
        <f>'Annual Raw'!R42</f>
        <v>0</v>
      </c>
      <c r="R142" s="23">
        <f>'Annual Raw'!S42</f>
        <v>0</v>
      </c>
      <c r="S142" s="23">
        <f>'Annual Raw'!T42</f>
        <v>0</v>
      </c>
      <c r="T142" s="23">
        <f>'Annual Raw'!U42</f>
        <v>0</v>
      </c>
      <c r="U142" s="23">
        <f>'Annual Raw'!V42</f>
        <v>0</v>
      </c>
      <c r="V142" s="23">
        <f>'Annual Raw'!W42</f>
        <v>0</v>
      </c>
      <c r="W142" s="23">
        <f>'Annual Raw'!X42</f>
        <v>0</v>
      </c>
      <c r="X142" s="23">
        <f>'Annual Raw'!Y42</f>
        <v>0</v>
      </c>
      <c r="Y142" s="23">
        <f>'Annual Raw'!Z42</f>
        <v>0</v>
      </c>
      <c r="Z142" s="23">
        <f>'Annual Raw'!AA42</f>
        <v>0</v>
      </c>
      <c r="AA142" s="23">
        <f>'Annual Raw'!AB42</f>
        <v>0</v>
      </c>
      <c r="AB142" s="24">
        <f t="shared" ref="AB142:AB143" si="1110">+CP142</f>
        <v>0</v>
      </c>
      <c r="AC142" s="24">
        <f t="shared" ref="AC142:AC143" si="1111">+CT142</f>
        <v>0</v>
      </c>
      <c r="AD142" s="24">
        <f t="shared" ref="AD142:AD143" si="1112">+CX142</f>
        <v>0</v>
      </c>
      <c r="AE142" s="24">
        <f t="shared" ref="AE142:AE143" si="1113">+DB142</f>
        <v>0</v>
      </c>
      <c r="AJ142" s="23">
        <f>+'QTR Raw'!D57</f>
        <v>0</v>
      </c>
      <c r="AK142" s="23">
        <f t="shared" ref="AK142:CE142" si="1114">+AJ142</f>
        <v>0</v>
      </c>
      <c r="AL142" s="23">
        <f>+'QTR Raw'!F57</f>
        <v>0</v>
      </c>
      <c r="AM142" s="23">
        <f t="shared" si="1114"/>
        <v>0</v>
      </c>
      <c r="AN142" s="23">
        <f>+'QTR Raw'!H57</f>
        <v>0</v>
      </c>
      <c r="AO142" s="23">
        <f t="shared" si="1114"/>
        <v>0</v>
      </c>
      <c r="AP142" s="23">
        <f>+'QTR Raw'!J57</f>
        <v>0</v>
      </c>
      <c r="AQ142" s="23">
        <f t="shared" si="1114"/>
        <v>0</v>
      </c>
      <c r="AR142" s="23">
        <f>+'QTR Raw'!L57</f>
        <v>0</v>
      </c>
      <c r="AS142" s="23">
        <f t="shared" si="1114"/>
        <v>0</v>
      </c>
      <c r="AT142" s="23">
        <f>+'QTR Raw'!N57</f>
        <v>0</v>
      </c>
      <c r="AU142" s="23">
        <f t="shared" si="1114"/>
        <v>0</v>
      </c>
      <c r="AV142" s="23">
        <f>+'QTR Raw'!P57</f>
        <v>0</v>
      </c>
      <c r="AW142" s="23">
        <f t="shared" si="1114"/>
        <v>0</v>
      </c>
      <c r="AX142" s="23">
        <f>+'QTR Raw'!R57</f>
        <v>0</v>
      </c>
      <c r="AY142" s="23">
        <f t="shared" si="1114"/>
        <v>0</v>
      </c>
      <c r="AZ142" s="23">
        <f>+'QTR Raw'!T57</f>
        <v>0</v>
      </c>
      <c r="BA142" s="23">
        <f t="shared" si="1114"/>
        <v>0</v>
      </c>
      <c r="BB142" s="23">
        <f>+'QTR Raw'!V57</f>
        <v>0</v>
      </c>
      <c r="BC142" s="23">
        <f t="shared" si="1114"/>
        <v>0</v>
      </c>
      <c r="BD142" s="23">
        <f>+'QTR Raw'!X57</f>
        <v>0</v>
      </c>
      <c r="BE142" s="23">
        <f t="shared" si="1114"/>
        <v>0</v>
      </c>
      <c r="BF142" s="23">
        <f>+'QTR Raw'!Z57</f>
        <v>0</v>
      </c>
      <c r="BG142" s="23">
        <f t="shared" si="1114"/>
        <v>0</v>
      </c>
      <c r="BH142" s="23">
        <f>+'QTR Raw'!AB57</f>
        <v>0</v>
      </c>
      <c r="BI142" s="23">
        <f t="shared" si="1114"/>
        <v>0</v>
      </c>
      <c r="BJ142" s="23">
        <f>+'QTR Raw'!AD57</f>
        <v>0</v>
      </c>
      <c r="BK142" s="23">
        <f t="shared" si="1114"/>
        <v>0</v>
      </c>
      <c r="BL142" s="23">
        <f>+'QTR Raw'!AF57</f>
        <v>0</v>
      </c>
      <c r="BM142" s="23">
        <f t="shared" si="1114"/>
        <v>0</v>
      </c>
      <c r="BN142" s="23">
        <f>+'QTR Raw'!AH57</f>
        <v>0</v>
      </c>
      <c r="BO142" s="23">
        <f t="shared" si="1114"/>
        <v>0</v>
      </c>
      <c r="BP142" s="23">
        <f>+'QTR Raw'!AJ57</f>
        <v>0</v>
      </c>
      <c r="BQ142" s="23">
        <f t="shared" si="1114"/>
        <v>0</v>
      </c>
      <c r="BR142" s="23">
        <f>+'QTR Raw'!AL57</f>
        <v>0</v>
      </c>
      <c r="BS142" s="23">
        <f t="shared" si="1114"/>
        <v>0</v>
      </c>
      <c r="BT142" s="23">
        <f>+'QTR Raw'!AN57</f>
        <v>0</v>
      </c>
      <c r="BU142" s="23">
        <f t="shared" si="1114"/>
        <v>0</v>
      </c>
      <c r="BV142" s="23">
        <f>+'QTR Raw'!AP57</f>
        <v>0</v>
      </c>
      <c r="BW142" s="23">
        <f t="shared" si="1114"/>
        <v>0</v>
      </c>
      <c r="BX142" s="23">
        <f>+'QTR Raw'!AR57</f>
        <v>0</v>
      </c>
      <c r="BY142" s="23">
        <f t="shared" si="1114"/>
        <v>0</v>
      </c>
      <c r="BZ142" s="23">
        <f>+'QTR Raw'!AT57</f>
        <v>0</v>
      </c>
      <c r="CA142" s="23">
        <f t="shared" si="1114"/>
        <v>0</v>
      </c>
      <c r="CB142" s="23">
        <f>+'QTR Raw'!AV57</f>
        <v>0</v>
      </c>
      <c r="CC142" s="23">
        <f t="shared" si="1114"/>
        <v>0</v>
      </c>
      <c r="CD142" s="23">
        <f>+'QTR Raw'!AX57</f>
        <v>0</v>
      </c>
      <c r="CE142" s="23">
        <f t="shared" si="1114"/>
        <v>0</v>
      </c>
      <c r="CF142" s="23">
        <f>+'QTR Raw'!AZ57</f>
        <v>0</v>
      </c>
      <c r="CG142" s="23">
        <f t="shared" si="1108"/>
        <v>0</v>
      </c>
      <c r="CH142" s="23">
        <f t="shared" ref="CH142:CH143" si="1115">Z142</f>
        <v>0</v>
      </c>
      <c r="CI142" s="23">
        <f>CH142</f>
        <v>0</v>
      </c>
      <c r="CJ142" s="23">
        <f>+'QTR Raw'!BD57</f>
        <v>0</v>
      </c>
      <c r="CK142" s="23">
        <f t="shared" ref="CK142:DB142" si="1116">CJ142</f>
        <v>0</v>
      </c>
      <c r="CL142" s="23">
        <f>+'QTR Raw'!BF57</f>
        <v>0</v>
      </c>
      <c r="CM142" s="24">
        <f t="shared" si="1116"/>
        <v>0</v>
      </c>
      <c r="CN142" s="24">
        <f t="shared" si="1116"/>
        <v>0</v>
      </c>
      <c r="CO142" s="24">
        <f t="shared" si="1116"/>
        <v>0</v>
      </c>
      <c r="CP142" s="24">
        <f t="shared" si="1116"/>
        <v>0</v>
      </c>
      <c r="CQ142" s="24">
        <f t="shared" si="1116"/>
        <v>0</v>
      </c>
      <c r="CR142" s="24">
        <f t="shared" si="1116"/>
        <v>0</v>
      </c>
      <c r="CS142" s="24">
        <f t="shared" si="1116"/>
        <v>0</v>
      </c>
      <c r="CT142" s="24">
        <f t="shared" si="1116"/>
        <v>0</v>
      </c>
      <c r="CU142" s="24">
        <f t="shared" si="1116"/>
        <v>0</v>
      </c>
      <c r="CV142" s="24">
        <f t="shared" si="1116"/>
        <v>0</v>
      </c>
      <c r="CW142" s="24">
        <f t="shared" si="1116"/>
        <v>0</v>
      </c>
      <c r="CX142" s="24">
        <f t="shared" si="1116"/>
        <v>0</v>
      </c>
      <c r="CY142" s="24">
        <f t="shared" si="1116"/>
        <v>0</v>
      </c>
      <c r="CZ142" s="24">
        <f t="shared" si="1116"/>
        <v>0</v>
      </c>
      <c r="DA142" s="24">
        <f t="shared" si="1116"/>
        <v>0</v>
      </c>
      <c r="DB142" s="24">
        <f t="shared" si="1116"/>
        <v>0</v>
      </c>
      <c r="DE142" s="123"/>
      <c r="DF142" s="23">
        <v>0</v>
      </c>
    </row>
    <row r="143" spans="1:110" s="23" customFormat="1" outlineLevel="1" x14ac:dyDescent="0.2">
      <c r="A143" s="23" t="s">
        <v>43</v>
      </c>
      <c r="B143" s="23">
        <f>'Annual Raw'!C43</f>
        <v>980.1</v>
      </c>
      <c r="C143" s="23">
        <f>'Annual Raw'!D43</f>
        <v>981.09</v>
      </c>
      <c r="D143" s="23">
        <f>'Annual Raw'!E43</f>
        <v>1023.08</v>
      </c>
      <c r="E143" s="23">
        <f>'Annual Raw'!F43</f>
        <v>1025.4000000000001</v>
      </c>
      <c r="F143" s="23">
        <f>'Annual Raw'!G43</f>
        <v>1269.92</v>
      </c>
      <c r="G143" s="23">
        <f>'Annual Raw'!H43</f>
        <v>1873.73</v>
      </c>
      <c r="H143" s="23">
        <f>'Annual Raw'!I43</f>
        <v>2036.33</v>
      </c>
      <c r="I143" s="23">
        <f>'Annual Raw'!J43</f>
        <v>2188.83</v>
      </c>
      <c r="J143" s="23">
        <f>'Annual Raw'!K43</f>
        <v>3105.55</v>
      </c>
      <c r="K143" s="23">
        <f>'Annual Raw'!L43</f>
        <v>2352.8000000000002</v>
      </c>
      <c r="L143" s="23">
        <f>'Annual Raw'!M43</f>
        <v>2570.13</v>
      </c>
      <c r="M143" s="23">
        <f>'Annual Raw'!N43</f>
        <v>2893.72</v>
      </c>
      <c r="N143" s="23">
        <f>'Annual Raw'!O43</f>
        <v>2898.53</v>
      </c>
      <c r="O143" s="23">
        <f>'Annual Raw'!P43</f>
        <v>2555.71</v>
      </c>
      <c r="P143" s="23">
        <f>'Annual Raw'!Q43</f>
        <v>2146.4699999999998</v>
      </c>
      <c r="Q143" s="23">
        <f>'Annual Raw'!R43</f>
        <v>2481.3200000000002</v>
      </c>
      <c r="R143" s="23">
        <f>'Annual Raw'!S43</f>
        <v>2418.7600000000002</v>
      </c>
      <c r="S143" s="23">
        <f>'Annual Raw'!T43</f>
        <v>4062.17</v>
      </c>
      <c r="T143" s="23">
        <f>'Annual Raw'!U43</f>
        <v>4229.07</v>
      </c>
      <c r="U143" s="23">
        <f>'Annual Raw'!V43</f>
        <v>4237.88</v>
      </c>
      <c r="V143" s="23">
        <f>'Annual Raw'!W43</f>
        <v>3529.51</v>
      </c>
      <c r="W143" s="23">
        <f>'Annual Raw'!X43</f>
        <v>6920.21</v>
      </c>
      <c r="X143" s="23">
        <f>'Annual Raw'!Y43</f>
        <v>7839.92</v>
      </c>
      <c r="Y143" s="23">
        <f>'Annual Raw'!Z43</f>
        <v>9314.31</v>
      </c>
      <c r="Z143" s="23">
        <f>'Annual Raw'!AA43</f>
        <v>11018.37</v>
      </c>
      <c r="AA143" s="23">
        <f>'Annual Raw'!AB43</f>
        <v>12909.95</v>
      </c>
      <c r="AB143" s="24">
        <f t="shared" si="1110"/>
        <v>15013.015085509385</v>
      </c>
      <c r="AC143" s="24">
        <f t="shared" si="1111"/>
        <v>17596.860426644162</v>
      </c>
      <c r="AD143" s="24">
        <f t="shared" si="1112"/>
        <v>20460.426660707551</v>
      </c>
      <c r="AE143" s="24">
        <f t="shared" si="1113"/>
        <v>23588.213376355601</v>
      </c>
      <c r="AJ143" s="23">
        <f>+'QTR Raw'!D58</f>
        <v>3587.81</v>
      </c>
      <c r="AK143" s="23">
        <f>+AJ143+AK72</f>
        <v>3652.43</v>
      </c>
      <c r="AL143" s="23">
        <f>+'QTR Raw'!F58</f>
        <v>2898.53</v>
      </c>
      <c r="AM143" s="23">
        <f>+AL143+AM72</f>
        <v>2879.44</v>
      </c>
      <c r="AN143" s="23">
        <f>+'QTR Raw'!H58</f>
        <v>2883.97</v>
      </c>
      <c r="AO143" s="23">
        <f>+AN143+AO72</f>
        <v>2943.5399999999995</v>
      </c>
      <c r="AP143" s="23">
        <f>+'QTR Raw'!J58</f>
        <v>2555.71</v>
      </c>
      <c r="AQ143" s="23">
        <f>+AP143+AQ72</f>
        <v>2520.89</v>
      </c>
      <c r="AR143" s="23">
        <f>+'QTR Raw'!L58</f>
        <v>2589.61</v>
      </c>
      <c r="AS143" s="23">
        <f>+AR143+AS72</f>
        <v>2651.4500000000003</v>
      </c>
      <c r="AT143" s="23">
        <f>+'QTR Raw'!N58</f>
        <v>2146.4699999999998</v>
      </c>
      <c r="AU143" s="23">
        <f>+AT143+AU72</f>
        <v>2181.25</v>
      </c>
      <c r="AV143" s="23">
        <f>+'QTR Raw'!P58</f>
        <v>2584.15</v>
      </c>
      <c r="AW143" s="23">
        <f>+AV143+AW72</f>
        <v>2597.46</v>
      </c>
      <c r="AX143" s="23">
        <f>+'QTR Raw'!R58</f>
        <v>2481.3200000000002</v>
      </c>
      <c r="AY143" s="23">
        <f>+AX143+AY72</f>
        <v>2311.87</v>
      </c>
      <c r="AZ143" s="23">
        <f>+'QTR Raw'!T58</f>
        <v>2479.2800000000002</v>
      </c>
      <c r="BA143" s="23">
        <f>+AZ143+BA72</f>
        <v>2572.2600000000002</v>
      </c>
      <c r="BB143" s="23">
        <f>+'QTR Raw'!V58</f>
        <v>2418.7600000000002</v>
      </c>
      <c r="BC143" s="23">
        <f>+BB143+BC72</f>
        <v>2393.8000000000002</v>
      </c>
      <c r="BD143" s="23">
        <f>+'QTR Raw'!X58</f>
        <v>2417.1999999999998</v>
      </c>
      <c r="BE143" s="23">
        <f>+BD143+BE72</f>
        <v>2525.0699999999997</v>
      </c>
      <c r="BF143" s="23">
        <f>+'QTR Raw'!Z58</f>
        <v>4062.17</v>
      </c>
      <c r="BG143" s="23">
        <f>+BF143+BG72</f>
        <v>4077.4300000000003</v>
      </c>
      <c r="BH143" s="23">
        <f>+'QTR Raw'!AB58</f>
        <v>4081.24</v>
      </c>
      <c r="BI143" s="23">
        <f>+BH143+BI72</f>
        <v>4243.0199999999995</v>
      </c>
      <c r="BJ143" s="23">
        <f>+'QTR Raw'!AD58</f>
        <v>4229.07</v>
      </c>
      <c r="BK143" s="23">
        <f>+BJ143+BK72</f>
        <v>4234.7299999999996</v>
      </c>
      <c r="BL143" s="23">
        <f>+'QTR Raw'!AF58</f>
        <v>3942.8</v>
      </c>
      <c r="BM143" s="23">
        <f>+BL143+BM72</f>
        <v>4145.93</v>
      </c>
      <c r="BN143" s="23">
        <f>+'QTR Raw'!AH58</f>
        <v>4237.88</v>
      </c>
      <c r="BO143" s="23">
        <f>+BN143+BO72</f>
        <v>3957.96</v>
      </c>
      <c r="BP143" s="23">
        <f>+'QTR Raw'!AJ58</f>
        <v>3571.35</v>
      </c>
      <c r="BQ143" s="23">
        <f>+BP143+BQ72</f>
        <v>3452.47</v>
      </c>
      <c r="BR143" s="23">
        <f>+'QTR Raw'!AL58</f>
        <v>3529.51</v>
      </c>
      <c r="BS143" s="23">
        <f>+BR143+BS72</f>
        <v>3252.17</v>
      </c>
      <c r="BT143" s="23">
        <f>+'QTR Raw'!AN58</f>
        <v>3131.63</v>
      </c>
      <c r="BU143" s="23">
        <f>+BT143+BU72</f>
        <v>3207.64</v>
      </c>
      <c r="BV143" s="23">
        <f>+'QTR Raw'!AP58</f>
        <v>6920.21</v>
      </c>
      <c r="BW143" s="23">
        <f>+BV143+BW72</f>
        <v>7090.26</v>
      </c>
      <c r="BX143" s="23">
        <f>+'QTR Raw'!AR58</f>
        <v>7045.94</v>
      </c>
      <c r="BY143" s="23">
        <f>+BX143+BY72</f>
        <v>7428.65</v>
      </c>
      <c r="BZ143" s="23">
        <f>+'QTR Raw'!AT58</f>
        <v>7839.92</v>
      </c>
      <c r="CA143" s="23">
        <f>+BZ143+CA72</f>
        <v>8062.36</v>
      </c>
      <c r="CB143" s="23">
        <f>+'QTR Raw'!AV58</f>
        <v>8141.58</v>
      </c>
      <c r="CC143" s="23">
        <f>+CB143+CC72</f>
        <v>8593.5300000000007</v>
      </c>
      <c r="CD143" s="23">
        <f>+'QTR Raw'!AX58</f>
        <v>9314.31</v>
      </c>
      <c r="CE143" s="23">
        <f>+CD143+CE72</f>
        <v>9562.6999999999989</v>
      </c>
      <c r="CF143" s="23">
        <f>+'QTR Raw'!AZ58</f>
        <v>10014.040000000001</v>
      </c>
      <c r="CG143" s="23">
        <f>+CF143+CG72</f>
        <v>10596.36</v>
      </c>
      <c r="CH143" s="23">
        <f t="shared" si="1115"/>
        <v>11018.37</v>
      </c>
      <c r="CI143" s="23">
        <f>CH143+CI72</f>
        <v>11314.74</v>
      </c>
      <c r="CJ143" s="23">
        <f>+'QTR Raw'!BD58</f>
        <v>11427.09</v>
      </c>
      <c r="CK143" s="23">
        <f t="shared" ref="CK143:DB143" si="1117">CJ143+CK72</f>
        <v>12330.32</v>
      </c>
      <c r="CL143" s="23">
        <f>+'QTR Raw'!BF58</f>
        <v>12909.95</v>
      </c>
      <c r="CM143" s="24">
        <f t="shared" si="1117"/>
        <v>13398.579776393541</v>
      </c>
      <c r="CN143" s="24">
        <f t="shared" si="1117"/>
        <v>13912.512355501527</v>
      </c>
      <c r="CO143" s="24">
        <f t="shared" si="1117"/>
        <v>14471.851956060749</v>
      </c>
      <c r="CP143" s="24">
        <f t="shared" si="1117"/>
        <v>15013.015085509385</v>
      </c>
      <c r="CQ143" s="24">
        <f t="shared" si="1117"/>
        <v>15611.715803497982</v>
      </c>
      <c r="CR143" s="24">
        <f t="shared" si="1117"/>
        <v>16241.442252508112</v>
      </c>
      <c r="CS143" s="24">
        <f t="shared" si="1117"/>
        <v>16904.197830515874</v>
      </c>
      <c r="CT143" s="24">
        <f t="shared" si="1117"/>
        <v>17596.860426644162</v>
      </c>
      <c r="CU143" s="24">
        <f t="shared" si="1117"/>
        <v>18282.041685604207</v>
      </c>
      <c r="CV143" s="24">
        <f t="shared" si="1117"/>
        <v>18989.509062184399</v>
      </c>
      <c r="CW143" s="24">
        <f t="shared" si="1117"/>
        <v>19716.846004796018</v>
      </c>
      <c r="CX143" s="24">
        <f t="shared" si="1117"/>
        <v>20460.426660707551</v>
      </c>
      <c r="CY143" s="24">
        <f t="shared" si="1117"/>
        <v>21216.520152846075</v>
      </c>
      <c r="CZ143" s="24">
        <f t="shared" si="1117"/>
        <v>21990.581573918105</v>
      </c>
      <c r="DA143" s="24">
        <f t="shared" si="1117"/>
        <v>22781.427114867289</v>
      </c>
      <c r="DB143" s="24">
        <f t="shared" si="1117"/>
        <v>23588.213376355601</v>
      </c>
      <c r="DE143" s="123"/>
      <c r="DF143" s="23">
        <v>12953.522060782521</v>
      </c>
    </row>
    <row r="144" spans="1:110" s="22" customFormat="1" x14ac:dyDescent="0.2">
      <c r="A144" s="22" t="s">
        <v>44</v>
      </c>
      <c r="B144" s="22">
        <f>B141+B142+B143</f>
        <v>1025.22</v>
      </c>
      <c r="C144" s="22">
        <f t="shared" ref="C144:V144" si="1118">C141+C142+C143</f>
        <v>1026.21</v>
      </c>
      <c r="D144" s="22">
        <f t="shared" si="1118"/>
        <v>1068.2</v>
      </c>
      <c r="E144" s="22">
        <f t="shared" si="1118"/>
        <v>1070.52</v>
      </c>
      <c r="F144" s="22">
        <f t="shared" si="1118"/>
        <v>1320.17</v>
      </c>
      <c r="G144" s="22">
        <f t="shared" si="1118"/>
        <v>1932.14</v>
      </c>
      <c r="H144" s="22">
        <f t="shared" si="1118"/>
        <v>2096.62</v>
      </c>
      <c r="I144" s="22">
        <f t="shared" si="1118"/>
        <v>2269.09</v>
      </c>
      <c r="J144" s="22">
        <f t="shared" si="1118"/>
        <v>3297.8900000000003</v>
      </c>
      <c r="K144" s="22">
        <f t="shared" si="1118"/>
        <v>2545.15</v>
      </c>
      <c r="L144" s="22">
        <f t="shared" si="1118"/>
        <v>2910.4500000000003</v>
      </c>
      <c r="M144" s="22">
        <f>M141+M142+M143</f>
        <v>3093.7</v>
      </c>
      <c r="N144" s="22">
        <f t="shared" si="1118"/>
        <v>2979.28</v>
      </c>
      <c r="O144" s="22">
        <f t="shared" si="1118"/>
        <v>2636.46</v>
      </c>
      <c r="P144" s="22">
        <f t="shared" si="1118"/>
        <v>2227.2199999999998</v>
      </c>
      <c r="Q144" s="22">
        <f t="shared" si="1118"/>
        <v>2580.25</v>
      </c>
      <c r="R144" s="22">
        <f t="shared" si="1118"/>
        <v>2517.69</v>
      </c>
      <c r="S144" s="22">
        <f t="shared" si="1118"/>
        <v>4181.1000000000004</v>
      </c>
      <c r="T144" s="22">
        <f t="shared" si="1118"/>
        <v>4348</v>
      </c>
      <c r="U144" s="22">
        <f t="shared" si="1118"/>
        <v>4356.8100000000004</v>
      </c>
      <c r="V144" s="22">
        <f t="shared" si="1118"/>
        <v>3648.44</v>
      </c>
      <c r="W144" s="22">
        <f t="shared" ref="W144" si="1119">W141+W142+W143</f>
        <v>7062.25</v>
      </c>
      <c r="X144" s="22">
        <f t="shared" ref="X144:Y144" si="1120">X141+X142+X143</f>
        <v>7981.96</v>
      </c>
      <c r="Y144" s="22">
        <f t="shared" si="1120"/>
        <v>9456.65</v>
      </c>
      <c r="Z144" s="22">
        <f t="shared" ref="Z144:AA144" si="1121">Z141+Z142+Z143</f>
        <v>11160.710000000001</v>
      </c>
      <c r="AA144" s="22">
        <f t="shared" si="1121"/>
        <v>13052.29</v>
      </c>
      <c r="AB144" s="21">
        <f t="shared" ref="AA144:AD144" si="1122">AB141+AB142+AB143</f>
        <v>15155.355085509385</v>
      </c>
      <c r="AC144" s="21">
        <f t="shared" si="1122"/>
        <v>17739.200426644162</v>
      </c>
      <c r="AD144" s="21">
        <f t="shared" si="1122"/>
        <v>20602.766660707552</v>
      </c>
      <c r="AE144" s="21">
        <f t="shared" ref="AE144" si="1123">AE141+AE142+AE143</f>
        <v>23730.553376355601</v>
      </c>
      <c r="AJ144" s="22">
        <f t="shared" ref="AJ144" si="1124">AJ141+AJ142+AJ143</f>
        <v>3668.56</v>
      </c>
      <c r="AK144" s="22">
        <f t="shared" ref="AK144" si="1125">AK141+AK142+AK143</f>
        <v>3733.18</v>
      </c>
      <c r="AL144" s="22">
        <f t="shared" ref="AL144:AM144" si="1126">AL141+AL142+AL143</f>
        <v>2979.28</v>
      </c>
      <c r="AM144" s="22">
        <f t="shared" si="1126"/>
        <v>2960.19</v>
      </c>
      <c r="AN144" s="22">
        <f t="shared" ref="AN144:AO144" si="1127">AN141+AN142+AN143</f>
        <v>2964.72</v>
      </c>
      <c r="AO144" s="22">
        <f t="shared" si="1127"/>
        <v>3024.2899999999995</v>
      </c>
      <c r="AP144" s="22">
        <f t="shared" ref="AP144:CE144" si="1128">AP141+AP142+AP143</f>
        <v>2636.46</v>
      </c>
      <c r="AQ144" s="22">
        <f t="shared" si="1128"/>
        <v>2601.64</v>
      </c>
      <c r="AR144" s="22">
        <f t="shared" si="1128"/>
        <v>2670.36</v>
      </c>
      <c r="AS144" s="22">
        <f t="shared" si="1128"/>
        <v>2732.2000000000003</v>
      </c>
      <c r="AT144" s="22">
        <f t="shared" si="1128"/>
        <v>2227.2199999999998</v>
      </c>
      <c r="AU144" s="22">
        <f t="shared" si="1128"/>
        <v>2262</v>
      </c>
      <c r="AV144" s="22">
        <f t="shared" si="1128"/>
        <v>2664.9</v>
      </c>
      <c r="AW144" s="22">
        <f t="shared" si="1128"/>
        <v>2678.21</v>
      </c>
      <c r="AX144" s="22">
        <f t="shared" si="1128"/>
        <v>2580.25</v>
      </c>
      <c r="AY144" s="22">
        <f t="shared" si="1128"/>
        <v>2410.7999999999997</v>
      </c>
      <c r="AZ144" s="22">
        <f t="shared" si="1128"/>
        <v>2578.21</v>
      </c>
      <c r="BA144" s="22">
        <f t="shared" si="1128"/>
        <v>2671.19</v>
      </c>
      <c r="BB144" s="22">
        <f t="shared" si="1128"/>
        <v>2517.69</v>
      </c>
      <c r="BC144" s="22">
        <f t="shared" si="1128"/>
        <v>2492.73</v>
      </c>
      <c r="BD144" s="22">
        <f t="shared" si="1128"/>
        <v>2516.1299999999997</v>
      </c>
      <c r="BE144" s="22">
        <f t="shared" si="1128"/>
        <v>2623.9999999999995</v>
      </c>
      <c r="BF144" s="22">
        <f t="shared" si="1128"/>
        <v>4181.1000000000004</v>
      </c>
      <c r="BG144" s="22">
        <f t="shared" si="1128"/>
        <v>4196.3600000000006</v>
      </c>
      <c r="BH144" s="22">
        <f t="shared" si="1128"/>
        <v>4200.17</v>
      </c>
      <c r="BI144" s="22">
        <f t="shared" si="1128"/>
        <v>4361.95</v>
      </c>
      <c r="BJ144" s="22">
        <f t="shared" si="1128"/>
        <v>4348</v>
      </c>
      <c r="BK144" s="22">
        <f t="shared" si="1128"/>
        <v>4353.66</v>
      </c>
      <c r="BL144" s="22">
        <f t="shared" si="1128"/>
        <v>4061.73</v>
      </c>
      <c r="BM144" s="22">
        <f t="shared" si="1128"/>
        <v>4264.8600000000006</v>
      </c>
      <c r="BN144" s="22">
        <f t="shared" si="1128"/>
        <v>4356.8100000000004</v>
      </c>
      <c r="BO144" s="22">
        <f t="shared" si="1128"/>
        <v>4076.89</v>
      </c>
      <c r="BP144" s="22">
        <f t="shared" si="1128"/>
        <v>3690.2799999999997</v>
      </c>
      <c r="BQ144" s="22">
        <f t="shared" si="1128"/>
        <v>3571.3999999999996</v>
      </c>
      <c r="BR144" s="22">
        <f t="shared" si="1128"/>
        <v>3648.44</v>
      </c>
      <c r="BS144" s="22">
        <f t="shared" si="1128"/>
        <v>3371.1</v>
      </c>
      <c r="BT144" s="22">
        <f t="shared" si="1128"/>
        <v>3250.56</v>
      </c>
      <c r="BU144" s="22">
        <f t="shared" si="1128"/>
        <v>3326.5699999999997</v>
      </c>
      <c r="BV144" s="22">
        <f t="shared" si="1128"/>
        <v>7062.25</v>
      </c>
      <c r="BW144" s="22">
        <f t="shared" si="1128"/>
        <v>7232.3</v>
      </c>
      <c r="BX144" s="22">
        <f t="shared" si="1128"/>
        <v>7187.98</v>
      </c>
      <c r="BY144" s="22">
        <f t="shared" si="1128"/>
        <v>7570.69</v>
      </c>
      <c r="BZ144" s="22">
        <f t="shared" si="1128"/>
        <v>7981.96</v>
      </c>
      <c r="CA144" s="22">
        <f t="shared" si="1128"/>
        <v>8204.4</v>
      </c>
      <c r="CB144" s="22">
        <f t="shared" si="1128"/>
        <v>8283.6200000000008</v>
      </c>
      <c r="CC144" s="22">
        <f t="shared" si="1128"/>
        <v>8735.5700000000015</v>
      </c>
      <c r="CD144" s="22">
        <f t="shared" si="1128"/>
        <v>9456.65</v>
      </c>
      <c r="CE144" s="22">
        <f t="shared" si="1128"/>
        <v>9705.0399999999991</v>
      </c>
      <c r="CF144" s="22">
        <f t="shared" ref="CF144:CG144" si="1129">CF141+CF142+CF143</f>
        <v>10156.380000000001</v>
      </c>
      <c r="CG144" s="22">
        <f t="shared" si="1129"/>
        <v>10738.7</v>
      </c>
      <c r="CH144" s="22">
        <f t="shared" ref="CH144:CI144" si="1130">CH141+CH142+CH143</f>
        <v>11160.710000000001</v>
      </c>
      <c r="CI144" s="22">
        <f t="shared" si="1130"/>
        <v>11457.08</v>
      </c>
      <c r="CJ144" s="22">
        <f t="shared" ref="CJ144:DB144" si="1131">CJ141+CJ142+CJ143</f>
        <v>11569.43</v>
      </c>
      <c r="CK144" s="22">
        <f t="shared" si="1131"/>
        <v>12472.66</v>
      </c>
      <c r="CL144" s="22">
        <f t="shared" ref="CL144" si="1132">CL141+CL142+CL143</f>
        <v>13052.29</v>
      </c>
      <c r="CM144" s="21">
        <f t="shared" si="1131"/>
        <v>13540.919776393541</v>
      </c>
      <c r="CN144" s="21">
        <f t="shared" si="1131"/>
        <v>14054.852355501527</v>
      </c>
      <c r="CO144" s="21">
        <f t="shared" si="1131"/>
        <v>14614.191956060749</v>
      </c>
      <c r="CP144" s="21">
        <f t="shared" si="1131"/>
        <v>15155.355085509385</v>
      </c>
      <c r="CQ144" s="21">
        <f t="shared" si="1131"/>
        <v>15754.055803497982</v>
      </c>
      <c r="CR144" s="21">
        <f t="shared" si="1131"/>
        <v>16383.782252508112</v>
      </c>
      <c r="CS144" s="21">
        <f t="shared" si="1131"/>
        <v>17046.537830515874</v>
      </c>
      <c r="CT144" s="21">
        <f t="shared" si="1131"/>
        <v>17739.200426644162</v>
      </c>
      <c r="CU144" s="21">
        <f t="shared" si="1131"/>
        <v>18424.381685604207</v>
      </c>
      <c r="CV144" s="21">
        <f t="shared" si="1131"/>
        <v>19131.849062184399</v>
      </c>
      <c r="CW144" s="21">
        <f t="shared" si="1131"/>
        <v>19859.186004796018</v>
      </c>
      <c r="CX144" s="21">
        <f t="shared" si="1131"/>
        <v>20602.766660707552</v>
      </c>
      <c r="CY144" s="21">
        <f t="shared" si="1131"/>
        <v>21358.860152846075</v>
      </c>
      <c r="CZ144" s="21">
        <f t="shared" si="1131"/>
        <v>22132.921573918105</v>
      </c>
      <c r="DA144" s="21">
        <f t="shared" si="1131"/>
        <v>22923.767114867289</v>
      </c>
      <c r="DB144" s="21">
        <f t="shared" si="1131"/>
        <v>23730.553376355601</v>
      </c>
      <c r="DE144" s="126"/>
      <c r="DF144" s="22">
        <v>13095.862060782521</v>
      </c>
    </row>
    <row r="145" spans="1:110" s="22" customFormat="1" x14ac:dyDescent="0.2">
      <c r="AB145" s="21"/>
      <c r="AC145" s="21"/>
      <c r="AD145" s="21"/>
      <c r="AE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E145" s="126"/>
    </row>
    <row r="146" spans="1:110" s="23" customFormat="1" x14ac:dyDescent="0.2">
      <c r="A146" s="23" t="s">
        <v>23</v>
      </c>
      <c r="B146" s="23">
        <f>'Annual Raw'!C45</f>
        <v>0</v>
      </c>
      <c r="C146" s="23">
        <f>'Annual Raw'!D45</f>
        <v>196.93</v>
      </c>
      <c r="D146" s="23">
        <f>'Annual Raw'!E45</f>
        <v>175.91</v>
      </c>
      <c r="E146" s="23">
        <f>'Annual Raw'!F45</f>
        <v>178.4</v>
      </c>
      <c r="F146" s="23">
        <f>'Annual Raw'!G45</f>
        <v>230.04</v>
      </c>
      <c r="G146" s="23">
        <f>'Annual Raw'!H45</f>
        <v>239.86</v>
      </c>
      <c r="H146" s="23">
        <f>'Annual Raw'!I45</f>
        <v>275.83999999999997</v>
      </c>
      <c r="I146" s="23">
        <f>'Annual Raw'!J45</f>
        <v>282.01</v>
      </c>
      <c r="J146" s="23">
        <f>'Annual Raw'!K45</f>
        <v>274.11</v>
      </c>
      <c r="K146" s="23">
        <f>'Annual Raw'!L45</f>
        <v>272.74</v>
      </c>
      <c r="L146" s="23">
        <f>'Annual Raw'!M45</f>
        <v>296.72000000000003</v>
      </c>
      <c r="M146" s="23">
        <f>'Annual Raw'!N45</f>
        <v>646.9</v>
      </c>
      <c r="N146" s="23">
        <f>'Annual Raw'!O45</f>
        <v>707.72</v>
      </c>
      <c r="O146" s="23">
        <f>'Annual Raw'!P45</f>
        <v>735.86</v>
      </c>
      <c r="P146" s="23">
        <f>'Annual Raw'!Q45</f>
        <v>737.84</v>
      </c>
      <c r="Q146" s="23">
        <f>'Annual Raw'!R45</f>
        <v>742.93</v>
      </c>
      <c r="R146" s="23">
        <f>'Annual Raw'!S45</f>
        <v>737.82</v>
      </c>
      <c r="S146" s="23">
        <f>'Annual Raw'!T45</f>
        <v>777.39</v>
      </c>
      <c r="T146" s="23">
        <f>'Annual Raw'!U45</f>
        <v>799.86</v>
      </c>
      <c r="U146" s="23">
        <f>'Annual Raw'!V45</f>
        <v>764.9</v>
      </c>
      <c r="V146" s="23">
        <f>'Annual Raw'!W45</f>
        <v>634.57000000000005</v>
      </c>
      <c r="W146" s="23">
        <f>'Annual Raw'!X45</f>
        <v>593.01</v>
      </c>
      <c r="X146" s="23">
        <f>'Annual Raw'!Y45</f>
        <v>660.09</v>
      </c>
      <c r="Y146" s="23">
        <f>'Annual Raw'!Z45</f>
        <v>672.06</v>
      </c>
      <c r="Z146" s="23">
        <f>'Annual Raw'!AA45</f>
        <v>1254.9000000000001</v>
      </c>
      <c r="AA146" s="23">
        <f>'Annual Raw'!AB45</f>
        <v>1887.03</v>
      </c>
      <c r="AB146" s="24">
        <f>+CP146</f>
        <v>1887.03</v>
      </c>
      <c r="AC146" s="24">
        <f>+CT146</f>
        <v>1887.03</v>
      </c>
      <c r="AD146" s="24">
        <f>+CX146</f>
        <v>1887.03</v>
      </c>
      <c r="AE146" s="24">
        <f>+DB146</f>
        <v>1887.03</v>
      </c>
      <c r="AJ146" s="23">
        <f>+'QTR Raw'!D60</f>
        <v>0</v>
      </c>
      <c r="AK146" s="23">
        <f t="shared" ref="AK146:CE146" si="1133">+AJ146</f>
        <v>0</v>
      </c>
      <c r="AL146" s="23">
        <f>+'QTR Raw'!F60</f>
        <v>707.72</v>
      </c>
      <c r="AM146" s="23">
        <f t="shared" si="1133"/>
        <v>707.72</v>
      </c>
      <c r="AN146" s="23">
        <f>+'QTR Raw'!H60</f>
        <v>0</v>
      </c>
      <c r="AO146" s="23">
        <f t="shared" si="1133"/>
        <v>0</v>
      </c>
      <c r="AP146" s="23">
        <f>+'QTR Raw'!J60</f>
        <v>735.86</v>
      </c>
      <c r="AQ146" s="23">
        <f t="shared" si="1133"/>
        <v>735.86</v>
      </c>
      <c r="AR146" s="23">
        <f>+'QTR Raw'!L60</f>
        <v>0</v>
      </c>
      <c r="AS146" s="23">
        <f t="shared" si="1133"/>
        <v>0</v>
      </c>
      <c r="AT146" s="23">
        <f>+'QTR Raw'!N60</f>
        <v>737.84</v>
      </c>
      <c r="AU146" s="23">
        <f t="shared" si="1133"/>
        <v>737.84</v>
      </c>
      <c r="AV146" s="23">
        <f>+'QTR Raw'!P60</f>
        <v>0</v>
      </c>
      <c r="AW146" s="23">
        <f t="shared" si="1133"/>
        <v>0</v>
      </c>
      <c r="AX146" s="23">
        <f>+'QTR Raw'!R60</f>
        <v>742.93</v>
      </c>
      <c r="AY146" s="23">
        <f t="shared" si="1133"/>
        <v>742.93</v>
      </c>
      <c r="AZ146" s="23">
        <f>+'QTR Raw'!T60</f>
        <v>0</v>
      </c>
      <c r="BA146" s="23">
        <f t="shared" si="1133"/>
        <v>0</v>
      </c>
      <c r="BB146" s="23">
        <f>+'QTR Raw'!V60</f>
        <v>737.82</v>
      </c>
      <c r="BC146" s="23">
        <f t="shared" si="1133"/>
        <v>737.82</v>
      </c>
      <c r="BD146" s="23">
        <f>+'QTR Raw'!X60</f>
        <v>754.68</v>
      </c>
      <c r="BE146" s="23">
        <f t="shared" si="1133"/>
        <v>754.68</v>
      </c>
      <c r="BF146" s="23">
        <f>+'QTR Raw'!Z60</f>
        <v>777.39</v>
      </c>
      <c r="BG146" s="23">
        <f t="shared" si="1133"/>
        <v>777.39</v>
      </c>
      <c r="BH146" s="22">
        <f>+'QTR Raw'!AB60</f>
        <v>767.11</v>
      </c>
      <c r="BI146" s="23">
        <f t="shared" si="1133"/>
        <v>767.11</v>
      </c>
      <c r="BJ146" s="23">
        <f>+'QTR Raw'!AD60</f>
        <v>799.86</v>
      </c>
      <c r="BK146" s="23">
        <f t="shared" si="1133"/>
        <v>799.86</v>
      </c>
      <c r="BL146" s="23">
        <f>+'QTR Raw'!AF60</f>
        <v>745.09</v>
      </c>
      <c r="BM146" s="23">
        <f t="shared" si="1133"/>
        <v>745.09</v>
      </c>
      <c r="BN146" s="23">
        <f>+'QTR Raw'!AH60</f>
        <v>764.9</v>
      </c>
      <c r="BO146" s="23">
        <f t="shared" si="1133"/>
        <v>764.9</v>
      </c>
      <c r="BP146" s="23">
        <f>+'QTR Raw'!AJ60</f>
        <v>638.27</v>
      </c>
      <c r="BQ146" s="23">
        <f t="shared" si="1133"/>
        <v>638.27</v>
      </c>
      <c r="BR146" s="23">
        <f>+'QTR Raw'!AL60</f>
        <v>634.57000000000005</v>
      </c>
      <c r="BS146" s="23">
        <f t="shared" si="1133"/>
        <v>634.57000000000005</v>
      </c>
      <c r="BT146" s="23">
        <f>+'QTR Raw'!AN60</f>
        <v>608.6</v>
      </c>
      <c r="BU146" s="23">
        <f t="shared" si="1133"/>
        <v>608.6</v>
      </c>
      <c r="BV146" s="23">
        <f>+'QTR Raw'!AP60</f>
        <v>593.01</v>
      </c>
      <c r="BW146" s="23">
        <f t="shared" si="1133"/>
        <v>593.01</v>
      </c>
      <c r="BX146" s="23">
        <f>+'QTR Raw'!AR60</f>
        <v>615.47</v>
      </c>
      <c r="BY146" s="23">
        <f t="shared" si="1133"/>
        <v>615.47</v>
      </c>
      <c r="BZ146" s="23">
        <f>+'QTR Raw'!AT60</f>
        <v>660.09</v>
      </c>
      <c r="CA146" s="23">
        <f t="shared" si="1133"/>
        <v>660.09</v>
      </c>
      <c r="CB146" s="23">
        <f>+'QTR Raw'!AV60</f>
        <v>692.72</v>
      </c>
      <c r="CC146" s="23">
        <f t="shared" si="1133"/>
        <v>692.72</v>
      </c>
      <c r="CD146" s="23">
        <f>+'QTR Raw'!AX60</f>
        <v>672.06</v>
      </c>
      <c r="CE146" s="23">
        <f t="shared" si="1133"/>
        <v>672.06</v>
      </c>
      <c r="CF146" s="23">
        <f>+'QTR Raw'!AZ60</f>
        <v>1165.45</v>
      </c>
      <c r="CG146" s="23">
        <f t="shared" ref="CG146:CI146" si="1134">+CF146</f>
        <v>1165.45</v>
      </c>
      <c r="CH146" s="23">
        <f t="shared" ref="CH146:CH151" si="1135">Z146</f>
        <v>1254.9000000000001</v>
      </c>
      <c r="CI146" s="23">
        <f t="shared" si="1134"/>
        <v>1254.9000000000001</v>
      </c>
      <c r="CJ146" s="23">
        <f>+'QTR Raw'!BD60</f>
        <v>1328.04</v>
      </c>
      <c r="CK146" s="23">
        <f t="shared" ref="CK146" si="1136">+CJ146</f>
        <v>1328.04</v>
      </c>
      <c r="CL146" s="23">
        <f>+'QTR Raw'!BF60</f>
        <v>1887.03</v>
      </c>
      <c r="CM146" s="24">
        <f t="shared" ref="CM146" si="1137">+CL146</f>
        <v>1887.03</v>
      </c>
      <c r="CN146" s="24">
        <f t="shared" ref="CN146" si="1138">+CM146</f>
        <v>1887.03</v>
      </c>
      <c r="CO146" s="24">
        <f t="shared" ref="CO146" si="1139">+CN146</f>
        <v>1887.03</v>
      </c>
      <c r="CP146" s="24">
        <f t="shared" ref="CP146" si="1140">+CO146</f>
        <v>1887.03</v>
      </c>
      <c r="CQ146" s="24">
        <f t="shared" ref="CQ146" si="1141">+CP146</f>
        <v>1887.03</v>
      </c>
      <c r="CR146" s="24">
        <f t="shared" ref="CR146" si="1142">+CQ146</f>
        <v>1887.03</v>
      </c>
      <c r="CS146" s="24">
        <f t="shared" ref="CS146" si="1143">+CR146</f>
        <v>1887.03</v>
      </c>
      <c r="CT146" s="24">
        <f t="shared" ref="CT146" si="1144">+CS146</f>
        <v>1887.03</v>
      </c>
      <c r="CU146" s="24">
        <f t="shared" ref="CU146" si="1145">+CT146</f>
        <v>1887.03</v>
      </c>
      <c r="CV146" s="24">
        <f t="shared" ref="CV146" si="1146">+CU146</f>
        <v>1887.03</v>
      </c>
      <c r="CW146" s="24">
        <f t="shared" ref="CW146" si="1147">+CV146</f>
        <v>1887.03</v>
      </c>
      <c r="CX146" s="24">
        <f t="shared" ref="CX146" si="1148">+CW146</f>
        <v>1887.03</v>
      </c>
      <c r="CY146" s="24">
        <f t="shared" ref="CY146" si="1149">+CX146</f>
        <v>1887.03</v>
      </c>
      <c r="CZ146" s="24">
        <f t="shared" ref="CZ146" si="1150">+CY146</f>
        <v>1887.03</v>
      </c>
      <c r="DA146" s="24">
        <f t="shared" ref="DA146" si="1151">+CZ146</f>
        <v>1887.03</v>
      </c>
      <c r="DB146" s="24">
        <f t="shared" ref="DB146" si="1152">+DA146</f>
        <v>1887.03</v>
      </c>
      <c r="DE146" s="123"/>
      <c r="DF146" s="23">
        <v>1328.04</v>
      </c>
    </row>
    <row r="147" spans="1:110" s="23" customFormat="1" x14ac:dyDescent="0.2">
      <c r="AB147" s="24"/>
      <c r="AC147" s="24"/>
      <c r="AD147" s="24"/>
      <c r="AE147" s="24"/>
      <c r="BH147" s="22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</row>
    <row r="148" spans="1:110" s="23" customFormat="1" outlineLevel="1" x14ac:dyDescent="0.2">
      <c r="A148" s="23" t="s">
        <v>45</v>
      </c>
      <c r="B148" s="23">
        <f>'Annual Raw'!C47</f>
        <v>381.55</v>
      </c>
      <c r="C148" s="23">
        <f>'Annual Raw'!D47</f>
        <v>1299.82</v>
      </c>
      <c r="D148" s="23">
        <f>'Annual Raw'!E47</f>
        <v>1245.6500000000001</v>
      </c>
      <c r="E148" s="23">
        <f>'Annual Raw'!F47</f>
        <v>1103.8599999999999</v>
      </c>
      <c r="F148" s="23">
        <f>'Annual Raw'!G47</f>
        <v>1343.78</v>
      </c>
      <c r="G148" s="23">
        <f>'Annual Raw'!H47</f>
        <v>1353.06</v>
      </c>
      <c r="H148" s="23">
        <f>'Annual Raw'!I47</f>
        <v>1701.56</v>
      </c>
      <c r="I148" s="23">
        <f>'Annual Raw'!J47</f>
        <v>1631.57</v>
      </c>
      <c r="J148" s="23">
        <f>'Annual Raw'!K47</f>
        <v>2659.6</v>
      </c>
      <c r="K148" s="23">
        <f>'Annual Raw'!L47</f>
        <v>2566.41</v>
      </c>
      <c r="L148" s="23">
        <f>'Annual Raw'!M47</f>
        <v>872.59</v>
      </c>
      <c r="M148" s="23">
        <f>'Annual Raw'!N47</f>
        <v>1999.14</v>
      </c>
      <c r="N148" s="23">
        <f>'Annual Raw'!O47</f>
        <v>2012.58</v>
      </c>
      <c r="O148" s="23">
        <f>'Annual Raw'!P47</f>
        <v>1661.49</v>
      </c>
      <c r="P148" s="23">
        <f>'Annual Raw'!Q47</f>
        <v>2401.4699999999998</v>
      </c>
      <c r="Q148" s="23">
        <f>'Annual Raw'!R47</f>
        <v>2058.79</v>
      </c>
      <c r="R148" s="23">
        <f>'Annual Raw'!S47</f>
        <v>1795.59</v>
      </c>
      <c r="S148" s="23">
        <f>'Annual Raw'!T47</f>
        <v>1593.08</v>
      </c>
      <c r="T148" s="23">
        <f>'Annual Raw'!U47</f>
        <v>957.67</v>
      </c>
      <c r="U148" s="23">
        <f>'Annual Raw'!V47</f>
        <v>1922.18</v>
      </c>
      <c r="V148" s="23">
        <f>'Annual Raw'!W47</f>
        <v>1775.05</v>
      </c>
      <c r="W148" s="23">
        <f>'Annual Raw'!X47</f>
        <v>938.2</v>
      </c>
      <c r="X148" s="23">
        <f>'Annual Raw'!Y47</f>
        <v>280.83</v>
      </c>
      <c r="Y148" s="23">
        <f>'Annual Raw'!Z47</f>
        <v>0</v>
      </c>
      <c r="Z148" s="23">
        <f>'Annual Raw'!AA47</f>
        <v>159.13999999999999</v>
      </c>
      <c r="AA148" s="23">
        <f>'Annual Raw'!AB47</f>
        <v>0</v>
      </c>
      <c r="AB148" s="24">
        <f t="shared" ref="AB148:AB151" si="1153">+CP148</f>
        <v>0</v>
      </c>
      <c r="AC148" s="24">
        <f t="shared" ref="AC148:AC151" si="1154">+CT148</f>
        <v>0</v>
      </c>
      <c r="AD148" s="24">
        <f t="shared" ref="AD148:AD151" si="1155">+CX148</f>
        <v>0</v>
      </c>
      <c r="AE148" s="24">
        <f t="shared" ref="AE148:AE151" si="1156">+DB148</f>
        <v>0</v>
      </c>
      <c r="AJ148" s="23">
        <f>+'QTR Raw'!D62</f>
        <v>0</v>
      </c>
      <c r="AK148" s="23">
        <f t="shared" ref="AK148:CC151" si="1157">+AJ148</f>
        <v>0</v>
      </c>
      <c r="AL148" s="23">
        <f>+'QTR Raw'!F62</f>
        <v>0</v>
      </c>
      <c r="AM148" s="23">
        <f t="shared" si="1157"/>
        <v>0</v>
      </c>
      <c r="AN148" s="23">
        <f>+'QTR Raw'!H62</f>
        <v>0</v>
      </c>
      <c r="AO148" s="23">
        <f t="shared" si="1157"/>
        <v>0</v>
      </c>
      <c r="AP148" s="23">
        <f>+'QTR Raw'!J62</f>
        <v>0</v>
      </c>
      <c r="AQ148" s="23">
        <f t="shared" si="1157"/>
        <v>0</v>
      </c>
      <c r="AR148" s="23">
        <f>+'QTR Raw'!L62</f>
        <v>0</v>
      </c>
      <c r="AS148" s="23">
        <f t="shared" si="1157"/>
        <v>0</v>
      </c>
      <c r="AT148" s="23">
        <f>+'QTR Raw'!N62</f>
        <v>0</v>
      </c>
      <c r="AU148" s="23">
        <f t="shared" si="1157"/>
        <v>0</v>
      </c>
      <c r="AV148" s="23">
        <f>+'QTR Raw'!P62</f>
        <v>0</v>
      </c>
      <c r="AW148" s="23">
        <f t="shared" si="1157"/>
        <v>0</v>
      </c>
      <c r="AX148" s="23">
        <f>+'QTR Raw'!R62</f>
        <v>0</v>
      </c>
      <c r="AY148" s="23">
        <f t="shared" si="1157"/>
        <v>0</v>
      </c>
      <c r="AZ148" s="23">
        <f>+'QTR Raw'!T62</f>
        <v>0</v>
      </c>
      <c r="BA148" s="23">
        <f t="shared" si="1157"/>
        <v>0</v>
      </c>
      <c r="BB148" s="23">
        <f>+'QTR Raw'!V62</f>
        <v>0</v>
      </c>
      <c r="BC148" s="23">
        <f t="shared" si="1157"/>
        <v>0</v>
      </c>
      <c r="BD148" s="23">
        <f>+'QTR Raw'!X62</f>
        <v>0</v>
      </c>
      <c r="BE148" s="23">
        <f t="shared" si="1157"/>
        <v>0</v>
      </c>
      <c r="BF148" s="23">
        <f>+'QTR Raw'!Z62</f>
        <v>0</v>
      </c>
      <c r="BG148" s="23">
        <f t="shared" si="1157"/>
        <v>0</v>
      </c>
      <c r="BH148" s="22">
        <f>+'QTR Raw'!AB62</f>
        <v>0</v>
      </c>
      <c r="BI148" s="23">
        <f t="shared" si="1157"/>
        <v>0</v>
      </c>
      <c r="BJ148" s="23">
        <f>+'QTR Raw'!AD62</f>
        <v>0</v>
      </c>
      <c r="BK148" s="23">
        <f t="shared" si="1157"/>
        <v>0</v>
      </c>
      <c r="BL148" s="23">
        <f>+'QTR Raw'!AF62</f>
        <v>0</v>
      </c>
      <c r="BM148" s="23">
        <f t="shared" si="1157"/>
        <v>0</v>
      </c>
      <c r="BN148" s="23">
        <f>+'QTR Raw'!AH62</f>
        <v>0</v>
      </c>
      <c r="BO148" s="23">
        <f t="shared" si="1157"/>
        <v>0</v>
      </c>
      <c r="BP148" s="23">
        <f>+'QTR Raw'!AJ62</f>
        <v>0</v>
      </c>
      <c r="BQ148" s="23">
        <f t="shared" si="1157"/>
        <v>0</v>
      </c>
      <c r="BR148" s="23">
        <f>+'QTR Raw'!AL62</f>
        <v>0</v>
      </c>
      <c r="BS148" s="23">
        <f t="shared" si="1157"/>
        <v>0</v>
      </c>
      <c r="BT148" s="23">
        <f>+'QTR Raw'!AN62</f>
        <v>0</v>
      </c>
      <c r="BU148" s="23">
        <f t="shared" si="1157"/>
        <v>0</v>
      </c>
      <c r="BV148" s="23">
        <f>+'QTR Raw'!AP62</f>
        <v>0</v>
      </c>
      <c r="BW148" s="23">
        <f t="shared" si="1157"/>
        <v>0</v>
      </c>
      <c r="BX148" s="23">
        <f>+'QTR Raw'!AR62</f>
        <v>0</v>
      </c>
      <c r="BY148" s="23">
        <f t="shared" si="1157"/>
        <v>0</v>
      </c>
      <c r="BZ148" s="23">
        <f>+'QTR Raw'!AT62</f>
        <v>0</v>
      </c>
      <c r="CA148" s="23">
        <f t="shared" si="1157"/>
        <v>0</v>
      </c>
      <c r="CB148" s="23">
        <f>+'QTR Raw'!AV62</f>
        <v>0</v>
      </c>
      <c r="CC148" s="23">
        <f t="shared" si="1157"/>
        <v>0</v>
      </c>
      <c r="CD148" s="23">
        <f>+'QTR Raw'!AX62</f>
        <v>0</v>
      </c>
      <c r="CE148" s="23">
        <f t="shared" ref="CE148:CE151" si="1158">+CD148</f>
        <v>0</v>
      </c>
      <c r="CF148" s="23">
        <f>+'QTR Raw'!AZ62</f>
        <v>0</v>
      </c>
      <c r="CG148" s="23">
        <f t="shared" ref="CG148:CI151" si="1159">+CF148</f>
        <v>0</v>
      </c>
      <c r="CH148" s="23">
        <f t="shared" si="1135"/>
        <v>159.13999999999999</v>
      </c>
      <c r="CI148" s="23">
        <f t="shared" si="1159"/>
        <v>159.13999999999999</v>
      </c>
      <c r="CJ148" s="23">
        <f>+'QTR Raw'!BD62</f>
        <v>0</v>
      </c>
      <c r="CK148" s="23">
        <f t="shared" ref="CK148:CK151" si="1160">+CJ148</f>
        <v>0</v>
      </c>
      <c r="CL148" s="23">
        <f>+'QTR Raw'!BF62</f>
        <v>0</v>
      </c>
      <c r="CM148" s="24">
        <f t="shared" ref="CM148:CM151" si="1161">+CL148</f>
        <v>0</v>
      </c>
      <c r="CN148" s="24">
        <f t="shared" ref="CN148:CN151" si="1162">+CM148</f>
        <v>0</v>
      </c>
      <c r="CO148" s="24">
        <f t="shared" ref="CO148:CO151" si="1163">+CN148</f>
        <v>0</v>
      </c>
      <c r="CP148" s="24">
        <f t="shared" ref="CP148:CP151" si="1164">+CO148</f>
        <v>0</v>
      </c>
      <c r="CQ148" s="24">
        <f t="shared" ref="CQ148:CQ151" si="1165">+CP148</f>
        <v>0</v>
      </c>
      <c r="CR148" s="24">
        <f t="shared" ref="CR148:CR151" si="1166">+CQ148</f>
        <v>0</v>
      </c>
      <c r="CS148" s="24">
        <f t="shared" ref="CS148:CS151" si="1167">+CR148</f>
        <v>0</v>
      </c>
      <c r="CT148" s="24">
        <f t="shared" ref="CT148:CT151" si="1168">+CS148</f>
        <v>0</v>
      </c>
      <c r="CU148" s="24">
        <f t="shared" ref="CU148:CU151" si="1169">+CT148</f>
        <v>0</v>
      </c>
      <c r="CV148" s="24">
        <f t="shared" ref="CV148:CV151" si="1170">+CU148</f>
        <v>0</v>
      </c>
      <c r="CW148" s="24">
        <f t="shared" ref="CW148:CW151" si="1171">+CV148</f>
        <v>0</v>
      </c>
      <c r="CX148" s="24">
        <f t="shared" ref="CX148:CX151" si="1172">+CW148</f>
        <v>0</v>
      </c>
      <c r="CY148" s="24">
        <f t="shared" ref="CY148:CY151" si="1173">+CX148</f>
        <v>0</v>
      </c>
      <c r="CZ148" s="24">
        <f t="shared" ref="CZ148:CZ151" si="1174">+CY148</f>
        <v>0</v>
      </c>
      <c r="DA148" s="24">
        <f t="shared" ref="DA148:DA151" si="1175">+CZ148</f>
        <v>0</v>
      </c>
      <c r="DB148" s="24">
        <f t="shared" ref="DB148:DB151" si="1176">+DA148</f>
        <v>0</v>
      </c>
      <c r="DE148" s="123"/>
      <c r="DF148" s="23">
        <v>0</v>
      </c>
    </row>
    <row r="149" spans="1:110" s="23" customFormat="1" outlineLevel="1" x14ac:dyDescent="0.2">
      <c r="A149" s="23" t="s">
        <v>46</v>
      </c>
      <c r="B149" s="23">
        <f>'Annual Raw'!C48</f>
        <v>173.76</v>
      </c>
      <c r="C149" s="23">
        <f>'Annual Raw'!D48</f>
        <v>179.74</v>
      </c>
      <c r="D149" s="23">
        <f>'Annual Raw'!E48</f>
        <v>221.1</v>
      </c>
      <c r="E149" s="23">
        <f>'Annual Raw'!F48</f>
        <v>1011.02</v>
      </c>
      <c r="F149" s="23">
        <f>'Annual Raw'!G48</f>
        <v>672.75</v>
      </c>
      <c r="G149" s="23">
        <f>'Annual Raw'!H48</f>
        <v>181.27</v>
      </c>
      <c r="H149" s="23">
        <f>'Annual Raw'!I48</f>
        <v>368.86</v>
      </c>
      <c r="I149" s="23">
        <f>'Annual Raw'!J48</f>
        <v>1858.89</v>
      </c>
      <c r="J149" s="23">
        <f>'Annual Raw'!K48</f>
        <v>2011.08</v>
      </c>
      <c r="K149" s="23">
        <f>'Annual Raw'!L48</f>
        <v>1916.19</v>
      </c>
      <c r="L149" s="23">
        <f>'Annual Raw'!M48</f>
        <v>1206.79</v>
      </c>
      <c r="M149" s="23">
        <f>'Annual Raw'!N48</f>
        <v>1084.6400000000001</v>
      </c>
      <c r="N149" s="23">
        <f>'Annual Raw'!O48</f>
        <v>1418.6</v>
      </c>
      <c r="O149" s="23">
        <f>'Annual Raw'!P48</f>
        <v>1362.39</v>
      </c>
      <c r="P149" s="23">
        <f>'Annual Raw'!Q48</f>
        <v>2196.1999999999998</v>
      </c>
      <c r="Q149" s="23">
        <f>'Annual Raw'!R48</f>
        <v>1360.22</v>
      </c>
      <c r="R149" s="23">
        <f>'Annual Raw'!S48</f>
        <v>994.27</v>
      </c>
      <c r="S149" s="23">
        <f>'Annual Raw'!T48</f>
        <v>736.13</v>
      </c>
      <c r="T149" s="23">
        <f>'Annual Raw'!U48</f>
        <v>729.85</v>
      </c>
      <c r="U149" s="23">
        <f>'Annual Raw'!V48</f>
        <v>203.62</v>
      </c>
      <c r="V149" s="23">
        <f>'Annual Raw'!W48</f>
        <v>448.78</v>
      </c>
      <c r="W149" s="23">
        <f>'Annual Raw'!X48</f>
        <v>449.71</v>
      </c>
      <c r="X149" s="23">
        <f>'Annual Raw'!Y48</f>
        <v>50.15</v>
      </c>
      <c r="Y149" s="23">
        <f>'Annual Raw'!Z48</f>
        <v>46.74</v>
      </c>
      <c r="Z149" s="23">
        <f>'Annual Raw'!AA48</f>
        <v>44.01</v>
      </c>
      <c r="AA149" s="23">
        <f>'Annual Raw'!AB48</f>
        <v>46.6</v>
      </c>
      <c r="AB149" s="24">
        <f t="shared" si="1153"/>
        <v>46.6</v>
      </c>
      <c r="AC149" s="24">
        <f t="shared" si="1154"/>
        <v>46.6</v>
      </c>
      <c r="AD149" s="24">
        <f t="shared" si="1155"/>
        <v>46.6</v>
      </c>
      <c r="AE149" s="24">
        <f t="shared" si="1156"/>
        <v>46.6</v>
      </c>
      <c r="AJ149" s="23">
        <f>+'QTR Raw'!D63</f>
        <v>2287.2399999999998</v>
      </c>
      <c r="AK149" s="23">
        <f t="shared" si="1157"/>
        <v>2287.2399999999998</v>
      </c>
      <c r="AL149" s="23">
        <f>+'QTR Raw'!F63</f>
        <v>3431.18</v>
      </c>
      <c r="AM149" s="23">
        <f t="shared" si="1157"/>
        <v>3431.18</v>
      </c>
      <c r="AN149" s="23">
        <f>+'QTR Raw'!H63</f>
        <v>2601.77</v>
      </c>
      <c r="AO149" s="23">
        <f t="shared" si="1157"/>
        <v>2601.77</v>
      </c>
      <c r="AP149" s="23">
        <f>+'QTR Raw'!J63</f>
        <v>3023.88</v>
      </c>
      <c r="AQ149" s="23">
        <f t="shared" si="1157"/>
        <v>3023.88</v>
      </c>
      <c r="AR149" s="23">
        <f>+'QTR Raw'!L63</f>
        <v>3199.63</v>
      </c>
      <c r="AS149" s="23">
        <f t="shared" si="1157"/>
        <v>3199.63</v>
      </c>
      <c r="AT149" s="23">
        <f>+'QTR Raw'!N63</f>
        <v>4597.67</v>
      </c>
      <c r="AU149" s="23">
        <f t="shared" si="1157"/>
        <v>4597.67</v>
      </c>
      <c r="AV149" s="23">
        <f>+'QTR Raw'!P63</f>
        <v>2960.93</v>
      </c>
      <c r="AW149" s="23">
        <f t="shared" si="1157"/>
        <v>2960.93</v>
      </c>
      <c r="AX149" s="23">
        <f>+'QTR Raw'!R63</f>
        <v>3419.01</v>
      </c>
      <c r="AY149" s="23">
        <f t="shared" si="1157"/>
        <v>3419.01</v>
      </c>
      <c r="AZ149" s="23">
        <f>+'QTR Raw'!T63</f>
        <v>1341.82</v>
      </c>
      <c r="BA149" s="23">
        <f t="shared" si="1157"/>
        <v>1341.82</v>
      </c>
      <c r="BB149" s="23">
        <f>+'QTR Raw'!V63</f>
        <v>2789.86</v>
      </c>
      <c r="BC149" s="23">
        <f t="shared" si="1157"/>
        <v>2789.86</v>
      </c>
      <c r="BD149" s="23">
        <f>+'QTR Raw'!X63</f>
        <v>2766.15</v>
      </c>
      <c r="BE149" s="23">
        <f t="shared" si="1157"/>
        <v>2766.15</v>
      </c>
      <c r="BF149" s="23">
        <f>+'QTR Raw'!Z63</f>
        <v>2329.21</v>
      </c>
      <c r="BG149" s="23">
        <f t="shared" si="1157"/>
        <v>2329.21</v>
      </c>
      <c r="BH149" s="23">
        <f>+'QTR Raw'!AB63</f>
        <v>2371.94</v>
      </c>
      <c r="BI149" s="23">
        <f t="shared" si="1157"/>
        <v>2371.94</v>
      </c>
      <c r="BJ149" s="23">
        <f>+'QTR Raw'!AD63</f>
        <v>1687.52</v>
      </c>
      <c r="BK149" s="23">
        <f t="shared" si="1157"/>
        <v>1687.52</v>
      </c>
      <c r="BL149" s="23">
        <f>+'QTR Raw'!AF63</f>
        <v>1460.59</v>
      </c>
      <c r="BM149" s="23">
        <f t="shared" si="1157"/>
        <v>1460.59</v>
      </c>
      <c r="BN149" s="23">
        <f>+'QTR Raw'!AH63</f>
        <v>2125.8000000000002</v>
      </c>
      <c r="BO149" s="23">
        <f t="shared" si="1157"/>
        <v>2125.8000000000002</v>
      </c>
      <c r="BP149" s="23">
        <f>+'QTR Raw'!AJ63</f>
        <v>2424.29</v>
      </c>
      <c r="BQ149" s="23">
        <f t="shared" si="1157"/>
        <v>2424.29</v>
      </c>
      <c r="BR149" s="23">
        <f>+'QTR Raw'!AL63</f>
        <v>2223.83</v>
      </c>
      <c r="BS149" s="23">
        <f t="shared" si="1157"/>
        <v>2223.83</v>
      </c>
      <c r="BT149" s="23">
        <f>+'QTR Raw'!AN63</f>
        <v>2969.7</v>
      </c>
      <c r="BU149" s="23">
        <f t="shared" si="1157"/>
        <v>2969.7</v>
      </c>
      <c r="BV149" s="23">
        <f>+'QTR Raw'!AP63</f>
        <v>1387.91</v>
      </c>
      <c r="BW149" s="23">
        <f t="shared" si="1157"/>
        <v>1387.91</v>
      </c>
      <c r="BX149" s="23">
        <f>+'QTR Raw'!AR63</f>
        <v>305.18</v>
      </c>
      <c r="BY149" s="23">
        <f t="shared" si="1157"/>
        <v>305.18</v>
      </c>
      <c r="BZ149" s="23">
        <f>+'QTR Raw'!AT63</f>
        <v>330.98</v>
      </c>
      <c r="CA149" s="23">
        <f t="shared" si="1157"/>
        <v>330.98</v>
      </c>
      <c r="CB149" s="23">
        <f>+'QTR Raw'!AV63</f>
        <v>48.53</v>
      </c>
      <c r="CC149" s="23">
        <f t="shared" si="1157"/>
        <v>48.53</v>
      </c>
      <c r="CD149" s="23">
        <f>+'QTR Raw'!AX63</f>
        <v>46.74</v>
      </c>
      <c r="CE149" s="23">
        <f t="shared" si="1158"/>
        <v>46.74</v>
      </c>
      <c r="CF149" s="23">
        <f>+'QTR Raw'!AZ63</f>
        <v>223.91</v>
      </c>
      <c r="CG149" s="23">
        <f t="shared" si="1159"/>
        <v>223.91</v>
      </c>
      <c r="CH149" s="23">
        <f t="shared" si="1135"/>
        <v>44.01</v>
      </c>
      <c r="CI149" s="23">
        <f t="shared" si="1159"/>
        <v>44.01</v>
      </c>
      <c r="CJ149" s="23">
        <f>+'QTR Raw'!BD63</f>
        <v>196.27</v>
      </c>
      <c r="CK149" s="23">
        <f t="shared" si="1160"/>
        <v>196.27</v>
      </c>
      <c r="CL149" s="23">
        <f>+'QTR Raw'!BF63</f>
        <v>46.6</v>
      </c>
      <c r="CM149" s="24">
        <f t="shared" si="1161"/>
        <v>46.6</v>
      </c>
      <c r="CN149" s="24">
        <f t="shared" si="1162"/>
        <v>46.6</v>
      </c>
      <c r="CO149" s="24">
        <f t="shared" si="1163"/>
        <v>46.6</v>
      </c>
      <c r="CP149" s="24">
        <f t="shared" si="1164"/>
        <v>46.6</v>
      </c>
      <c r="CQ149" s="24">
        <f t="shared" si="1165"/>
        <v>46.6</v>
      </c>
      <c r="CR149" s="24">
        <f t="shared" si="1166"/>
        <v>46.6</v>
      </c>
      <c r="CS149" s="24">
        <f t="shared" si="1167"/>
        <v>46.6</v>
      </c>
      <c r="CT149" s="24">
        <f t="shared" si="1168"/>
        <v>46.6</v>
      </c>
      <c r="CU149" s="24">
        <f t="shared" si="1169"/>
        <v>46.6</v>
      </c>
      <c r="CV149" s="24">
        <f t="shared" si="1170"/>
        <v>46.6</v>
      </c>
      <c r="CW149" s="24">
        <f t="shared" si="1171"/>
        <v>46.6</v>
      </c>
      <c r="CX149" s="24">
        <f t="shared" si="1172"/>
        <v>46.6</v>
      </c>
      <c r="CY149" s="24">
        <f t="shared" si="1173"/>
        <v>46.6</v>
      </c>
      <c r="CZ149" s="24">
        <f t="shared" si="1174"/>
        <v>46.6</v>
      </c>
      <c r="DA149" s="24">
        <f t="shared" si="1175"/>
        <v>46.6</v>
      </c>
      <c r="DB149" s="24">
        <f t="shared" si="1176"/>
        <v>46.6</v>
      </c>
      <c r="DE149" s="123"/>
      <c r="DF149" s="23">
        <v>196.27</v>
      </c>
    </row>
    <row r="150" spans="1:110" s="23" customFormat="1" outlineLevel="1" x14ac:dyDescent="0.2">
      <c r="A150" s="23" t="s">
        <v>47</v>
      </c>
      <c r="B150" s="23">
        <f>'Annual Raw'!C87+'Annual Raw'!C88+'Annual Raw'!C89+'Annual Raw'!C90</f>
        <v>0</v>
      </c>
      <c r="C150" s="23">
        <f>'Annual Raw'!D87+'Annual Raw'!D88+'Annual Raw'!D89+'Annual Raw'!D90</f>
        <v>0</v>
      </c>
      <c r="D150" s="23">
        <f>'Annual Raw'!E87+'Annual Raw'!E88+'Annual Raw'!E89+'Annual Raw'!E90</f>
        <v>0</v>
      </c>
      <c r="E150" s="23">
        <f>'Annual Raw'!F87+'Annual Raw'!F88+'Annual Raw'!F89+'Annual Raw'!F90</f>
        <v>0</v>
      </c>
      <c r="F150" s="23">
        <f>'Annual Raw'!G87+'Annual Raw'!G88+'Annual Raw'!G89+'Annual Raw'!G90</f>
        <v>0</v>
      </c>
      <c r="G150" s="23">
        <f>'Annual Raw'!H87+'Annual Raw'!H88+'Annual Raw'!H89+'Annual Raw'!H90</f>
        <v>0</v>
      </c>
      <c r="H150" s="23">
        <f>'Annual Raw'!I87+'Annual Raw'!I88+'Annual Raw'!I89+'Annual Raw'!I90</f>
        <v>0</v>
      </c>
      <c r="I150" s="23">
        <f>'Annual Raw'!J87+'Annual Raw'!J88+'Annual Raw'!J89+'Annual Raw'!J90</f>
        <v>0</v>
      </c>
      <c r="J150" s="23">
        <f>'Annual Raw'!K87+'Annual Raw'!K88+'Annual Raw'!K89+'Annual Raw'!K90</f>
        <v>0</v>
      </c>
      <c r="K150" s="23">
        <f>'Annual Raw'!L87+'Annual Raw'!L88+'Annual Raw'!L89+'Annual Raw'!L90</f>
        <v>0</v>
      </c>
      <c r="L150" s="23">
        <f>'Annual Raw'!M87+'Annual Raw'!M88+'Annual Raw'!M89+'Annual Raw'!M90</f>
        <v>1775.03</v>
      </c>
      <c r="M150" s="23">
        <f>'Annual Raw'!N87+'Annual Raw'!N88+'Annual Raw'!N89+'Annual Raw'!N90</f>
        <v>549.48</v>
      </c>
      <c r="N150" s="23">
        <f>'Annual Raw'!O87+'Annual Raw'!O88+'Annual Raw'!O89+'Annual Raw'!O90</f>
        <v>138.79</v>
      </c>
      <c r="O150" s="23">
        <f>'Annual Raw'!P87+'Annual Raw'!P88+'Annual Raw'!P89+'Annual Raw'!P90</f>
        <v>1006.88</v>
      </c>
      <c r="P150" s="23">
        <f>'Annual Raw'!Q87+'Annual Raw'!Q88+'Annual Raw'!Q89+'Annual Raw'!Q90</f>
        <v>443.42</v>
      </c>
      <c r="Q150" s="23">
        <f>'Annual Raw'!R87+'Annual Raw'!R88+'Annual Raw'!R89+'Annual Raw'!R90</f>
        <v>1013.49</v>
      </c>
      <c r="R150" s="23">
        <f>'Annual Raw'!S87+'Annual Raw'!S88+'Annual Raw'!S89+'Annual Raw'!S90</f>
        <v>574.96</v>
      </c>
      <c r="S150" s="23">
        <f>'Annual Raw'!T87+'Annual Raw'!T88+'Annual Raw'!T89+'Annual Raw'!T90</f>
        <v>93.22</v>
      </c>
      <c r="T150" s="23">
        <f>'Annual Raw'!U87+'Annual Raw'!U88+'Annual Raw'!U89+'Annual Raw'!U90</f>
        <v>602.78000000000009</v>
      </c>
      <c r="U150" s="23">
        <f>'Annual Raw'!V87+'Annual Raw'!V88+'Annual Raw'!V89+'Annual Raw'!V90</f>
        <v>310.02</v>
      </c>
      <c r="V150" s="23">
        <f>'Annual Raw'!W87+'Annual Raw'!W88+'Annual Raw'!W89+'Annual Raw'!W90</f>
        <v>1166.48</v>
      </c>
      <c r="W150" s="23">
        <f>'Annual Raw'!X87+'Annual Raw'!X88+'Annual Raw'!X89+'Annual Raw'!X90</f>
        <v>524.24</v>
      </c>
      <c r="X150" s="23">
        <f>'Annual Raw'!Y87+'Annual Raw'!Y88+'Annual Raw'!Y89+'Annual Raw'!Y90</f>
        <v>453.81</v>
      </c>
      <c r="Y150" s="23">
        <f>'Annual Raw'!Z87+'Annual Raw'!Z88+'Annual Raw'!Z89+'Annual Raw'!Z90</f>
        <v>213.75</v>
      </c>
      <c r="Z150" s="23">
        <f>'Annual Raw'!AA87+'Annual Raw'!AA88+'Annual Raw'!AA89+'Annual Raw'!AA90</f>
        <v>21.55</v>
      </c>
      <c r="AA150" s="23">
        <f>'Annual Raw'!AB87+'Annual Raw'!AB88+'Annual Raw'!AB89+'Annual Raw'!AB90</f>
        <v>4.68</v>
      </c>
      <c r="AB150" s="24">
        <f t="shared" si="1153"/>
        <v>0</v>
      </c>
      <c r="AC150" s="24">
        <f t="shared" si="1154"/>
        <v>0</v>
      </c>
      <c r="AD150" s="24">
        <f t="shared" si="1155"/>
        <v>0</v>
      </c>
      <c r="AE150" s="24">
        <f t="shared" si="1156"/>
        <v>0</v>
      </c>
      <c r="AJ150" s="23">
        <f>+'QTR Raw'!D90</f>
        <v>0</v>
      </c>
      <c r="AK150" s="23">
        <f t="shared" si="1157"/>
        <v>0</v>
      </c>
      <c r="AL150" s="23">
        <f>+'QTR Raw'!F90</f>
        <v>0</v>
      </c>
      <c r="AM150" s="23">
        <f t="shared" si="1157"/>
        <v>0</v>
      </c>
      <c r="AN150" s="23">
        <f>+'QTR Raw'!H90</f>
        <v>0</v>
      </c>
      <c r="AO150" s="23">
        <f t="shared" si="1157"/>
        <v>0</v>
      </c>
      <c r="AP150" s="23">
        <f>+'QTR Raw'!J90</f>
        <v>0</v>
      </c>
      <c r="AQ150" s="23">
        <f t="shared" si="1157"/>
        <v>0</v>
      </c>
      <c r="AR150" s="23">
        <f>+'QTR Raw'!L90</f>
        <v>0</v>
      </c>
      <c r="AS150" s="23">
        <f t="shared" si="1157"/>
        <v>0</v>
      </c>
      <c r="AT150" s="23">
        <f>+'QTR Raw'!N90</f>
        <v>0</v>
      </c>
      <c r="AU150" s="23">
        <f t="shared" si="1157"/>
        <v>0</v>
      </c>
      <c r="AV150" s="23">
        <f>+'QTR Raw'!P90</f>
        <v>0</v>
      </c>
      <c r="AW150" s="23">
        <f t="shared" si="1157"/>
        <v>0</v>
      </c>
      <c r="AX150" s="23">
        <f>+'QTR Raw'!R90</f>
        <v>0</v>
      </c>
      <c r="AY150" s="23">
        <f t="shared" si="1157"/>
        <v>0</v>
      </c>
      <c r="AZ150" s="23">
        <f>+'QTR Raw'!T90</f>
        <v>0</v>
      </c>
      <c r="BA150" s="23">
        <f t="shared" si="1157"/>
        <v>0</v>
      </c>
      <c r="BB150" s="23">
        <f>+'QTR Raw'!V90</f>
        <v>0</v>
      </c>
      <c r="BC150" s="23">
        <f t="shared" si="1157"/>
        <v>0</v>
      </c>
      <c r="BD150" s="23">
        <f>+'QTR Raw'!X90</f>
        <v>0</v>
      </c>
      <c r="BE150" s="23">
        <f t="shared" si="1157"/>
        <v>0</v>
      </c>
      <c r="BF150" s="23">
        <f>+'QTR Raw'!Z90</f>
        <v>0</v>
      </c>
      <c r="BG150" s="23">
        <f t="shared" si="1157"/>
        <v>0</v>
      </c>
      <c r="BH150" s="22">
        <f>+'QTR Raw'!AB90</f>
        <v>0</v>
      </c>
      <c r="BI150" s="23">
        <f t="shared" si="1157"/>
        <v>0</v>
      </c>
      <c r="BJ150" s="23">
        <f>+'QTR Raw'!AD90</f>
        <v>0</v>
      </c>
      <c r="BK150" s="23">
        <f t="shared" si="1157"/>
        <v>0</v>
      </c>
      <c r="BL150" s="23">
        <f>+'QTR Raw'!AF90</f>
        <v>0</v>
      </c>
      <c r="BM150" s="23">
        <f t="shared" si="1157"/>
        <v>0</v>
      </c>
      <c r="BN150" s="23">
        <f>+'QTR Raw'!AH90</f>
        <v>0</v>
      </c>
      <c r="BO150" s="23">
        <f t="shared" si="1157"/>
        <v>0</v>
      </c>
      <c r="BP150" s="23">
        <f>+'QTR Raw'!AJ90</f>
        <v>0</v>
      </c>
      <c r="BQ150" s="23">
        <f t="shared" si="1157"/>
        <v>0</v>
      </c>
      <c r="BR150" s="23">
        <f>+'QTR Raw'!AL90</f>
        <v>0</v>
      </c>
      <c r="BS150" s="23">
        <f t="shared" si="1157"/>
        <v>0</v>
      </c>
      <c r="BT150" s="23">
        <f>+'QTR Raw'!AN90</f>
        <v>0</v>
      </c>
      <c r="BU150" s="23">
        <f t="shared" si="1157"/>
        <v>0</v>
      </c>
      <c r="BV150" s="23">
        <f>+'QTR Raw'!AP90</f>
        <v>0</v>
      </c>
      <c r="BW150" s="23">
        <f t="shared" si="1157"/>
        <v>0</v>
      </c>
      <c r="BX150" s="23">
        <f>+'QTR Raw'!AR90</f>
        <v>0</v>
      </c>
      <c r="BY150" s="23">
        <f t="shared" si="1157"/>
        <v>0</v>
      </c>
      <c r="BZ150" s="23">
        <f>+'QTR Raw'!AT90</f>
        <v>0</v>
      </c>
      <c r="CA150" s="23">
        <f t="shared" si="1157"/>
        <v>0</v>
      </c>
      <c r="CB150" s="23">
        <f>+'QTR Raw'!AV90</f>
        <v>0</v>
      </c>
      <c r="CC150" s="23">
        <f t="shared" si="1157"/>
        <v>0</v>
      </c>
      <c r="CD150" s="23">
        <f>+'QTR Raw'!AX90</f>
        <v>0</v>
      </c>
      <c r="CE150" s="23">
        <f t="shared" si="1158"/>
        <v>0</v>
      </c>
      <c r="CF150" s="23">
        <f>+'QTR Raw'!AZ90</f>
        <v>0</v>
      </c>
      <c r="CG150" s="23">
        <f t="shared" si="1159"/>
        <v>0</v>
      </c>
      <c r="CH150" s="23">
        <f>+Z150</f>
        <v>21.55</v>
      </c>
      <c r="CI150" s="23">
        <f t="shared" si="1159"/>
        <v>21.55</v>
      </c>
      <c r="CJ150" s="23">
        <f>+'QTR Raw'!BD90</f>
        <v>0</v>
      </c>
      <c r="CK150" s="23">
        <f t="shared" si="1160"/>
        <v>0</v>
      </c>
      <c r="CL150" s="23">
        <f>+'QTR Raw'!BF90</f>
        <v>0</v>
      </c>
      <c r="CM150" s="24">
        <f t="shared" si="1161"/>
        <v>0</v>
      </c>
      <c r="CN150" s="24">
        <f t="shared" si="1162"/>
        <v>0</v>
      </c>
      <c r="CO150" s="24">
        <f t="shared" si="1163"/>
        <v>0</v>
      </c>
      <c r="CP150" s="24">
        <f t="shared" si="1164"/>
        <v>0</v>
      </c>
      <c r="CQ150" s="24">
        <f t="shared" si="1165"/>
        <v>0</v>
      </c>
      <c r="CR150" s="24">
        <f t="shared" si="1166"/>
        <v>0</v>
      </c>
      <c r="CS150" s="24">
        <f t="shared" si="1167"/>
        <v>0</v>
      </c>
      <c r="CT150" s="24">
        <f t="shared" si="1168"/>
        <v>0</v>
      </c>
      <c r="CU150" s="24">
        <f t="shared" si="1169"/>
        <v>0</v>
      </c>
      <c r="CV150" s="24">
        <f t="shared" si="1170"/>
        <v>0</v>
      </c>
      <c r="CW150" s="24">
        <f t="shared" si="1171"/>
        <v>0</v>
      </c>
      <c r="CX150" s="24">
        <f t="shared" si="1172"/>
        <v>0</v>
      </c>
      <c r="CY150" s="24">
        <f t="shared" si="1173"/>
        <v>0</v>
      </c>
      <c r="CZ150" s="24">
        <f t="shared" si="1174"/>
        <v>0</v>
      </c>
      <c r="DA150" s="24">
        <f t="shared" si="1175"/>
        <v>0</v>
      </c>
      <c r="DB150" s="24">
        <f t="shared" si="1176"/>
        <v>0</v>
      </c>
      <c r="DE150" s="123"/>
      <c r="DF150" s="23">
        <v>0</v>
      </c>
    </row>
    <row r="151" spans="1:110" s="23" customFormat="1" outlineLevel="1" x14ac:dyDescent="0.2">
      <c r="A151" s="23" t="s">
        <v>48</v>
      </c>
      <c r="B151" s="23">
        <f>'Annual Raw'!C56</f>
        <v>0</v>
      </c>
      <c r="C151" s="23">
        <f>'Annual Raw'!D56</f>
        <v>0</v>
      </c>
      <c r="D151" s="23">
        <f>'Annual Raw'!E56</f>
        <v>0</v>
      </c>
      <c r="E151" s="23">
        <f>'Annual Raw'!F56</f>
        <v>0</v>
      </c>
      <c r="F151" s="23">
        <f>'Annual Raw'!G56</f>
        <v>0</v>
      </c>
      <c r="G151" s="23">
        <f>'Annual Raw'!H56</f>
        <v>0</v>
      </c>
      <c r="H151" s="23">
        <f>'Annual Raw'!I56</f>
        <v>0</v>
      </c>
      <c r="I151" s="23">
        <f>'Annual Raw'!J56</f>
        <v>0</v>
      </c>
      <c r="J151" s="23">
        <f>'Annual Raw'!K56</f>
        <v>0</v>
      </c>
      <c r="K151" s="23">
        <f>'Annual Raw'!L56</f>
        <v>0</v>
      </c>
      <c r="L151" s="23">
        <f>'Annual Raw'!M56</f>
        <v>388.6</v>
      </c>
      <c r="M151" s="23">
        <f>'Annual Raw'!N56</f>
        <v>170.02</v>
      </c>
      <c r="N151" s="23">
        <f>'Annual Raw'!O56</f>
        <v>247.67</v>
      </c>
      <c r="O151" s="23">
        <f>'Annual Raw'!P56</f>
        <v>221.25</v>
      </c>
      <c r="P151" s="23">
        <f>'Annual Raw'!Q56</f>
        <v>33.39</v>
      </c>
      <c r="Q151" s="23">
        <f>'Annual Raw'!R56</f>
        <v>93.59</v>
      </c>
      <c r="R151" s="23">
        <f>'Annual Raw'!S56</f>
        <v>18.16</v>
      </c>
      <c r="S151" s="23">
        <f>'Annual Raw'!T56</f>
        <v>5</v>
      </c>
      <c r="T151" s="23">
        <f>'Annual Raw'!U56</f>
        <v>35.68</v>
      </c>
      <c r="U151" s="23">
        <f>'Annual Raw'!V56</f>
        <v>166.25</v>
      </c>
      <c r="V151" s="23">
        <f>'Annual Raw'!W56</f>
        <v>242.53</v>
      </c>
      <c r="W151" s="23">
        <f>'Annual Raw'!X56</f>
        <v>72.61</v>
      </c>
      <c r="X151" s="23">
        <f>'Annual Raw'!Y56</f>
        <v>33.47</v>
      </c>
      <c r="Y151" s="23">
        <f>'Annual Raw'!Z56</f>
        <v>0</v>
      </c>
      <c r="Z151" s="23">
        <f>'Annual Raw'!AA56</f>
        <v>0</v>
      </c>
      <c r="AA151" s="23">
        <f>'Annual Raw'!AB56</f>
        <v>0</v>
      </c>
      <c r="AB151" s="24">
        <f t="shared" si="1153"/>
        <v>4.68</v>
      </c>
      <c r="AC151" s="24">
        <f t="shared" si="1154"/>
        <v>4.68</v>
      </c>
      <c r="AD151" s="24">
        <f t="shared" si="1155"/>
        <v>4.68</v>
      </c>
      <c r="AE151" s="24">
        <f t="shared" si="1156"/>
        <v>4.68</v>
      </c>
      <c r="AJ151" s="23">
        <f>+'QTR Raw'!D88</f>
        <v>247.52</v>
      </c>
      <c r="AK151" s="23">
        <f t="shared" si="1157"/>
        <v>247.52</v>
      </c>
      <c r="AL151" s="23">
        <f>+'QTR Raw'!F88</f>
        <v>247.67</v>
      </c>
      <c r="AM151" s="23">
        <f t="shared" si="1157"/>
        <v>247.67</v>
      </c>
      <c r="AN151" s="23">
        <f>+'QTR Raw'!H88</f>
        <v>256.64</v>
      </c>
      <c r="AO151" s="23">
        <f t="shared" si="1157"/>
        <v>256.64</v>
      </c>
      <c r="AP151" s="23">
        <f>+'QTR Raw'!J88</f>
        <v>221.25</v>
      </c>
      <c r="AQ151" s="23">
        <f t="shared" si="1157"/>
        <v>221.25</v>
      </c>
      <c r="AR151" s="23">
        <f>+'QTR Raw'!L88</f>
        <v>50.96</v>
      </c>
      <c r="AS151" s="23">
        <f t="shared" si="1157"/>
        <v>50.96</v>
      </c>
      <c r="AT151" s="23">
        <f>+'QTR Raw'!N88</f>
        <v>33.39</v>
      </c>
      <c r="AU151" s="23">
        <f t="shared" si="1157"/>
        <v>33.39</v>
      </c>
      <c r="AV151" s="23">
        <f>+'QTR Raw'!P88</f>
        <v>11.54</v>
      </c>
      <c r="AW151" s="23">
        <f t="shared" si="1157"/>
        <v>11.54</v>
      </c>
      <c r="AX151" s="23">
        <f>+'QTR Raw'!R88</f>
        <v>93.59</v>
      </c>
      <c r="AY151" s="23">
        <f t="shared" si="1157"/>
        <v>93.59</v>
      </c>
      <c r="AZ151" s="23">
        <f>+'QTR Raw'!T88</f>
        <v>17.07</v>
      </c>
      <c r="BA151" s="23">
        <f t="shared" si="1157"/>
        <v>17.07</v>
      </c>
      <c r="BB151" s="23">
        <f>+'QTR Raw'!V88</f>
        <v>18.16</v>
      </c>
      <c r="BC151" s="23">
        <f t="shared" si="1157"/>
        <v>18.16</v>
      </c>
      <c r="BD151" s="23">
        <f>+'QTR Raw'!X88</f>
        <v>649.02</v>
      </c>
      <c r="BE151" s="23">
        <f t="shared" si="1157"/>
        <v>649.02</v>
      </c>
      <c r="BF151" s="23">
        <f>+'QTR Raw'!Z88</f>
        <v>5</v>
      </c>
      <c r="BG151" s="23">
        <f t="shared" si="1157"/>
        <v>5</v>
      </c>
      <c r="BH151" s="23">
        <f>+'QTR Raw'!AB88</f>
        <v>25.89</v>
      </c>
      <c r="BI151" s="23">
        <f t="shared" si="1157"/>
        <v>25.89</v>
      </c>
      <c r="BJ151" s="23">
        <f>+'QTR Raw'!AD88</f>
        <v>35.68</v>
      </c>
      <c r="BK151" s="23">
        <f t="shared" si="1157"/>
        <v>35.68</v>
      </c>
      <c r="BL151" s="23">
        <f>+'QTR Raw'!AF88</f>
        <v>87.35</v>
      </c>
      <c r="BM151" s="23">
        <f t="shared" si="1157"/>
        <v>87.35</v>
      </c>
      <c r="BN151" s="23">
        <f>+'QTR Raw'!AH88</f>
        <v>166.25</v>
      </c>
      <c r="BO151" s="23">
        <f t="shared" si="1157"/>
        <v>166.25</v>
      </c>
      <c r="BP151" s="23">
        <f>+'QTR Raw'!AJ88</f>
        <v>277.38</v>
      </c>
      <c r="BQ151" s="23">
        <f t="shared" si="1157"/>
        <v>277.38</v>
      </c>
      <c r="BR151" s="23">
        <f>+'QTR Raw'!AL88</f>
        <v>1409.01</v>
      </c>
      <c r="BS151" s="23">
        <f t="shared" si="1157"/>
        <v>1409.01</v>
      </c>
      <c r="BT151" s="23">
        <f>+'QTR Raw'!AN88</f>
        <v>1110.95</v>
      </c>
      <c r="BU151" s="23">
        <f t="shared" si="1157"/>
        <v>1110.95</v>
      </c>
      <c r="BV151" s="23">
        <f>+'QTR Raw'!AP88</f>
        <v>596.85</v>
      </c>
      <c r="BW151" s="23">
        <f t="shared" si="1157"/>
        <v>596.85</v>
      </c>
      <c r="BX151" s="23">
        <f>+'QTR Raw'!AR88</f>
        <v>463.47</v>
      </c>
      <c r="BY151" s="23">
        <f t="shared" si="1157"/>
        <v>463.47</v>
      </c>
      <c r="BZ151" s="23">
        <f>+'QTR Raw'!AT88</f>
        <v>487.28</v>
      </c>
      <c r="CA151" s="23">
        <f t="shared" si="1157"/>
        <v>487.28</v>
      </c>
      <c r="CB151" s="23">
        <f>+'QTR Raw'!AV88</f>
        <v>241.84</v>
      </c>
      <c r="CC151" s="23">
        <f t="shared" si="1157"/>
        <v>241.84</v>
      </c>
      <c r="CD151" s="23">
        <f>+'QTR Raw'!AX88</f>
        <v>213.75</v>
      </c>
      <c r="CE151" s="23">
        <f t="shared" si="1158"/>
        <v>213.75</v>
      </c>
      <c r="CF151" s="23">
        <f>+'QTR Raw'!AZ88</f>
        <v>58.37</v>
      </c>
      <c r="CG151" s="23">
        <f t="shared" si="1159"/>
        <v>58.37</v>
      </c>
      <c r="CH151" s="23">
        <f t="shared" si="1135"/>
        <v>0</v>
      </c>
      <c r="CI151" s="23">
        <f t="shared" si="1159"/>
        <v>0</v>
      </c>
      <c r="CJ151" s="23">
        <f>+'QTR Raw'!BD88</f>
        <v>82.28</v>
      </c>
      <c r="CK151" s="23">
        <f t="shared" si="1160"/>
        <v>82.28</v>
      </c>
      <c r="CL151" s="23">
        <f>+'QTR Raw'!BF88</f>
        <v>4.68</v>
      </c>
      <c r="CM151" s="24">
        <f t="shared" si="1161"/>
        <v>4.68</v>
      </c>
      <c r="CN151" s="24">
        <f t="shared" si="1162"/>
        <v>4.68</v>
      </c>
      <c r="CO151" s="24">
        <f t="shared" si="1163"/>
        <v>4.68</v>
      </c>
      <c r="CP151" s="24">
        <f t="shared" si="1164"/>
        <v>4.68</v>
      </c>
      <c r="CQ151" s="24">
        <f t="shared" si="1165"/>
        <v>4.68</v>
      </c>
      <c r="CR151" s="24">
        <f t="shared" si="1166"/>
        <v>4.68</v>
      </c>
      <c r="CS151" s="24">
        <f t="shared" si="1167"/>
        <v>4.68</v>
      </c>
      <c r="CT151" s="24">
        <f t="shared" si="1168"/>
        <v>4.68</v>
      </c>
      <c r="CU151" s="24">
        <f t="shared" si="1169"/>
        <v>4.68</v>
      </c>
      <c r="CV151" s="24">
        <f t="shared" si="1170"/>
        <v>4.68</v>
      </c>
      <c r="CW151" s="24">
        <f t="shared" si="1171"/>
        <v>4.68</v>
      </c>
      <c r="CX151" s="24">
        <f t="shared" si="1172"/>
        <v>4.68</v>
      </c>
      <c r="CY151" s="24">
        <f t="shared" si="1173"/>
        <v>4.68</v>
      </c>
      <c r="CZ151" s="24">
        <f t="shared" si="1174"/>
        <v>4.68</v>
      </c>
      <c r="DA151" s="24">
        <f t="shared" si="1175"/>
        <v>4.68</v>
      </c>
      <c r="DB151" s="24">
        <f t="shared" si="1176"/>
        <v>4.68</v>
      </c>
      <c r="DE151" s="123"/>
      <c r="DF151" s="23">
        <v>82.28</v>
      </c>
    </row>
    <row r="152" spans="1:110" s="22" customFormat="1" x14ac:dyDescent="0.2">
      <c r="A152" s="22" t="s">
        <v>49</v>
      </c>
      <c r="B152" s="22">
        <f>SUM(B148:B151)</f>
        <v>555.30999999999995</v>
      </c>
      <c r="C152" s="22">
        <f t="shared" ref="C152:V152" si="1177">SUM(C148:C151)</f>
        <v>1479.56</v>
      </c>
      <c r="D152" s="22">
        <f t="shared" si="1177"/>
        <v>1466.75</v>
      </c>
      <c r="E152" s="22">
        <f t="shared" si="1177"/>
        <v>2114.88</v>
      </c>
      <c r="F152" s="22">
        <f t="shared" si="1177"/>
        <v>2016.53</v>
      </c>
      <c r="G152" s="22">
        <f t="shared" si="1177"/>
        <v>1534.33</v>
      </c>
      <c r="H152" s="22">
        <f t="shared" si="1177"/>
        <v>2070.42</v>
      </c>
      <c r="I152" s="22">
        <f t="shared" si="1177"/>
        <v>3490.46</v>
      </c>
      <c r="J152" s="22">
        <f t="shared" si="1177"/>
        <v>4670.68</v>
      </c>
      <c r="K152" s="22">
        <f t="shared" si="1177"/>
        <v>4482.6000000000004</v>
      </c>
      <c r="L152" s="22">
        <f t="shared" si="1177"/>
        <v>4243.01</v>
      </c>
      <c r="M152" s="22">
        <f t="shared" si="1177"/>
        <v>3803.28</v>
      </c>
      <c r="N152" s="22">
        <f t="shared" si="1177"/>
        <v>3817.64</v>
      </c>
      <c r="O152" s="22">
        <f t="shared" si="1177"/>
        <v>4252.01</v>
      </c>
      <c r="P152" s="22">
        <f t="shared" si="1177"/>
        <v>5074.4800000000005</v>
      </c>
      <c r="Q152" s="22">
        <f t="shared" si="1177"/>
        <v>4526.09</v>
      </c>
      <c r="R152" s="22">
        <f t="shared" si="1177"/>
        <v>3382.9799999999996</v>
      </c>
      <c r="S152" s="22">
        <f t="shared" si="1177"/>
        <v>2427.4299999999998</v>
      </c>
      <c r="T152" s="22">
        <f t="shared" si="1177"/>
        <v>2325.98</v>
      </c>
      <c r="U152" s="22">
        <f t="shared" si="1177"/>
        <v>2602.0700000000002</v>
      </c>
      <c r="V152" s="22">
        <f t="shared" si="1177"/>
        <v>3632.84</v>
      </c>
      <c r="W152" s="22">
        <f t="shared" ref="W152" si="1178">SUM(W148:W151)</f>
        <v>1984.76</v>
      </c>
      <c r="X152" s="22">
        <f t="shared" ref="X152:Y152" si="1179">SUM(X148:X151)</f>
        <v>818.26</v>
      </c>
      <c r="Y152" s="22">
        <f t="shared" si="1179"/>
        <v>260.49</v>
      </c>
      <c r="Z152" s="22">
        <f t="shared" ref="Z152:AA152" si="1180">SUM(Z148:Z151)</f>
        <v>224.7</v>
      </c>
      <c r="AA152" s="22">
        <f t="shared" si="1180"/>
        <v>51.28</v>
      </c>
      <c r="AB152" s="21">
        <f t="shared" ref="AA152:AD152" si="1181">SUM(AB148:AB151)</f>
        <v>51.28</v>
      </c>
      <c r="AC152" s="21">
        <f t="shared" si="1181"/>
        <v>51.28</v>
      </c>
      <c r="AD152" s="21">
        <f t="shared" si="1181"/>
        <v>51.28</v>
      </c>
      <c r="AE152" s="21">
        <f t="shared" ref="AE152" si="1182">SUM(AE148:AE151)</f>
        <v>51.28</v>
      </c>
      <c r="AJ152" s="22">
        <f t="shared" ref="AJ152" si="1183">SUM(AJ148:AJ151)</f>
        <v>2534.7599999999998</v>
      </c>
      <c r="AK152" s="22">
        <f t="shared" ref="AK152" si="1184">SUM(AK148:AK151)</f>
        <v>2534.7599999999998</v>
      </c>
      <c r="AL152" s="22">
        <f t="shared" ref="AL152:AM152" si="1185">SUM(AL148:AL151)</f>
        <v>3678.85</v>
      </c>
      <c r="AM152" s="22">
        <f t="shared" si="1185"/>
        <v>3678.85</v>
      </c>
      <c r="AN152" s="22">
        <f t="shared" ref="AN152:AO152" si="1186">SUM(AN148:AN151)</f>
        <v>2858.41</v>
      </c>
      <c r="AO152" s="22">
        <f t="shared" si="1186"/>
        <v>2858.41</v>
      </c>
      <c r="AP152" s="22">
        <f t="shared" ref="AP152:CE152" si="1187">SUM(AP148:AP151)</f>
        <v>3245.13</v>
      </c>
      <c r="AQ152" s="22">
        <f t="shared" si="1187"/>
        <v>3245.13</v>
      </c>
      <c r="AR152" s="22">
        <f t="shared" si="1187"/>
        <v>3250.59</v>
      </c>
      <c r="AS152" s="22">
        <f t="shared" si="1187"/>
        <v>3250.59</v>
      </c>
      <c r="AT152" s="22">
        <f t="shared" si="1187"/>
        <v>4631.0600000000004</v>
      </c>
      <c r="AU152" s="22">
        <f t="shared" si="1187"/>
        <v>4631.0600000000004</v>
      </c>
      <c r="AV152" s="22">
        <f t="shared" si="1187"/>
        <v>2972.47</v>
      </c>
      <c r="AW152" s="22">
        <f t="shared" si="1187"/>
        <v>2972.47</v>
      </c>
      <c r="AX152" s="22">
        <f t="shared" si="1187"/>
        <v>3512.6000000000004</v>
      </c>
      <c r="AY152" s="22">
        <f t="shared" si="1187"/>
        <v>3512.6000000000004</v>
      </c>
      <c r="AZ152" s="22">
        <f t="shared" si="1187"/>
        <v>1358.8899999999999</v>
      </c>
      <c r="BA152" s="22">
        <f t="shared" si="1187"/>
        <v>1358.8899999999999</v>
      </c>
      <c r="BB152" s="22">
        <f t="shared" si="1187"/>
        <v>2808.02</v>
      </c>
      <c r="BC152" s="22">
        <f t="shared" si="1187"/>
        <v>2808.02</v>
      </c>
      <c r="BD152" s="22">
        <f t="shared" si="1187"/>
        <v>3415.17</v>
      </c>
      <c r="BE152" s="22">
        <f t="shared" si="1187"/>
        <v>3415.17</v>
      </c>
      <c r="BF152" s="22">
        <f t="shared" si="1187"/>
        <v>2334.21</v>
      </c>
      <c r="BG152" s="22">
        <f t="shared" si="1187"/>
        <v>2334.21</v>
      </c>
      <c r="BH152" s="22">
        <f t="shared" ref="BH152" si="1188">SUM(BH148:BH151)</f>
        <v>2397.83</v>
      </c>
      <c r="BI152" s="22">
        <f t="shared" si="1187"/>
        <v>2397.83</v>
      </c>
      <c r="BJ152" s="22">
        <f t="shared" si="1187"/>
        <v>1723.2</v>
      </c>
      <c r="BK152" s="22">
        <f t="shared" si="1187"/>
        <v>1723.2</v>
      </c>
      <c r="BL152" s="22">
        <f t="shared" si="1187"/>
        <v>1547.9399999999998</v>
      </c>
      <c r="BM152" s="22">
        <f t="shared" si="1187"/>
        <v>1547.9399999999998</v>
      </c>
      <c r="BN152" s="22">
        <f t="shared" si="1187"/>
        <v>2292.0500000000002</v>
      </c>
      <c r="BO152" s="22">
        <f t="shared" si="1187"/>
        <v>2292.0500000000002</v>
      </c>
      <c r="BP152" s="22">
        <f t="shared" si="1187"/>
        <v>2701.67</v>
      </c>
      <c r="BQ152" s="22">
        <f t="shared" si="1187"/>
        <v>2701.67</v>
      </c>
      <c r="BR152" s="22">
        <f t="shared" si="1187"/>
        <v>3632.84</v>
      </c>
      <c r="BS152" s="22">
        <f t="shared" si="1187"/>
        <v>3632.84</v>
      </c>
      <c r="BT152" s="22">
        <f t="shared" si="1187"/>
        <v>4080.6499999999996</v>
      </c>
      <c r="BU152" s="22">
        <f t="shared" si="1187"/>
        <v>4080.6499999999996</v>
      </c>
      <c r="BV152" s="22">
        <f t="shared" si="1187"/>
        <v>1984.7600000000002</v>
      </c>
      <c r="BW152" s="22">
        <f t="shared" si="1187"/>
        <v>1984.7600000000002</v>
      </c>
      <c r="BX152" s="22">
        <f t="shared" si="1187"/>
        <v>768.65000000000009</v>
      </c>
      <c r="BY152" s="22">
        <f t="shared" si="1187"/>
        <v>768.65000000000009</v>
      </c>
      <c r="BZ152" s="22">
        <f t="shared" si="1187"/>
        <v>818.26</v>
      </c>
      <c r="CA152" s="22">
        <f t="shared" si="1187"/>
        <v>818.26</v>
      </c>
      <c r="CB152" s="22">
        <f t="shared" si="1187"/>
        <v>290.37</v>
      </c>
      <c r="CC152" s="22">
        <f t="shared" si="1187"/>
        <v>290.37</v>
      </c>
      <c r="CD152" s="22">
        <f t="shared" si="1187"/>
        <v>260.49</v>
      </c>
      <c r="CE152" s="22">
        <f t="shared" si="1187"/>
        <v>260.49</v>
      </c>
      <c r="CF152" s="22">
        <f t="shared" ref="CF152:CG152" si="1189">SUM(CF148:CF151)</f>
        <v>282.27999999999997</v>
      </c>
      <c r="CG152" s="22">
        <f t="shared" si="1189"/>
        <v>282.27999999999997</v>
      </c>
      <c r="CH152" s="22">
        <f t="shared" ref="CH152:CI152" si="1190">SUM(CH148:CH151)</f>
        <v>224.7</v>
      </c>
      <c r="CI152" s="22">
        <f t="shared" si="1190"/>
        <v>224.7</v>
      </c>
      <c r="CJ152" s="22">
        <f t="shared" ref="CJ152:DB152" si="1191">SUM(CJ148:CJ151)</f>
        <v>278.55</v>
      </c>
      <c r="CK152" s="22">
        <f t="shared" si="1191"/>
        <v>278.55</v>
      </c>
      <c r="CL152" s="22">
        <f t="shared" ref="CL152" si="1192">SUM(CL148:CL151)</f>
        <v>51.28</v>
      </c>
      <c r="CM152" s="21">
        <f t="shared" si="1191"/>
        <v>51.28</v>
      </c>
      <c r="CN152" s="21">
        <f t="shared" si="1191"/>
        <v>51.28</v>
      </c>
      <c r="CO152" s="21">
        <f t="shared" si="1191"/>
        <v>51.28</v>
      </c>
      <c r="CP152" s="21">
        <f t="shared" si="1191"/>
        <v>51.28</v>
      </c>
      <c r="CQ152" s="21">
        <f t="shared" si="1191"/>
        <v>51.28</v>
      </c>
      <c r="CR152" s="21">
        <f t="shared" si="1191"/>
        <v>51.28</v>
      </c>
      <c r="CS152" s="21">
        <f t="shared" si="1191"/>
        <v>51.28</v>
      </c>
      <c r="CT152" s="21">
        <f t="shared" si="1191"/>
        <v>51.28</v>
      </c>
      <c r="CU152" s="21">
        <f t="shared" si="1191"/>
        <v>51.28</v>
      </c>
      <c r="CV152" s="21">
        <f t="shared" si="1191"/>
        <v>51.28</v>
      </c>
      <c r="CW152" s="21">
        <f t="shared" si="1191"/>
        <v>51.28</v>
      </c>
      <c r="CX152" s="21">
        <f t="shared" si="1191"/>
        <v>51.28</v>
      </c>
      <c r="CY152" s="21">
        <f t="shared" si="1191"/>
        <v>51.28</v>
      </c>
      <c r="CZ152" s="21">
        <f t="shared" si="1191"/>
        <v>51.28</v>
      </c>
      <c r="DA152" s="21">
        <f t="shared" si="1191"/>
        <v>51.28</v>
      </c>
      <c r="DB152" s="21">
        <f t="shared" si="1191"/>
        <v>51.28</v>
      </c>
      <c r="DE152" s="126"/>
      <c r="DF152" s="22">
        <v>278.55</v>
      </c>
    </row>
    <row r="153" spans="1:110" s="26" customFormat="1" x14ac:dyDescent="0.2">
      <c r="A153" s="26" t="s">
        <v>437</v>
      </c>
      <c r="B153" s="26">
        <f>B152+B144+B146</f>
        <v>1580.53</v>
      </c>
      <c r="C153" s="26">
        <f t="shared" ref="C153:V153" si="1193">C152+C144+C146</f>
        <v>2702.7</v>
      </c>
      <c r="D153" s="26">
        <f>D152+D144+D146</f>
        <v>2710.8599999999997</v>
      </c>
      <c r="E153" s="26">
        <f t="shared" si="1193"/>
        <v>3363.8</v>
      </c>
      <c r="F153" s="26">
        <f t="shared" si="1193"/>
        <v>3566.74</v>
      </c>
      <c r="G153" s="26">
        <f t="shared" si="1193"/>
        <v>3706.3300000000004</v>
      </c>
      <c r="H153" s="26">
        <f t="shared" si="1193"/>
        <v>4442.88</v>
      </c>
      <c r="I153" s="26">
        <f t="shared" si="1193"/>
        <v>6041.56</v>
      </c>
      <c r="J153" s="26">
        <f t="shared" si="1193"/>
        <v>8242.68</v>
      </c>
      <c r="K153" s="26">
        <f t="shared" si="1193"/>
        <v>7300.49</v>
      </c>
      <c r="L153" s="26">
        <f t="shared" si="1193"/>
        <v>7450.1800000000012</v>
      </c>
      <c r="M153" s="26">
        <f t="shared" si="1193"/>
        <v>7543.8799999999992</v>
      </c>
      <c r="N153" s="26">
        <f t="shared" si="1193"/>
        <v>7504.64</v>
      </c>
      <c r="O153" s="26">
        <f t="shared" si="1193"/>
        <v>7624.33</v>
      </c>
      <c r="P153" s="26">
        <f t="shared" si="1193"/>
        <v>8039.5400000000009</v>
      </c>
      <c r="Q153" s="26">
        <f t="shared" si="1193"/>
        <v>7849.27</v>
      </c>
      <c r="R153" s="26">
        <f t="shared" si="1193"/>
        <v>6638.49</v>
      </c>
      <c r="S153" s="26">
        <f t="shared" si="1193"/>
        <v>7385.920000000001</v>
      </c>
      <c r="T153" s="26">
        <f t="shared" si="1193"/>
        <v>7473.8399999999992</v>
      </c>
      <c r="U153" s="26">
        <f t="shared" si="1193"/>
        <v>7723.7800000000007</v>
      </c>
      <c r="V153" s="26">
        <f t="shared" si="1193"/>
        <v>7915.85</v>
      </c>
      <c r="W153" s="26">
        <f t="shared" ref="W153" si="1194">W152+W144+W146</f>
        <v>9640.02</v>
      </c>
      <c r="X153" s="26">
        <f t="shared" ref="X153:Y153" si="1195">X152+X144+X146</f>
        <v>9460.31</v>
      </c>
      <c r="Y153" s="26">
        <f t="shared" si="1195"/>
        <v>10389.199999999999</v>
      </c>
      <c r="Z153" s="26">
        <f t="shared" ref="Z153:AA153" si="1196">Z152+Z144+Z146</f>
        <v>12640.310000000001</v>
      </c>
      <c r="AA153" s="26">
        <f t="shared" si="1196"/>
        <v>14990.600000000002</v>
      </c>
      <c r="AB153" s="27">
        <f t="shared" ref="AA153:AD153" si="1197">AB152+AB144+AB146</f>
        <v>17093.665085509387</v>
      </c>
      <c r="AC153" s="27">
        <f t="shared" si="1197"/>
        <v>19677.510426644159</v>
      </c>
      <c r="AD153" s="27">
        <f t="shared" si="1197"/>
        <v>22541.076660707549</v>
      </c>
      <c r="AE153" s="27">
        <f t="shared" ref="AE153" si="1198">AE152+AE144+AE146</f>
        <v>25668.863376355599</v>
      </c>
      <c r="AJ153" s="26">
        <f t="shared" ref="AJ153" si="1199">AJ152+AJ144+AJ146</f>
        <v>6203.32</v>
      </c>
      <c r="AK153" s="26">
        <f t="shared" ref="AK153" si="1200">AK152+AK144+AK146</f>
        <v>6267.94</v>
      </c>
      <c r="AL153" s="26">
        <f t="shared" ref="AL153" si="1201">AL152+AL144+AL146</f>
        <v>7365.85</v>
      </c>
      <c r="AM153" s="26">
        <f t="shared" ref="AM153:AO153" si="1202">AM152+AM144+AM146</f>
        <v>7346.76</v>
      </c>
      <c r="AN153" s="26">
        <f t="shared" si="1202"/>
        <v>5823.1299999999992</v>
      </c>
      <c r="AO153" s="26">
        <f t="shared" si="1202"/>
        <v>5882.6999999999989</v>
      </c>
      <c r="AP153" s="26">
        <f t="shared" ref="AP153:CE153" si="1203">AP152+AP144+AP146</f>
        <v>6617.45</v>
      </c>
      <c r="AQ153" s="26">
        <f t="shared" si="1203"/>
        <v>6582.63</v>
      </c>
      <c r="AR153" s="26">
        <f t="shared" si="1203"/>
        <v>5920.9500000000007</v>
      </c>
      <c r="AS153" s="26">
        <f t="shared" si="1203"/>
        <v>5982.7900000000009</v>
      </c>
      <c r="AT153" s="26">
        <f t="shared" si="1203"/>
        <v>7596.1200000000008</v>
      </c>
      <c r="AU153" s="26">
        <f t="shared" si="1203"/>
        <v>7630.9000000000005</v>
      </c>
      <c r="AV153" s="26">
        <f t="shared" si="1203"/>
        <v>5637.37</v>
      </c>
      <c r="AW153" s="26">
        <f t="shared" si="1203"/>
        <v>5650.68</v>
      </c>
      <c r="AX153" s="26">
        <f t="shared" si="1203"/>
        <v>6835.7800000000007</v>
      </c>
      <c r="AY153" s="26">
        <f t="shared" si="1203"/>
        <v>6666.33</v>
      </c>
      <c r="AZ153" s="26">
        <f t="shared" si="1203"/>
        <v>3937.1</v>
      </c>
      <c r="BA153" s="26">
        <f t="shared" si="1203"/>
        <v>4030.08</v>
      </c>
      <c r="BB153" s="26">
        <f t="shared" si="1203"/>
        <v>6063.53</v>
      </c>
      <c r="BC153" s="26">
        <f t="shared" si="1203"/>
        <v>6038.57</v>
      </c>
      <c r="BD153" s="26">
        <f t="shared" si="1203"/>
        <v>6685.98</v>
      </c>
      <c r="BE153" s="26">
        <f t="shared" si="1203"/>
        <v>6793.85</v>
      </c>
      <c r="BF153" s="26">
        <f t="shared" si="1203"/>
        <v>7292.7000000000007</v>
      </c>
      <c r="BG153" s="26">
        <f t="shared" si="1203"/>
        <v>7307.9600000000009</v>
      </c>
      <c r="BH153" s="26">
        <f t="shared" ref="BH153" si="1204">BH152+BH144+BH146</f>
        <v>7365.11</v>
      </c>
      <c r="BI153" s="26">
        <f t="shared" si="1203"/>
        <v>7526.8899999999994</v>
      </c>
      <c r="BJ153" s="26">
        <f t="shared" si="1203"/>
        <v>6871.0599999999995</v>
      </c>
      <c r="BK153" s="26">
        <f t="shared" si="1203"/>
        <v>6876.7199999999993</v>
      </c>
      <c r="BL153" s="26">
        <f t="shared" si="1203"/>
        <v>6354.76</v>
      </c>
      <c r="BM153" s="26">
        <f t="shared" si="1203"/>
        <v>6557.89</v>
      </c>
      <c r="BN153" s="26">
        <f t="shared" si="1203"/>
        <v>7413.76</v>
      </c>
      <c r="BO153" s="26">
        <f t="shared" si="1203"/>
        <v>7133.84</v>
      </c>
      <c r="BP153" s="26">
        <f t="shared" si="1203"/>
        <v>7030.2199999999993</v>
      </c>
      <c r="BQ153" s="26">
        <f t="shared" si="1203"/>
        <v>6911.34</v>
      </c>
      <c r="BR153" s="26">
        <f t="shared" si="1203"/>
        <v>7915.85</v>
      </c>
      <c r="BS153" s="26">
        <f t="shared" si="1203"/>
        <v>7638.51</v>
      </c>
      <c r="BT153" s="26">
        <f t="shared" si="1203"/>
        <v>7939.8099999999995</v>
      </c>
      <c r="BU153" s="26">
        <f t="shared" si="1203"/>
        <v>8015.82</v>
      </c>
      <c r="BV153" s="26">
        <f t="shared" si="1203"/>
        <v>9640.02</v>
      </c>
      <c r="BW153" s="26">
        <f t="shared" si="1203"/>
        <v>9810.0700000000015</v>
      </c>
      <c r="BX153" s="26">
        <f t="shared" si="1203"/>
        <v>8572.0999999999985</v>
      </c>
      <c r="BY153" s="26">
        <f t="shared" si="1203"/>
        <v>8954.81</v>
      </c>
      <c r="BZ153" s="26">
        <f t="shared" si="1203"/>
        <v>9460.31</v>
      </c>
      <c r="CA153" s="26">
        <f t="shared" si="1203"/>
        <v>9682.75</v>
      </c>
      <c r="CB153" s="26">
        <f t="shared" si="1203"/>
        <v>9266.7100000000009</v>
      </c>
      <c r="CC153" s="26">
        <f t="shared" si="1203"/>
        <v>9718.6600000000017</v>
      </c>
      <c r="CD153" s="26">
        <f t="shared" si="1203"/>
        <v>10389.199999999999</v>
      </c>
      <c r="CE153" s="26">
        <f t="shared" si="1203"/>
        <v>10637.589999999998</v>
      </c>
      <c r="CF153" s="26">
        <f t="shared" ref="CF153:CG153" si="1205">CF152+CF144+CF146</f>
        <v>11604.110000000002</v>
      </c>
      <c r="CG153" s="26">
        <f t="shared" si="1205"/>
        <v>12186.430000000002</v>
      </c>
      <c r="CH153" s="26">
        <f t="shared" ref="CH153:CI153" si="1206">CH152+CH144+CH146</f>
        <v>12640.310000000001</v>
      </c>
      <c r="CI153" s="26">
        <f t="shared" si="1206"/>
        <v>12936.68</v>
      </c>
      <c r="CJ153" s="26">
        <f t="shared" ref="CJ153:DB153" si="1207">CJ152+CJ144+CJ146</f>
        <v>13176.02</v>
      </c>
      <c r="CK153" s="26">
        <f t="shared" si="1207"/>
        <v>14079.25</v>
      </c>
      <c r="CL153" s="26">
        <f t="shared" ref="CL153" si="1208">CL152+CL144+CL146</f>
        <v>14990.600000000002</v>
      </c>
      <c r="CM153" s="27">
        <f t="shared" si="1207"/>
        <v>15479.229776393542</v>
      </c>
      <c r="CN153" s="27">
        <f t="shared" si="1207"/>
        <v>15993.162355501529</v>
      </c>
      <c r="CO153" s="27">
        <f t="shared" si="1207"/>
        <v>16552.501956060751</v>
      </c>
      <c r="CP153" s="27">
        <f t="shared" si="1207"/>
        <v>17093.665085509387</v>
      </c>
      <c r="CQ153" s="27">
        <f t="shared" si="1207"/>
        <v>17692.365803497982</v>
      </c>
      <c r="CR153" s="27">
        <f t="shared" si="1207"/>
        <v>18322.092252508111</v>
      </c>
      <c r="CS153" s="27">
        <f t="shared" si="1207"/>
        <v>18984.847830515871</v>
      </c>
      <c r="CT153" s="27">
        <f t="shared" si="1207"/>
        <v>19677.510426644159</v>
      </c>
      <c r="CU153" s="27">
        <f t="shared" si="1207"/>
        <v>20362.691685604204</v>
      </c>
      <c r="CV153" s="27">
        <f t="shared" si="1207"/>
        <v>21070.159062184397</v>
      </c>
      <c r="CW153" s="27">
        <f t="shared" si="1207"/>
        <v>21797.496004796016</v>
      </c>
      <c r="CX153" s="27">
        <f t="shared" si="1207"/>
        <v>22541.076660707549</v>
      </c>
      <c r="CY153" s="27">
        <f t="shared" si="1207"/>
        <v>23297.170152846073</v>
      </c>
      <c r="CZ153" s="27">
        <f t="shared" si="1207"/>
        <v>24071.231573918103</v>
      </c>
      <c r="DA153" s="27">
        <f t="shared" si="1207"/>
        <v>24862.077114867287</v>
      </c>
      <c r="DB153" s="27">
        <f t="shared" si="1207"/>
        <v>25668.863376355599</v>
      </c>
      <c r="DE153" s="121"/>
      <c r="DF153" s="26">
        <v>14702.452060782522</v>
      </c>
    </row>
    <row r="154" spans="1:110" s="23" customFormat="1" x14ac:dyDescent="0.2">
      <c r="AB154" s="24"/>
      <c r="AC154" s="24"/>
      <c r="AD154" s="24"/>
      <c r="AE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</row>
    <row r="155" spans="1:110" s="23" customFormat="1" outlineLevel="1" x14ac:dyDescent="0.2">
      <c r="A155" s="23" t="s">
        <v>50</v>
      </c>
      <c r="B155" s="23">
        <f>'Annual Raw'!C62</f>
        <v>879.89</v>
      </c>
      <c r="C155" s="23">
        <f>'Annual Raw'!D62</f>
        <v>2190.7199999999998</v>
      </c>
      <c r="D155" s="23">
        <f>'Annual Raw'!E62</f>
        <v>2291.48</v>
      </c>
      <c r="E155" s="23">
        <f>'Annual Raw'!F62-E159</f>
        <v>2157.9899999999998</v>
      </c>
      <c r="F155" s="23">
        <f>'Annual Raw'!G62-F159</f>
        <v>2949.08</v>
      </c>
      <c r="G155" s="23">
        <f>'Annual Raw'!H62-G159</f>
        <v>3158.7</v>
      </c>
      <c r="H155" s="23">
        <f>'Annual Raw'!I62-H159</f>
        <v>4416.09</v>
      </c>
      <c r="I155" s="23">
        <f>'Annual Raw'!J62-I159</f>
        <v>4646.45</v>
      </c>
      <c r="J155" s="23">
        <f>'Annual Raw'!K62-J159</f>
        <v>5376.1100000000006</v>
      </c>
      <c r="K155" s="23">
        <f>'Annual Raw'!L62-K159</f>
        <v>5814.15</v>
      </c>
      <c r="L155" s="23">
        <f>'Annual Raw'!M62-L159</f>
        <v>6120.25</v>
      </c>
      <c r="M155" s="23">
        <f>'Annual Raw'!N62-M159</f>
        <v>7276.94</v>
      </c>
      <c r="N155" s="23">
        <f>'Annual Raw'!O62-N159</f>
        <v>7736.01</v>
      </c>
      <c r="O155" s="23">
        <f>'Annual Raw'!P62-O159</f>
        <v>8357.9</v>
      </c>
      <c r="P155" s="23">
        <f>'Annual Raw'!Q62-P159</f>
        <v>8693.4399999999987</v>
      </c>
      <c r="Q155" s="23">
        <f>'Annual Raw'!R62-Q159</f>
        <v>6475.09</v>
      </c>
      <c r="R155" s="23">
        <f>'Annual Raw'!S62-R159</f>
        <v>5792.33</v>
      </c>
      <c r="S155" s="23">
        <f>'Annual Raw'!T62-S159</f>
        <v>6415.82</v>
      </c>
      <c r="T155" s="23">
        <f>'Annual Raw'!U62-T159</f>
        <v>6980.3499999999995</v>
      </c>
      <c r="U155" s="23">
        <f>'Annual Raw'!V62-U159</f>
        <v>8993.94</v>
      </c>
      <c r="V155" s="23">
        <f>'Annual Raw'!W62-V159</f>
        <v>9874.51</v>
      </c>
      <c r="W155" s="23">
        <f>'Annual Raw'!X62-W159</f>
        <v>10246.64</v>
      </c>
      <c r="X155" s="23">
        <f>'Annual Raw'!Y62-X159</f>
        <v>11021.099999999999</v>
      </c>
      <c r="Y155" s="23">
        <f>'Annual Raw'!Z62-Y159</f>
        <v>11951.16</v>
      </c>
      <c r="Z155" s="23">
        <f>'Annual Raw'!AA62-Z159</f>
        <v>14184.4</v>
      </c>
      <c r="AA155" s="23">
        <f>'Annual Raw'!AB62-AA159</f>
        <v>15805.05</v>
      </c>
      <c r="AB155" s="24">
        <f t="shared" ref="AB155:AB161" si="1209">+CP155</f>
        <v>14007.429999999998</v>
      </c>
      <c r="AC155" s="24">
        <f t="shared" ref="AC155:AC161" si="1210">+CT155</f>
        <v>14607.429999999998</v>
      </c>
      <c r="AD155" s="24">
        <f t="shared" ref="AD155:AD161" si="1211">+CX155</f>
        <v>15207.429999999998</v>
      </c>
      <c r="AE155" s="24">
        <f t="shared" ref="AE155:AE161" si="1212">+DB155</f>
        <v>15807.429999999998</v>
      </c>
      <c r="AJ155" s="23">
        <f>+'QTR Raw'!D68</f>
        <v>2066.91</v>
      </c>
      <c r="AL155" s="23">
        <f>+'QTR Raw'!F68</f>
        <v>5804.44</v>
      </c>
      <c r="AN155" s="23">
        <f>+'QTR Raw'!H68</f>
        <v>2087.7199999999998</v>
      </c>
      <c r="AP155" s="23">
        <f>+'QTR Raw'!J68</f>
        <v>6188.89</v>
      </c>
      <c r="AR155" s="23">
        <f>+'QTR Raw'!L68</f>
        <v>2128.7800000000002</v>
      </c>
      <c r="AT155" s="23">
        <f>+'QTR Raw'!N68</f>
        <v>6126.47</v>
      </c>
      <c r="AV155" s="23">
        <f>+'QTR Raw'!P68</f>
        <v>2187.38</v>
      </c>
      <c r="AX155" s="23">
        <f>+'QTR Raw'!R68</f>
        <v>6188.71</v>
      </c>
      <c r="AZ155" s="23">
        <f>+'QTR Raw'!T68</f>
        <v>2108.41</v>
      </c>
      <c r="BB155" s="23">
        <f>+'QTR Raw'!V68</f>
        <v>5260.25</v>
      </c>
      <c r="BD155" s="23">
        <f>+'QTR Raw'!X68</f>
        <v>5379.55</v>
      </c>
      <c r="BF155" s="23">
        <f>+'QTR Raw'!Z68</f>
        <v>5598.78</v>
      </c>
      <c r="BH155" s="23">
        <f>+'QTR Raw'!AB68</f>
        <v>5814.83</v>
      </c>
      <c r="BJ155" s="23">
        <f>+'QTR Raw'!AD68</f>
        <v>5839.03</v>
      </c>
      <c r="BL155" s="23">
        <f>+'QTR Raw'!AF68</f>
        <v>5755.28</v>
      </c>
      <c r="BN155" s="23">
        <f>+'QTR Raw'!AH68</f>
        <v>5861.92</v>
      </c>
      <c r="BP155" s="23">
        <f>+'QTR Raw'!AJ68</f>
        <v>6112.11</v>
      </c>
      <c r="BR155" s="23">
        <f>+'QTR Raw'!AL68</f>
        <v>6296.99</v>
      </c>
      <c r="BT155" s="23">
        <f>+'QTR Raw'!AN68</f>
        <v>6209.27</v>
      </c>
      <c r="BV155" s="23">
        <f>+'QTR Raw'!AP68</f>
        <v>6279.24</v>
      </c>
      <c r="BX155" s="23">
        <f>+'QTR Raw'!AR68</f>
        <v>6132.46</v>
      </c>
      <c r="BZ155" s="23">
        <f>+'QTR Raw'!AT68</f>
        <v>6293.86</v>
      </c>
      <c r="CB155" s="23">
        <f>+'QTR Raw'!AV68</f>
        <v>6353.69</v>
      </c>
      <c r="CD155" s="23">
        <f>+'QTR Raw'!AX68</f>
        <v>6703.22</v>
      </c>
      <c r="CF155" s="23">
        <f>+'QTR Raw'!AZ68</f>
        <v>7517.53</v>
      </c>
      <c r="CH155" s="23">
        <f t="shared" ref="CH155:CH161" si="1213">Z155</f>
        <v>14184.4</v>
      </c>
      <c r="CI155" s="23">
        <f>CH155</f>
        <v>14184.4</v>
      </c>
      <c r="CJ155" s="23">
        <f>+CJ156+CJ158</f>
        <v>12113.82</v>
      </c>
      <c r="CK155" s="23">
        <f>+CJ155+150</f>
        <v>12263.82</v>
      </c>
      <c r="CL155" s="23">
        <f>+CL156+CL158</f>
        <v>13407.429999999998</v>
      </c>
      <c r="CM155" s="24">
        <f t="shared" ref="CM155:DB155" si="1214">+CL155+150</f>
        <v>13557.429999999998</v>
      </c>
      <c r="CN155" s="24">
        <f t="shared" si="1214"/>
        <v>13707.429999999998</v>
      </c>
      <c r="CO155" s="24">
        <f t="shared" si="1214"/>
        <v>13857.429999999998</v>
      </c>
      <c r="CP155" s="24">
        <f t="shared" si="1214"/>
        <v>14007.429999999998</v>
      </c>
      <c r="CQ155" s="24">
        <f t="shared" si="1214"/>
        <v>14157.429999999998</v>
      </c>
      <c r="CR155" s="24">
        <f t="shared" si="1214"/>
        <v>14307.429999999998</v>
      </c>
      <c r="CS155" s="24">
        <f t="shared" si="1214"/>
        <v>14457.429999999998</v>
      </c>
      <c r="CT155" s="24">
        <f t="shared" si="1214"/>
        <v>14607.429999999998</v>
      </c>
      <c r="CU155" s="24">
        <f t="shared" si="1214"/>
        <v>14757.429999999998</v>
      </c>
      <c r="CV155" s="24">
        <f t="shared" si="1214"/>
        <v>14907.429999999998</v>
      </c>
      <c r="CW155" s="24">
        <f t="shared" si="1214"/>
        <v>15057.429999999998</v>
      </c>
      <c r="CX155" s="24">
        <f t="shared" si="1214"/>
        <v>15207.429999999998</v>
      </c>
      <c r="CY155" s="24">
        <f t="shared" si="1214"/>
        <v>15357.429999999998</v>
      </c>
      <c r="CZ155" s="24">
        <f t="shared" si="1214"/>
        <v>15507.429999999998</v>
      </c>
      <c r="DA155" s="24">
        <f t="shared" si="1214"/>
        <v>15657.429999999998</v>
      </c>
      <c r="DB155" s="24">
        <f t="shared" si="1214"/>
        <v>15807.429999999998</v>
      </c>
      <c r="DE155" s="123"/>
      <c r="DF155" s="23">
        <v>12413.82</v>
      </c>
    </row>
    <row r="156" spans="1:110" s="23" customFormat="1" outlineLevel="1" x14ac:dyDescent="0.2">
      <c r="A156" s="23" t="s">
        <v>51</v>
      </c>
      <c r="B156" s="23">
        <f>'Annual Raw'!C63</f>
        <v>276.48</v>
      </c>
      <c r="C156" s="23">
        <f>'Annual Raw'!D63</f>
        <v>395.96</v>
      </c>
      <c r="D156" s="23">
        <f>'Annual Raw'!E63</f>
        <v>432.68</v>
      </c>
      <c r="E156" s="23">
        <f>'Annual Raw'!F63</f>
        <v>512.47</v>
      </c>
      <c r="F156" s="23">
        <f>'Annual Raw'!G63</f>
        <v>686.7</v>
      </c>
      <c r="G156" s="23">
        <f>'Annual Raw'!H63</f>
        <v>826.39</v>
      </c>
      <c r="H156" s="23">
        <f>'Annual Raw'!I63</f>
        <v>1034.01</v>
      </c>
      <c r="I156" s="23">
        <f>'Annual Raw'!J63</f>
        <v>1132.08</v>
      </c>
      <c r="J156" s="23">
        <f>'Annual Raw'!K63</f>
        <v>1304.08</v>
      </c>
      <c r="K156" s="23">
        <f>'Annual Raw'!L63</f>
        <v>1440.66</v>
      </c>
      <c r="L156" s="23">
        <f>'Annual Raw'!M63</f>
        <v>1590.74</v>
      </c>
      <c r="M156" s="23">
        <f>'Annual Raw'!N63</f>
        <v>2060.85</v>
      </c>
      <c r="N156" s="23">
        <f>'Annual Raw'!O63</f>
        <v>2353.0700000000002</v>
      </c>
      <c r="O156" s="23">
        <f>'Annual Raw'!P63</f>
        <v>2723.2</v>
      </c>
      <c r="P156" s="23">
        <f>'Annual Raw'!Q63</f>
        <v>2872.7</v>
      </c>
      <c r="Q156" s="23">
        <f>'Annual Raw'!R63</f>
        <v>287.12</v>
      </c>
      <c r="R156" s="23">
        <f>'Annual Raw'!S63</f>
        <v>532.5</v>
      </c>
      <c r="S156" s="23">
        <f>'Annual Raw'!T63</f>
        <v>818.71</v>
      </c>
      <c r="T156" s="23">
        <f>'Annual Raw'!U63</f>
        <v>1141.57</v>
      </c>
      <c r="U156" s="23">
        <f>'Annual Raw'!V63</f>
        <v>1549.67</v>
      </c>
      <c r="V156" s="23">
        <f>'Annual Raw'!W63</f>
        <v>2047.78</v>
      </c>
      <c r="W156" s="23">
        <f>'Annual Raw'!X63</f>
        <v>2454.21</v>
      </c>
      <c r="X156" s="23">
        <f>'Annual Raw'!Y63</f>
        <v>2856.19</v>
      </c>
      <c r="Y156" s="23">
        <f>'Annual Raw'!Z63</f>
        <v>3302.14</v>
      </c>
      <c r="Z156" s="23">
        <f>'Annual Raw'!AA63</f>
        <v>3976.97</v>
      </c>
      <c r="AA156" s="23">
        <f>'Annual Raw'!AB63</f>
        <v>4716.9399999999996</v>
      </c>
      <c r="AB156" s="24">
        <f t="shared" si="1209"/>
        <v>5330.0610911021586</v>
      </c>
      <c r="AC156" s="24">
        <f t="shared" si="1210"/>
        <v>6065.7723791479903</v>
      </c>
      <c r="AD156" s="24">
        <f t="shared" si="1211"/>
        <v>6790.2732772745367</v>
      </c>
      <c r="AE156" s="24">
        <f t="shared" si="1212"/>
        <v>7504.489816351831</v>
      </c>
      <c r="AJ156" s="23">
        <f>+'QTR Raw'!D69</f>
        <v>0</v>
      </c>
      <c r="AL156" s="23">
        <f>+'QTR Raw'!F69</f>
        <v>0</v>
      </c>
      <c r="AN156" s="23">
        <f>+'QTR Raw'!H69</f>
        <v>0</v>
      </c>
      <c r="AP156" s="23">
        <f>+'QTR Raw'!J69</f>
        <v>0</v>
      </c>
      <c r="AR156" s="23">
        <f>+'QTR Raw'!L69</f>
        <v>0</v>
      </c>
      <c r="AT156" s="23">
        <f>+'QTR Raw'!N69</f>
        <v>0</v>
      </c>
      <c r="AV156" s="23">
        <f>+'QTR Raw'!P69</f>
        <v>0</v>
      </c>
      <c r="AX156" s="23">
        <f>+'QTR Raw'!R69</f>
        <v>0</v>
      </c>
      <c r="AZ156" s="23">
        <f>+'QTR Raw'!T69</f>
        <v>0</v>
      </c>
      <c r="BB156" s="23">
        <f>+'QTR Raw'!V69</f>
        <v>0</v>
      </c>
      <c r="BD156" s="23">
        <f>+'QTR Raw'!X69</f>
        <v>0</v>
      </c>
      <c r="BF156" s="23">
        <f>+'QTR Raw'!Z69</f>
        <v>0</v>
      </c>
      <c r="BH156" s="23">
        <f>+'QTR Raw'!AB69</f>
        <v>0</v>
      </c>
      <c r="BJ156" s="23">
        <f>+'QTR Raw'!AD69</f>
        <v>0</v>
      </c>
      <c r="BL156" s="23">
        <f>+'QTR Raw'!AF69</f>
        <v>0</v>
      </c>
      <c r="BN156" s="23">
        <f>+'QTR Raw'!AH69</f>
        <v>0</v>
      </c>
      <c r="BP156" s="23">
        <f>+'QTR Raw'!AJ69</f>
        <v>0</v>
      </c>
      <c r="BR156" s="23">
        <f>+'QTR Raw'!AL69</f>
        <v>0</v>
      </c>
      <c r="BT156" s="23">
        <f>+'QTR Raw'!AN69</f>
        <v>0</v>
      </c>
      <c r="BV156" s="23">
        <f>+'QTR Raw'!AP69</f>
        <v>0</v>
      </c>
      <c r="BX156" s="23">
        <f>+'QTR Raw'!AR69</f>
        <v>0</v>
      </c>
      <c r="BZ156" s="23">
        <f>+'QTR Raw'!AT69</f>
        <v>0</v>
      </c>
      <c r="CB156" s="23">
        <f>+'QTR Raw'!AV69</f>
        <v>0</v>
      </c>
      <c r="CD156" s="23">
        <f>+'QTR Raw'!AX69</f>
        <v>0</v>
      </c>
      <c r="CF156" s="23">
        <f>+'QTR Raw'!AZ69</f>
        <v>0</v>
      </c>
      <c r="CH156" s="23">
        <f t="shared" si="1213"/>
        <v>3976.97</v>
      </c>
      <c r="CI156" s="23">
        <f t="shared" ref="CI156:DB156" si="1215">CH156+CI56</f>
        <v>4119.7199999999993</v>
      </c>
      <c r="CJ156" s="23">
        <f t="shared" si="1215"/>
        <v>4264.4399999999996</v>
      </c>
      <c r="CK156" s="23">
        <f t="shared" si="1215"/>
        <v>4414.7599999999993</v>
      </c>
      <c r="CL156" s="23">
        <f t="shared" si="1215"/>
        <v>4582.1299999999992</v>
      </c>
      <c r="CM156" s="24">
        <f t="shared" si="1215"/>
        <v>4770.3169244215223</v>
      </c>
      <c r="CN156" s="24">
        <f t="shared" si="1215"/>
        <v>4957.6895671914299</v>
      </c>
      <c r="CO156" s="24">
        <f t="shared" si="1215"/>
        <v>5144.2652917035584</v>
      </c>
      <c r="CP156" s="24">
        <f t="shared" si="1215"/>
        <v>5330.0610911021586</v>
      </c>
      <c r="CQ156" s="24">
        <f t="shared" si="1215"/>
        <v>5515.0935961769355</v>
      </c>
      <c r="CR156" s="24">
        <f t="shared" si="1215"/>
        <v>5699.379083089746</v>
      </c>
      <c r="CS156" s="24">
        <f t="shared" si="1215"/>
        <v>5882.9334809365291</v>
      </c>
      <c r="CT156" s="24">
        <f t="shared" si="1215"/>
        <v>6065.7723791479903</v>
      </c>
      <c r="CU156" s="24">
        <f t="shared" si="1215"/>
        <v>6247.9110347324804</v>
      </c>
      <c r="CV156" s="24">
        <f t="shared" si="1215"/>
        <v>6429.3643793644269</v>
      </c>
      <c r="CW156" s="24">
        <f t="shared" si="1215"/>
        <v>6610.1470263216133</v>
      </c>
      <c r="CX156" s="24">
        <f t="shared" si="1215"/>
        <v>6790.2732772745367</v>
      </c>
      <c r="CY156" s="24">
        <f t="shared" si="1215"/>
        <v>6969.7571289309844</v>
      </c>
      <c r="CZ156" s="24">
        <f t="shared" si="1215"/>
        <v>7148.6122795389329</v>
      </c>
      <c r="DA156" s="24">
        <f t="shared" si="1215"/>
        <v>7326.8521352507723</v>
      </c>
      <c r="DB156" s="24">
        <f t="shared" si="1215"/>
        <v>7504.489816351831</v>
      </c>
      <c r="DE156" s="123"/>
      <c r="DF156" s="23">
        <v>4565.0738718217226</v>
      </c>
    </row>
    <row r="157" spans="1:110" s="23" customFormat="1" outlineLevel="1" x14ac:dyDescent="0.2">
      <c r="A157" s="23" t="s">
        <v>52</v>
      </c>
      <c r="B157" s="23">
        <f>'Annual Raw'!C64</f>
        <v>0</v>
      </c>
      <c r="C157" s="23">
        <f>'Annual Raw'!D64</f>
        <v>0</v>
      </c>
      <c r="D157" s="23">
        <f>'Annual Raw'!E64</f>
        <v>0</v>
      </c>
      <c r="E157" s="23">
        <f>'Annual Raw'!F64</f>
        <v>0</v>
      </c>
      <c r="F157" s="23">
        <f>'Annual Raw'!G64</f>
        <v>0</v>
      </c>
      <c r="G157" s="23">
        <f>'Annual Raw'!H64</f>
        <v>0</v>
      </c>
      <c r="H157" s="23">
        <f>'Annual Raw'!I64</f>
        <v>0</v>
      </c>
      <c r="I157" s="23">
        <f>'Annual Raw'!J64</f>
        <v>0</v>
      </c>
      <c r="J157" s="23">
        <f>'Annual Raw'!K64</f>
        <v>0</v>
      </c>
      <c r="K157" s="23">
        <f>'Annual Raw'!L64</f>
        <v>0</v>
      </c>
      <c r="L157" s="23">
        <f>'Annual Raw'!M64</f>
        <v>0</v>
      </c>
      <c r="M157" s="23">
        <f>'Annual Raw'!N64</f>
        <v>0</v>
      </c>
      <c r="N157" s="23">
        <f>'Annual Raw'!O64</f>
        <v>0</v>
      </c>
      <c r="O157" s="23">
        <f>'Annual Raw'!P64</f>
        <v>0</v>
      </c>
      <c r="P157" s="23">
        <f>'Annual Raw'!Q64</f>
        <v>0</v>
      </c>
      <c r="Q157" s="23">
        <f>'Annual Raw'!R64</f>
        <v>0</v>
      </c>
      <c r="R157" s="23">
        <f>'Annual Raw'!S64</f>
        <v>0</v>
      </c>
      <c r="S157" s="23">
        <f>'Annual Raw'!T64</f>
        <v>0</v>
      </c>
      <c r="T157" s="23">
        <f>'Annual Raw'!U64</f>
        <v>0</v>
      </c>
      <c r="U157" s="23">
        <f>'Annual Raw'!V64</f>
        <v>0</v>
      </c>
      <c r="V157" s="23">
        <f>'Annual Raw'!W64</f>
        <v>0</v>
      </c>
      <c r="W157" s="23">
        <f>'Annual Raw'!X64</f>
        <v>0</v>
      </c>
      <c r="X157" s="23">
        <f>'Annual Raw'!Y64</f>
        <v>0</v>
      </c>
      <c r="Y157" s="23">
        <f>'Annual Raw'!Z64</f>
        <v>0</v>
      </c>
      <c r="Z157" s="23">
        <f>'Annual Raw'!AA64</f>
        <v>0</v>
      </c>
      <c r="AA157" s="23">
        <f>'Annual Raw'!AB64</f>
        <v>0</v>
      </c>
      <c r="AB157" s="24">
        <f t="shared" si="1209"/>
        <v>0</v>
      </c>
      <c r="AC157" s="24">
        <f t="shared" si="1210"/>
        <v>0</v>
      </c>
      <c r="AD157" s="24">
        <f t="shared" si="1211"/>
        <v>0</v>
      </c>
      <c r="AE157" s="24">
        <f t="shared" si="1212"/>
        <v>0</v>
      </c>
      <c r="AJ157" s="23">
        <f>+'QTR Raw'!D70</f>
        <v>0</v>
      </c>
      <c r="AL157" s="23">
        <f>+'QTR Raw'!F70</f>
        <v>0</v>
      </c>
      <c r="AN157" s="23">
        <f>+'QTR Raw'!H70</f>
        <v>0</v>
      </c>
      <c r="AP157" s="23">
        <f>+'QTR Raw'!J70</f>
        <v>0</v>
      </c>
      <c r="AR157" s="23">
        <f>+'QTR Raw'!L70</f>
        <v>0</v>
      </c>
      <c r="AT157" s="23">
        <f>+'QTR Raw'!N70</f>
        <v>0</v>
      </c>
      <c r="AV157" s="23">
        <f>+'QTR Raw'!P70</f>
        <v>0</v>
      </c>
      <c r="AX157" s="23">
        <f>+'QTR Raw'!R70</f>
        <v>0</v>
      </c>
      <c r="AZ157" s="23">
        <f>+'QTR Raw'!T70</f>
        <v>0</v>
      </c>
      <c r="BB157" s="23">
        <f>+'QTR Raw'!V70</f>
        <v>0</v>
      </c>
      <c r="BD157" s="23">
        <f>+'QTR Raw'!X70</f>
        <v>0</v>
      </c>
      <c r="BF157" s="23">
        <f>+'QTR Raw'!Z70</f>
        <v>0</v>
      </c>
      <c r="BH157" s="23">
        <f>+'QTR Raw'!AB70</f>
        <v>0</v>
      </c>
      <c r="BJ157" s="23">
        <f>+'QTR Raw'!AD70</f>
        <v>0</v>
      </c>
      <c r="BL157" s="23">
        <f>+'QTR Raw'!AF70</f>
        <v>0</v>
      </c>
      <c r="BN157" s="23">
        <f>+'QTR Raw'!AH70</f>
        <v>0</v>
      </c>
      <c r="BP157" s="23">
        <f>+'QTR Raw'!AJ70</f>
        <v>0</v>
      </c>
      <c r="BR157" s="23">
        <f>+'QTR Raw'!AL70</f>
        <v>0</v>
      </c>
      <c r="BT157" s="23">
        <f>+'QTR Raw'!AN70</f>
        <v>0</v>
      </c>
      <c r="BV157" s="23">
        <f>+'QTR Raw'!AP70</f>
        <v>0</v>
      </c>
      <c r="BX157" s="23">
        <f>+'QTR Raw'!AR70</f>
        <v>0</v>
      </c>
      <c r="BZ157" s="23">
        <f>+'QTR Raw'!AT70</f>
        <v>0</v>
      </c>
      <c r="CB157" s="23">
        <f>+'QTR Raw'!AV70</f>
        <v>0</v>
      </c>
      <c r="CD157" s="23">
        <f>+'QTR Raw'!AX70</f>
        <v>0</v>
      </c>
      <c r="CF157" s="23">
        <f>+'QTR Raw'!AZ70</f>
        <v>0</v>
      </c>
      <c r="CH157" s="23">
        <f t="shared" si="1213"/>
        <v>0</v>
      </c>
      <c r="CI157" s="23">
        <f>CH157</f>
        <v>0</v>
      </c>
      <c r="CJ157" s="23">
        <f>+'QTR Raw'!BD70</f>
        <v>0</v>
      </c>
      <c r="CK157" s="23">
        <f t="shared" ref="CK157:DB157" si="1216">CJ157</f>
        <v>0</v>
      </c>
      <c r="CL157" s="23">
        <f>+'QTR Raw'!BF70</f>
        <v>0</v>
      </c>
      <c r="CM157" s="24">
        <f t="shared" si="1216"/>
        <v>0</v>
      </c>
      <c r="CN157" s="24">
        <f t="shared" si="1216"/>
        <v>0</v>
      </c>
      <c r="CO157" s="24">
        <f t="shared" si="1216"/>
        <v>0</v>
      </c>
      <c r="CP157" s="24">
        <f t="shared" si="1216"/>
        <v>0</v>
      </c>
      <c r="CQ157" s="24">
        <f t="shared" si="1216"/>
        <v>0</v>
      </c>
      <c r="CR157" s="24">
        <f t="shared" si="1216"/>
        <v>0</v>
      </c>
      <c r="CS157" s="24">
        <f t="shared" si="1216"/>
        <v>0</v>
      </c>
      <c r="CT157" s="24">
        <f t="shared" si="1216"/>
        <v>0</v>
      </c>
      <c r="CU157" s="24">
        <f t="shared" si="1216"/>
        <v>0</v>
      </c>
      <c r="CV157" s="24">
        <f t="shared" si="1216"/>
        <v>0</v>
      </c>
      <c r="CW157" s="24">
        <f t="shared" si="1216"/>
        <v>0</v>
      </c>
      <c r="CX157" s="24">
        <f t="shared" si="1216"/>
        <v>0</v>
      </c>
      <c r="CY157" s="24">
        <f t="shared" si="1216"/>
        <v>0</v>
      </c>
      <c r="CZ157" s="24">
        <f t="shared" si="1216"/>
        <v>0</v>
      </c>
      <c r="DA157" s="24">
        <f t="shared" si="1216"/>
        <v>0</v>
      </c>
      <c r="DB157" s="24">
        <f t="shared" si="1216"/>
        <v>0</v>
      </c>
      <c r="DE157" s="123"/>
      <c r="DF157" s="23">
        <v>0</v>
      </c>
    </row>
    <row r="158" spans="1:110" s="22" customFormat="1" outlineLevel="1" x14ac:dyDescent="0.2">
      <c r="A158" s="22" t="s">
        <v>53</v>
      </c>
      <c r="B158" s="22">
        <f>+B155-B156-B157</f>
        <v>603.41</v>
      </c>
      <c r="C158" s="22">
        <f t="shared" ref="C158:W158" si="1217">+C155-C156-C157</f>
        <v>1794.7599999999998</v>
      </c>
      <c r="D158" s="22">
        <f t="shared" si="1217"/>
        <v>1858.8</v>
      </c>
      <c r="E158" s="22">
        <f t="shared" si="1217"/>
        <v>1645.5199999999998</v>
      </c>
      <c r="F158" s="22">
        <f t="shared" si="1217"/>
        <v>2262.38</v>
      </c>
      <c r="G158" s="22">
        <f t="shared" si="1217"/>
        <v>2332.31</v>
      </c>
      <c r="H158" s="22">
        <f t="shared" si="1217"/>
        <v>3382.08</v>
      </c>
      <c r="I158" s="22">
        <f t="shared" si="1217"/>
        <v>3514.37</v>
      </c>
      <c r="J158" s="22">
        <f t="shared" si="1217"/>
        <v>4072.0300000000007</v>
      </c>
      <c r="K158" s="22">
        <f t="shared" si="1217"/>
        <v>4373.49</v>
      </c>
      <c r="L158" s="22">
        <f t="shared" si="1217"/>
        <v>4529.51</v>
      </c>
      <c r="M158" s="22">
        <f t="shared" si="1217"/>
        <v>5216.09</v>
      </c>
      <c r="N158" s="22">
        <f t="shared" si="1217"/>
        <v>5382.9400000000005</v>
      </c>
      <c r="O158" s="22">
        <f t="shared" si="1217"/>
        <v>5634.7</v>
      </c>
      <c r="P158" s="22">
        <f t="shared" si="1217"/>
        <v>5820.7399999999989</v>
      </c>
      <c r="Q158" s="22">
        <f t="shared" si="1217"/>
        <v>6187.97</v>
      </c>
      <c r="R158" s="22">
        <f t="shared" si="1217"/>
        <v>5259.83</v>
      </c>
      <c r="S158" s="22">
        <f t="shared" si="1217"/>
        <v>5597.11</v>
      </c>
      <c r="T158" s="22">
        <f t="shared" si="1217"/>
        <v>5838.78</v>
      </c>
      <c r="U158" s="22">
        <f t="shared" si="1217"/>
        <v>7444.27</v>
      </c>
      <c r="V158" s="22">
        <f t="shared" si="1217"/>
        <v>7826.7300000000005</v>
      </c>
      <c r="W158" s="22">
        <f t="shared" si="1217"/>
        <v>7792.4299999999994</v>
      </c>
      <c r="X158" s="22">
        <f t="shared" ref="X158:Y158" si="1218">+X155-X156-X157</f>
        <v>8164.909999999998</v>
      </c>
      <c r="Y158" s="22">
        <f t="shared" si="1218"/>
        <v>8649.02</v>
      </c>
      <c r="Z158" s="22">
        <f t="shared" ref="Z158:AE158" si="1219">+Z155-Z156-Z157</f>
        <v>10207.43</v>
      </c>
      <c r="AA158" s="22">
        <f t="shared" ref="AA158" si="1220">+AA155-AA156-AA157</f>
        <v>11088.11</v>
      </c>
      <c r="AB158" s="21">
        <f t="shared" si="1219"/>
        <v>8677.368908897839</v>
      </c>
      <c r="AC158" s="21">
        <f t="shared" si="1219"/>
        <v>8541.6576208520091</v>
      </c>
      <c r="AD158" s="21">
        <f t="shared" si="1219"/>
        <v>8417.1567227254618</v>
      </c>
      <c r="AE158" s="21">
        <f t="shared" si="1219"/>
        <v>8302.9401836481666</v>
      </c>
      <c r="AJ158" s="22">
        <f t="shared" ref="AJ158:AL158" si="1221">+AJ155-AJ156-AJ157</f>
        <v>2066.91</v>
      </c>
      <c r="AK158" s="22">
        <f t="shared" ref="AK158:CE158" si="1222">+AJ158</f>
        <v>2066.91</v>
      </c>
      <c r="AL158" s="22">
        <f t="shared" si="1221"/>
        <v>5804.44</v>
      </c>
      <c r="AM158" s="22">
        <f t="shared" si="1222"/>
        <v>5804.44</v>
      </c>
      <c r="AN158" s="22">
        <f t="shared" ref="AN158" si="1223">+AN155-AN156-AN157</f>
        <v>2087.7199999999998</v>
      </c>
      <c r="AO158" s="22">
        <f t="shared" si="1222"/>
        <v>2087.7199999999998</v>
      </c>
      <c r="AP158" s="22">
        <f t="shared" ref="AP158:CD158" si="1224">+AP155-AP156-AP157</f>
        <v>6188.89</v>
      </c>
      <c r="AQ158" s="22">
        <f t="shared" si="1222"/>
        <v>6188.89</v>
      </c>
      <c r="AR158" s="22">
        <f t="shared" si="1224"/>
        <v>2128.7800000000002</v>
      </c>
      <c r="AS158" s="22">
        <f t="shared" si="1222"/>
        <v>2128.7800000000002</v>
      </c>
      <c r="AT158" s="22">
        <f t="shared" si="1224"/>
        <v>6126.47</v>
      </c>
      <c r="AU158" s="22">
        <f t="shared" si="1222"/>
        <v>6126.47</v>
      </c>
      <c r="AV158" s="22">
        <f t="shared" si="1224"/>
        <v>2187.38</v>
      </c>
      <c r="AW158" s="22">
        <f t="shared" si="1222"/>
        <v>2187.38</v>
      </c>
      <c r="AX158" s="22">
        <f t="shared" si="1224"/>
        <v>6188.71</v>
      </c>
      <c r="AY158" s="22">
        <f t="shared" si="1222"/>
        <v>6188.71</v>
      </c>
      <c r="AZ158" s="22">
        <f t="shared" si="1224"/>
        <v>2108.41</v>
      </c>
      <c r="BA158" s="22">
        <f t="shared" si="1222"/>
        <v>2108.41</v>
      </c>
      <c r="BB158" s="22">
        <f t="shared" si="1224"/>
        <v>5260.25</v>
      </c>
      <c r="BC158" s="22">
        <f t="shared" si="1222"/>
        <v>5260.25</v>
      </c>
      <c r="BD158" s="22">
        <f t="shared" si="1224"/>
        <v>5379.55</v>
      </c>
      <c r="BE158" s="22">
        <f t="shared" si="1222"/>
        <v>5379.55</v>
      </c>
      <c r="BF158" s="22">
        <f t="shared" si="1224"/>
        <v>5598.78</v>
      </c>
      <c r="BG158" s="22">
        <f t="shared" si="1222"/>
        <v>5598.78</v>
      </c>
      <c r="BH158" s="22">
        <f t="shared" si="1224"/>
        <v>5814.83</v>
      </c>
      <c r="BI158" s="22">
        <f t="shared" si="1222"/>
        <v>5814.83</v>
      </c>
      <c r="BJ158" s="22">
        <f t="shared" si="1224"/>
        <v>5839.03</v>
      </c>
      <c r="BK158" s="22">
        <f t="shared" si="1222"/>
        <v>5839.03</v>
      </c>
      <c r="BL158" s="22">
        <f t="shared" si="1224"/>
        <v>5755.28</v>
      </c>
      <c r="BM158" s="22">
        <f t="shared" si="1222"/>
        <v>5755.28</v>
      </c>
      <c r="BN158" s="22">
        <f t="shared" si="1224"/>
        <v>5861.92</v>
      </c>
      <c r="BO158" s="22">
        <f t="shared" si="1222"/>
        <v>5861.92</v>
      </c>
      <c r="BP158" s="22">
        <f t="shared" si="1224"/>
        <v>6112.11</v>
      </c>
      <c r="BQ158" s="22">
        <f t="shared" si="1222"/>
        <v>6112.11</v>
      </c>
      <c r="BR158" s="22">
        <f t="shared" si="1224"/>
        <v>6296.99</v>
      </c>
      <c r="BS158" s="22">
        <f t="shared" si="1222"/>
        <v>6296.99</v>
      </c>
      <c r="BT158" s="22">
        <f t="shared" si="1224"/>
        <v>6209.27</v>
      </c>
      <c r="BU158" s="22">
        <f t="shared" si="1222"/>
        <v>6209.27</v>
      </c>
      <c r="BV158" s="22">
        <f t="shared" si="1224"/>
        <v>6279.24</v>
      </c>
      <c r="BW158" s="22">
        <f t="shared" si="1222"/>
        <v>6279.24</v>
      </c>
      <c r="BX158" s="22">
        <f t="shared" si="1224"/>
        <v>6132.46</v>
      </c>
      <c r="BY158" s="22">
        <f t="shared" si="1222"/>
        <v>6132.46</v>
      </c>
      <c r="BZ158" s="22">
        <f t="shared" si="1224"/>
        <v>6293.86</v>
      </c>
      <c r="CA158" s="22">
        <f t="shared" si="1222"/>
        <v>6293.86</v>
      </c>
      <c r="CB158" s="22">
        <f t="shared" si="1224"/>
        <v>6353.69</v>
      </c>
      <c r="CC158" s="22">
        <f t="shared" si="1222"/>
        <v>6353.69</v>
      </c>
      <c r="CD158" s="22">
        <f t="shared" si="1224"/>
        <v>6703.22</v>
      </c>
      <c r="CE158" s="22">
        <f t="shared" si="1222"/>
        <v>6703.22</v>
      </c>
      <c r="CF158" s="22">
        <f t="shared" ref="CF158:CI158" si="1225">+CF155-CF156-CF157</f>
        <v>7517.53</v>
      </c>
      <c r="CG158" s="22">
        <f t="shared" ref="CG158:CI161" si="1226">+CF158</f>
        <v>7517.53</v>
      </c>
      <c r="CH158" s="22">
        <f t="shared" si="1225"/>
        <v>10207.43</v>
      </c>
      <c r="CI158" s="22">
        <f t="shared" si="1225"/>
        <v>10064.68</v>
      </c>
      <c r="CJ158" s="23">
        <f>+'QTR Raw'!BD68</f>
        <v>7849.38</v>
      </c>
      <c r="CK158" s="23">
        <f t="shared" ref="CK158:DB158" si="1227">+CK155-CK156-CK157</f>
        <v>7849.06</v>
      </c>
      <c r="CL158" s="23">
        <f>+'QTR Raw'!BF68</f>
        <v>8825.2999999999993</v>
      </c>
      <c r="CM158" s="21">
        <f t="shared" si="1227"/>
        <v>8787.1130755784761</v>
      </c>
      <c r="CN158" s="21">
        <f t="shared" si="1227"/>
        <v>8749.7404328085686</v>
      </c>
      <c r="CO158" s="21">
        <f t="shared" si="1227"/>
        <v>8713.1647082964409</v>
      </c>
      <c r="CP158" s="21">
        <f t="shared" si="1227"/>
        <v>8677.368908897839</v>
      </c>
      <c r="CQ158" s="21">
        <f t="shared" si="1227"/>
        <v>8642.3364038230629</v>
      </c>
      <c r="CR158" s="21">
        <f t="shared" si="1227"/>
        <v>8608.0509169102515</v>
      </c>
      <c r="CS158" s="21">
        <f t="shared" si="1227"/>
        <v>8574.4965190634684</v>
      </c>
      <c r="CT158" s="21">
        <f t="shared" si="1227"/>
        <v>8541.6576208520091</v>
      </c>
      <c r="CU158" s="21">
        <f t="shared" si="1227"/>
        <v>8509.5189652675181</v>
      </c>
      <c r="CV158" s="21">
        <f t="shared" si="1227"/>
        <v>8478.0656206355707</v>
      </c>
      <c r="CW158" s="21">
        <f t="shared" si="1227"/>
        <v>8447.282973678386</v>
      </c>
      <c r="CX158" s="21">
        <f t="shared" si="1227"/>
        <v>8417.1567227254618</v>
      </c>
      <c r="CY158" s="21">
        <f t="shared" si="1227"/>
        <v>8387.6728710690149</v>
      </c>
      <c r="CZ158" s="21">
        <f t="shared" si="1227"/>
        <v>8358.8177204610656</v>
      </c>
      <c r="DA158" s="21">
        <f t="shared" si="1227"/>
        <v>8330.5778647492261</v>
      </c>
      <c r="DB158" s="21">
        <f t="shared" si="1227"/>
        <v>8302.9401836481666</v>
      </c>
      <c r="DE158" s="126"/>
      <c r="DF158" s="22">
        <v>7848.7461281782771</v>
      </c>
    </row>
    <row r="159" spans="1:110" s="23" customFormat="1" outlineLevel="1" x14ac:dyDescent="0.2">
      <c r="A159" s="23" t="s">
        <v>54</v>
      </c>
      <c r="B159" s="23">
        <f>'Annual Raw'!C86</f>
        <v>4.03</v>
      </c>
      <c r="C159" s="23">
        <f>'Annual Raw'!D86</f>
        <v>327.38</v>
      </c>
      <c r="D159" s="23">
        <f>'Annual Raw'!E86</f>
        <v>345.08</v>
      </c>
      <c r="E159" s="23">
        <f>'Annual Raw'!F86</f>
        <v>270.69</v>
      </c>
      <c r="F159" s="23">
        <f>'Annual Raw'!G86</f>
        <v>286.60000000000002</v>
      </c>
      <c r="G159" s="23">
        <f>'Annual Raw'!H86</f>
        <v>337.26</v>
      </c>
      <c r="H159" s="23">
        <f>'Annual Raw'!I86</f>
        <v>314.12</v>
      </c>
      <c r="I159" s="23">
        <f>'Annual Raw'!J86</f>
        <v>297.02999999999997</v>
      </c>
      <c r="J159" s="23">
        <f>'Annual Raw'!K86</f>
        <v>361.15</v>
      </c>
      <c r="K159" s="23">
        <f>'Annual Raw'!L86</f>
        <v>330.38</v>
      </c>
      <c r="L159" s="23">
        <f>'Annual Raw'!M86</f>
        <v>325.72000000000003</v>
      </c>
      <c r="M159" s="23">
        <f>'Annual Raw'!N86</f>
        <v>489.51</v>
      </c>
      <c r="N159" s="23">
        <f>'Annual Raw'!O86</f>
        <v>512.83000000000004</v>
      </c>
      <c r="O159" s="23">
        <f>'Annual Raw'!P86</f>
        <v>580.09</v>
      </c>
      <c r="P159" s="23">
        <f>'Annual Raw'!Q86</f>
        <v>478.45</v>
      </c>
      <c r="Q159" s="23">
        <f>'Annual Raw'!R86</f>
        <v>573.65</v>
      </c>
      <c r="R159" s="23">
        <f>'Annual Raw'!S86</f>
        <v>555.55999999999995</v>
      </c>
      <c r="S159" s="23">
        <f>'Annual Raw'!T86</f>
        <v>565.52</v>
      </c>
      <c r="T159" s="23">
        <f>'Annual Raw'!U86</f>
        <v>583.47</v>
      </c>
      <c r="U159" s="23">
        <f>'Annual Raw'!V86</f>
        <v>614.58000000000004</v>
      </c>
      <c r="V159" s="23">
        <f>'Annual Raw'!W86</f>
        <v>610.97</v>
      </c>
      <c r="W159" s="23">
        <f>'Annual Raw'!X86</f>
        <v>622.91</v>
      </c>
      <c r="X159" s="23">
        <f>'Annual Raw'!Y86</f>
        <v>653.62</v>
      </c>
      <c r="Y159" s="23">
        <f>'Annual Raw'!Z86</f>
        <v>662.32</v>
      </c>
      <c r="Z159" s="23">
        <f>'Annual Raw'!AA86</f>
        <v>710.75</v>
      </c>
      <c r="AA159" s="23">
        <f>'Annual Raw'!AB86</f>
        <v>1121.95</v>
      </c>
      <c r="AB159" s="24">
        <f t="shared" si="1209"/>
        <v>1121.95</v>
      </c>
      <c r="AC159" s="24">
        <f t="shared" si="1210"/>
        <v>1121.95</v>
      </c>
      <c r="AD159" s="24">
        <f t="shared" si="1211"/>
        <v>1121.95</v>
      </c>
      <c r="AE159" s="24">
        <f t="shared" si="1212"/>
        <v>1121.95</v>
      </c>
      <c r="AJ159" s="23">
        <f>+'QTR Raw'!D72</f>
        <v>0</v>
      </c>
      <c r="AK159" s="23">
        <f>+AJ159</f>
        <v>0</v>
      </c>
      <c r="AL159" s="23">
        <f>+'QTR Raw'!F72</f>
        <v>512.83000000000004</v>
      </c>
      <c r="AM159" s="23">
        <f t="shared" ref="AK159:CE161" si="1228">+AL159</f>
        <v>512.83000000000004</v>
      </c>
      <c r="AN159" s="23">
        <f>+'QTR Raw'!H72</f>
        <v>0</v>
      </c>
      <c r="AO159" s="23">
        <f t="shared" si="1228"/>
        <v>0</v>
      </c>
      <c r="AP159" s="23">
        <f>+'QTR Raw'!J72</f>
        <v>580.09</v>
      </c>
      <c r="AQ159" s="23">
        <f t="shared" si="1228"/>
        <v>580.09</v>
      </c>
      <c r="AR159" s="23">
        <f>+'QTR Raw'!L72</f>
        <v>0</v>
      </c>
      <c r="AS159" s="23">
        <f t="shared" si="1228"/>
        <v>0</v>
      </c>
      <c r="AT159" s="23">
        <f>+'QTR Raw'!N72</f>
        <v>478.45</v>
      </c>
      <c r="AU159" s="23">
        <f t="shared" si="1228"/>
        <v>478.45</v>
      </c>
      <c r="AV159" s="23">
        <f>+'QTR Raw'!P72</f>
        <v>0</v>
      </c>
      <c r="AW159" s="23">
        <f t="shared" si="1228"/>
        <v>0</v>
      </c>
      <c r="AX159" s="23">
        <f>+'QTR Raw'!R72</f>
        <v>573.65</v>
      </c>
      <c r="AY159" s="23">
        <f t="shared" si="1228"/>
        <v>573.65</v>
      </c>
      <c r="AZ159" s="23">
        <f>+'QTR Raw'!T72</f>
        <v>0</v>
      </c>
      <c r="BA159" s="23">
        <f t="shared" si="1228"/>
        <v>0</v>
      </c>
      <c r="BB159" s="23">
        <f>+'QTR Raw'!V72</f>
        <v>555.55999999999995</v>
      </c>
      <c r="BC159" s="23">
        <f t="shared" si="1228"/>
        <v>555.55999999999995</v>
      </c>
      <c r="BD159" s="23">
        <f>+'QTR Raw'!X72</f>
        <v>562.78</v>
      </c>
      <c r="BE159" s="23">
        <f t="shared" si="1228"/>
        <v>562.78</v>
      </c>
      <c r="BF159" s="23">
        <f>+'QTR Raw'!Z72</f>
        <v>565.52</v>
      </c>
      <c r="BG159" s="23">
        <f t="shared" si="1228"/>
        <v>565.52</v>
      </c>
      <c r="BH159" s="23">
        <f>+'QTR Raw'!AB72</f>
        <v>602.94000000000005</v>
      </c>
      <c r="BI159" s="23">
        <f t="shared" si="1228"/>
        <v>602.94000000000005</v>
      </c>
      <c r="BJ159" s="23">
        <f>+'QTR Raw'!AD72</f>
        <v>583.47</v>
      </c>
      <c r="BK159" s="23">
        <f t="shared" si="1228"/>
        <v>583.47</v>
      </c>
      <c r="BL159" s="23">
        <f>+'QTR Raw'!AF72</f>
        <v>587.36</v>
      </c>
      <c r="BM159" s="23">
        <f t="shared" si="1228"/>
        <v>587.36</v>
      </c>
      <c r="BN159" s="23">
        <f>+'QTR Raw'!AH72</f>
        <v>614.58000000000004</v>
      </c>
      <c r="BO159" s="23">
        <f t="shared" si="1228"/>
        <v>614.58000000000004</v>
      </c>
      <c r="BP159" s="23">
        <f>+'QTR Raw'!AJ72</f>
        <v>608</v>
      </c>
      <c r="BQ159" s="23">
        <f t="shared" si="1228"/>
        <v>608</v>
      </c>
      <c r="BR159" s="23">
        <f>+'QTR Raw'!AL72</f>
        <v>610.97</v>
      </c>
      <c r="BS159" s="23">
        <f t="shared" si="1228"/>
        <v>610.97</v>
      </c>
      <c r="BT159" s="23">
        <f>+'QTR Raw'!AN72</f>
        <v>615.44000000000005</v>
      </c>
      <c r="BU159" s="23">
        <f t="shared" si="1228"/>
        <v>615.44000000000005</v>
      </c>
      <c r="BV159" s="23">
        <f>+'QTR Raw'!AP72</f>
        <v>622.91</v>
      </c>
      <c r="BW159" s="23">
        <f t="shared" si="1228"/>
        <v>622.91</v>
      </c>
      <c r="BX159" s="23">
        <f>+'QTR Raw'!AR72</f>
        <v>641.80999999999995</v>
      </c>
      <c r="BY159" s="23">
        <f t="shared" si="1228"/>
        <v>641.80999999999995</v>
      </c>
      <c r="BZ159" s="23">
        <f>+'QTR Raw'!AT72</f>
        <v>653.62</v>
      </c>
      <c r="CA159" s="23">
        <f t="shared" si="1228"/>
        <v>653.62</v>
      </c>
      <c r="CB159" s="23">
        <f>+'QTR Raw'!AV72</f>
        <v>657.48</v>
      </c>
      <c r="CC159" s="23">
        <f t="shared" si="1228"/>
        <v>657.48</v>
      </c>
      <c r="CD159" s="23">
        <f>+'QTR Raw'!AX72</f>
        <v>662.32</v>
      </c>
      <c r="CE159" s="23">
        <f t="shared" si="1228"/>
        <v>662.32</v>
      </c>
      <c r="CF159" s="23">
        <f>+'QTR Raw'!AZ72</f>
        <v>674.6</v>
      </c>
      <c r="CG159" s="23">
        <f t="shared" si="1226"/>
        <v>674.6</v>
      </c>
      <c r="CH159" s="23">
        <f t="shared" si="1213"/>
        <v>710.75</v>
      </c>
      <c r="CI159" s="23">
        <f t="shared" si="1226"/>
        <v>710.75</v>
      </c>
      <c r="CJ159" s="23">
        <f>+'QTR Raw'!BD72</f>
        <v>733.52</v>
      </c>
      <c r="CK159" s="23">
        <f t="shared" ref="CK159:CK161" si="1229">+CJ159</f>
        <v>733.52</v>
      </c>
      <c r="CL159" s="23">
        <f>+'QTR Raw'!BF72</f>
        <v>1121.95</v>
      </c>
      <c r="CM159" s="24">
        <f t="shared" ref="CM159:CM161" si="1230">+CL159</f>
        <v>1121.95</v>
      </c>
      <c r="CN159" s="24">
        <f t="shared" ref="CN159:CN161" si="1231">+CM159</f>
        <v>1121.95</v>
      </c>
      <c r="CO159" s="24">
        <f t="shared" ref="CO159:CO161" si="1232">+CN159</f>
        <v>1121.95</v>
      </c>
      <c r="CP159" s="24">
        <f t="shared" ref="CP159:CP161" si="1233">+CO159</f>
        <v>1121.95</v>
      </c>
      <c r="CQ159" s="24">
        <f t="shared" ref="CQ159:CQ161" si="1234">+CP159</f>
        <v>1121.95</v>
      </c>
      <c r="CR159" s="24">
        <f t="shared" ref="CR159:CR161" si="1235">+CQ159</f>
        <v>1121.95</v>
      </c>
      <c r="CS159" s="24">
        <f t="shared" ref="CS159:CS161" si="1236">+CR159</f>
        <v>1121.95</v>
      </c>
      <c r="CT159" s="24">
        <f t="shared" ref="CT159:CT161" si="1237">+CS159</f>
        <v>1121.95</v>
      </c>
      <c r="CU159" s="24">
        <f t="shared" ref="CU159:CU161" si="1238">+CT159</f>
        <v>1121.95</v>
      </c>
      <c r="CV159" s="24">
        <f t="shared" ref="CV159:CV161" si="1239">+CU159</f>
        <v>1121.95</v>
      </c>
      <c r="CW159" s="24">
        <f t="shared" ref="CW159:CW161" si="1240">+CV159</f>
        <v>1121.95</v>
      </c>
      <c r="CX159" s="24">
        <f t="shared" ref="CX159:CX161" si="1241">+CW159</f>
        <v>1121.95</v>
      </c>
      <c r="CY159" s="24">
        <f t="shared" ref="CY159:CY161" si="1242">+CX159</f>
        <v>1121.95</v>
      </c>
      <c r="CZ159" s="24">
        <f t="shared" ref="CZ159:CZ161" si="1243">+CY159</f>
        <v>1121.95</v>
      </c>
      <c r="DA159" s="24">
        <f t="shared" ref="DA159:DA161" si="1244">+CZ159</f>
        <v>1121.95</v>
      </c>
      <c r="DB159" s="24">
        <f t="shared" ref="DB159:DB161" si="1245">+DA159</f>
        <v>1121.95</v>
      </c>
      <c r="DE159" s="123"/>
      <c r="DF159" s="23">
        <v>733.52</v>
      </c>
    </row>
    <row r="160" spans="1:110" s="23" customFormat="1" outlineLevel="1" x14ac:dyDescent="0.2">
      <c r="A160" s="23" t="s">
        <v>55</v>
      </c>
      <c r="B160" s="23">
        <f>'Annual Raw'!C68</f>
        <v>0</v>
      </c>
      <c r="C160" s="23">
        <f>'Annual Raw'!D68</f>
        <v>0</v>
      </c>
      <c r="D160" s="23">
        <f>'Annual Raw'!E68</f>
        <v>0</v>
      </c>
      <c r="E160" s="23">
        <f>'Annual Raw'!F68</f>
        <v>0</v>
      </c>
      <c r="F160" s="23">
        <f>'Annual Raw'!G68</f>
        <v>0</v>
      </c>
      <c r="G160" s="23">
        <f>'Annual Raw'!H68</f>
        <v>0</v>
      </c>
      <c r="H160" s="23">
        <f>'Annual Raw'!I68</f>
        <v>0</v>
      </c>
      <c r="I160" s="23">
        <f>'Annual Raw'!J68</f>
        <v>0</v>
      </c>
      <c r="J160" s="23">
        <f>'Annual Raw'!K68</f>
        <v>0</v>
      </c>
      <c r="K160" s="23">
        <f>'Annual Raw'!L68</f>
        <v>0</v>
      </c>
      <c r="L160" s="23">
        <f>'Annual Raw'!M68</f>
        <v>17.03</v>
      </c>
      <c r="M160" s="23">
        <f>'Annual Raw'!N68</f>
        <v>20.52</v>
      </c>
      <c r="N160" s="23">
        <f>'Annual Raw'!O68</f>
        <v>20.93</v>
      </c>
      <c r="O160" s="23">
        <f>'Annual Raw'!P68</f>
        <v>5.23</v>
      </c>
      <c r="P160" s="23">
        <f>'Annual Raw'!Q68</f>
        <v>2.97</v>
      </c>
      <c r="Q160" s="23">
        <f>'Annual Raw'!R68</f>
        <v>0.74</v>
      </c>
      <c r="R160" s="23">
        <f>'Annual Raw'!S68</f>
        <v>0.42</v>
      </c>
      <c r="S160" s="23">
        <f>'Annual Raw'!T68</f>
        <v>1.67</v>
      </c>
      <c r="T160" s="23">
        <f>'Annual Raw'!U68</f>
        <v>0.25</v>
      </c>
      <c r="U160" s="23">
        <f>'Annual Raw'!V68</f>
        <v>0.93</v>
      </c>
      <c r="V160" s="23">
        <f>'Annual Raw'!W68</f>
        <v>0</v>
      </c>
      <c r="W160" s="23">
        <f>'Annual Raw'!X68</f>
        <v>0.23</v>
      </c>
      <c r="X160" s="23">
        <f>'Annual Raw'!Y68</f>
        <v>7.88</v>
      </c>
      <c r="Y160" s="23">
        <f>'Annual Raw'!Z68</f>
        <v>24.53</v>
      </c>
      <c r="Z160" s="23">
        <f>'Annual Raw'!AA68</f>
        <v>56.76</v>
      </c>
      <c r="AA160" s="23">
        <f>'Annual Raw'!AB68</f>
        <v>22.98</v>
      </c>
      <c r="AB160" s="24">
        <f t="shared" si="1209"/>
        <v>0</v>
      </c>
      <c r="AC160" s="24">
        <f t="shared" si="1210"/>
        <v>0</v>
      </c>
      <c r="AD160" s="24">
        <f t="shared" si="1211"/>
        <v>0</v>
      </c>
      <c r="AE160" s="24">
        <f t="shared" si="1212"/>
        <v>0</v>
      </c>
      <c r="AK160" s="23">
        <f t="shared" si="1228"/>
        <v>0</v>
      </c>
      <c r="AM160" s="23">
        <f t="shared" si="1228"/>
        <v>0</v>
      </c>
      <c r="AO160" s="23">
        <f t="shared" si="1228"/>
        <v>0</v>
      </c>
      <c r="AQ160" s="23">
        <f t="shared" si="1228"/>
        <v>0</v>
      </c>
      <c r="AS160" s="23">
        <f t="shared" si="1228"/>
        <v>0</v>
      </c>
      <c r="AU160" s="23">
        <f t="shared" si="1228"/>
        <v>0</v>
      </c>
      <c r="AW160" s="23">
        <f t="shared" si="1228"/>
        <v>0</v>
      </c>
      <c r="AY160" s="23">
        <f t="shared" si="1228"/>
        <v>0</v>
      </c>
      <c r="BA160" s="23">
        <f t="shared" si="1228"/>
        <v>0</v>
      </c>
      <c r="BC160" s="23">
        <f t="shared" si="1228"/>
        <v>0</v>
      </c>
      <c r="BE160" s="23">
        <f t="shared" si="1228"/>
        <v>0</v>
      </c>
      <c r="BG160" s="23">
        <f t="shared" si="1228"/>
        <v>0</v>
      </c>
      <c r="BI160" s="23">
        <f t="shared" si="1228"/>
        <v>0</v>
      </c>
      <c r="BK160" s="23">
        <f t="shared" si="1228"/>
        <v>0</v>
      </c>
      <c r="BM160" s="23">
        <f t="shared" si="1228"/>
        <v>0</v>
      </c>
      <c r="BO160" s="23">
        <f t="shared" si="1228"/>
        <v>0</v>
      </c>
      <c r="BQ160" s="23">
        <f t="shared" si="1228"/>
        <v>0</v>
      </c>
      <c r="BS160" s="23">
        <f t="shared" si="1228"/>
        <v>0</v>
      </c>
      <c r="BU160" s="23">
        <f t="shared" si="1228"/>
        <v>0</v>
      </c>
      <c r="BW160" s="23">
        <f t="shared" si="1228"/>
        <v>0</v>
      </c>
      <c r="BY160" s="23">
        <f t="shared" si="1228"/>
        <v>0</v>
      </c>
      <c r="CA160" s="23">
        <f t="shared" si="1228"/>
        <v>0</v>
      </c>
      <c r="CC160" s="23">
        <f t="shared" si="1228"/>
        <v>0</v>
      </c>
      <c r="CE160" s="23">
        <f t="shared" si="1228"/>
        <v>0</v>
      </c>
      <c r="CG160" s="23">
        <f t="shared" si="1226"/>
        <v>0</v>
      </c>
      <c r="CH160" s="23">
        <f t="shared" si="1213"/>
        <v>56.76</v>
      </c>
      <c r="CI160" s="23">
        <f t="shared" si="1226"/>
        <v>56.76</v>
      </c>
      <c r="CK160" s="23">
        <f t="shared" si="1229"/>
        <v>0</v>
      </c>
      <c r="CM160" s="24">
        <f t="shared" si="1230"/>
        <v>0</v>
      </c>
      <c r="CN160" s="24">
        <f t="shared" si="1231"/>
        <v>0</v>
      </c>
      <c r="CO160" s="24">
        <f t="shared" si="1232"/>
        <v>0</v>
      </c>
      <c r="CP160" s="24">
        <f t="shared" si="1233"/>
        <v>0</v>
      </c>
      <c r="CQ160" s="24">
        <f t="shared" si="1234"/>
        <v>0</v>
      </c>
      <c r="CR160" s="24">
        <f t="shared" si="1235"/>
        <v>0</v>
      </c>
      <c r="CS160" s="24">
        <f t="shared" si="1236"/>
        <v>0</v>
      </c>
      <c r="CT160" s="24">
        <f t="shared" si="1237"/>
        <v>0</v>
      </c>
      <c r="CU160" s="24">
        <f t="shared" si="1238"/>
        <v>0</v>
      </c>
      <c r="CV160" s="24">
        <f t="shared" si="1239"/>
        <v>0</v>
      </c>
      <c r="CW160" s="24">
        <f t="shared" si="1240"/>
        <v>0</v>
      </c>
      <c r="CX160" s="24">
        <f t="shared" si="1241"/>
        <v>0</v>
      </c>
      <c r="CY160" s="24">
        <f t="shared" si="1242"/>
        <v>0</v>
      </c>
      <c r="CZ160" s="24">
        <f t="shared" si="1243"/>
        <v>0</v>
      </c>
      <c r="DA160" s="24">
        <f t="shared" si="1244"/>
        <v>0</v>
      </c>
      <c r="DB160" s="24">
        <f t="shared" si="1245"/>
        <v>0</v>
      </c>
      <c r="DE160" s="123"/>
      <c r="DF160" s="23">
        <v>0</v>
      </c>
    </row>
    <row r="161" spans="1:110" s="23" customFormat="1" outlineLevel="1" x14ac:dyDescent="0.2">
      <c r="A161" s="23" t="s">
        <v>56</v>
      </c>
      <c r="B161" s="23">
        <f>'Annual Raw'!C67+'Annual Raw'!C66+'Annual Raw'!C69+'Annual Raw'!C70</f>
        <v>60.52</v>
      </c>
      <c r="C161" s="23">
        <f>'Annual Raw'!D67+'Annual Raw'!D66+'Annual Raw'!D69+'Annual Raw'!D70</f>
        <v>80.39</v>
      </c>
      <c r="D161" s="23">
        <f>'Annual Raw'!E67+'Annual Raw'!E66+'Annual Raw'!E69+'Annual Raw'!E70</f>
        <v>133.74</v>
      </c>
      <c r="E161" s="23">
        <f>'Annual Raw'!F67+'Annual Raw'!F66+'Annual Raw'!F69+'Annual Raw'!F70</f>
        <v>226.73</v>
      </c>
      <c r="F161" s="23">
        <f>'Annual Raw'!G67+'Annual Raw'!G66+'Annual Raw'!G69+'Annual Raw'!G70</f>
        <v>108.99</v>
      </c>
      <c r="G161" s="23">
        <f>'Annual Raw'!H67+'Annual Raw'!H66+'Annual Raw'!H69+'Annual Raw'!H70</f>
        <v>124.46</v>
      </c>
      <c r="H161" s="23">
        <f>'Annual Raw'!I67+'Annual Raw'!I66+'Annual Raw'!I69+'Annual Raw'!I70</f>
        <v>174.53</v>
      </c>
      <c r="I161" s="23">
        <f>'Annual Raw'!J67+'Annual Raw'!J66+'Annual Raw'!J69+'Annual Raw'!J70</f>
        <v>435.17</v>
      </c>
      <c r="J161" s="23">
        <f>'Annual Raw'!K67+'Annual Raw'!K66+'Annual Raw'!K69+'Annual Raw'!K70</f>
        <v>743.54</v>
      </c>
      <c r="K161" s="23">
        <f>'Annual Raw'!L67+'Annual Raw'!L66+'Annual Raw'!L69+'Annual Raw'!L70</f>
        <v>429.99</v>
      </c>
      <c r="L161" s="23">
        <f>'Annual Raw'!M67+'Annual Raw'!M66+'Annual Raw'!M69+'Annual Raw'!M70</f>
        <v>393.6</v>
      </c>
      <c r="M161" s="23">
        <f>'Annual Raw'!N67+'Annual Raw'!N66+'Annual Raw'!N69+'Annual Raw'!N70</f>
        <v>330.88</v>
      </c>
      <c r="N161" s="23">
        <f>'Annual Raw'!O67+'Annual Raw'!O66+'Annual Raw'!O69+'Annual Raw'!O70</f>
        <v>400.57</v>
      </c>
      <c r="O161" s="23">
        <f>'Annual Raw'!P67+'Annual Raw'!P66+'Annual Raw'!P69+'Annual Raw'!P70</f>
        <v>548.96</v>
      </c>
      <c r="P161" s="23">
        <f>'Annual Raw'!Q67+'Annual Raw'!Q66+'Annual Raw'!Q69+'Annual Raw'!Q70</f>
        <v>302.76</v>
      </c>
      <c r="Q161" s="23">
        <f>'Annual Raw'!R67+'Annual Raw'!R66+'Annual Raw'!R69+'Annual Raw'!R70</f>
        <v>289.23</v>
      </c>
      <c r="R161" s="23">
        <f>'Annual Raw'!S67+'Annual Raw'!S66+'Annual Raw'!S69+'Annual Raw'!S70</f>
        <v>222.25</v>
      </c>
      <c r="S161" s="23">
        <f>'Annual Raw'!T67+'Annual Raw'!T66+'Annual Raw'!T69+'Annual Raw'!T70</f>
        <v>195.31</v>
      </c>
      <c r="T161" s="23">
        <f>'Annual Raw'!U67+'Annual Raw'!U66+'Annual Raw'!U69+'Annual Raw'!U70</f>
        <v>115.93</v>
      </c>
      <c r="U161" s="23">
        <f>'Annual Raw'!V67+'Annual Raw'!V66+'Annual Raw'!V69+'Annual Raw'!V70</f>
        <v>243.15</v>
      </c>
      <c r="V161" s="23">
        <f>'Annual Raw'!W67+'Annual Raw'!W66+'Annual Raw'!W69+'Annual Raw'!W70</f>
        <v>164.99</v>
      </c>
      <c r="W161" s="23">
        <f>'Annual Raw'!X67+'Annual Raw'!X66+'Annual Raw'!X69+'Annual Raw'!X70</f>
        <v>193.31</v>
      </c>
      <c r="X161" s="23">
        <f>'Annual Raw'!Y67+'Annual Raw'!Y66+'Annual Raw'!Y69+'Annual Raw'!Y70</f>
        <v>324.17</v>
      </c>
      <c r="Y161" s="23">
        <f>'Annual Raw'!Z67+'Annual Raw'!Z66+'Annual Raw'!Z69+'Annual Raw'!Z70</f>
        <v>230.99</v>
      </c>
      <c r="Z161" s="23">
        <f>'Annual Raw'!AA67+'Annual Raw'!AA66+'Annual Raw'!AA69+'Annual Raw'!AA70</f>
        <v>575.80999999999995</v>
      </c>
      <c r="AA161" s="23">
        <f>'Annual Raw'!AB67+'Annual Raw'!AB66+'Annual Raw'!AB69+'Annual Raw'!AB70</f>
        <v>764.33</v>
      </c>
      <c r="AB161" s="24">
        <f t="shared" si="1209"/>
        <v>764.33</v>
      </c>
      <c r="AC161" s="24">
        <f t="shared" si="1210"/>
        <v>764.33</v>
      </c>
      <c r="AD161" s="24">
        <f t="shared" si="1211"/>
        <v>764.33</v>
      </c>
      <c r="AE161" s="24">
        <f t="shared" si="1212"/>
        <v>764.33</v>
      </c>
      <c r="AJ161" s="23">
        <f>+'QTR Raw'!D74+'QTR Raw'!D75</f>
        <v>0</v>
      </c>
      <c r="AK161" s="23">
        <f t="shared" si="1228"/>
        <v>0</v>
      </c>
      <c r="AL161" s="23">
        <f>+'QTR Raw'!F74+'QTR Raw'!F75</f>
        <v>0</v>
      </c>
      <c r="AM161" s="23">
        <f t="shared" si="1228"/>
        <v>0</v>
      </c>
      <c r="AN161" s="23">
        <f>+'QTR Raw'!H74+'QTR Raw'!H75</f>
        <v>0</v>
      </c>
      <c r="AO161" s="23">
        <f t="shared" si="1228"/>
        <v>0</v>
      </c>
      <c r="AP161" s="23">
        <f>+'QTR Raw'!J74+'QTR Raw'!J75</f>
        <v>0</v>
      </c>
      <c r="AQ161" s="23">
        <f t="shared" si="1228"/>
        <v>0</v>
      </c>
      <c r="AR161" s="23">
        <f>+'QTR Raw'!L74+'QTR Raw'!L75</f>
        <v>0</v>
      </c>
      <c r="AS161" s="23">
        <f t="shared" si="1228"/>
        <v>0</v>
      </c>
      <c r="AT161" s="23">
        <f>+'QTR Raw'!N74+'QTR Raw'!N75</f>
        <v>0</v>
      </c>
      <c r="AU161" s="23">
        <f t="shared" si="1228"/>
        <v>0</v>
      </c>
      <c r="AV161" s="23">
        <f>+'QTR Raw'!P74+'QTR Raw'!P75</f>
        <v>0</v>
      </c>
      <c r="AW161" s="23">
        <f t="shared" si="1228"/>
        <v>0</v>
      </c>
      <c r="AX161" s="23">
        <f>+'QTR Raw'!R74+'QTR Raw'!R75</f>
        <v>289.23</v>
      </c>
      <c r="AY161" s="23">
        <f t="shared" si="1228"/>
        <v>289.23</v>
      </c>
      <c r="AZ161" s="23">
        <f>+'QTR Raw'!T74+'QTR Raw'!T75</f>
        <v>139.19</v>
      </c>
      <c r="BA161" s="23">
        <f t="shared" si="1228"/>
        <v>139.19</v>
      </c>
      <c r="BB161" s="23">
        <f>+'QTR Raw'!V74+'QTR Raw'!V75</f>
        <v>222.25</v>
      </c>
      <c r="BC161" s="23">
        <f t="shared" si="1228"/>
        <v>222.25</v>
      </c>
      <c r="BD161" s="23">
        <f>+'QTR Raw'!X74+'QTR Raw'!X75</f>
        <v>259.27999999999997</v>
      </c>
      <c r="BE161" s="23">
        <f t="shared" si="1228"/>
        <v>259.27999999999997</v>
      </c>
      <c r="BF161" s="23">
        <f>+'QTR Raw'!Z74+'QTR Raw'!Z75</f>
        <v>195.31</v>
      </c>
      <c r="BG161" s="23">
        <f t="shared" si="1228"/>
        <v>195.31</v>
      </c>
      <c r="BH161" s="23">
        <f>+'QTR Raw'!AB74+'QTR Raw'!AB75</f>
        <v>175.38</v>
      </c>
      <c r="BI161" s="23">
        <f t="shared" si="1228"/>
        <v>175.38</v>
      </c>
      <c r="BJ161" s="23">
        <f>+'QTR Raw'!AD74+'QTR Raw'!AD75</f>
        <v>115.93</v>
      </c>
      <c r="BK161" s="23">
        <f t="shared" si="1228"/>
        <v>115.93</v>
      </c>
      <c r="BL161" s="23">
        <f>+'QTR Raw'!AF74+'QTR Raw'!AF75</f>
        <v>167.46</v>
      </c>
      <c r="BM161" s="23">
        <f t="shared" si="1228"/>
        <v>167.46</v>
      </c>
      <c r="BN161" s="23">
        <f>+'QTR Raw'!AH74+'QTR Raw'!AH75</f>
        <v>243.15</v>
      </c>
      <c r="BO161" s="23">
        <f t="shared" si="1228"/>
        <v>243.15</v>
      </c>
      <c r="BP161" s="23">
        <f>+'QTR Raw'!AJ74+'QTR Raw'!AJ75</f>
        <v>267.02</v>
      </c>
      <c r="BQ161" s="23">
        <f t="shared" si="1228"/>
        <v>267.02</v>
      </c>
      <c r="BR161" s="23">
        <f>+'QTR Raw'!AL74+'QTR Raw'!AL75</f>
        <v>164.99</v>
      </c>
      <c r="BS161" s="23">
        <f t="shared" si="1228"/>
        <v>164.99</v>
      </c>
      <c r="BT161" s="23">
        <f>+'QTR Raw'!AN74+'QTR Raw'!AN75</f>
        <v>209.41</v>
      </c>
      <c r="BU161" s="23">
        <f t="shared" si="1228"/>
        <v>209.41</v>
      </c>
      <c r="BV161" s="23">
        <f>+'QTR Raw'!AP74+'QTR Raw'!AP75</f>
        <v>193.31</v>
      </c>
      <c r="BW161" s="23">
        <f t="shared" si="1228"/>
        <v>193.31</v>
      </c>
      <c r="BX161" s="23">
        <f>+'QTR Raw'!AR74+'QTR Raw'!AR75</f>
        <v>237.61</v>
      </c>
      <c r="BY161" s="23">
        <f t="shared" si="1228"/>
        <v>237.61</v>
      </c>
      <c r="BZ161" s="23">
        <f>+'QTR Raw'!AT74+'QTR Raw'!AT75</f>
        <v>324.17</v>
      </c>
      <c r="CA161" s="23">
        <f t="shared" si="1228"/>
        <v>324.17</v>
      </c>
      <c r="CB161" s="23">
        <f>+'QTR Raw'!AV74+'QTR Raw'!AV75</f>
        <v>401.92</v>
      </c>
      <c r="CC161" s="23">
        <f t="shared" si="1228"/>
        <v>401.92</v>
      </c>
      <c r="CD161" s="23">
        <f>+'QTR Raw'!AX74+'QTR Raw'!AX75</f>
        <v>230.99</v>
      </c>
      <c r="CE161" s="23">
        <f t="shared" si="1228"/>
        <v>230.99</v>
      </c>
      <c r="CF161" s="23">
        <f>+'QTR Raw'!AZ74+'QTR Raw'!AZ75</f>
        <v>361.5</v>
      </c>
      <c r="CG161" s="23">
        <f t="shared" si="1226"/>
        <v>361.5</v>
      </c>
      <c r="CH161" s="23">
        <f t="shared" si="1213"/>
        <v>575.80999999999995</v>
      </c>
      <c r="CI161" s="23">
        <f t="shared" si="1226"/>
        <v>575.80999999999995</v>
      </c>
      <c r="CJ161" s="23">
        <f>+'QTR Raw'!BD74+'QTR Raw'!BD75</f>
        <v>861.86</v>
      </c>
      <c r="CK161" s="23">
        <f t="shared" si="1229"/>
        <v>861.86</v>
      </c>
      <c r="CL161" s="23">
        <f>+'QTR Raw'!BF74+'QTR Raw'!BF75</f>
        <v>764.33</v>
      </c>
      <c r="CM161" s="24">
        <f t="shared" si="1230"/>
        <v>764.33</v>
      </c>
      <c r="CN161" s="24">
        <f t="shared" si="1231"/>
        <v>764.33</v>
      </c>
      <c r="CO161" s="24">
        <f t="shared" si="1232"/>
        <v>764.33</v>
      </c>
      <c r="CP161" s="24">
        <f t="shared" si="1233"/>
        <v>764.33</v>
      </c>
      <c r="CQ161" s="24">
        <f t="shared" si="1234"/>
        <v>764.33</v>
      </c>
      <c r="CR161" s="24">
        <f t="shared" si="1235"/>
        <v>764.33</v>
      </c>
      <c r="CS161" s="24">
        <f t="shared" si="1236"/>
        <v>764.33</v>
      </c>
      <c r="CT161" s="24">
        <f t="shared" si="1237"/>
        <v>764.33</v>
      </c>
      <c r="CU161" s="24">
        <f t="shared" si="1238"/>
        <v>764.33</v>
      </c>
      <c r="CV161" s="24">
        <f t="shared" si="1239"/>
        <v>764.33</v>
      </c>
      <c r="CW161" s="24">
        <f t="shared" si="1240"/>
        <v>764.33</v>
      </c>
      <c r="CX161" s="24">
        <f t="shared" si="1241"/>
        <v>764.33</v>
      </c>
      <c r="CY161" s="24">
        <f t="shared" si="1242"/>
        <v>764.33</v>
      </c>
      <c r="CZ161" s="24">
        <f t="shared" si="1243"/>
        <v>764.33</v>
      </c>
      <c r="DA161" s="24">
        <f t="shared" si="1244"/>
        <v>764.33</v>
      </c>
      <c r="DB161" s="24">
        <f t="shared" si="1245"/>
        <v>764.33</v>
      </c>
      <c r="DE161" s="123"/>
      <c r="DF161" s="23">
        <v>861.86</v>
      </c>
    </row>
    <row r="162" spans="1:110" s="22" customFormat="1" x14ac:dyDescent="0.2">
      <c r="A162" s="22" t="s">
        <v>57</v>
      </c>
      <c r="B162" s="22">
        <f>B158+B161+B160</f>
        <v>663.93</v>
      </c>
      <c r="C162" s="22">
        <f t="shared" ref="C162:D162" si="1246">C158+C161+C160</f>
        <v>1875.1499999999999</v>
      </c>
      <c r="D162" s="22">
        <f t="shared" si="1246"/>
        <v>1992.54</v>
      </c>
      <c r="E162" s="22">
        <f t="shared" ref="E162:Y162" si="1247">E158+E161+E160+E159</f>
        <v>2142.9399999999996</v>
      </c>
      <c r="F162" s="22">
        <f t="shared" si="1247"/>
        <v>2657.97</v>
      </c>
      <c r="G162" s="22">
        <f t="shared" si="1247"/>
        <v>2794.0299999999997</v>
      </c>
      <c r="H162" s="22">
        <f t="shared" si="1247"/>
        <v>3870.73</v>
      </c>
      <c r="I162" s="22">
        <f t="shared" si="1247"/>
        <v>4246.57</v>
      </c>
      <c r="J162" s="22">
        <f t="shared" si="1247"/>
        <v>5176.72</v>
      </c>
      <c r="K162" s="22">
        <f t="shared" si="1247"/>
        <v>5133.8599999999997</v>
      </c>
      <c r="L162" s="22">
        <f t="shared" si="1247"/>
        <v>5265.8600000000006</v>
      </c>
      <c r="M162" s="22">
        <f t="shared" si="1247"/>
        <v>6057.0000000000009</v>
      </c>
      <c r="N162" s="22">
        <f t="shared" si="1247"/>
        <v>6317.27</v>
      </c>
      <c r="O162" s="22">
        <f t="shared" si="1247"/>
        <v>6768.98</v>
      </c>
      <c r="P162" s="22">
        <f t="shared" si="1247"/>
        <v>6604.9199999999992</v>
      </c>
      <c r="Q162" s="22">
        <f t="shared" si="1247"/>
        <v>7051.59</v>
      </c>
      <c r="R162" s="22">
        <f t="shared" si="1247"/>
        <v>6038.0599999999995</v>
      </c>
      <c r="S162" s="22">
        <f t="shared" si="1247"/>
        <v>6359.6100000000006</v>
      </c>
      <c r="T162" s="22">
        <f t="shared" si="1247"/>
        <v>6538.43</v>
      </c>
      <c r="U162" s="22">
        <f t="shared" si="1247"/>
        <v>8302.93</v>
      </c>
      <c r="V162" s="22">
        <f t="shared" si="1247"/>
        <v>8602.69</v>
      </c>
      <c r="W162" s="22">
        <f t="shared" si="1247"/>
        <v>8608.8799999999992</v>
      </c>
      <c r="X162" s="22">
        <f t="shared" si="1247"/>
        <v>9150.5799999999981</v>
      </c>
      <c r="Y162" s="22">
        <f t="shared" si="1247"/>
        <v>9566.86</v>
      </c>
      <c r="Z162" s="22">
        <f>Z158+Z161+Z160+Z159</f>
        <v>11550.75</v>
      </c>
      <c r="AA162" s="22">
        <f>AA158+AA161+AA160+AA159</f>
        <v>12997.37</v>
      </c>
      <c r="AB162" s="161">
        <f t="shared" ref="AB162:AE162" si="1248">AB158+AB161+AB160+AB159</f>
        <v>10563.64890889784</v>
      </c>
      <c r="AC162" s="161">
        <f t="shared" si="1248"/>
        <v>10427.93762085201</v>
      </c>
      <c r="AD162" s="161">
        <f t="shared" si="1248"/>
        <v>10303.436722725462</v>
      </c>
      <c r="AE162" s="161">
        <f t="shared" si="1248"/>
        <v>10189.220183648167</v>
      </c>
      <c r="AJ162" s="22">
        <f t="shared" ref="AJ162" si="1249">AJ158+AJ161+AJ159+AJ160</f>
        <v>2066.91</v>
      </c>
      <c r="AK162" s="22">
        <f t="shared" ref="AK162" si="1250">AK158+AK161+AK159+AK160</f>
        <v>2066.91</v>
      </c>
      <c r="AL162" s="22">
        <f t="shared" ref="AL162:AM162" si="1251">AL158+AL161+AL159+AL160</f>
        <v>6317.2699999999995</v>
      </c>
      <c r="AM162" s="22">
        <f t="shared" si="1251"/>
        <v>6317.2699999999995</v>
      </c>
      <c r="AN162" s="22">
        <f t="shared" ref="AN162:AO162" si="1252">AN158+AN161+AN159+AN160</f>
        <v>2087.7199999999998</v>
      </c>
      <c r="AO162" s="22">
        <f t="shared" si="1252"/>
        <v>2087.7199999999998</v>
      </c>
      <c r="AP162" s="22">
        <f t="shared" ref="AP162:CE162" si="1253">AP158+AP161+AP159+AP160</f>
        <v>6768.9800000000005</v>
      </c>
      <c r="AQ162" s="22">
        <f t="shared" si="1253"/>
        <v>6768.9800000000005</v>
      </c>
      <c r="AR162" s="22">
        <f t="shared" si="1253"/>
        <v>2128.7800000000002</v>
      </c>
      <c r="AS162" s="22">
        <f t="shared" si="1253"/>
        <v>2128.7800000000002</v>
      </c>
      <c r="AT162" s="22">
        <f t="shared" si="1253"/>
        <v>6604.92</v>
      </c>
      <c r="AU162" s="22">
        <f t="shared" si="1253"/>
        <v>6604.92</v>
      </c>
      <c r="AV162" s="22">
        <f t="shared" si="1253"/>
        <v>2187.38</v>
      </c>
      <c r="AW162" s="22">
        <f t="shared" si="1253"/>
        <v>2187.38</v>
      </c>
      <c r="AX162" s="22">
        <f t="shared" si="1253"/>
        <v>7051.59</v>
      </c>
      <c r="AY162" s="22">
        <f t="shared" si="1253"/>
        <v>7051.59</v>
      </c>
      <c r="AZ162" s="22">
        <f t="shared" si="1253"/>
        <v>2247.6</v>
      </c>
      <c r="BA162" s="22">
        <f t="shared" si="1253"/>
        <v>2247.6</v>
      </c>
      <c r="BB162" s="22">
        <f t="shared" si="1253"/>
        <v>6038.0599999999995</v>
      </c>
      <c r="BC162" s="22">
        <f t="shared" si="1253"/>
        <v>6038.0599999999995</v>
      </c>
      <c r="BD162" s="22">
        <f t="shared" si="1253"/>
        <v>6201.61</v>
      </c>
      <c r="BE162" s="22">
        <f t="shared" si="1253"/>
        <v>6201.61</v>
      </c>
      <c r="BF162" s="22">
        <f t="shared" si="1253"/>
        <v>6359.6100000000006</v>
      </c>
      <c r="BG162" s="22">
        <f t="shared" si="1253"/>
        <v>6359.6100000000006</v>
      </c>
      <c r="BH162" s="22">
        <f t="shared" si="1253"/>
        <v>6593.15</v>
      </c>
      <c r="BI162" s="22">
        <f t="shared" si="1253"/>
        <v>6593.15</v>
      </c>
      <c r="BJ162" s="22">
        <f t="shared" si="1253"/>
        <v>6538.43</v>
      </c>
      <c r="BK162" s="22">
        <f t="shared" si="1253"/>
        <v>6538.43</v>
      </c>
      <c r="BL162" s="22">
        <f t="shared" si="1253"/>
        <v>6510.0999999999995</v>
      </c>
      <c r="BM162" s="22">
        <f t="shared" si="1253"/>
        <v>6510.0999999999995</v>
      </c>
      <c r="BN162" s="22">
        <f t="shared" si="1253"/>
        <v>6719.65</v>
      </c>
      <c r="BO162" s="22">
        <f t="shared" si="1253"/>
        <v>6719.65</v>
      </c>
      <c r="BP162" s="22">
        <f t="shared" si="1253"/>
        <v>6987.1299999999992</v>
      </c>
      <c r="BQ162" s="22">
        <f t="shared" si="1253"/>
        <v>6987.1299999999992</v>
      </c>
      <c r="BR162" s="22">
        <f t="shared" si="1253"/>
        <v>7072.95</v>
      </c>
      <c r="BS162" s="22">
        <f t="shared" si="1253"/>
        <v>7072.95</v>
      </c>
      <c r="BT162" s="22">
        <f t="shared" si="1253"/>
        <v>7034.1200000000008</v>
      </c>
      <c r="BU162" s="22">
        <f t="shared" si="1253"/>
        <v>7034.1200000000008</v>
      </c>
      <c r="BV162" s="22">
        <f t="shared" si="1253"/>
        <v>7095.46</v>
      </c>
      <c r="BW162" s="22">
        <f t="shared" si="1253"/>
        <v>7095.46</v>
      </c>
      <c r="BX162" s="22">
        <f t="shared" si="1253"/>
        <v>7011.8799999999992</v>
      </c>
      <c r="BY162" s="22">
        <f t="shared" si="1253"/>
        <v>7011.8799999999992</v>
      </c>
      <c r="BZ162" s="22">
        <f t="shared" si="1253"/>
        <v>7271.65</v>
      </c>
      <c r="CA162" s="22">
        <f t="shared" si="1253"/>
        <v>7271.65</v>
      </c>
      <c r="CB162" s="22">
        <f t="shared" si="1253"/>
        <v>7413.09</v>
      </c>
      <c r="CC162" s="22">
        <f t="shared" si="1253"/>
        <v>7413.09</v>
      </c>
      <c r="CD162" s="22">
        <f t="shared" si="1253"/>
        <v>7596.53</v>
      </c>
      <c r="CE162" s="22">
        <f t="shared" si="1253"/>
        <v>7596.53</v>
      </c>
      <c r="CF162" s="22">
        <f t="shared" ref="CF162:CG162" si="1254">CF158+CF161+CF159+CF160</f>
        <v>8553.6299999999992</v>
      </c>
      <c r="CG162" s="22">
        <f t="shared" si="1254"/>
        <v>8553.6299999999992</v>
      </c>
      <c r="CH162" s="22">
        <f t="shared" ref="CH162:CJ162" si="1255">CH158+CH161+CH159+CH160</f>
        <v>11550.75</v>
      </c>
      <c r="CI162" s="22">
        <f t="shared" si="1255"/>
        <v>11408</v>
      </c>
      <c r="CJ162" s="22">
        <f t="shared" si="1255"/>
        <v>9444.76</v>
      </c>
      <c r="CK162" s="22">
        <f t="shared" ref="CK162:DB162" si="1256">CK158+CK161+CK159+CK160</f>
        <v>9444.44</v>
      </c>
      <c r="CL162" s="22">
        <f t="shared" si="1256"/>
        <v>10711.58</v>
      </c>
      <c r="CM162" s="21">
        <f t="shared" si="1256"/>
        <v>10673.393075578477</v>
      </c>
      <c r="CN162" s="21">
        <f t="shared" si="1256"/>
        <v>10636.020432808569</v>
      </c>
      <c r="CO162" s="21">
        <f t="shared" si="1256"/>
        <v>10599.444708296442</v>
      </c>
      <c r="CP162" s="21">
        <f t="shared" si="1256"/>
        <v>10563.64890889784</v>
      </c>
      <c r="CQ162" s="21">
        <f t="shared" si="1256"/>
        <v>10528.616403823064</v>
      </c>
      <c r="CR162" s="21">
        <f t="shared" si="1256"/>
        <v>10494.330916910252</v>
      </c>
      <c r="CS162" s="21">
        <f t="shared" si="1256"/>
        <v>10460.776519063469</v>
      </c>
      <c r="CT162" s="21">
        <f t="shared" si="1256"/>
        <v>10427.93762085201</v>
      </c>
      <c r="CU162" s="21">
        <f t="shared" si="1256"/>
        <v>10395.798965267519</v>
      </c>
      <c r="CV162" s="21">
        <f t="shared" si="1256"/>
        <v>10364.345620635571</v>
      </c>
      <c r="CW162" s="21">
        <f t="shared" si="1256"/>
        <v>10333.562973678387</v>
      </c>
      <c r="CX162" s="21">
        <f t="shared" si="1256"/>
        <v>10303.436722725462</v>
      </c>
      <c r="CY162" s="21">
        <f t="shared" si="1256"/>
        <v>10273.952871069016</v>
      </c>
      <c r="CZ162" s="21">
        <f t="shared" si="1256"/>
        <v>10245.097720461066</v>
      </c>
      <c r="DA162" s="21">
        <f t="shared" si="1256"/>
        <v>10216.857864749227</v>
      </c>
      <c r="DB162" s="21">
        <f t="shared" si="1256"/>
        <v>10189.220183648167</v>
      </c>
      <c r="DE162" s="126"/>
      <c r="DF162" s="22">
        <v>9444.1261281782772</v>
      </c>
    </row>
    <row r="163" spans="1:110" s="23" customFormat="1" x14ac:dyDescent="0.2">
      <c r="AB163" s="24"/>
      <c r="AC163" s="24"/>
      <c r="AD163" s="24"/>
      <c r="AE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</row>
    <row r="164" spans="1:110" s="23" customFormat="1" x14ac:dyDescent="0.2">
      <c r="A164" s="23" t="s">
        <v>58</v>
      </c>
      <c r="B164" s="23">
        <f>'Annual Raw'!C71</f>
        <v>422.13</v>
      </c>
      <c r="C164" s="23">
        <f>'Annual Raw'!D71</f>
        <v>404.47</v>
      </c>
      <c r="D164" s="23">
        <f>'Annual Raw'!E71</f>
        <v>390.08</v>
      </c>
      <c r="E164" s="23">
        <f>'Annual Raw'!F71</f>
        <v>432.12</v>
      </c>
      <c r="F164" s="23">
        <f>'Annual Raw'!G71</f>
        <v>457.06</v>
      </c>
      <c r="G164" s="23">
        <f>'Annual Raw'!H71</f>
        <v>524.95000000000005</v>
      </c>
      <c r="H164" s="23">
        <f>'Annual Raw'!I71</f>
        <v>501.19</v>
      </c>
      <c r="I164" s="23">
        <f>'Annual Raw'!J71</f>
        <v>1539.33</v>
      </c>
      <c r="J164" s="23">
        <f>'Annual Raw'!K71</f>
        <v>1981.95</v>
      </c>
      <c r="K164" s="23">
        <f>'Annual Raw'!L71</f>
        <v>1882.14</v>
      </c>
      <c r="L164" s="23">
        <f>'Annual Raw'!M71</f>
        <v>1851.47</v>
      </c>
      <c r="M164" s="23">
        <f>'Annual Raw'!N71</f>
        <v>1841.15</v>
      </c>
      <c r="N164" s="23">
        <f>'Annual Raw'!O71</f>
        <v>1522.61</v>
      </c>
      <c r="O164" s="23">
        <f>'Annual Raw'!P71</f>
        <v>1319.28</v>
      </c>
      <c r="P164" s="23">
        <f>'Annual Raw'!Q71</f>
        <v>1040.5899999999999</v>
      </c>
      <c r="Q164" s="23">
        <f>'Annual Raw'!R71</f>
        <v>1344.63</v>
      </c>
      <c r="R164" s="23">
        <f>'Annual Raw'!S71</f>
        <v>1152.9100000000001</v>
      </c>
      <c r="S164" s="23">
        <f>'Annual Raw'!T71</f>
        <v>1180.8900000000001</v>
      </c>
      <c r="T164" s="23">
        <f>'Annual Raw'!U71</f>
        <v>1123.93</v>
      </c>
      <c r="U164" s="23">
        <f>'Annual Raw'!V71</f>
        <v>990.35</v>
      </c>
      <c r="V164" s="23">
        <f>'Annual Raw'!W71</f>
        <v>1034.54</v>
      </c>
      <c r="W164" s="23">
        <f>'Annual Raw'!X71</f>
        <v>1064.33</v>
      </c>
      <c r="X164" s="23">
        <f>'Annual Raw'!Y71</f>
        <v>1133.71</v>
      </c>
      <c r="Y164" s="23">
        <f>'Annual Raw'!Z71</f>
        <v>1537.05</v>
      </c>
      <c r="Z164" s="23">
        <f>'Annual Raw'!AA71</f>
        <v>1379.89</v>
      </c>
      <c r="AA164" s="23">
        <f>'Annual Raw'!AB71</f>
        <v>1106.57</v>
      </c>
      <c r="AB164" s="24">
        <f>+CP164</f>
        <v>1106.57</v>
      </c>
      <c r="AC164" s="24">
        <f>+CT164</f>
        <v>1106.57</v>
      </c>
      <c r="AD164" s="24">
        <f>+CX164</f>
        <v>1106.57</v>
      </c>
      <c r="AE164" s="24">
        <f>+DB164</f>
        <v>1106.57</v>
      </c>
      <c r="AJ164" s="23">
        <f>+'QTR Raw'!D77</f>
        <v>3622.19</v>
      </c>
      <c r="AK164" s="23">
        <f t="shared" ref="AK164:CE164" si="1257">+AJ164</f>
        <v>3622.19</v>
      </c>
      <c r="AL164" s="23">
        <f>+'QTR Raw'!F77</f>
        <v>1522.61</v>
      </c>
      <c r="AM164" s="23">
        <f t="shared" si="1257"/>
        <v>1522.61</v>
      </c>
      <c r="AN164" s="23">
        <f>+'QTR Raw'!H77</f>
        <v>3096.75</v>
      </c>
      <c r="AO164" s="23">
        <f t="shared" si="1257"/>
        <v>3096.75</v>
      </c>
      <c r="AP164" s="23">
        <f>+'QTR Raw'!J77</f>
        <v>1319.28</v>
      </c>
      <c r="AQ164" s="23">
        <f t="shared" si="1257"/>
        <v>1319.28</v>
      </c>
      <c r="AR164" s="23">
        <f>+'QTR Raw'!L77</f>
        <v>2761.64</v>
      </c>
      <c r="AS164" s="23">
        <f t="shared" si="1257"/>
        <v>2761.64</v>
      </c>
      <c r="AT164" s="23">
        <f>+'QTR Raw'!N77</f>
        <v>1040.5899999999999</v>
      </c>
      <c r="AU164" s="23">
        <f t="shared" si="1257"/>
        <v>1040.5899999999999</v>
      </c>
      <c r="AV164" s="23">
        <f>+'QTR Raw'!P77</f>
        <v>2798.73</v>
      </c>
      <c r="AW164" s="23">
        <f t="shared" si="1257"/>
        <v>2798.73</v>
      </c>
      <c r="AX164" s="23">
        <f>+'QTR Raw'!R77</f>
        <v>1344.63</v>
      </c>
      <c r="AY164" s="23">
        <f t="shared" si="1257"/>
        <v>1344.63</v>
      </c>
      <c r="AZ164" s="23">
        <f>+'QTR Raw'!T77</f>
        <v>1453.12</v>
      </c>
      <c r="BA164" s="23">
        <f t="shared" si="1257"/>
        <v>1453.12</v>
      </c>
      <c r="BB164" s="23">
        <f>+'QTR Raw'!V77</f>
        <v>1152.9100000000001</v>
      </c>
      <c r="BC164" s="23">
        <f t="shared" si="1257"/>
        <v>1152.9100000000001</v>
      </c>
      <c r="BD164" s="23">
        <f>+'QTR Raw'!X77</f>
        <v>1163.6199999999999</v>
      </c>
      <c r="BE164" s="23">
        <f t="shared" si="1257"/>
        <v>1163.6199999999999</v>
      </c>
      <c r="BF164" s="23">
        <f>+'QTR Raw'!Z77</f>
        <v>1180.8900000000001</v>
      </c>
      <c r="BG164" s="23">
        <f t="shared" si="1257"/>
        <v>1180.8900000000001</v>
      </c>
      <c r="BH164" s="23">
        <f>+'QTR Raw'!AB77</f>
        <v>1133.8599999999999</v>
      </c>
      <c r="BI164" s="23">
        <f t="shared" si="1257"/>
        <v>1133.8599999999999</v>
      </c>
      <c r="BJ164" s="23">
        <f>+'QTR Raw'!AD77</f>
        <v>1123.93</v>
      </c>
      <c r="BK164" s="23">
        <f t="shared" si="1257"/>
        <v>1123.93</v>
      </c>
      <c r="BL164" s="23">
        <f>+'QTR Raw'!AF77</f>
        <v>1046.03</v>
      </c>
      <c r="BM164" s="23">
        <f t="shared" si="1257"/>
        <v>1046.03</v>
      </c>
      <c r="BN164" s="23">
        <f>+'QTR Raw'!AH77</f>
        <v>990.35</v>
      </c>
      <c r="BO164" s="23">
        <f t="shared" si="1257"/>
        <v>990.35</v>
      </c>
      <c r="BP164" s="23">
        <f>+'QTR Raw'!AJ77</f>
        <v>915.08</v>
      </c>
      <c r="BQ164" s="23">
        <f t="shared" si="1257"/>
        <v>915.08</v>
      </c>
      <c r="BR164" s="23">
        <f>+'QTR Raw'!AL77</f>
        <v>1034.54</v>
      </c>
      <c r="BS164" s="23">
        <f t="shared" si="1257"/>
        <v>1034.54</v>
      </c>
      <c r="BT164" s="23">
        <f>+'QTR Raw'!AN77</f>
        <v>1040.8399999999999</v>
      </c>
      <c r="BU164" s="23">
        <f t="shared" si="1257"/>
        <v>1040.8399999999999</v>
      </c>
      <c r="BV164" s="23">
        <f>+'QTR Raw'!AP77</f>
        <v>1064.33</v>
      </c>
      <c r="BW164" s="23">
        <f t="shared" si="1257"/>
        <v>1064.33</v>
      </c>
      <c r="BX164" s="23">
        <f>+'QTR Raw'!AR77</f>
        <v>1074.54</v>
      </c>
      <c r="BY164" s="23">
        <f t="shared" si="1257"/>
        <v>1074.54</v>
      </c>
      <c r="BZ164" s="23">
        <f>+'QTR Raw'!AT77</f>
        <v>1133.71</v>
      </c>
      <c r="CA164" s="23">
        <f t="shared" si="1257"/>
        <v>1133.71</v>
      </c>
      <c r="CB164" s="23">
        <f>+'QTR Raw'!AV77</f>
        <v>1246.21</v>
      </c>
      <c r="CC164" s="23">
        <f t="shared" si="1257"/>
        <v>1246.21</v>
      </c>
      <c r="CD164" s="23">
        <f>+'QTR Raw'!AX77</f>
        <v>1537.05</v>
      </c>
      <c r="CE164" s="23">
        <f t="shared" si="1257"/>
        <v>1537.05</v>
      </c>
      <c r="CF164" s="23">
        <f>+'QTR Raw'!AZ77</f>
        <v>1440.2</v>
      </c>
      <c r="CG164" s="23">
        <f t="shared" ref="CG164:CI167" si="1258">+CF164</f>
        <v>1440.2</v>
      </c>
      <c r="CH164" s="23">
        <f t="shared" ref="CH164:CH179" si="1259">Z164</f>
        <v>1379.89</v>
      </c>
      <c r="CI164" s="23">
        <f t="shared" si="1258"/>
        <v>1379.89</v>
      </c>
      <c r="CJ164" s="23">
        <f>+'QTR Raw'!BD77</f>
        <v>1387.94</v>
      </c>
      <c r="CK164" s="23">
        <f t="shared" ref="CK164" si="1260">+CJ164</f>
        <v>1387.94</v>
      </c>
      <c r="CL164" s="23">
        <f>+'QTR Raw'!BF77</f>
        <v>1106.57</v>
      </c>
      <c r="CM164" s="24">
        <f t="shared" ref="CM164" si="1261">+CL164</f>
        <v>1106.57</v>
      </c>
      <c r="CN164" s="24">
        <f t="shared" ref="CN164" si="1262">+CM164</f>
        <v>1106.57</v>
      </c>
      <c r="CO164" s="24">
        <f t="shared" ref="CO164" si="1263">+CN164</f>
        <v>1106.57</v>
      </c>
      <c r="CP164" s="24">
        <f t="shared" ref="CP164" si="1264">+CO164</f>
        <v>1106.57</v>
      </c>
      <c r="CQ164" s="24">
        <f t="shared" ref="CQ164" si="1265">+CP164</f>
        <v>1106.57</v>
      </c>
      <c r="CR164" s="24">
        <f t="shared" ref="CR164" si="1266">+CQ164</f>
        <v>1106.57</v>
      </c>
      <c r="CS164" s="24">
        <f t="shared" ref="CS164" si="1267">+CR164</f>
        <v>1106.57</v>
      </c>
      <c r="CT164" s="24">
        <f t="shared" ref="CT164" si="1268">+CS164</f>
        <v>1106.57</v>
      </c>
      <c r="CU164" s="24">
        <f t="shared" ref="CU164" si="1269">+CT164</f>
        <v>1106.57</v>
      </c>
      <c r="CV164" s="24">
        <f t="shared" ref="CV164" si="1270">+CU164</f>
        <v>1106.57</v>
      </c>
      <c r="CW164" s="24">
        <f t="shared" ref="CW164" si="1271">+CV164</f>
        <v>1106.57</v>
      </c>
      <c r="CX164" s="24">
        <f t="shared" ref="CX164" si="1272">+CW164</f>
        <v>1106.57</v>
      </c>
      <c r="CY164" s="24">
        <f t="shared" ref="CY164" si="1273">+CX164</f>
        <v>1106.57</v>
      </c>
      <c r="CZ164" s="24">
        <f t="shared" ref="CZ164" si="1274">+CY164</f>
        <v>1106.57</v>
      </c>
      <c r="DA164" s="24">
        <f t="shared" ref="DA164" si="1275">+CZ164</f>
        <v>1106.57</v>
      </c>
      <c r="DB164" s="24">
        <f t="shared" ref="DB164" si="1276">+DA164</f>
        <v>1106.57</v>
      </c>
      <c r="DE164" s="123"/>
      <c r="DF164" s="23">
        <v>1387.94</v>
      </c>
    </row>
    <row r="165" spans="1:110" s="23" customFormat="1" x14ac:dyDescent="0.2">
      <c r="AB165" s="24"/>
      <c r="AC165" s="24"/>
      <c r="AD165" s="24"/>
      <c r="AE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</row>
    <row r="166" spans="1:110" s="23" customFormat="1" outlineLevel="1" x14ac:dyDescent="0.2">
      <c r="A166" s="23" t="s">
        <v>59</v>
      </c>
      <c r="B166" s="23">
        <f>'Annual Raw'!C72</f>
        <v>0</v>
      </c>
      <c r="C166" s="23">
        <f>'Annual Raw'!D72</f>
        <v>0</v>
      </c>
      <c r="D166" s="23">
        <f>'Annual Raw'!E72</f>
        <v>0</v>
      </c>
      <c r="E166" s="23">
        <f>'Annual Raw'!F72+'Annual Raw'!F61</f>
        <v>0</v>
      </c>
      <c r="F166" s="23">
        <f>'Annual Raw'!G72+'Annual Raw'!G61</f>
        <v>0</v>
      </c>
      <c r="G166" s="23">
        <f>'Annual Raw'!H72+'Annual Raw'!H61</f>
        <v>0</v>
      </c>
      <c r="H166" s="23">
        <f>'Annual Raw'!I72+'Annual Raw'!I61</f>
        <v>0</v>
      </c>
      <c r="I166" s="23">
        <f>'Annual Raw'!J72+'Annual Raw'!J61</f>
        <v>0</v>
      </c>
      <c r="J166" s="23">
        <f>'Annual Raw'!K72+'Annual Raw'!K61</f>
        <v>0</v>
      </c>
      <c r="K166" s="23">
        <f>'Annual Raw'!L72+'Annual Raw'!L61</f>
        <v>0</v>
      </c>
      <c r="L166" s="23">
        <f>'Annual Raw'!M72+'Annual Raw'!M61</f>
        <v>350.89</v>
      </c>
      <c r="M166" s="23">
        <f>'Annual Raw'!N72+'Annual Raw'!N61</f>
        <v>431.9</v>
      </c>
      <c r="N166" s="23">
        <f>'Annual Raw'!O72+'Annual Raw'!O61</f>
        <v>476.42</v>
      </c>
      <c r="O166" s="23">
        <f>'Annual Raw'!P72+'Annual Raw'!P61</f>
        <v>459.89</v>
      </c>
      <c r="P166" s="23">
        <f>'Annual Raw'!Q72+'Annual Raw'!Q61</f>
        <v>497.55</v>
      </c>
      <c r="Q166" s="23">
        <f>'Annual Raw'!R72+'Annual Raw'!R61</f>
        <v>213.5</v>
      </c>
      <c r="R166" s="23">
        <f>'Annual Raw'!S72+'Annual Raw'!S61</f>
        <v>245.26</v>
      </c>
      <c r="S166" s="23">
        <f>'Annual Raw'!T72+'Annual Raw'!T61</f>
        <v>326.88</v>
      </c>
      <c r="T166" s="23">
        <f>'Annual Raw'!U72+'Annual Raw'!U61</f>
        <v>389.06</v>
      </c>
      <c r="U166" s="23">
        <f>'Annual Raw'!V72+'Annual Raw'!V61</f>
        <v>497.28</v>
      </c>
      <c r="V166" s="23">
        <f>'Annual Raw'!W72+'Annual Raw'!W61</f>
        <v>419.5</v>
      </c>
      <c r="W166" s="23">
        <f>'Annual Raw'!X72+'Annual Raw'!X61</f>
        <v>426.43</v>
      </c>
      <c r="X166" s="23">
        <f>'Annual Raw'!Y72+'Annual Raw'!Y61</f>
        <v>461.77</v>
      </c>
      <c r="Y166" s="23">
        <f>'Annual Raw'!Z72+'Annual Raw'!Z61</f>
        <v>388.09</v>
      </c>
      <c r="Z166" s="23">
        <f>'Annual Raw'!AA72+'Annual Raw'!AA61</f>
        <v>446.62</v>
      </c>
      <c r="AA166" s="23">
        <f>'Annual Raw'!AB72+'Annual Raw'!AB61</f>
        <v>454.36</v>
      </c>
      <c r="AB166" s="24">
        <f t="shared" ref="AB166:AB171" si="1277">+CP166</f>
        <v>0</v>
      </c>
      <c r="AC166" s="24">
        <f t="shared" ref="AC166:AC171" si="1278">+CT166</f>
        <v>0</v>
      </c>
      <c r="AD166" s="24">
        <f t="shared" ref="AD166:AD171" si="1279">+CX166</f>
        <v>0</v>
      </c>
      <c r="AE166" s="24">
        <f t="shared" ref="AE166:AE171" si="1280">+DB166</f>
        <v>0</v>
      </c>
      <c r="AJ166" s="23">
        <f>+'QTR Raw'!D78</f>
        <v>1495.19</v>
      </c>
      <c r="AK166" s="23">
        <f t="shared" ref="AK166:CE171" si="1281">+AJ166</f>
        <v>1495.19</v>
      </c>
      <c r="AL166" s="23">
        <f>+'QTR Raw'!F78</f>
        <v>476.42</v>
      </c>
      <c r="AM166" s="23">
        <f t="shared" si="1281"/>
        <v>476.42</v>
      </c>
      <c r="AN166" s="23">
        <f>+'QTR Raw'!H78</f>
        <v>1705.32</v>
      </c>
      <c r="AO166" s="23">
        <f t="shared" si="1281"/>
        <v>1705.32</v>
      </c>
      <c r="AP166" s="23">
        <f>+'QTR Raw'!J78</f>
        <v>459.89</v>
      </c>
      <c r="AQ166" s="23">
        <f t="shared" si="1281"/>
        <v>459.89</v>
      </c>
      <c r="AR166" s="23">
        <f>+'QTR Raw'!L78</f>
        <v>1566.57</v>
      </c>
      <c r="AS166" s="23">
        <f t="shared" si="1281"/>
        <v>1566.57</v>
      </c>
      <c r="AT166" s="23">
        <f>+'QTR Raw'!N78</f>
        <v>498.79</v>
      </c>
      <c r="AU166" s="23">
        <f t="shared" si="1281"/>
        <v>498.79</v>
      </c>
      <c r="AV166" s="23">
        <f>+'QTR Raw'!P78</f>
        <v>1281.07</v>
      </c>
      <c r="AW166" s="23">
        <f t="shared" si="1281"/>
        <v>1281.07</v>
      </c>
      <c r="AX166" s="23">
        <f>+'QTR Raw'!R78</f>
        <v>15.16</v>
      </c>
      <c r="AY166" s="23">
        <f t="shared" si="1281"/>
        <v>15.16</v>
      </c>
      <c r="AZ166" s="23">
        <f>+'QTR Raw'!T78</f>
        <v>950.03</v>
      </c>
      <c r="BA166" s="23">
        <f t="shared" si="1281"/>
        <v>950.03</v>
      </c>
      <c r="BB166" s="23">
        <f>+'QTR Raw'!V78</f>
        <v>15.09</v>
      </c>
      <c r="BC166" s="23">
        <f t="shared" si="1281"/>
        <v>15.09</v>
      </c>
      <c r="BD166" s="23">
        <f>+'QTR Raw'!X78</f>
        <v>15.14</v>
      </c>
      <c r="BE166" s="23">
        <f t="shared" si="1281"/>
        <v>15.14</v>
      </c>
      <c r="BF166" s="23">
        <f>+'QTR Raw'!Z78</f>
        <v>15.13</v>
      </c>
      <c r="BG166" s="23">
        <f t="shared" si="1281"/>
        <v>15.13</v>
      </c>
      <c r="BH166" s="23">
        <f>+'QTR Raw'!AB78</f>
        <v>213.34</v>
      </c>
      <c r="BI166" s="23">
        <f t="shared" si="1281"/>
        <v>213.34</v>
      </c>
      <c r="BJ166" s="23">
        <f>+'QTR Raw'!AD78</f>
        <v>15.73</v>
      </c>
      <c r="BK166" s="23">
        <f t="shared" si="1281"/>
        <v>15.73</v>
      </c>
      <c r="BL166" s="23">
        <f>+'QTR Raw'!AF78</f>
        <v>15.95</v>
      </c>
      <c r="BM166" s="23">
        <f t="shared" si="1281"/>
        <v>15.95</v>
      </c>
      <c r="BN166" s="23">
        <f>+'QTR Raw'!AH78</f>
        <v>16.649999999999999</v>
      </c>
      <c r="BO166" s="23">
        <f t="shared" si="1281"/>
        <v>16.649999999999999</v>
      </c>
      <c r="BP166" s="23">
        <f>+'QTR Raw'!AJ78</f>
        <v>16.39</v>
      </c>
      <c r="BQ166" s="23">
        <f t="shared" si="1281"/>
        <v>16.39</v>
      </c>
      <c r="BR166" s="23">
        <f>+'QTR Raw'!AL78</f>
        <v>5.05</v>
      </c>
      <c r="BS166" s="23">
        <f t="shared" si="1281"/>
        <v>5.05</v>
      </c>
      <c r="BT166" s="23">
        <f>+'QTR Raw'!AN78</f>
        <v>0</v>
      </c>
      <c r="BU166" s="23">
        <f t="shared" si="1281"/>
        <v>0</v>
      </c>
      <c r="BV166" s="23">
        <f>+'QTR Raw'!AP78</f>
        <v>0</v>
      </c>
      <c r="BW166" s="23">
        <f t="shared" si="1281"/>
        <v>0</v>
      </c>
      <c r="BX166" s="23">
        <f>+'QTR Raw'!AR78</f>
        <v>0</v>
      </c>
      <c r="BY166" s="23">
        <f t="shared" si="1281"/>
        <v>0</v>
      </c>
      <c r="BZ166" s="23">
        <f>+'QTR Raw'!AT78</f>
        <v>3.25</v>
      </c>
      <c r="CA166" s="23">
        <f t="shared" si="1281"/>
        <v>3.25</v>
      </c>
      <c r="CB166" s="23">
        <f>+'QTR Raw'!AV78</f>
        <v>8.81</v>
      </c>
      <c r="CC166" s="23">
        <f t="shared" si="1281"/>
        <v>8.81</v>
      </c>
      <c r="CD166" s="23">
        <f>+'QTR Raw'!AX78</f>
        <v>10.09</v>
      </c>
      <c r="CE166" s="23">
        <f t="shared" si="1281"/>
        <v>10.09</v>
      </c>
      <c r="CF166" s="23">
        <f>+'QTR Raw'!AZ78</f>
        <v>9.89</v>
      </c>
      <c r="CG166" s="23">
        <f t="shared" si="1258"/>
        <v>9.89</v>
      </c>
      <c r="CH166" s="23">
        <f t="shared" si="1259"/>
        <v>446.62</v>
      </c>
      <c r="CJ166" s="23">
        <f>+'QTR Raw'!BD78</f>
        <v>4.66</v>
      </c>
      <c r="CL166" s="23">
        <f>+'QTR Raw'!BF78</f>
        <v>4.6100000000000003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4.6100000000000003</v>
      </c>
    </row>
    <row r="167" spans="1:110" s="23" customFormat="1" outlineLevel="1" x14ac:dyDescent="0.2">
      <c r="A167" s="23" t="s">
        <v>60</v>
      </c>
      <c r="B167" s="23">
        <f>'Annual Raw'!C73+'Annual Raw'!C81</f>
        <v>0</v>
      </c>
      <c r="C167" s="23">
        <f>'Annual Raw'!D73+'Annual Raw'!D81</f>
        <v>0</v>
      </c>
      <c r="D167" s="23">
        <f>'Annual Raw'!E73+'Annual Raw'!E81</f>
        <v>0</v>
      </c>
      <c r="E167" s="23">
        <f>'Annual Raw'!F73+'Annual Raw'!F81</f>
        <v>0</v>
      </c>
      <c r="F167" s="23">
        <f>'Annual Raw'!G73+'Annual Raw'!G81</f>
        <v>0</v>
      </c>
      <c r="G167" s="23">
        <f>'Annual Raw'!H73+'Annual Raw'!H81</f>
        <v>0</v>
      </c>
      <c r="H167" s="23">
        <f>'Annual Raw'!I73+'Annual Raw'!I81</f>
        <v>0</v>
      </c>
      <c r="I167" s="23">
        <f>'Annual Raw'!J73+'Annual Raw'!J81</f>
        <v>0</v>
      </c>
      <c r="J167" s="23">
        <f>'Annual Raw'!K73+'Annual Raw'!K81</f>
        <v>0</v>
      </c>
      <c r="K167" s="23">
        <f>'Annual Raw'!L73+'Annual Raw'!L81</f>
        <v>0</v>
      </c>
      <c r="L167" s="23">
        <f>'Annual Raw'!M73+'Annual Raw'!M81</f>
        <v>9.02</v>
      </c>
      <c r="M167" s="23">
        <f>'Annual Raw'!N73+'Annual Raw'!N81</f>
        <v>52.3</v>
      </c>
      <c r="N167" s="23">
        <f>'Annual Raw'!O73+'Annual Raw'!O81</f>
        <v>26.49</v>
      </c>
      <c r="O167" s="23">
        <f>'Annual Raw'!P73+'Annual Raw'!P81</f>
        <v>28.95</v>
      </c>
      <c r="P167" s="23">
        <f>'Annual Raw'!Q73+'Annual Raw'!Q81</f>
        <v>17.09</v>
      </c>
      <c r="Q167" s="23">
        <f>'Annual Raw'!R73+'Annual Raw'!R81</f>
        <v>243.17</v>
      </c>
      <c r="R167" s="23">
        <f>'Annual Raw'!S73+'Annual Raw'!S81</f>
        <v>236.5</v>
      </c>
      <c r="S167" s="23">
        <f>'Annual Raw'!T73+'Annual Raw'!T81</f>
        <v>227.49</v>
      </c>
      <c r="T167" s="23">
        <f>'Annual Raw'!U73+'Annual Raw'!U81</f>
        <v>312.55</v>
      </c>
      <c r="U167" s="23">
        <f>'Annual Raw'!V73+'Annual Raw'!V81</f>
        <v>217.63</v>
      </c>
      <c r="V167" s="23">
        <f>'Annual Raw'!W73+'Annual Raw'!W81</f>
        <v>185.19</v>
      </c>
      <c r="W167" s="23">
        <f>'Annual Raw'!X73+'Annual Raw'!X81</f>
        <v>158.93</v>
      </c>
      <c r="X167" s="23">
        <f>'Annual Raw'!Y73+'Annual Raw'!Y81</f>
        <v>174.85999999999999</v>
      </c>
      <c r="Y167" s="23">
        <f>'Annual Raw'!Z73+'Annual Raw'!Z81</f>
        <v>173.03</v>
      </c>
      <c r="Z167" s="23">
        <f>'Annual Raw'!AA73+'Annual Raw'!AA81</f>
        <v>68.78</v>
      </c>
      <c r="AA167" s="23">
        <f>'Annual Raw'!AB73+'Annual Raw'!AB81</f>
        <v>85.88</v>
      </c>
      <c r="AB167" s="24">
        <f t="shared" si="1277"/>
        <v>0</v>
      </c>
      <c r="AC167" s="24">
        <f t="shared" si="1278"/>
        <v>0</v>
      </c>
      <c r="AD167" s="24">
        <f t="shared" si="1279"/>
        <v>0</v>
      </c>
      <c r="AE167" s="24">
        <f t="shared" si="1280"/>
        <v>0</v>
      </c>
      <c r="AJ167" s="23">
        <f>+'QTR Raw'!D79+'QTR Raw'!D76</f>
        <v>16.760000000000002</v>
      </c>
      <c r="AK167" s="23">
        <f t="shared" si="1281"/>
        <v>16.760000000000002</v>
      </c>
      <c r="AL167" s="23">
        <f>+'QTR Raw'!F79+'QTR Raw'!F76</f>
        <v>26.49</v>
      </c>
      <c r="AM167" s="23">
        <f t="shared" si="1281"/>
        <v>26.49</v>
      </c>
      <c r="AN167" s="23">
        <f>+'QTR Raw'!H79+'QTR Raw'!H76</f>
        <v>11.48</v>
      </c>
      <c r="AO167" s="23">
        <f t="shared" si="1281"/>
        <v>11.48</v>
      </c>
      <c r="AP167" s="23">
        <f>+'QTR Raw'!J79+'QTR Raw'!J76</f>
        <v>28.95</v>
      </c>
      <c r="AQ167" s="23">
        <f t="shared" si="1281"/>
        <v>28.95</v>
      </c>
      <c r="AR167" s="23">
        <f>+'QTR Raw'!L79+'QTR Raw'!L76</f>
        <v>4.32</v>
      </c>
      <c r="AS167" s="23">
        <f t="shared" si="1281"/>
        <v>4.32</v>
      </c>
      <c r="AT167" s="23">
        <f>+'QTR Raw'!N79+'QTR Raw'!N76</f>
        <v>17.09</v>
      </c>
      <c r="AU167" s="23">
        <f t="shared" si="1281"/>
        <v>17.09</v>
      </c>
      <c r="AV167" s="23">
        <f>+'QTR Raw'!P79+'QTR Raw'!P76</f>
        <v>2.69</v>
      </c>
      <c r="AW167" s="23">
        <f t="shared" si="1281"/>
        <v>2.69</v>
      </c>
      <c r="AX167" s="23">
        <f>+'QTR Raw'!R79+'QTR Raw'!R76</f>
        <v>441.52</v>
      </c>
      <c r="AY167" s="23">
        <f t="shared" si="1281"/>
        <v>441.52</v>
      </c>
      <c r="AZ167" s="23">
        <f>+'QTR Raw'!T79+'QTR Raw'!T76</f>
        <v>325.74</v>
      </c>
      <c r="BA167" s="23">
        <f t="shared" si="1281"/>
        <v>325.74</v>
      </c>
      <c r="BB167" s="23">
        <f>+'QTR Raw'!V79+'QTR Raw'!V76</f>
        <v>501.88</v>
      </c>
      <c r="BC167" s="23">
        <f t="shared" si="1281"/>
        <v>501.88</v>
      </c>
      <c r="BD167" s="23">
        <f>+'QTR Raw'!X79+'QTR Raw'!X76</f>
        <v>546.38</v>
      </c>
      <c r="BE167" s="23">
        <f t="shared" si="1281"/>
        <v>546.38</v>
      </c>
      <c r="BF167" s="23">
        <f>+'QTR Raw'!Z79+'QTR Raw'!Z76</f>
        <v>539.24</v>
      </c>
      <c r="BG167" s="23">
        <f t="shared" si="1281"/>
        <v>539.24</v>
      </c>
      <c r="BH167" s="23">
        <f>+'QTR Raw'!AB79+'QTR Raw'!AB76</f>
        <v>426.04</v>
      </c>
      <c r="BI167" s="23">
        <f t="shared" si="1281"/>
        <v>426.04</v>
      </c>
      <c r="BJ167" s="23">
        <f>+'QTR Raw'!AD79+'QTR Raw'!AD76</f>
        <v>677.45</v>
      </c>
      <c r="BK167" s="23">
        <f t="shared" si="1281"/>
        <v>677.45</v>
      </c>
      <c r="BL167" s="23">
        <f>+'QTR Raw'!AF79+'QTR Raw'!AF76</f>
        <v>2363.1</v>
      </c>
      <c r="BM167" s="23">
        <f t="shared" si="1281"/>
        <v>2363.1</v>
      </c>
      <c r="BN167" s="23">
        <f>+'QTR Raw'!AH79+'QTR Raw'!AH76</f>
        <v>2277.8000000000002</v>
      </c>
      <c r="BO167" s="23">
        <f t="shared" si="1281"/>
        <v>2277.8000000000002</v>
      </c>
      <c r="BP167" s="23">
        <f>+'QTR Raw'!AJ79+'QTR Raw'!AJ76</f>
        <v>2232.7600000000002</v>
      </c>
      <c r="BQ167" s="23">
        <f t="shared" si="1281"/>
        <v>2232.7600000000002</v>
      </c>
      <c r="BR167" s="23">
        <f>+'QTR Raw'!AL79+'QTR Raw'!AL76</f>
        <v>2128.31</v>
      </c>
      <c r="BS167" s="23">
        <f t="shared" si="1281"/>
        <v>2128.31</v>
      </c>
      <c r="BT167" s="23">
        <f>+'QTR Raw'!AN79+'QTR Raw'!AN76</f>
        <v>2120.8000000000002</v>
      </c>
      <c r="BU167" s="23">
        <f t="shared" si="1281"/>
        <v>2120.8000000000002</v>
      </c>
      <c r="BV167" s="23">
        <f>+'QTR Raw'!AP79+'QTR Raw'!AP76</f>
        <v>2098.7800000000002</v>
      </c>
      <c r="BW167" s="23">
        <f t="shared" si="1281"/>
        <v>2098.7800000000002</v>
      </c>
      <c r="BX167" s="23">
        <f>+'QTR Raw'!AR79+'QTR Raw'!AR76</f>
        <v>2184.27</v>
      </c>
      <c r="BY167" s="23">
        <f t="shared" si="1281"/>
        <v>2184.27</v>
      </c>
      <c r="BZ167" s="23">
        <f>+'QTR Raw'!AT79+'QTR Raw'!AT76</f>
        <v>2512.31</v>
      </c>
      <c r="CA167" s="23">
        <f t="shared" si="1281"/>
        <v>2512.31</v>
      </c>
      <c r="CB167" s="23">
        <f>+'QTR Raw'!AV79+'QTR Raw'!AV76</f>
        <v>2501.27</v>
      </c>
      <c r="CC167" s="23">
        <f t="shared" si="1281"/>
        <v>2501.27</v>
      </c>
      <c r="CD167" s="23">
        <f>+'QTR Raw'!AX79+'QTR Raw'!AX76</f>
        <v>2521.36</v>
      </c>
      <c r="CE167" s="23">
        <f t="shared" si="1281"/>
        <v>2521.36</v>
      </c>
      <c r="CF167" s="23">
        <f>+'QTR Raw'!AZ79+'QTR Raw'!AZ76</f>
        <v>2873.95</v>
      </c>
      <c r="CG167" s="23">
        <f t="shared" si="1258"/>
        <v>2873.95</v>
      </c>
      <c r="CH167" s="23">
        <f t="shared" si="1259"/>
        <v>68.78</v>
      </c>
      <c r="CJ167" s="23">
        <f>+'QTR Raw'!BD79+'QTR Raw'!BD76</f>
        <v>3228.83</v>
      </c>
      <c r="CL167" s="23">
        <f>+'QTR Raw'!BF79+'QTR Raw'!BF76</f>
        <v>2821.42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2821.42</v>
      </c>
    </row>
    <row r="168" spans="1:110" s="23" customFormat="1" outlineLevel="1" x14ac:dyDescent="0.2">
      <c r="A168" s="23" t="s">
        <v>61</v>
      </c>
      <c r="B168" s="23">
        <f>'Annual Raw'!C76</f>
        <v>18.07</v>
      </c>
      <c r="C168" s="23">
        <f>'Annual Raw'!D76</f>
        <v>18.45</v>
      </c>
      <c r="D168" s="23">
        <f>'Annual Raw'!E76</f>
        <v>21.83</v>
      </c>
      <c r="E168" s="23">
        <f>'Annual Raw'!F76</f>
        <v>24.87</v>
      </c>
      <c r="F168" s="23">
        <f>'Annual Raw'!G76</f>
        <v>29.01</v>
      </c>
      <c r="G168" s="23">
        <f>'Annual Raw'!H76</f>
        <v>34.89</v>
      </c>
      <c r="H168" s="23">
        <f>'Annual Raw'!I76</f>
        <v>44.91</v>
      </c>
      <c r="I168" s="23">
        <f>'Annual Raw'!J76</f>
        <v>53.33</v>
      </c>
      <c r="J168" s="23">
        <f>'Annual Raw'!K76</f>
        <v>64.099999999999994</v>
      </c>
      <c r="K168" s="23">
        <f>'Annual Raw'!L76</f>
        <v>59.65</v>
      </c>
      <c r="L168" s="23">
        <f>'Annual Raw'!M76</f>
        <v>58.53</v>
      </c>
      <c r="M168" s="23">
        <f>'Annual Raw'!N76</f>
        <v>86.35</v>
      </c>
      <c r="N168" s="23">
        <f>'Annual Raw'!O76</f>
        <v>96.74</v>
      </c>
      <c r="O168" s="23">
        <f>'Annual Raw'!P76</f>
        <v>102.07</v>
      </c>
      <c r="P168" s="23">
        <f>'Annual Raw'!Q76</f>
        <v>102.96</v>
      </c>
      <c r="Q168" s="23">
        <f>'Annual Raw'!R76</f>
        <v>80.239999999999995</v>
      </c>
      <c r="R168" s="23">
        <f>'Annual Raw'!S76</f>
        <v>80.44</v>
      </c>
      <c r="S168" s="23">
        <f>'Annual Raw'!T76</f>
        <v>85.72</v>
      </c>
      <c r="T168" s="23">
        <f>'Annual Raw'!U76</f>
        <v>80.400000000000006</v>
      </c>
      <c r="U168" s="23">
        <f>'Annual Raw'!V76</f>
        <v>93.61</v>
      </c>
      <c r="V168" s="23">
        <f>'Annual Raw'!W76</f>
        <v>92.88</v>
      </c>
      <c r="W168" s="23">
        <f>'Annual Raw'!X76</f>
        <v>100.83</v>
      </c>
      <c r="X168" s="23">
        <f>'Annual Raw'!Y76</f>
        <v>109.21</v>
      </c>
      <c r="Y168" s="23">
        <f>'Annual Raw'!Z76</f>
        <v>116.44</v>
      </c>
      <c r="Z168" s="23">
        <f>'Annual Raw'!AA76</f>
        <v>135.47</v>
      </c>
      <c r="AA168" s="23">
        <f>'Annual Raw'!AB76</f>
        <v>149.72999999999999</v>
      </c>
      <c r="AB168" s="24">
        <f t="shared" si="1277"/>
        <v>147.2687573403029</v>
      </c>
      <c r="AC168" s="24">
        <f t="shared" si="1278"/>
        <v>160.39765672347212</v>
      </c>
      <c r="AD168" s="24">
        <f t="shared" si="1279"/>
        <v>171.32130448692595</v>
      </c>
      <c r="AE168" s="24">
        <f t="shared" si="1280"/>
        <v>181.89867964714776</v>
      </c>
      <c r="AJ168" s="23">
        <f>+'QTR Raw'!D81</f>
        <v>39.39</v>
      </c>
      <c r="AK168" s="23">
        <f>+AK203*AK34/90</f>
        <v>26.357611821086262</v>
      </c>
      <c r="AL168" s="23">
        <f>+'QTR Raw'!F81</f>
        <v>96.74</v>
      </c>
      <c r="AM168" s="23">
        <f>+AM203*AM34/90</f>
        <v>86.479004840042506</v>
      </c>
      <c r="AN168" s="23">
        <f>+'QTR Raw'!H81</f>
        <v>38.89</v>
      </c>
      <c r="AO168" s="23">
        <f>+AO203*AO34/90</f>
        <v>50.683490601839445</v>
      </c>
      <c r="AP168" s="23">
        <f>+'QTR Raw'!J81</f>
        <v>102.07</v>
      </c>
      <c r="AQ168" s="23">
        <f>+AQ203*AQ34/90</f>
        <v>87.46804471827123</v>
      </c>
      <c r="AR168" s="23">
        <f>+'QTR Raw'!L81</f>
        <v>44.92</v>
      </c>
      <c r="AS168" s="23">
        <f>+AS203*AS34/90</f>
        <v>57.858110565635009</v>
      </c>
      <c r="AT168" s="23">
        <f>+'QTR Raw'!N81</f>
        <v>102.96</v>
      </c>
      <c r="AU168" s="23">
        <f>+AU203*AU34/90</f>
        <v>96.043929558385273</v>
      </c>
      <c r="AV168" s="23">
        <f>+'QTR Raw'!P81</f>
        <v>47.58</v>
      </c>
      <c r="AW168" s="23">
        <f>+AW203*AW34/90</f>
        <v>61.827879065711059</v>
      </c>
      <c r="AX168" s="23">
        <f>+'QTR Raw'!R81</f>
        <v>80.239999999999995</v>
      </c>
      <c r="AY168" s="23">
        <f>+AY203*AY34/90</f>
        <v>61.832057633603313</v>
      </c>
      <c r="AZ168" s="23">
        <f>+'QTR Raw'!T81</f>
        <v>48.21</v>
      </c>
      <c r="BA168" s="23">
        <f>+BA203*BA34/90</f>
        <v>61.512345621963988</v>
      </c>
      <c r="BB168" s="23">
        <f>+'QTR Raw'!V81</f>
        <v>80.44</v>
      </c>
      <c r="BC168" s="23">
        <f>+BC203*BC34/90</f>
        <v>69.656260477846843</v>
      </c>
      <c r="BD168" s="23">
        <f>+'QTR Raw'!X81</f>
        <v>90.74</v>
      </c>
      <c r="BE168" s="23">
        <f>+BE203*BE34/90</f>
        <v>127.56040766963733</v>
      </c>
      <c r="BF168" s="23">
        <f>+'QTR Raw'!Z81</f>
        <v>85.72</v>
      </c>
      <c r="BG168" s="23">
        <f>+BG203*BG34/90</f>
        <v>73.443656970947828</v>
      </c>
      <c r="BH168" s="23">
        <f>+'QTR Raw'!AB81</f>
        <v>88.4</v>
      </c>
      <c r="BI168" s="23">
        <f>+BI203*BI34/90</f>
        <v>121.29532518428665</v>
      </c>
      <c r="BJ168" s="23">
        <f>+'QTR Raw'!AD81</f>
        <v>80.400000000000006</v>
      </c>
      <c r="BK168" s="23">
        <f>+BK203*BK34/90</f>
        <v>65.905876301915924</v>
      </c>
      <c r="BL168" s="23">
        <f>+'QTR Raw'!AF81</f>
        <v>87.17</v>
      </c>
      <c r="BM168" s="23">
        <f>+BM203*BM34/90</f>
        <v>118.77630667831335</v>
      </c>
      <c r="BN168" s="23">
        <f>+'QTR Raw'!AH81</f>
        <v>93.61</v>
      </c>
      <c r="BO168" s="23">
        <f>+BO203*BO34/90</f>
        <v>12.646834465370938</v>
      </c>
      <c r="BP168" s="23">
        <f>+'QTR Raw'!AJ81</f>
        <v>93.64</v>
      </c>
      <c r="BQ168" s="23">
        <f>+BQ203*BQ34/90</f>
        <v>204.2517255620057</v>
      </c>
      <c r="BR168" s="23">
        <f>+'QTR Raw'!AL81</f>
        <v>92.88</v>
      </c>
      <c r="BS168" s="23">
        <f>+BS203*BS34/90</f>
        <v>52.03376150369094</v>
      </c>
      <c r="BT168" s="23">
        <f>+'QTR Raw'!AN81</f>
        <v>94.24</v>
      </c>
      <c r="BU168" s="23">
        <f>+BU203*BU34/90</f>
        <v>143.77496711836017</v>
      </c>
      <c r="BV168" s="23">
        <f>+'QTR Raw'!AP81</f>
        <v>100.83</v>
      </c>
      <c r="BW168" s="23">
        <f>+BW203*BW34/90</f>
        <v>146.38317367672687</v>
      </c>
      <c r="BX168" s="23">
        <f>+'QTR Raw'!AR81</f>
        <v>107.71</v>
      </c>
      <c r="BY168" s="23">
        <f>+BY203*BY34/90</f>
        <v>147.31141074630256</v>
      </c>
      <c r="BZ168" s="23">
        <f>+'QTR Raw'!AT81</f>
        <v>109.21</v>
      </c>
      <c r="CA168" s="23">
        <f>+CA203*CA34/90</f>
        <v>98.523017109318744</v>
      </c>
      <c r="CB168" s="23">
        <f>+'QTR Raw'!AV81</f>
        <v>119.03</v>
      </c>
      <c r="CC168" s="23">
        <f>+CC203*CC34/90</f>
        <v>163.10066648060285</v>
      </c>
      <c r="CD168" s="23">
        <f>+'QTR Raw'!AX81</f>
        <v>116.44</v>
      </c>
      <c r="CE168" s="23">
        <f>+CE203*CE34/90</f>
        <v>94.738357038638782</v>
      </c>
      <c r="CF168" s="23">
        <f>+'QTR Raw'!AZ81</f>
        <v>130.94</v>
      </c>
      <c r="CG168" s="23">
        <f>+CG203*CG34/90</f>
        <v>181.62966672507835</v>
      </c>
      <c r="CH168" s="23">
        <f t="shared" si="1259"/>
        <v>135.47</v>
      </c>
      <c r="CI168" s="23">
        <f>+CI203*CI34/90</f>
        <v>114.01614240827334</v>
      </c>
      <c r="CJ168" s="23">
        <f>+'QTR Raw'!BD81</f>
        <v>136.04</v>
      </c>
      <c r="CK168" s="23">
        <f t="shared" ref="CK168:DB168" si="1282">+CK203*CK34/90</f>
        <v>189.4370781374792</v>
      </c>
      <c r="CL168" s="23">
        <f>+'QTR Raw'!BF81</f>
        <v>149.72999999999999</v>
      </c>
      <c r="CM168" s="24">
        <f t="shared" si="1282"/>
        <v>146.06591221183467</v>
      </c>
      <c r="CN168" s="24">
        <f t="shared" si="1282"/>
        <v>146.79361203727473</v>
      </c>
      <c r="CO168" s="24">
        <f t="shared" si="1282"/>
        <v>149.24353673056501</v>
      </c>
      <c r="CP168" s="24">
        <f t="shared" si="1282"/>
        <v>147.2687573403029</v>
      </c>
      <c r="CQ168" s="24">
        <f t="shared" si="1282"/>
        <v>154.01431788768593</v>
      </c>
      <c r="CR168" s="24">
        <f t="shared" si="1282"/>
        <v>155.94014545223024</v>
      </c>
      <c r="CS168" s="24">
        <f t="shared" si="1282"/>
        <v>158.19490275753614</v>
      </c>
      <c r="CT168" s="24">
        <f t="shared" si="1282"/>
        <v>160.39765672347212</v>
      </c>
      <c r="CU168" s="24">
        <f t="shared" si="1282"/>
        <v>163.73745371269067</v>
      </c>
      <c r="CV168" s="24">
        <f t="shared" si="1282"/>
        <v>166.15057134388383</v>
      </c>
      <c r="CW168" s="24">
        <f t="shared" si="1282"/>
        <v>168.6964133740793</v>
      </c>
      <c r="CX168" s="24">
        <f t="shared" si="1282"/>
        <v>171.32130448692595</v>
      </c>
      <c r="CY168" s="24">
        <f t="shared" si="1282"/>
        <v>174.06038013637973</v>
      </c>
      <c r="CZ168" s="24">
        <f t="shared" si="1282"/>
        <v>176.63692334218331</v>
      </c>
      <c r="DA168" s="24">
        <f t="shared" si="1282"/>
        <v>179.2576924228743</v>
      </c>
      <c r="DB168" s="24">
        <f t="shared" si="1282"/>
        <v>181.89867964714776</v>
      </c>
      <c r="DE168" s="123"/>
      <c r="DF168" s="23">
        <v>188.75165119317273</v>
      </c>
    </row>
    <row r="169" spans="1:110" s="23" customFormat="1" outlineLevel="1" x14ac:dyDescent="0.2">
      <c r="A169" s="23" t="s">
        <v>62</v>
      </c>
      <c r="B169" s="23">
        <f>'Annual Raw'!C77</f>
        <v>98.51</v>
      </c>
      <c r="C169" s="23">
        <f>'Annual Raw'!D77</f>
        <v>112.97</v>
      </c>
      <c r="D169" s="23">
        <f>'Annual Raw'!E77</f>
        <v>109.87</v>
      </c>
      <c r="E169" s="23">
        <f>'Annual Raw'!F77</f>
        <v>107.52</v>
      </c>
      <c r="F169" s="23">
        <f>'Annual Raw'!G77</f>
        <v>99.9</v>
      </c>
      <c r="G169" s="23">
        <f>'Annual Raw'!H77</f>
        <v>134.16</v>
      </c>
      <c r="H169" s="23">
        <f>'Annual Raw'!I77</f>
        <v>204.75</v>
      </c>
      <c r="I169" s="23">
        <f>'Annual Raw'!J77</f>
        <v>207.91</v>
      </c>
      <c r="J169" s="23">
        <f>'Annual Raw'!K77</f>
        <v>177.77</v>
      </c>
      <c r="K169" s="23">
        <f>'Annual Raw'!L77</f>
        <v>205.5</v>
      </c>
      <c r="L169" s="23">
        <f>'Annual Raw'!M77</f>
        <v>201.97</v>
      </c>
      <c r="M169" s="23">
        <f>'Annual Raw'!N77</f>
        <v>290.38</v>
      </c>
      <c r="N169" s="23">
        <f>'Annual Raw'!O77</f>
        <v>273.98</v>
      </c>
      <c r="O169" s="23">
        <f>'Annual Raw'!P77</f>
        <v>280.49</v>
      </c>
      <c r="P169" s="23">
        <f>'Annual Raw'!Q77</f>
        <v>299.82</v>
      </c>
      <c r="Q169" s="23">
        <f>'Annual Raw'!R77</f>
        <v>241.98</v>
      </c>
      <c r="R169" s="23">
        <f>'Annual Raw'!S77</f>
        <v>272.06</v>
      </c>
      <c r="S169" s="23">
        <f>'Annual Raw'!T77</f>
        <v>328.56</v>
      </c>
      <c r="T169" s="23">
        <f>'Annual Raw'!U77</f>
        <v>321.38</v>
      </c>
      <c r="U169" s="23">
        <f>'Annual Raw'!V77</f>
        <v>290.02</v>
      </c>
      <c r="V169" s="23">
        <f>'Annual Raw'!W77</f>
        <v>219.84</v>
      </c>
      <c r="W169" s="23">
        <f>'Annual Raw'!X77</f>
        <v>255.34</v>
      </c>
      <c r="X169" s="23">
        <f>'Annual Raw'!Y77</f>
        <v>446.45</v>
      </c>
      <c r="Y169" s="23">
        <f>'Annual Raw'!Z77</f>
        <v>476.46</v>
      </c>
      <c r="Z169" s="23">
        <f>'Annual Raw'!AA77</f>
        <v>650.88</v>
      </c>
      <c r="AA169" s="23">
        <f>'Annual Raw'!AB77</f>
        <v>726.82</v>
      </c>
      <c r="AB169" s="24">
        <f t="shared" si="1277"/>
        <v>714.87262545968724</v>
      </c>
      <c r="AC169" s="24">
        <f t="shared" si="1278"/>
        <v>778.60298443701356</v>
      </c>
      <c r="AD169" s="24">
        <f t="shared" si="1279"/>
        <v>831.62860166424593</v>
      </c>
      <c r="AE169" s="24">
        <f t="shared" si="1280"/>
        <v>882.97334095465146</v>
      </c>
      <c r="AJ169" s="23">
        <f>+'QTR Raw'!D82</f>
        <v>115.68</v>
      </c>
      <c r="AK169" s="23">
        <f>+AK204*AK34/90</f>
        <v>77.406665028262466</v>
      </c>
      <c r="AL169" s="23">
        <f>+'QTR Raw'!F82</f>
        <v>273.98</v>
      </c>
      <c r="AM169" s="23">
        <f>+AM204*AM34/90</f>
        <v>244.91955495218988</v>
      </c>
      <c r="AN169" s="23">
        <f>+'QTR Raw'!H82</f>
        <v>124.31</v>
      </c>
      <c r="AO169" s="23">
        <f>+AO204*AO34/90</f>
        <v>162.00732107777478</v>
      </c>
      <c r="AP169" s="23">
        <f>+'QTR Raw'!J82</f>
        <v>280.49</v>
      </c>
      <c r="AQ169" s="23">
        <f>+AQ204*AQ34/90</f>
        <v>240.3635922702841</v>
      </c>
      <c r="AR169" s="23">
        <f>+'QTR Raw'!L82</f>
        <v>141.16999999999999</v>
      </c>
      <c r="AS169" s="23">
        <f>+AS204*AS34/90</f>
        <v>181.83057588046958</v>
      </c>
      <c r="AT169" s="23">
        <f>+'QTR Raw'!N82</f>
        <v>299.82</v>
      </c>
      <c r="AU169" s="23">
        <f>+AU204*AU34/90</f>
        <v>279.68037063126525</v>
      </c>
      <c r="AV169" s="23">
        <f>+'QTR Raw'!P82</f>
        <v>159.22</v>
      </c>
      <c r="AW169" s="23">
        <f>+AW204*AW34/90</f>
        <v>206.89858984536602</v>
      </c>
      <c r="AX169" s="23">
        <f>+'QTR Raw'!R82</f>
        <v>241.98</v>
      </c>
      <c r="AY169" s="23">
        <f>+AY204*AY34/90</f>
        <v>186.46711498229476</v>
      </c>
      <c r="AZ169" s="23">
        <f>+'QTR Raw'!T82</f>
        <v>177.79</v>
      </c>
      <c r="BA169" s="23">
        <f>+BA204*BA34/90</f>
        <v>226.8467108095619</v>
      </c>
      <c r="BB169" s="23">
        <f>+'QTR Raw'!V82</f>
        <v>272.06</v>
      </c>
      <c r="BC169" s="23">
        <f>+BC204*BC34/90</f>
        <v>235.58779494782459</v>
      </c>
      <c r="BD169" s="23">
        <f>+'QTR Raw'!X82</f>
        <v>322.25</v>
      </c>
      <c r="BE169" s="23">
        <f>+BE204*BE34/90</f>
        <v>453.01235807296263</v>
      </c>
      <c r="BF169" s="23">
        <f>+'QTR Raw'!Z82</f>
        <v>328.56</v>
      </c>
      <c r="BG169" s="23">
        <f>+BG204*BG34/90</f>
        <v>281.50545887044581</v>
      </c>
      <c r="BH169" s="23">
        <f>+'QTR Raw'!AB82</f>
        <v>320.56</v>
      </c>
      <c r="BI169" s="23">
        <f>+BI204*BI34/90</f>
        <v>439.84648688998794</v>
      </c>
      <c r="BJ169" s="23">
        <f>+'QTR Raw'!AD82</f>
        <v>321.38</v>
      </c>
      <c r="BK169" s="23">
        <f>+BK204*BK34/90</f>
        <v>263.44316574514596</v>
      </c>
      <c r="BL169" s="23">
        <f>+'QTR Raw'!AF82</f>
        <v>326.88</v>
      </c>
      <c r="BM169" s="23">
        <f>+BM204*BM34/90</f>
        <v>445.40093067577232</v>
      </c>
      <c r="BN169" s="23">
        <f>+'QTR Raw'!AH82</f>
        <v>290.02</v>
      </c>
      <c r="BO169" s="23">
        <f>+BO204*BO34/90</f>
        <v>39.182084517112273</v>
      </c>
      <c r="BP169" s="23">
        <f>+'QTR Raw'!AJ82</f>
        <v>225.76</v>
      </c>
      <c r="BQ169" s="23">
        <f>+BQ204*BQ34/90</f>
        <v>492.43773561382318</v>
      </c>
      <c r="BR169" s="23">
        <f>+'QTR Raw'!AL82</f>
        <v>219.84</v>
      </c>
      <c r="BS169" s="23">
        <f>+BS204*BS34/90</f>
        <v>123.16001430847777</v>
      </c>
      <c r="BT169" s="23">
        <f>+'QTR Raw'!AN82</f>
        <v>228.77</v>
      </c>
      <c r="BU169" s="23">
        <f>+BU204*BU34/90</f>
        <v>349.01739418152863</v>
      </c>
      <c r="BV169" s="23">
        <f>+'QTR Raw'!AP82</f>
        <v>255.34</v>
      </c>
      <c r="BW169" s="23">
        <f>+BW204*BW34/90</f>
        <v>370.69800224750014</v>
      </c>
      <c r="BX169" s="23">
        <f>+'QTR Raw'!AR82</f>
        <v>364.18</v>
      </c>
      <c r="BY169" s="23">
        <f>+BY204*BY34/90</f>
        <v>498.07696189386746</v>
      </c>
      <c r="BZ169" s="23">
        <f>+'QTR Raw'!AT82</f>
        <v>446.45</v>
      </c>
      <c r="CA169" s="23">
        <f>+CA204*CA34/90</f>
        <v>402.76166091434266</v>
      </c>
      <c r="CB169" s="23">
        <f>+'QTR Raw'!AV82</f>
        <v>483.73</v>
      </c>
      <c r="CC169" s="23">
        <f>+CC204*CC34/90</f>
        <v>662.83025620987985</v>
      </c>
      <c r="CD169" s="23">
        <f>+'QTR Raw'!AX82</f>
        <v>476.46</v>
      </c>
      <c r="CE169" s="23">
        <f>+CE204*CE34/90</f>
        <v>387.65920297689655</v>
      </c>
      <c r="CF169" s="23">
        <f>+'QTR Raw'!AZ82</f>
        <v>606.75</v>
      </c>
      <c r="CG169" s="23">
        <f>+CG204*CG34/90</f>
        <v>841.6358659343307</v>
      </c>
      <c r="CH169" s="23">
        <f t="shared" si="1259"/>
        <v>650.88</v>
      </c>
      <c r="CI169" s="23">
        <f>+CI204*CI34/90</f>
        <v>547.80266310398576</v>
      </c>
      <c r="CJ169" s="23">
        <f>+'QTR Raw'!BD82</f>
        <v>833.02</v>
      </c>
      <c r="CK169" s="23">
        <f t="shared" ref="CK169:DB169" si="1283">+CK204*CK34/90</f>
        <v>1159.9887888127237</v>
      </c>
      <c r="CL169" s="23">
        <f>+'QTR Raw'!BF82</f>
        <v>726.82</v>
      </c>
      <c r="CM169" s="24">
        <f t="shared" si="1283"/>
        <v>709.03376954388364</v>
      </c>
      <c r="CN169" s="24">
        <f t="shared" si="1283"/>
        <v>712.56617311782577</v>
      </c>
      <c r="CO169" s="24">
        <f t="shared" si="1283"/>
        <v>724.45860793768315</v>
      </c>
      <c r="CP169" s="24">
        <f t="shared" si="1283"/>
        <v>714.87262545968724</v>
      </c>
      <c r="CQ169" s="24">
        <f t="shared" si="1283"/>
        <v>747.61695403144279</v>
      </c>
      <c r="CR169" s="24">
        <f t="shared" si="1283"/>
        <v>756.96531434976305</v>
      </c>
      <c r="CS169" s="24">
        <f t="shared" si="1283"/>
        <v>767.91036680847162</v>
      </c>
      <c r="CT169" s="24">
        <f t="shared" si="1283"/>
        <v>778.60298443701356</v>
      </c>
      <c r="CU169" s="24">
        <f t="shared" si="1283"/>
        <v>794.81504112374182</v>
      </c>
      <c r="CV169" s="24">
        <f t="shared" si="1283"/>
        <v>806.52880694691555</v>
      </c>
      <c r="CW169" s="24">
        <f t="shared" si="1283"/>
        <v>818.88684410971973</v>
      </c>
      <c r="CX169" s="24">
        <f t="shared" si="1283"/>
        <v>831.62860166424593</v>
      </c>
      <c r="CY169" s="24">
        <f t="shared" si="1283"/>
        <v>844.92463427986081</v>
      </c>
      <c r="CZ169" s="24">
        <f t="shared" si="1283"/>
        <v>857.43170121929938</v>
      </c>
      <c r="DA169" s="24">
        <f t="shared" si="1283"/>
        <v>870.15344958788171</v>
      </c>
      <c r="DB169" s="24">
        <f t="shared" si="1283"/>
        <v>882.97334095465146</v>
      </c>
      <c r="DE169" s="123"/>
      <c r="DF169" s="23">
        <v>1155.7916824238218</v>
      </c>
    </row>
    <row r="170" spans="1:110" s="23" customFormat="1" outlineLevel="1" x14ac:dyDescent="0.2">
      <c r="A170" s="23" t="s">
        <v>63</v>
      </c>
      <c r="B170" s="23">
        <f>'Annual Raw'!C79</f>
        <v>32.35</v>
      </c>
      <c r="C170" s="23">
        <f>'Annual Raw'!D79</f>
        <v>40.29</v>
      </c>
      <c r="D170" s="23">
        <f>'Annual Raw'!E79</f>
        <v>38.57</v>
      </c>
      <c r="E170" s="23">
        <f>'Annual Raw'!F79</f>
        <v>44.57</v>
      </c>
      <c r="F170" s="23">
        <f>'Annual Raw'!G79</f>
        <v>37.36</v>
      </c>
      <c r="G170" s="23">
        <f>'Annual Raw'!H79</f>
        <v>31.51</v>
      </c>
      <c r="H170" s="23">
        <f>'Annual Raw'!I79</f>
        <v>37.68</v>
      </c>
      <c r="I170" s="23">
        <f>'Annual Raw'!J79</f>
        <v>39.94</v>
      </c>
      <c r="J170" s="23">
        <f>'Annual Raw'!K79</f>
        <v>43.21</v>
      </c>
      <c r="K170" s="23">
        <f>'Annual Raw'!L79</f>
        <v>47.95</v>
      </c>
      <c r="L170" s="23">
        <f>'Annual Raw'!M79</f>
        <v>35.94</v>
      </c>
      <c r="M170" s="23">
        <f>'Annual Raw'!N79</f>
        <v>80.209999999999994</v>
      </c>
      <c r="N170" s="23">
        <f>'Annual Raw'!O79</f>
        <v>127.02</v>
      </c>
      <c r="O170" s="23">
        <f>'Annual Raw'!P79</f>
        <v>83.86</v>
      </c>
      <c r="P170" s="23">
        <f>'Annual Raw'!Q79</f>
        <v>85.33</v>
      </c>
      <c r="Q170" s="23">
        <f>'Annual Raw'!R79</f>
        <v>147.34</v>
      </c>
      <c r="R170" s="23">
        <f>'Annual Raw'!S79</f>
        <v>140.49</v>
      </c>
      <c r="S170" s="23">
        <f>'Annual Raw'!T79</f>
        <v>162.57</v>
      </c>
      <c r="T170" s="23">
        <f>'Annual Raw'!U79</f>
        <v>254.55</v>
      </c>
      <c r="U170" s="23">
        <f>'Annual Raw'!V79</f>
        <v>206.99</v>
      </c>
      <c r="V170" s="23">
        <f>'Annual Raw'!W79</f>
        <v>140.72</v>
      </c>
      <c r="W170" s="23">
        <f>'Annual Raw'!X79</f>
        <v>143.94</v>
      </c>
      <c r="X170" s="23">
        <f>'Annual Raw'!Y79</f>
        <v>126.85</v>
      </c>
      <c r="Y170" s="23">
        <f>'Annual Raw'!Z79</f>
        <v>155.41</v>
      </c>
      <c r="Z170" s="23">
        <f>'Annual Raw'!AA79</f>
        <v>195.45</v>
      </c>
      <c r="AA170" s="23">
        <f>'Annual Raw'!AB79</f>
        <v>222.59</v>
      </c>
      <c r="AB170" s="24">
        <f t="shared" si="1277"/>
        <v>3142.4514902794872</v>
      </c>
      <c r="AC170" s="24">
        <f t="shared" si="1278"/>
        <v>3422.5986863139769</v>
      </c>
      <c r="AD170" s="24">
        <f t="shared" si="1279"/>
        <v>3655.6897628838169</v>
      </c>
      <c r="AE170" s="24">
        <f t="shared" si="1280"/>
        <v>3881.3920023525534</v>
      </c>
      <c r="AJ170" s="23">
        <f>+'QTR Raw'!D84</f>
        <v>45.71</v>
      </c>
      <c r="AK170" s="23">
        <f t="shared" si="1281"/>
        <v>45.71</v>
      </c>
      <c r="AL170" s="23">
        <f>+'QTR Raw'!F84</f>
        <v>81.569999999999993</v>
      </c>
      <c r="AM170" s="23">
        <f t="shared" si="1281"/>
        <v>81.569999999999993</v>
      </c>
      <c r="AN170" s="23">
        <f>+'QTR Raw'!H84</f>
        <v>31.56</v>
      </c>
      <c r="AO170" s="23">
        <f t="shared" si="1281"/>
        <v>31.56</v>
      </c>
      <c r="AP170" s="23">
        <f>+'QTR Raw'!J84</f>
        <v>72.92</v>
      </c>
      <c r="AQ170" s="23">
        <f t="shared" si="1281"/>
        <v>72.92</v>
      </c>
      <c r="AR170" s="23">
        <f>+'QTR Raw'!L84</f>
        <v>55.69</v>
      </c>
      <c r="AS170" s="23">
        <f t="shared" si="1281"/>
        <v>55.69</v>
      </c>
      <c r="AT170" s="23">
        <f>+'QTR Raw'!N84</f>
        <v>74.5</v>
      </c>
      <c r="AU170" s="23">
        <f t="shared" si="1281"/>
        <v>74.5</v>
      </c>
      <c r="AV170" s="23">
        <f>+'QTR Raw'!P84</f>
        <v>56.83</v>
      </c>
      <c r="AW170" s="23">
        <f t="shared" si="1281"/>
        <v>56.83</v>
      </c>
      <c r="AX170" s="23">
        <f>+'QTR Raw'!R84</f>
        <v>186.52</v>
      </c>
      <c r="AY170" s="23">
        <f t="shared" si="1281"/>
        <v>186.52</v>
      </c>
      <c r="AZ170" s="23">
        <f>+'QTR Raw'!T84</f>
        <v>60.04</v>
      </c>
      <c r="BA170" s="23">
        <f t="shared" si="1281"/>
        <v>60.04</v>
      </c>
      <c r="BB170" s="23">
        <f>+'QTR Raw'!V84</f>
        <v>186.95</v>
      </c>
      <c r="BC170" s="23">
        <f t="shared" si="1281"/>
        <v>186.95</v>
      </c>
      <c r="BD170" s="23">
        <f>+'QTR Raw'!X84</f>
        <v>232.25</v>
      </c>
      <c r="BE170" s="23">
        <f t="shared" si="1281"/>
        <v>232.25</v>
      </c>
      <c r="BF170" s="23">
        <f>+'QTR Raw'!Z84</f>
        <v>195.26</v>
      </c>
      <c r="BG170" s="23">
        <f t="shared" si="1281"/>
        <v>195.26</v>
      </c>
      <c r="BH170" s="23">
        <f>+'QTR Raw'!AB84</f>
        <v>273.47000000000003</v>
      </c>
      <c r="BI170" s="23">
        <f t="shared" si="1281"/>
        <v>273.47000000000003</v>
      </c>
      <c r="BJ170" s="23">
        <f>+'QTR Raw'!AD84</f>
        <v>301.41000000000003</v>
      </c>
      <c r="BK170" s="23">
        <f t="shared" si="1281"/>
        <v>301.41000000000003</v>
      </c>
      <c r="BL170" s="23">
        <f>+'QTR Raw'!AF84</f>
        <v>270.74</v>
      </c>
      <c r="BM170" s="23">
        <f t="shared" si="1281"/>
        <v>270.74</v>
      </c>
      <c r="BN170" s="23">
        <f>+'QTR Raw'!AH84</f>
        <v>297.08999999999997</v>
      </c>
      <c r="BO170" s="23">
        <f t="shared" si="1281"/>
        <v>297.08999999999997</v>
      </c>
      <c r="BP170" s="23">
        <f>+'QTR Raw'!AJ84</f>
        <v>258.31</v>
      </c>
      <c r="BQ170" s="23">
        <f t="shared" si="1281"/>
        <v>258.31</v>
      </c>
      <c r="BR170" s="23">
        <f>+'QTR Raw'!AL84</f>
        <v>222.22</v>
      </c>
      <c r="BS170" s="23">
        <f t="shared" si="1281"/>
        <v>222.22</v>
      </c>
      <c r="BT170" s="23">
        <f>+'QTR Raw'!AN84</f>
        <v>222.66</v>
      </c>
      <c r="BU170" s="23">
        <f t="shared" si="1281"/>
        <v>222.66</v>
      </c>
      <c r="BV170" s="23">
        <f>+'QTR Raw'!AP84</f>
        <v>220.29</v>
      </c>
      <c r="BW170" s="23">
        <f t="shared" si="1281"/>
        <v>220.29</v>
      </c>
      <c r="BX170" s="23">
        <f>+'QTR Raw'!AR84</f>
        <v>209.89</v>
      </c>
      <c r="BY170" s="23">
        <f t="shared" si="1281"/>
        <v>209.89</v>
      </c>
      <c r="BZ170" s="23">
        <f>+'QTR Raw'!AT84</f>
        <v>216.78</v>
      </c>
      <c r="CA170" s="23">
        <f t="shared" si="1281"/>
        <v>216.78</v>
      </c>
      <c r="CB170" s="23">
        <f>+'QTR Raw'!AV84</f>
        <v>248.87</v>
      </c>
      <c r="CC170" s="23">
        <f t="shared" si="1281"/>
        <v>248.87</v>
      </c>
      <c r="CD170" s="23">
        <f>+'QTR Raw'!AX84</f>
        <v>257.27</v>
      </c>
      <c r="CE170" s="23">
        <f t="shared" si="1281"/>
        <v>257.27</v>
      </c>
      <c r="CF170" s="23">
        <f>+'QTR Raw'!AZ84</f>
        <v>302.37</v>
      </c>
      <c r="CG170" s="23">
        <f t="shared" ref="CG170:CG171" si="1284">+CF170</f>
        <v>302.37</v>
      </c>
      <c r="CH170" s="23">
        <f t="shared" si="1259"/>
        <v>195.45</v>
      </c>
      <c r="CI170" s="23">
        <f>CI34/90*CI205</f>
        <v>688.92783294985031</v>
      </c>
      <c r="CJ170" s="23">
        <f>+'QTR Raw'!BD84</f>
        <v>442.94</v>
      </c>
      <c r="CK170" s="23">
        <f t="shared" ref="CK170:DB170" si="1285">CK34/90*CK205</f>
        <v>5139.5599398301702</v>
      </c>
      <c r="CL170" s="23">
        <f>+'QTR Raw'!BF84</f>
        <v>355.28</v>
      </c>
      <c r="CM170" s="24">
        <f t="shared" si="1285"/>
        <v>3116.7849298032829</v>
      </c>
      <c r="CN170" s="24">
        <f t="shared" si="1285"/>
        <v>3132.3127406046333</v>
      </c>
      <c r="CO170" s="24">
        <f t="shared" si="1285"/>
        <v>3184.5897451950405</v>
      </c>
      <c r="CP170" s="24">
        <f t="shared" si="1285"/>
        <v>3142.4514902794872</v>
      </c>
      <c r="CQ170" s="24">
        <f t="shared" si="1285"/>
        <v>3286.3896695493227</v>
      </c>
      <c r="CR170" s="24">
        <f t="shared" si="1285"/>
        <v>3327.4833801877521</v>
      </c>
      <c r="CS170" s="24">
        <f t="shared" si="1285"/>
        <v>3375.5958623071219</v>
      </c>
      <c r="CT170" s="24">
        <f t="shared" si="1285"/>
        <v>3422.5986863139769</v>
      </c>
      <c r="CU170" s="24">
        <f t="shared" si="1285"/>
        <v>3493.8639717386991</v>
      </c>
      <c r="CV170" s="24">
        <f t="shared" si="1285"/>
        <v>3545.355579553654</v>
      </c>
      <c r="CW170" s="24">
        <f t="shared" si="1285"/>
        <v>3599.6792883041626</v>
      </c>
      <c r="CX170" s="24">
        <f t="shared" si="1285"/>
        <v>3655.6897628838169</v>
      </c>
      <c r="CY170" s="24">
        <f t="shared" si="1285"/>
        <v>3714.1367309445618</v>
      </c>
      <c r="CZ170" s="24">
        <f t="shared" si="1285"/>
        <v>3769.1155477898578</v>
      </c>
      <c r="DA170" s="24">
        <f t="shared" si="1285"/>
        <v>3825.0380655867948</v>
      </c>
      <c r="DB170" s="24">
        <f t="shared" si="1285"/>
        <v>3881.3920023525534</v>
      </c>
      <c r="DE170" s="123"/>
      <c r="DF170" s="23">
        <v>5120.9638291887186</v>
      </c>
    </row>
    <row r="171" spans="1:110" s="23" customFormat="1" outlineLevel="1" x14ac:dyDescent="0.2">
      <c r="A171" s="23" t="s">
        <v>64</v>
      </c>
      <c r="B171" s="23">
        <f>'Annual Raw'!C80</f>
        <v>478.09</v>
      </c>
      <c r="C171" s="23">
        <f>'Annual Raw'!D80</f>
        <v>395.81</v>
      </c>
      <c r="D171" s="23">
        <f>'Annual Raw'!E80</f>
        <v>422.1</v>
      </c>
      <c r="E171" s="23">
        <f>'Annual Raw'!F80</f>
        <v>327</v>
      </c>
      <c r="F171" s="23">
        <f>'Annual Raw'!G80</f>
        <v>347.22</v>
      </c>
      <c r="G171" s="23">
        <f>'Annual Raw'!H80</f>
        <v>448.83</v>
      </c>
      <c r="H171" s="23">
        <f>'Annual Raw'!I80</f>
        <v>379.9</v>
      </c>
      <c r="I171" s="23">
        <f>'Annual Raw'!J80</f>
        <v>491.97</v>
      </c>
      <c r="J171" s="23">
        <f>'Annual Raw'!K80</f>
        <v>1029.8900000000001</v>
      </c>
      <c r="K171" s="23">
        <f>'Annual Raw'!L80</f>
        <v>690.99</v>
      </c>
      <c r="L171" s="23">
        <f>'Annual Raw'!M80</f>
        <v>257.86</v>
      </c>
      <c r="M171" s="23">
        <f>'Annual Raw'!N80</f>
        <v>167.89</v>
      </c>
      <c r="N171" s="23">
        <f>'Annual Raw'!O80</f>
        <v>200</v>
      </c>
      <c r="O171" s="23">
        <f>'Annual Raw'!P80</f>
        <v>179.48</v>
      </c>
      <c r="P171" s="23">
        <f>'Annual Raw'!Q80</f>
        <v>185.74</v>
      </c>
      <c r="Q171" s="23">
        <f>'Annual Raw'!R80</f>
        <v>121.77</v>
      </c>
      <c r="R171" s="23">
        <f>'Annual Raw'!S80</f>
        <v>95.49</v>
      </c>
      <c r="S171" s="23">
        <f>'Annual Raw'!T80</f>
        <v>41.83</v>
      </c>
      <c r="T171" s="23">
        <f>'Annual Raw'!U80</f>
        <v>41.87</v>
      </c>
      <c r="U171" s="23">
        <f>'Annual Raw'!V80</f>
        <v>91.13</v>
      </c>
      <c r="V171" s="23">
        <f>'Annual Raw'!W80</f>
        <v>97.11</v>
      </c>
      <c r="W171" s="23">
        <f>'Annual Raw'!X80</f>
        <v>82.66</v>
      </c>
      <c r="X171" s="23">
        <f>'Annual Raw'!Y80</f>
        <v>96.38</v>
      </c>
      <c r="Y171" s="23">
        <f>'Annual Raw'!Z80</f>
        <v>110.43</v>
      </c>
      <c r="Z171" s="23">
        <f>'Annual Raw'!AA80</f>
        <v>107.71</v>
      </c>
      <c r="AA171" s="23">
        <f>'Annual Raw'!AB80</f>
        <v>146.35</v>
      </c>
      <c r="AB171" s="24">
        <f t="shared" si="1277"/>
        <v>0</v>
      </c>
      <c r="AC171" s="24">
        <f t="shared" si="1278"/>
        <v>0</v>
      </c>
      <c r="AD171" s="24">
        <f t="shared" si="1279"/>
        <v>0</v>
      </c>
      <c r="AE171" s="24">
        <f t="shared" si="1280"/>
        <v>0</v>
      </c>
      <c r="AJ171" s="23">
        <f>+'QTR Raw'!D85</f>
        <v>112.5</v>
      </c>
      <c r="AK171" s="23">
        <f t="shared" si="1281"/>
        <v>112.5</v>
      </c>
      <c r="AL171" s="23">
        <f>+'QTR Raw'!F85</f>
        <v>245.44</v>
      </c>
      <c r="AM171" s="23">
        <f t="shared" si="1281"/>
        <v>245.44</v>
      </c>
      <c r="AN171" s="23">
        <f>+'QTR Raw'!H85</f>
        <v>102.65</v>
      </c>
      <c r="AO171" s="23">
        <f t="shared" si="1281"/>
        <v>102.65</v>
      </c>
      <c r="AP171" s="23">
        <f>+'QTR Raw'!J85</f>
        <v>190.42</v>
      </c>
      <c r="AQ171" s="23">
        <f t="shared" si="1281"/>
        <v>190.42</v>
      </c>
      <c r="AR171" s="23">
        <f>+'QTR Raw'!L85</f>
        <v>80.45</v>
      </c>
      <c r="AS171" s="23">
        <f t="shared" si="1281"/>
        <v>80.45</v>
      </c>
      <c r="AT171" s="23">
        <f>+'QTR Raw'!N85</f>
        <v>195.33</v>
      </c>
      <c r="AU171" s="23">
        <f t="shared" si="1281"/>
        <v>195.33</v>
      </c>
      <c r="AV171" s="23">
        <f>+'QTR Raw'!P85</f>
        <v>434.16</v>
      </c>
      <c r="AW171" s="23">
        <f t="shared" si="1281"/>
        <v>434.16</v>
      </c>
      <c r="AX171" s="23">
        <f>+'QTR Raw'!R85</f>
        <v>82.58</v>
      </c>
      <c r="AY171" s="23">
        <f t="shared" si="1281"/>
        <v>82.58</v>
      </c>
      <c r="AZ171" s="23">
        <f>+'QTR Raw'!T85</f>
        <v>818.24</v>
      </c>
      <c r="BA171" s="23">
        <f t="shared" si="1281"/>
        <v>818.24</v>
      </c>
      <c r="BB171" s="23">
        <f>+'QTR Raw'!V85</f>
        <v>49.02</v>
      </c>
      <c r="BC171" s="23">
        <f t="shared" si="1281"/>
        <v>49.02</v>
      </c>
      <c r="BD171" s="23">
        <f>+'QTR Raw'!X85</f>
        <v>9.1</v>
      </c>
      <c r="BE171" s="23">
        <f t="shared" si="1281"/>
        <v>9.1</v>
      </c>
      <c r="BF171" s="23">
        <f>+'QTR Raw'!Z85</f>
        <v>9.14</v>
      </c>
      <c r="BG171" s="23">
        <f t="shared" si="1281"/>
        <v>9.14</v>
      </c>
      <c r="BH171" s="23">
        <f>+'QTR Raw'!AB85</f>
        <v>9.76</v>
      </c>
      <c r="BI171" s="23">
        <f t="shared" si="1281"/>
        <v>9.76</v>
      </c>
      <c r="BJ171" s="23">
        <f>+'QTR Raw'!AD85</f>
        <v>3.44</v>
      </c>
      <c r="BK171" s="23">
        <f t="shared" si="1281"/>
        <v>3.44</v>
      </c>
      <c r="BL171" s="23">
        <f>+'QTR Raw'!AF85</f>
        <v>4.63</v>
      </c>
      <c r="BM171" s="23">
        <f t="shared" si="1281"/>
        <v>4.63</v>
      </c>
      <c r="BN171" s="23">
        <f>+'QTR Raw'!AH85</f>
        <v>4.7699999999999996</v>
      </c>
      <c r="BO171" s="23">
        <f t="shared" si="1281"/>
        <v>4.7699999999999996</v>
      </c>
      <c r="BP171" s="23">
        <f>+'QTR Raw'!AJ85</f>
        <v>6.35</v>
      </c>
      <c r="BQ171" s="23">
        <f t="shared" si="1281"/>
        <v>6.35</v>
      </c>
      <c r="BR171" s="23">
        <f>+'QTR Raw'!AL85</f>
        <v>16.68</v>
      </c>
      <c r="BS171" s="23">
        <f t="shared" si="1281"/>
        <v>16.68</v>
      </c>
      <c r="BT171" s="23">
        <f>+'QTR Raw'!AN85</f>
        <v>9.99</v>
      </c>
      <c r="BU171" s="23">
        <f t="shared" si="1281"/>
        <v>9.99</v>
      </c>
      <c r="BV171" s="23">
        <f>+'QTR Raw'!AP85</f>
        <v>6.31</v>
      </c>
      <c r="BW171" s="23">
        <f t="shared" si="1281"/>
        <v>6.31</v>
      </c>
      <c r="BX171" s="23">
        <f>+'QTR Raw'!AR85</f>
        <v>6.32</v>
      </c>
      <c r="BY171" s="23">
        <f t="shared" si="1281"/>
        <v>6.32</v>
      </c>
      <c r="BZ171" s="23">
        <f>+'QTR Raw'!AT85</f>
        <v>6.45</v>
      </c>
      <c r="CA171" s="23">
        <f t="shared" si="1281"/>
        <v>6.45</v>
      </c>
      <c r="CB171" s="23">
        <f>+'QTR Raw'!AV85</f>
        <v>7.33</v>
      </c>
      <c r="CC171" s="23">
        <f t="shared" si="1281"/>
        <v>7.33</v>
      </c>
      <c r="CD171" s="23">
        <f>+'QTR Raw'!AX85</f>
        <v>8.57</v>
      </c>
      <c r="CE171" s="23">
        <f t="shared" si="1281"/>
        <v>8.57</v>
      </c>
      <c r="CF171" s="23">
        <f>+'QTR Raw'!AZ85</f>
        <v>11.87</v>
      </c>
      <c r="CG171" s="23">
        <f t="shared" si="1284"/>
        <v>11.87</v>
      </c>
      <c r="CH171" s="23">
        <f t="shared" si="1259"/>
        <v>107.71</v>
      </c>
      <c r="CJ171" s="23">
        <f>+'QTR Raw'!BD85</f>
        <v>14.43</v>
      </c>
      <c r="CL171" s="23">
        <f>+'QTR Raw'!BF85</f>
        <v>13.66</v>
      </c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  <c r="DF171" s="23">
        <v>13.66</v>
      </c>
    </row>
    <row r="172" spans="1:110" s="22" customFormat="1" x14ac:dyDescent="0.2">
      <c r="A172" s="22" t="s">
        <v>65</v>
      </c>
      <c r="B172" s="22">
        <f>SUM(B166:B171)</f>
        <v>627.02</v>
      </c>
      <c r="C172" s="22">
        <f t="shared" ref="C172:V172" si="1286">SUM(C166:C171)</f>
        <v>567.52</v>
      </c>
      <c r="D172" s="22">
        <f t="shared" si="1286"/>
        <v>592.37</v>
      </c>
      <c r="E172" s="22">
        <f t="shared" si="1286"/>
        <v>503.96</v>
      </c>
      <c r="F172" s="22">
        <f t="shared" si="1286"/>
        <v>513.49</v>
      </c>
      <c r="G172" s="22">
        <f t="shared" si="1286"/>
        <v>649.39</v>
      </c>
      <c r="H172" s="22">
        <f t="shared" si="1286"/>
        <v>667.24</v>
      </c>
      <c r="I172" s="22">
        <f t="shared" si="1286"/>
        <v>793.15000000000009</v>
      </c>
      <c r="J172" s="22">
        <f t="shared" si="1286"/>
        <v>1314.97</v>
      </c>
      <c r="K172" s="22">
        <f t="shared" si="1286"/>
        <v>1004.0899999999999</v>
      </c>
      <c r="L172" s="22">
        <f>SUM(L166:L171)</f>
        <v>914.20999999999992</v>
      </c>
      <c r="M172" s="22">
        <f>SUM(M166:M171)</f>
        <v>1109.03</v>
      </c>
      <c r="N172" s="22">
        <f t="shared" si="1286"/>
        <v>1200.6500000000001</v>
      </c>
      <c r="O172" s="22">
        <f t="shared" si="1286"/>
        <v>1134.74</v>
      </c>
      <c r="P172" s="22">
        <f t="shared" si="1286"/>
        <v>1188.4900000000002</v>
      </c>
      <c r="Q172" s="22">
        <f t="shared" si="1286"/>
        <v>1048</v>
      </c>
      <c r="R172" s="22">
        <f t="shared" si="1286"/>
        <v>1070.24</v>
      </c>
      <c r="S172" s="22">
        <f t="shared" si="1286"/>
        <v>1173.05</v>
      </c>
      <c r="T172" s="22">
        <f t="shared" si="1286"/>
        <v>1399.8099999999997</v>
      </c>
      <c r="U172" s="22">
        <f t="shared" si="1286"/>
        <v>1396.6599999999999</v>
      </c>
      <c r="V172" s="22">
        <f t="shared" si="1286"/>
        <v>1155.24</v>
      </c>
      <c r="W172" s="22">
        <f t="shared" ref="W172" si="1287">SUM(W166:W171)</f>
        <v>1168.1300000000001</v>
      </c>
      <c r="X172" s="22">
        <f t="shared" ref="X172:Y172" si="1288">SUM(X166:X171)</f>
        <v>1415.52</v>
      </c>
      <c r="Y172" s="22">
        <f t="shared" si="1288"/>
        <v>1419.8600000000001</v>
      </c>
      <c r="Z172" s="22">
        <f t="shared" ref="Z172:AA172" si="1289">SUM(Z166:Z171)</f>
        <v>1604.91</v>
      </c>
      <c r="AA172" s="22">
        <f t="shared" si="1289"/>
        <v>1785.7299999999998</v>
      </c>
      <c r="AB172" s="21">
        <f t="shared" ref="AA172:AD172" si="1290">SUM(AB166:AB171)</f>
        <v>4004.5928730794776</v>
      </c>
      <c r="AC172" s="21">
        <f t="shared" si="1290"/>
        <v>4361.5993274744624</v>
      </c>
      <c r="AD172" s="21">
        <f t="shared" si="1290"/>
        <v>4658.6396690349884</v>
      </c>
      <c r="AE172" s="21">
        <f t="shared" ref="AE172" si="1291">SUM(AE166:AE171)</f>
        <v>4946.2640229543522</v>
      </c>
      <c r="AJ172" s="22">
        <f t="shared" ref="AJ172" si="1292">SUM(AJ166:AJ171)</f>
        <v>1825.2300000000002</v>
      </c>
      <c r="AK172" s="22">
        <f t="shared" ref="AK172" si="1293">SUM(AK166:AK171)</f>
        <v>1773.9242768493489</v>
      </c>
      <c r="AL172" s="22">
        <f t="shared" ref="AL172:AM172" si="1294">SUM(AL166:AL171)</f>
        <v>1200.6400000000001</v>
      </c>
      <c r="AM172" s="22">
        <f t="shared" si="1294"/>
        <v>1161.3185597922325</v>
      </c>
      <c r="AN172" s="22">
        <f t="shared" ref="AN172:AO172" si="1295">SUM(AN166:AN171)</f>
        <v>2014.21</v>
      </c>
      <c r="AO172" s="22">
        <f t="shared" si="1295"/>
        <v>2063.7008116796142</v>
      </c>
      <c r="AP172" s="22">
        <f t="shared" ref="AP172:CE172" si="1296">SUM(AP166:AP171)</f>
        <v>1134.74</v>
      </c>
      <c r="AQ172" s="22">
        <f t="shared" si="1296"/>
        <v>1080.0116369885552</v>
      </c>
      <c r="AR172" s="22">
        <f t="shared" si="1296"/>
        <v>1893.1200000000001</v>
      </c>
      <c r="AS172" s="22">
        <f t="shared" si="1296"/>
        <v>1946.7186864461046</v>
      </c>
      <c r="AT172" s="22">
        <f t="shared" si="1296"/>
        <v>1188.49</v>
      </c>
      <c r="AU172" s="22">
        <f t="shared" si="1296"/>
        <v>1161.4343001896505</v>
      </c>
      <c r="AV172" s="22">
        <f t="shared" si="1296"/>
        <v>1981.55</v>
      </c>
      <c r="AW172" s="22">
        <f t="shared" si="1296"/>
        <v>2043.4764689110773</v>
      </c>
      <c r="AX172" s="22">
        <f t="shared" si="1296"/>
        <v>1048</v>
      </c>
      <c r="AY172" s="22">
        <f t="shared" si="1296"/>
        <v>974.07917261589807</v>
      </c>
      <c r="AZ172" s="22">
        <f t="shared" si="1296"/>
        <v>2380.0500000000002</v>
      </c>
      <c r="BA172" s="22">
        <f t="shared" si="1296"/>
        <v>2442.4090564315256</v>
      </c>
      <c r="BB172" s="22">
        <f t="shared" si="1296"/>
        <v>1105.44</v>
      </c>
      <c r="BC172" s="22">
        <f t="shared" si="1296"/>
        <v>1058.1840554256714</v>
      </c>
      <c r="BD172" s="22">
        <f t="shared" si="1296"/>
        <v>1215.8599999999999</v>
      </c>
      <c r="BE172" s="22">
        <f t="shared" si="1296"/>
        <v>1383.4427657425999</v>
      </c>
      <c r="BF172" s="22">
        <f t="shared" si="1296"/>
        <v>1173.0500000000002</v>
      </c>
      <c r="BG172" s="22">
        <f t="shared" si="1296"/>
        <v>1113.7191158413937</v>
      </c>
      <c r="BH172" s="22">
        <f t="shared" si="1296"/>
        <v>1331.57</v>
      </c>
      <c r="BI172" s="22">
        <f t="shared" si="1296"/>
        <v>1483.7518120742745</v>
      </c>
      <c r="BJ172" s="22">
        <f t="shared" si="1296"/>
        <v>1399.8100000000002</v>
      </c>
      <c r="BK172" s="22">
        <f t="shared" si="1296"/>
        <v>1327.3790420470621</v>
      </c>
      <c r="BL172" s="22">
        <f t="shared" si="1296"/>
        <v>3068.4700000000003</v>
      </c>
      <c r="BM172" s="22">
        <f t="shared" si="1296"/>
        <v>3218.5972373540853</v>
      </c>
      <c r="BN172" s="22">
        <f t="shared" si="1296"/>
        <v>2979.9400000000005</v>
      </c>
      <c r="BO172" s="22">
        <f t="shared" si="1296"/>
        <v>2648.1389189824836</v>
      </c>
      <c r="BP172" s="22">
        <f t="shared" si="1296"/>
        <v>2833.21</v>
      </c>
      <c r="BQ172" s="22">
        <f t="shared" si="1296"/>
        <v>3210.4994611758284</v>
      </c>
      <c r="BR172" s="22">
        <f t="shared" si="1296"/>
        <v>2684.98</v>
      </c>
      <c r="BS172" s="22">
        <f t="shared" si="1296"/>
        <v>2547.4537758121687</v>
      </c>
      <c r="BT172" s="22">
        <f t="shared" si="1296"/>
        <v>2676.4599999999996</v>
      </c>
      <c r="BU172" s="22">
        <f t="shared" si="1296"/>
        <v>2846.2423612998887</v>
      </c>
      <c r="BV172" s="22">
        <f t="shared" si="1296"/>
        <v>2681.55</v>
      </c>
      <c r="BW172" s="22">
        <f t="shared" si="1296"/>
        <v>2842.4611759242271</v>
      </c>
      <c r="BX172" s="22">
        <f t="shared" si="1296"/>
        <v>2872.37</v>
      </c>
      <c r="BY172" s="22">
        <f t="shared" si="1296"/>
        <v>3045.86837264017</v>
      </c>
      <c r="BZ172" s="22">
        <f t="shared" si="1296"/>
        <v>3294.45</v>
      </c>
      <c r="CA172" s="22">
        <f t="shared" si="1296"/>
        <v>3240.0746780236609</v>
      </c>
      <c r="CB172" s="22">
        <f t="shared" si="1296"/>
        <v>3369.04</v>
      </c>
      <c r="CC172" s="22">
        <f t="shared" si="1296"/>
        <v>3592.2109226904822</v>
      </c>
      <c r="CD172" s="22">
        <f t="shared" si="1296"/>
        <v>3390.1900000000005</v>
      </c>
      <c r="CE172" s="22">
        <f t="shared" si="1296"/>
        <v>3279.6875600155358</v>
      </c>
      <c r="CF172" s="22">
        <f t="shared" ref="CF172:CG172" si="1297">SUM(CF166:CF171)</f>
        <v>3935.7699999999995</v>
      </c>
      <c r="CG172" s="22">
        <f t="shared" si="1297"/>
        <v>4221.3455326594085</v>
      </c>
      <c r="CH172" s="22">
        <f t="shared" ref="CH172:CI172" si="1298">SUM(CH166:CH171)</f>
        <v>1604.91</v>
      </c>
      <c r="CI172" s="22">
        <f t="shared" si="1298"/>
        <v>1350.7466384621093</v>
      </c>
      <c r="CJ172" s="22">
        <f t="shared" ref="CJ172:DB172" si="1299">SUM(CJ166:CJ171)</f>
        <v>4659.9199999999992</v>
      </c>
      <c r="CK172" s="22">
        <f t="shared" si="1299"/>
        <v>6488.9858067803725</v>
      </c>
      <c r="CL172" s="22">
        <f t="shared" ref="CL172" si="1300">SUM(CL166:CL171)</f>
        <v>4071.5200000000004</v>
      </c>
      <c r="CM172" s="21">
        <f t="shared" si="1299"/>
        <v>3971.8846115590013</v>
      </c>
      <c r="CN172" s="21">
        <f t="shared" si="1299"/>
        <v>3991.6725257597336</v>
      </c>
      <c r="CO172" s="21">
        <f t="shared" si="1299"/>
        <v>4058.2918898632888</v>
      </c>
      <c r="CP172" s="21">
        <f t="shared" si="1299"/>
        <v>4004.5928730794776</v>
      </c>
      <c r="CQ172" s="21">
        <f t="shared" si="1299"/>
        <v>4188.0209414684514</v>
      </c>
      <c r="CR172" s="21">
        <f t="shared" si="1299"/>
        <v>4240.3888399897451</v>
      </c>
      <c r="CS172" s="21">
        <f t="shared" si="1299"/>
        <v>4301.7011318731293</v>
      </c>
      <c r="CT172" s="21">
        <f t="shared" si="1299"/>
        <v>4361.5993274744624</v>
      </c>
      <c r="CU172" s="21">
        <f t="shared" si="1299"/>
        <v>4452.4164665751314</v>
      </c>
      <c r="CV172" s="21">
        <f t="shared" si="1299"/>
        <v>4518.0349578444529</v>
      </c>
      <c r="CW172" s="21">
        <f t="shared" si="1299"/>
        <v>4587.2625457879612</v>
      </c>
      <c r="CX172" s="21">
        <f t="shared" si="1299"/>
        <v>4658.6396690349884</v>
      </c>
      <c r="CY172" s="21">
        <f t="shared" si="1299"/>
        <v>4733.1217453608024</v>
      </c>
      <c r="CZ172" s="21">
        <f t="shared" si="1299"/>
        <v>4803.1841723513407</v>
      </c>
      <c r="DA172" s="21">
        <f t="shared" si="1299"/>
        <v>4874.4492075975504</v>
      </c>
      <c r="DB172" s="21">
        <f t="shared" si="1299"/>
        <v>4946.2640229543522</v>
      </c>
      <c r="DE172" s="126"/>
      <c r="DF172" s="22">
        <v>6465.5071628057131</v>
      </c>
    </row>
    <row r="173" spans="1:110" s="23" customFormat="1" outlineLevel="1" x14ac:dyDescent="0.2">
      <c r="A173" s="23" t="s">
        <v>66</v>
      </c>
      <c r="B173" s="23">
        <f>'Annual Raw'!C50+'Annual Raw'!C58</f>
        <v>0</v>
      </c>
      <c r="C173" s="23">
        <f>'Annual Raw'!D50+'Annual Raw'!D58</f>
        <v>0</v>
      </c>
      <c r="D173" s="23">
        <f>'Annual Raw'!E50+'Annual Raw'!E58</f>
        <v>0</v>
      </c>
      <c r="E173" s="23">
        <f>'Annual Raw'!F50+'Annual Raw'!F58</f>
        <v>0</v>
      </c>
      <c r="F173" s="23">
        <f>'Annual Raw'!G50+'Annual Raw'!G58</f>
        <v>0</v>
      </c>
      <c r="G173" s="23">
        <f>'Annual Raw'!H50+'Annual Raw'!H58</f>
        <v>0</v>
      </c>
      <c r="H173" s="23">
        <f>'Annual Raw'!I50+'Annual Raw'!I58</f>
        <v>0</v>
      </c>
      <c r="I173" s="23">
        <f>'Annual Raw'!J50+'Annual Raw'!J58</f>
        <v>0</v>
      </c>
      <c r="J173" s="23">
        <f>'Annual Raw'!K50+'Annual Raw'!K58</f>
        <v>0</v>
      </c>
      <c r="K173" s="23">
        <f>'Annual Raw'!L50+'Annual Raw'!L58</f>
        <v>0</v>
      </c>
      <c r="L173" s="23">
        <f>'Annual Raw'!M50+'Annual Raw'!M58</f>
        <v>23.26</v>
      </c>
      <c r="M173" s="23">
        <f>'Annual Raw'!N50+'Annual Raw'!N58</f>
        <v>72.849999999999994</v>
      </c>
      <c r="N173" s="23">
        <f>'Annual Raw'!O50+'Annual Raw'!O58</f>
        <v>72.2</v>
      </c>
      <c r="O173" s="23">
        <f>'Annual Raw'!P50+'Annual Raw'!P58</f>
        <v>635.70000000000005</v>
      </c>
      <c r="P173" s="23">
        <f>'Annual Raw'!Q50+'Annual Raw'!Q58</f>
        <v>584.97</v>
      </c>
      <c r="Q173" s="23">
        <f>'Annual Raw'!R50+'Annual Raw'!R58</f>
        <v>324.91000000000003</v>
      </c>
      <c r="R173" s="23">
        <f>'Annual Raw'!S50+'Annual Raw'!S58</f>
        <v>353.29</v>
      </c>
      <c r="S173" s="23">
        <f>'Annual Raw'!T50+'Annual Raw'!T58</f>
        <v>252.06</v>
      </c>
      <c r="T173" s="23">
        <f>'Annual Raw'!U50+'Annual Raw'!U58</f>
        <v>177.08</v>
      </c>
      <c r="U173" s="23">
        <f>'Annual Raw'!V50+'Annual Raw'!V58</f>
        <v>2060.7600000000002</v>
      </c>
      <c r="V173" s="23">
        <f>'Annual Raw'!W50+'Annual Raw'!W58</f>
        <v>1888.02</v>
      </c>
      <c r="W173" s="23">
        <f>'Annual Raw'!X50+'Annual Raw'!X58</f>
        <v>1900.02</v>
      </c>
      <c r="X173" s="23">
        <f>'Annual Raw'!Y50+'Annual Raw'!Y58</f>
        <v>2312.98</v>
      </c>
      <c r="Y173" s="23">
        <f>'Annual Raw'!Z50+'Annual Raw'!Z58</f>
        <v>2440.6799999999998</v>
      </c>
      <c r="Z173" s="23">
        <f>'Annual Raw'!AA50+'Annual Raw'!AA58</f>
        <v>2811.25</v>
      </c>
      <c r="AA173" s="23">
        <f>'Annual Raw'!AB50+'Annual Raw'!AB58</f>
        <v>2729.51</v>
      </c>
      <c r="AB173" s="24">
        <f t="shared" ref="AB173:AB179" si="1301">+CP173</f>
        <v>0</v>
      </c>
      <c r="AC173" s="24">
        <f t="shared" ref="AC173:AC179" si="1302">+CT173</f>
        <v>0</v>
      </c>
      <c r="AD173" s="24">
        <f t="shared" ref="AD173:AD179" si="1303">+CX173</f>
        <v>0</v>
      </c>
      <c r="AE173" s="24">
        <f t="shared" ref="AE173:AE179" si="1304">+DB173</f>
        <v>0</v>
      </c>
      <c r="AJ173" s="23">
        <f>+'QTR Raw'!D64</f>
        <v>73.900000000000006</v>
      </c>
      <c r="AK173" s="23">
        <f t="shared" ref="AK173:CE179" si="1305">+AJ173</f>
        <v>73.900000000000006</v>
      </c>
      <c r="AL173" s="23">
        <f>+'QTR Raw'!F64</f>
        <v>76.22</v>
      </c>
      <c r="AM173" s="23">
        <f t="shared" si="1305"/>
        <v>76.22</v>
      </c>
      <c r="AN173" s="23">
        <f>+'QTR Raw'!H64</f>
        <v>76.13</v>
      </c>
      <c r="AO173" s="23">
        <f t="shared" si="1305"/>
        <v>76.13</v>
      </c>
      <c r="AP173" s="23">
        <f>+'QTR Raw'!J64</f>
        <v>639.76</v>
      </c>
      <c r="AQ173" s="23">
        <f t="shared" si="1305"/>
        <v>639.76</v>
      </c>
      <c r="AR173" s="23">
        <f>+'QTR Raw'!L64</f>
        <v>638.25</v>
      </c>
      <c r="AS173" s="23">
        <f t="shared" si="1305"/>
        <v>638.25</v>
      </c>
      <c r="AT173" s="23">
        <f>+'QTR Raw'!N64</f>
        <v>585.91</v>
      </c>
      <c r="AU173" s="23">
        <f t="shared" si="1305"/>
        <v>585.91</v>
      </c>
      <c r="AV173" s="23">
        <f>+'QTR Raw'!P64</f>
        <v>587.91</v>
      </c>
      <c r="AW173" s="23">
        <f t="shared" si="1305"/>
        <v>587.91</v>
      </c>
      <c r="AX173" s="23">
        <f>+'QTR Raw'!R64</f>
        <v>329.29</v>
      </c>
      <c r="AY173" s="23">
        <f t="shared" si="1305"/>
        <v>329.29</v>
      </c>
      <c r="AZ173" s="23">
        <f>+'QTR Raw'!T64</f>
        <v>417.09</v>
      </c>
      <c r="BA173" s="23">
        <f t="shared" si="1305"/>
        <v>417.09</v>
      </c>
      <c r="BB173" s="23">
        <f>+'QTR Raw'!V64</f>
        <v>356.83</v>
      </c>
      <c r="BC173" s="23">
        <f t="shared" si="1305"/>
        <v>356.83</v>
      </c>
      <c r="BD173" s="23">
        <f>+'QTR Raw'!X64</f>
        <v>321.18</v>
      </c>
      <c r="BE173" s="23">
        <f t="shared" si="1305"/>
        <v>321.18</v>
      </c>
      <c r="BF173" s="23">
        <f>+'QTR Raw'!Z64</f>
        <v>253.55</v>
      </c>
      <c r="BG173" s="23">
        <f t="shared" si="1305"/>
        <v>253.55</v>
      </c>
      <c r="BH173" s="23">
        <f>+'QTR Raw'!AB64</f>
        <v>350.7</v>
      </c>
      <c r="BI173" s="23">
        <f t="shared" si="1305"/>
        <v>350.7</v>
      </c>
      <c r="BJ173" s="23">
        <f>+'QTR Raw'!AD64</f>
        <v>179.82</v>
      </c>
      <c r="BK173" s="23">
        <f t="shared" si="1305"/>
        <v>179.82</v>
      </c>
      <c r="BL173" s="23">
        <f>+'QTR Raw'!AF64</f>
        <v>2072.5100000000002</v>
      </c>
      <c r="BM173" s="23">
        <f t="shared" si="1305"/>
        <v>2072.5100000000002</v>
      </c>
      <c r="BN173" s="23">
        <f>+'QTR Raw'!AH64</f>
        <v>2061.9899999999998</v>
      </c>
      <c r="BO173" s="23">
        <f t="shared" si="1305"/>
        <v>2061.9899999999998</v>
      </c>
      <c r="BP173" s="23">
        <f>+'QTR Raw'!AJ64</f>
        <v>2196.4899999999998</v>
      </c>
      <c r="BQ173" s="23">
        <f t="shared" si="1305"/>
        <v>2196.4899999999998</v>
      </c>
      <c r="BR173" s="23">
        <f>+'QTR Raw'!AL64</f>
        <v>1888.02</v>
      </c>
      <c r="BS173" s="23">
        <f t="shared" si="1305"/>
        <v>1888.02</v>
      </c>
      <c r="BT173" s="23">
        <f>+'QTR Raw'!AN64</f>
        <v>1892.56</v>
      </c>
      <c r="BU173" s="23">
        <f t="shared" si="1305"/>
        <v>1892.56</v>
      </c>
      <c r="BV173" s="23">
        <f>+'QTR Raw'!AP64</f>
        <v>1900.02</v>
      </c>
      <c r="BW173" s="23">
        <f t="shared" si="1305"/>
        <v>1900.02</v>
      </c>
      <c r="BX173" s="23">
        <f>+'QTR Raw'!AR64</f>
        <v>1971.09</v>
      </c>
      <c r="BY173" s="23">
        <f t="shared" si="1305"/>
        <v>1971.09</v>
      </c>
      <c r="BZ173" s="23">
        <f>+'QTR Raw'!AT64</f>
        <v>2312.98</v>
      </c>
      <c r="CA173" s="23">
        <f t="shared" si="1305"/>
        <v>2312.98</v>
      </c>
      <c r="CB173" s="23">
        <f>+'QTR Raw'!AV64</f>
        <v>2413.29</v>
      </c>
      <c r="CC173" s="23">
        <f t="shared" si="1305"/>
        <v>2413.29</v>
      </c>
      <c r="CD173" s="23">
        <f>+'QTR Raw'!AX64</f>
        <v>2440.6799999999998</v>
      </c>
      <c r="CE173" s="23">
        <f t="shared" si="1305"/>
        <v>2440.6799999999998</v>
      </c>
      <c r="CF173" s="23">
        <f>+'QTR Raw'!AZ64</f>
        <v>2643.53</v>
      </c>
      <c r="CG173" s="23">
        <f t="shared" ref="CG173:CG176" si="1306">+CF173</f>
        <v>2643.53</v>
      </c>
      <c r="CH173" s="23">
        <f t="shared" si="1259"/>
        <v>2811.25</v>
      </c>
      <c r="CJ173" s="23">
        <f>+'QTR Raw'!BD64</f>
        <v>2897.81</v>
      </c>
      <c r="CL173" s="23">
        <f>+'QTR Raw'!BF64</f>
        <v>2729.51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  <c r="DF173" s="23">
        <v>2729.51</v>
      </c>
    </row>
    <row r="174" spans="1:110" s="23" customFormat="1" outlineLevel="1" x14ac:dyDescent="0.2">
      <c r="A174" s="23" t="s">
        <v>67</v>
      </c>
      <c r="B174" s="23">
        <f>'Annual Raw'!C51</f>
        <v>0</v>
      </c>
      <c r="C174" s="23">
        <f>'Annual Raw'!D51</f>
        <v>0</v>
      </c>
      <c r="D174" s="23">
        <f>'Annual Raw'!E51</f>
        <v>0</v>
      </c>
      <c r="E174" s="23">
        <f>'Annual Raw'!F51</f>
        <v>0</v>
      </c>
      <c r="F174" s="23">
        <f>'Annual Raw'!G51</f>
        <v>0</v>
      </c>
      <c r="G174" s="23">
        <f>'Annual Raw'!H51</f>
        <v>0</v>
      </c>
      <c r="H174" s="23">
        <f>'Annual Raw'!I51</f>
        <v>0</v>
      </c>
      <c r="I174" s="23">
        <f>'Annual Raw'!J51</f>
        <v>0</v>
      </c>
      <c r="J174" s="23">
        <f>'Annual Raw'!K51</f>
        <v>0</v>
      </c>
      <c r="K174" s="23">
        <f>'Annual Raw'!L51</f>
        <v>0</v>
      </c>
      <c r="L174" s="23">
        <f>'Annual Raw'!M51</f>
        <v>0</v>
      </c>
      <c r="M174" s="23">
        <f>'Annual Raw'!N51</f>
        <v>3.76</v>
      </c>
      <c r="N174" s="23">
        <f>'Annual Raw'!O51</f>
        <v>4.0199999999999996</v>
      </c>
      <c r="O174" s="23">
        <f>'Annual Raw'!P51</f>
        <v>4.0599999999999996</v>
      </c>
      <c r="P174" s="23">
        <f>'Annual Raw'!Q51</f>
        <v>0.94</v>
      </c>
      <c r="Q174" s="23">
        <f>'Annual Raw'!R51</f>
        <v>4.38</v>
      </c>
      <c r="R174" s="23">
        <f>'Annual Raw'!S51</f>
        <v>3.54</v>
      </c>
      <c r="S174" s="23">
        <f>'Annual Raw'!T51</f>
        <v>1.49</v>
      </c>
      <c r="T174" s="23">
        <f>'Annual Raw'!U51</f>
        <v>2.74</v>
      </c>
      <c r="U174" s="23">
        <f>'Annual Raw'!V51</f>
        <v>1.23</v>
      </c>
      <c r="V174" s="23">
        <f>'Annual Raw'!W51</f>
        <v>0</v>
      </c>
      <c r="W174" s="23">
        <f>'Annual Raw'!X51</f>
        <v>0</v>
      </c>
      <c r="X174" s="23">
        <f>'Annual Raw'!Y51</f>
        <v>0</v>
      </c>
      <c r="Y174" s="23">
        <f>'Annual Raw'!Z51</f>
        <v>0</v>
      </c>
      <c r="Z174" s="23">
        <f>'Annual Raw'!AA51</f>
        <v>0</v>
      </c>
      <c r="AA174" s="23">
        <f>'Annual Raw'!AB51</f>
        <v>0</v>
      </c>
      <c r="AB174" s="24">
        <f t="shared" si="1301"/>
        <v>0</v>
      </c>
      <c r="AC174" s="24">
        <f t="shared" si="1302"/>
        <v>0</v>
      </c>
      <c r="AD174" s="24">
        <f t="shared" si="1303"/>
        <v>0</v>
      </c>
      <c r="AE174" s="24">
        <f t="shared" si="1304"/>
        <v>0</v>
      </c>
      <c r="AJ174" s="23">
        <f>+'QTR Raw'!D65</f>
        <v>0</v>
      </c>
      <c r="AK174" s="23">
        <f t="shared" si="1305"/>
        <v>0</v>
      </c>
      <c r="AL174" s="23">
        <f>+'QTR Raw'!F65</f>
        <v>0</v>
      </c>
      <c r="AM174" s="23">
        <f t="shared" si="1305"/>
        <v>0</v>
      </c>
      <c r="AN174" s="23">
        <f>+'QTR Raw'!H65</f>
        <v>0</v>
      </c>
      <c r="AO174" s="23">
        <f t="shared" si="1305"/>
        <v>0</v>
      </c>
      <c r="AP174" s="23">
        <f>+'QTR Raw'!J65</f>
        <v>0</v>
      </c>
      <c r="AQ174" s="23">
        <f t="shared" si="1305"/>
        <v>0</v>
      </c>
      <c r="AR174" s="23">
        <f>+'QTR Raw'!L65</f>
        <v>0</v>
      </c>
      <c r="AS174" s="23">
        <f t="shared" si="1305"/>
        <v>0</v>
      </c>
      <c r="AT174" s="23">
        <f>+'QTR Raw'!N65</f>
        <v>0</v>
      </c>
      <c r="AU174" s="23">
        <f t="shared" si="1305"/>
        <v>0</v>
      </c>
      <c r="AV174" s="23">
        <f>+'QTR Raw'!P65</f>
        <v>0</v>
      </c>
      <c r="AW174" s="23">
        <f t="shared" si="1305"/>
        <v>0</v>
      </c>
      <c r="AX174" s="23">
        <f>+'QTR Raw'!R65</f>
        <v>0</v>
      </c>
      <c r="AY174" s="23">
        <f t="shared" si="1305"/>
        <v>0</v>
      </c>
      <c r="AZ174" s="23">
        <f>+'QTR Raw'!T65</f>
        <v>0</v>
      </c>
      <c r="BA174" s="23">
        <f t="shared" si="1305"/>
        <v>0</v>
      </c>
      <c r="BB174" s="23">
        <f>+'QTR Raw'!V65</f>
        <v>0</v>
      </c>
      <c r="BC174" s="23">
        <f t="shared" si="1305"/>
        <v>0</v>
      </c>
      <c r="BD174" s="23">
        <f>+'QTR Raw'!X65</f>
        <v>0</v>
      </c>
      <c r="BE174" s="23">
        <f t="shared" si="1305"/>
        <v>0</v>
      </c>
      <c r="BF174" s="23">
        <f>+'QTR Raw'!Z65</f>
        <v>0</v>
      </c>
      <c r="BG174" s="23">
        <f t="shared" si="1305"/>
        <v>0</v>
      </c>
      <c r="BH174" s="23">
        <f>+'QTR Raw'!AB65</f>
        <v>0</v>
      </c>
      <c r="BI174" s="23">
        <f t="shared" si="1305"/>
        <v>0</v>
      </c>
      <c r="BJ174" s="23">
        <f>+'QTR Raw'!AD65</f>
        <v>0</v>
      </c>
      <c r="BK174" s="23">
        <f t="shared" si="1305"/>
        <v>0</v>
      </c>
      <c r="BL174" s="23">
        <f>+'QTR Raw'!AF65</f>
        <v>0</v>
      </c>
      <c r="BM174" s="23">
        <f t="shared" si="1305"/>
        <v>0</v>
      </c>
      <c r="BN174" s="23">
        <f>+'QTR Raw'!AH65</f>
        <v>0</v>
      </c>
      <c r="BO174" s="23">
        <f t="shared" si="1305"/>
        <v>0</v>
      </c>
      <c r="BP174" s="23">
        <f>+'QTR Raw'!AJ65</f>
        <v>0</v>
      </c>
      <c r="BQ174" s="23">
        <f t="shared" si="1305"/>
        <v>0</v>
      </c>
      <c r="BR174" s="23">
        <f>+'QTR Raw'!AL65</f>
        <v>0</v>
      </c>
      <c r="BS174" s="23">
        <f t="shared" si="1305"/>
        <v>0</v>
      </c>
      <c r="BT174" s="23">
        <f>+'QTR Raw'!AN65</f>
        <v>0</v>
      </c>
      <c r="BU174" s="23">
        <f t="shared" si="1305"/>
        <v>0</v>
      </c>
      <c r="BV174" s="23">
        <f>+'QTR Raw'!AP65</f>
        <v>0</v>
      </c>
      <c r="BW174" s="23">
        <f t="shared" si="1305"/>
        <v>0</v>
      </c>
      <c r="BX174" s="23">
        <f>+'QTR Raw'!AR65</f>
        <v>0</v>
      </c>
      <c r="BY174" s="23">
        <f t="shared" si="1305"/>
        <v>0</v>
      </c>
      <c r="BZ174" s="23">
        <f>+'QTR Raw'!AT65</f>
        <v>0</v>
      </c>
      <c r="CA174" s="23">
        <f t="shared" si="1305"/>
        <v>0</v>
      </c>
      <c r="CB174" s="23">
        <f>+'QTR Raw'!AV65</f>
        <v>0</v>
      </c>
      <c r="CC174" s="23">
        <f t="shared" si="1305"/>
        <v>0</v>
      </c>
      <c r="CD174" s="23">
        <f>+'QTR Raw'!AX65</f>
        <v>0</v>
      </c>
      <c r="CE174" s="23">
        <f t="shared" si="1305"/>
        <v>0</v>
      </c>
      <c r="CF174" s="23">
        <f>+'QTR Raw'!AZ65</f>
        <v>0</v>
      </c>
      <c r="CG174" s="23">
        <f t="shared" si="1306"/>
        <v>0</v>
      </c>
      <c r="CH174" s="23">
        <f t="shared" si="1259"/>
        <v>0</v>
      </c>
      <c r="CJ174" s="23">
        <f>+'QTR Raw'!BD65</f>
        <v>0</v>
      </c>
      <c r="CL174" s="23">
        <f>+'QTR Raw'!BF65</f>
        <v>0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  <c r="DF174" s="23">
        <v>0</v>
      </c>
    </row>
    <row r="175" spans="1:110" s="23" customFormat="1" outlineLevel="1" x14ac:dyDescent="0.2">
      <c r="A175" s="23" t="s">
        <v>68</v>
      </c>
      <c r="B175" s="23">
        <f>'Annual Raw'!C52</f>
        <v>0</v>
      </c>
      <c r="C175" s="23">
        <f>'Annual Raw'!D52</f>
        <v>0</v>
      </c>
      <c r="D175" s="23">
        <f>'Annual Raw'!E52</f>
        <v>0</v>
      </c>
      <c r="E175" s="23">
        <f>'Annual Raw'!F52</f>
        <v>0</v>
      </c>
      <c r="F175" s="23">
        <f>'Annual Raw'!G52</f>
        <v>0</v>
      </c>
      <c r="G175" s="23">
        <f>'Annual Raw'!H52</f>
        <v>0</v>
      </c>
      <c r="H175" s="23">
        <f>'Annual Raw'!I52</f>
        <v>0</v>
      </c>
      <c r="I175" s="23">
        <f>'Annual Raw'!J52</f>
        <v>0</v>
      </c>
      <c r="J175" s="23">
        <f>'Annual Raw'!K52</f>
        <v>0</v>
      </c>
      <c r="K175" s="23">
        <f>'Annual Raw'!L52</f>
        <v>0</v>
      </c>
      <c r="L175" s="23">
        <f>'Annual Raw'!M52</f>
        <v>592.78</v>
      </c>
      <c r="M175" s="23">
        <f>'Annual Raw'!N52</f>
        <v>604.03</v>
      </c>
      <c r="N175" s="23">
        <f>'Annual Raw'!O52</f>
        <v>695.98</v>
      </c>
      <c r="O175" s="23">
        <f>'Annual Raw'!P52</f>
        <v>42.43</v>
      </c>
      <c r="P175" s="23">
        <f>'Annual Raw'!Q52</f>
        <v>54.44</v>
      </c>
      <c r="Q175" s="23">
        <f>'Annual Raw'!R52</f>
        <v>71.81</v>
      </c>
      <c r="R175" s="23">
        <f>'Annual Raw'!S52</f>
        <v>75.56</v>
      </c>
      <c r="S175" s="23">
        <f>'Annual Raw'!T52</f>
        <v>83.55</v>
      </c>
      <c r="T175" s="23">
        <f>'Annual Raw'!U52</f>
        <v>102.33</v>
      </c>
      <c r="U175" s="23">
        <f>'Annual Raw'!V52</f>
        <v>121.09</v>
      </c>
      <c r="V175" s="23">
        <f>'Annual Raw'!W52</f>
        <v>91.74</v>
      </c>
      <c r="W175" s="23">
        <f>'Annual Raw'!X52</f>
        <v>95.11</v>
      </c>
      <c r="X175" s="23">
        <f>'Annual Raw'!Y52</f>
        <v>106.88</v>
      </c>
      <c r="Y175" s="23">
        <f>'Annual Raw'!Z52</f>
        <v>97.73</v>
      </c>
      <c r="Z175" s="23">
        <f>'Annual Raw'!AA52</f>
        <v>130.29</v>
      </c>
      <c r="AA175" s="23">
        <f>'Annual Raw'!AB52</f>
        <v>185.72</v>
      </c>
      <c r="AB175" s="24">
        <f t="shared" si="1301"/>
        <v>0</v>
      </c>
      <c r="AC175" s="24">
        <f t="shared" si="1302"/>
        <v>0</v>
      </c>
      <c r="AD175" s="24">
        <f t="shared" si="1303"/>
        <v>0</v>
      </c>
      <c r="AE175" s="24">
        <f t="shared" si="1304"/>
        <v>0</v>
      </c>
      <c r="AJ175" s="23">
        <f>+'QTR Raw'!D66</f>
        <v>683.27</v>
      </c>
      <c r="AK175" s="23">
        <f t="shared" si="1305"/>
        <v>683.27</v>
      </c>
      <c r="AL175" s="23">
        <f>+'QTR Raw'!F66</f>
        <v>695.98</v>
      </c>
      <c r="AM175" s="23">
        <f t="shared" si="1305"/>
        <v>695.98</v>
      </c>
      <c r="AN175" s="23">
        <f>+'QTR Raw'!H66</f>
        <v>669.66</v>
      </c>
      <c r="AO175" s="23">
        <f t="shared" si="1305"/>
        <v>669.66</v>
      </c>
      <c r="AP175" s="23">
        <f>+'QTR Raw'!J66</f>
        <v>42.43</v>
      </c>
      <c r="AQ175" s="23">
        <f t="shared" si="1305"/>
        <v>42.43</v>
      </c>
      <c r="AR175" s="23">
        <f>+'QTR Raw'!L66</f>
        <v>21.59</v>
      </c>
      <c r="AS175" s="23">
        <f t="shared" si="1305"/>
        <v>21.59</v>
      </c>
      <c r="AT175" s="23">
        <f>+'QTR Raw'!N66</f>
        <v>54.44</v>
      </c>
      <c r="AU175" s="23">
        <f t="shared" si="1305"/>
        <v>54.44</v>
      </c>
      <c r="AV175" s="23">
        <f>+'QTR Raw'!P66</f>
        <v>43.35</v>
      </c>
      <c r="AW175" s="23">
        <f t="shared" si="1305"/>
        <v>43.35</v>
      </c>
      <c r="AX175" s="23">
        <f>+'QTR Raw'!R66</f>
        <v>71.81</v>
      </c>
      <c r="AY175" s="23">
        <f t="shared" si="1305"/>
        <v>71.81</v>
      </c>
      <c r="AZ175" s="23">
        <f>+'QTR Raw'!T66</f>
        <v>0</v>
      </c>
      <c r="BA175" s="23">
        <f t="shared" si="1305"/>
        <v>0</v>
      </c>
      <c r="BB175" s="23">
        <f>+'QTR Raw'!V66</f>
        <v>75.56</v>
      </c>
      <c r="BC175" s="23">
        <f t="shared" si="1305"/>
        <v>75.56</v>
      </c>
      <c r="BD175" s="23">
        <f>+'QTR Raw'!X66</f>
        <v>77.91</v>
      </c>
      <c r="BE175" s="23">
        <f t="shared" si="1305"/>
        <v>77.91</v>
      </c>
      <c r="BF175" s="23">
        <f>+'QTR Raw'!Z66</f>
        <v>83.55</v>
      </c>
      <c r="BG175" s="23">
        <f t="shared" si="1305"/>
        <v>83.55</v>
      </c>
      <c r="BH175" s="23">
        <f>+'QTR Raw'!AB66</f>
        <v>75.81</v>
      </c>
      <c r="BI175" s="23">
        <f t="shared" si="1305"/>
        <v>75.81</v>
      </c>
      <c r="BJ175" s="23">
        <f>+'QTR Raw'!AD66</f>
        <v>102.33</v>
      </c>
      <c r="BK175" s="23">
        <f t="shared" si="1305"/>
        <v>102.33</v>
      </c>
      <c r="BL175" s="23">
        <f>+'QTR Raw'!AF66</f>
        <v>102.42</v>
      </c>
      <c r="BM175" s="23">
        <f t="shared" si="1305"/>
        <v>102.42</v>
      </c>
      <c r="BN175" s="23">
        <f>+'QTR Raw'!AH66</f>
        <v>121.09</v>
      </c>
      <c r="BO175" s="23">
        <f t="shared" si="1305"/>
        <v>121.09</v>
      </c>
      <c r="BP175" s="23">
        <f>+'QTR Raw'!AJ66</f>
        <v>105.56</v>
      </c>
      <c r="BQ175" s="23">
        <f t="shared" si="1305"/>
        <v>105.56</v>
      </c>
      <c r="BR175" s="23">
        <f>+'QTR Raw'!AL66</f>
        <v>91.74</v>
      </c>
      <c r="BS175" s="23">
        <f t="shared" si="1305"/>
        <v>91.74</v>
      </c>
      <c r="BT175" s="23">
        <f>+'QTR Raw'!AN66</f>
        <v>94.69</v>
      </c>
      <c r="BU175" s="23">
        <f t="shared" si="1305"/>
        <v>94.69</v>
      </c>
      <c r="BV175" s="23">
        <f>+'QTR Raw'!AP66</f>
        <v>95.11</v>
      </c>
      <c r="BW175" s="23">
        <f t="shared" si="1305"/>
        <v>95.11</v>
      </c>
      <c r="BX175" s="23">
        <f>+'QTR Raw'!AR66</f>
        <v>96.94</v>
      </c>
      <c r="BY175" s="23">
        <f t="shared" si="1305"/>
        <v>96.94</v>
      </c>
      <c r="BZ175" s="23">
        <f>+'QTR Raw'!AT66</f>
        <v>106.88</v>
      </c>
      <c r="CA175" s="23">
        <f t="shared" si="1305"/>
        <v>106.88</v>
      </c>
      <c r="CB175" s="23">
        <f>+'QTR Raw'!AV66</f>
        <v>101.71</v>
      </c>
      <c r="CC175" s="23">
        <f t="shared" si="1305"/>
        <v>101.71</v>
      </c>
      <c r="CD175" s="23">
        <f>+'QTR Raw'!AX66</f>
        <v>97.73</v>
      </c>
      <c r="CE175" s="23">
        <f t="shared" si="1305"/>
        <v>97.73</v>
      </c>
      <c r="CF175" s="23">
        <f>+'QTR Raw'!AZ66</f>
        <v>114.86</v>
      </c>
      <c r="CG175" s="23">
        <f t="shared" si="1306"/>
        <v>114.86</v>
      </c>
      <c r="CH175" s="23">
        <f t="shared" si="1259"/>
        <v>130.29</v>
      </c>
      <c r="CJ175" s="23">
        <f>+'QTR Raw'!BD66</f>
        <v>129.97</v>
      </c>
      <c r="CL175" s="23">
        <f>+'QTR Raw'!BF66</f>
        <v>185.72</v>
      </c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  <c r="DF175" s="23">
        <v>185.72</v>
      </c>
    </row>
    <row r="176" spans="1:110" s="23" customFormat="1" outlineLevel="1" x14ac:dyDescent="0.2">
      <c r="A176" s="23" t="s">
        <v>69</v>
      </c>
      <c r="B176" s="23">
        <v>0</v>
      </c>
      <c r="C176" s="23">
        <v>0</v>
      </c>
      <c r="D176" s="23">
        <v>0</v>
      </c>
      <c r="E176" s="23">
        <v>0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  <c r="L176" s="23">
        <v>0</v>
      </c>
      <c r="M176" s="23">
        <v>0</v>
      </c>
      <c r="N176" s="23">
        <v>0</v>
      </c>
      <c r="O176" s="23">
        <v>0</v>
      </c>
      <c r="P176" s="23">
        <v>0</v>
      </c>
      <c r="Q176" s="23">
        <v>0</v>
      </c>
      <c r="R176" s="23">
        <v>0</v>
      </c>
      <c r="S176" s="23">
        <v>0</v>
      </c>
      <c r="T176" s="23">
        <v>0</v>
      </c>
      <c r="U176" s="23">
        <v>0</v>
      </c>
      <c r="V176" s="23">
        <v>0</v>
      </c>
      <c r="W176" s="23">
        <v>0</v>
      </c>
      <c r="X176" s="23">
        <v>0</v>
      </c>
      <c r="Y176" s="23">
        <v>0</v>
      </c>
      <c r="Z176" s="23">
        <v>0</v>
      </c>
      <c r="AA176" s="23">
        <v>0</v>
      </c>
      <c r="AB176" s="24">
        <f t="shared" si="1301"/>
        <v>4353.2066335262607</v>
      </c>
      <c r="AC176" s="24">
        <f t="shared" si="1302"/>
        <v>4741.2917434837282</v>
      </c>
      <c r="AD176" s="24">
        <f t="shared" si="1303"/>
        <v>5064.1904815798753</v>
      </c>
      <c r="AE176" s="24">
        <f t="shared" si="1304"/>
        <v>5376.8535375081156</v>
      </c>
      <c r="AJ176" s="23">
        <f>+'QTR Raw'!D87</f>
        <v>532.77</v>
      </c>
      <c r="AK176" s="23">
        <f t="shared" si="1305"/>
        <v>532.77</v>
      </c>
      <c r="AL176" s="23">
        <f>+'QTR Raw'!F87</f>
        <v>0</v>
      </c>
      <c r="AM176" s="23">
        <f t="shared" si="1305"/>
        <v>0</v>
      </c>
      <c r="AN176" s="23">
        <f>+'QTR Raw'!H87</f>
        <v>0</v>
      </c>
      <c r="AO176" s="23">
        <f t="shared" si="1305"/>
        <v>0</v>
      </c>
      <c r="AP176" s="23">
        <f>+'QTR Raw'!J87</f>
        <v>0</v>
      </c>
      <c r="AQ176" s="23">
        <f t="shared" si="1305"/>
        <v>0</v>
      </c>
      <c r="AR176" s="23">
        <f>+'QTR Raw'!L87</f>
        <v>0</v>
      </c>
      <c r="AS176" s="23">
        <f t="shared" si="1305"/>
        <v>0</v>
      </c>
      <c r="AT176" s="23">
        <f>+'QTR Raw'!N87</f>
        <v>0</v>
      </c>
      <c r="AU176" s="23">
        <f t="shared" si="1305"/>
        <v>0</v>
      </c>
      <c r="AV176" s="23">
        <f>+'QTR Raw'!P87</f>
        <v>0</v>
      </c>
      <c r="AW176" s="23">
        <f t="shared" si="1305"/>
        <v>0</v>
      </c>
      <c r="AX176" s="23">
        <f>+'QTR Raw'!R87</f>
        <v>0</v>
      </c>
      <c r="AY176" s="23">
        <f t="shared" si="1305"/>
        <v>0</v>
      </c>
      <c r="AZ176" s="23">
        <f>+'QTR Raw'!T87</f>
        <v>0</v>
      </c>
      <c r="BA176" s="23">
        <f t="shared" si="1305"/>
        <v>0</v>
      </c>
      <c r="BB176" s="23">
        <f>+'QTR Raw'!V87</f>
        <v>0</v>
      </c>
      <c r="BC176" s="23">
        <f t="shared" si="1305"/>
        <v>0</v>
      </c>
      <c r="BD176" s="23">
        <f>+'QTR Raw'!X87</f>
        <v>0</v>
      </c>
      <c r="BE176" s="23">
        <f t="shared" si="1305"/>
        <v>0</v>
      </c>
      <c r="BF176" s="23">
        <f>+'QTR Raw'!Z87</f>
        <v>0</v>
      </c>
      <c r="BG176" s="23">
        <f t="shared" si="1305"/>
        <v>0</v>
      </c>
      <c r="BH176" s="23">
        <f>+'QTR Raw'!AB87</f>
        <v>0</v>
      </c>
      <c r="BI176" s="23">
        <f t="shared" si="1305"/>
        <v>0</v>
      </c>
      <c r="BJ176" s="23">
        <f>+'QTR Raw'!AD87</f>
        <v>0</v>
      </c>
      <c r="BK176" s="23">
        <f t="shared" si="1305"/>
        <v>0</v>
      </c>
      <c r="BL176" s="23">
        <f>+'QTR Raw'!AF87</f>
        <v>0</v>
      </c>
      <c r="BM176" s="23">
        <f t="shared" si="1305"/>
        <v>0</v>
      </c>
      <c r="BN176" s="23">
        <f>+'QTR Raw'!AH87</f>
        <v>0</v>
      </c>
      <c r="BO176" s="23">
        <f t="shared" si="1305"/>
        <v>0</v>
      </c>
      <c r="BP176" s="23">
        <f>+'QTR Raw'!AJ87</f>
        <v>0</v>
      </c>
      <c r="BQ176" s="23">
        <f t="shared" si="1305"/>
        <v>0</v>
      </c>
      <c r="BR176" s="23">
        <f>+'QTR Raw'!AL87</f>
        <v>0</v>
      </c>
      <c r="BS176" s="23">
        <f t="shared" si="1305"/>
        <v>0</v>
      </c>
      <c r="BT176" s="23">
        <f>+'QTR Raw'!AN87</f>
        <v>0</v>
      </c>
      <c r="BU176" s="23">
        <f t="shared" si="1305"/>
        <v>0</v>
      </c>
      <c r="BV176" s="23">
        <f>+'QTR Raw'!AP87</f>
        <v>0</v>
      </c>
      <c r="BW176" s="23">
        <f t="shared" si="1305"/>
        <v>0</v>
      </c>
      <c r="BX176" s="23">
        <f>+'QTR Raw'!AR87</f>
        <v>0</v>
      </c>
      <c r="BY176" s="23">
        <f t="shared" si="1305"/>
        <v>0</v>
      </c>
      <c r="BZ176" s="23">
        <f>+'QTR Raw'!AT87</f>
        <v>0</v>
      </c>
      <c r="CA176" s="23">
        <f t="shared" si="1305"/>
        <v>0</v>
      </c>
      <c r="CB176" s="23">
        <f>+'QTR Raw'!AV87</f>
        <v>0</v>
      </c>
      <c r="CC176" s="23">
        <f t="shared" si="1305"/>
        <v>0</v>
      </c>
      <c r="CD176" s="23">
        <f>+'QTR Raw'!AX87</f>
        <v>0</v>
      </c>
      <c r="CE176" s="23">
        <f t="shared" si="1305"/>
        <v>0</v>
      </c>
      <c r="CF176" s="23">
        <f>+'QTR Raw'!AZ87</f>
        <v>0</v>
      </c>
      <c r="CG176" s="23">
        <f t="shared" si="1306"/>
        <v>0</v>
      </c>
      <c r="CH176" s="23">
        <f t="shared" si="1259"/>
        <v>0</v>
      </c>
      <c r="CI176" s="23">
        <f>CI34/90*CI208</f>
        <v>3650.7973848932438</v>
      </c>
      <c r="CJ176" s="23">
        <f>+'QTR Raw'!BD87</f>
        <v>0</v>
      </c>
      <c r="CK176" s="23">
        <f t="shared" ref="CK176:DB176" si="1307">CK34/90*CK208</f>
        <v>6140.9278996908206</v>
      </c>
      <c r="CL176" s="23">
        <f>+'QTR Raw'!BF87</f>
        <v>0</v>
      </c>
      <c r="CM176" s="24">
        <f t="shared" si="1307"/>
        <v>4317.6510038942888</v>
      </c>
      <c r="CN176" s="24">
        <f t="shared" si="1307"/>
        <v>4339.1615249615743</v>
      </c>
      <c r="CO176" s="24">
        <f t="shared" si="1307"/>
        <v>4411.5803367929711</v>
      </c>
      <c r="CP176" s="24">
        <f t="shared" si="1307"/>
        <v>4353.2066335262607</v>
      </c>
      <c r="CQ176" s="24">
        <f t="shared" si="1307"/>
        <v>4552.6027542789188</v>
      </c>
      <c r="CR176" s="24">
        <f t="shared" si="1307"/>
        <v>4609.5294608011282</v>
      </c>
      <c r="CS176" s="24">
        <f t="shared" si="1307"/>
        <v>4676.179201287282</v>
      </c>
      <c r="CT176" s="24">
        <f t="shared" si="1307"/>
        <v>4741.2917434837282</v>
      </c>
      <c r="CU176" s="24">
        <f t="shared" si="1307"/>
        <v>4840.0148309237984</v>
      </c>
      <c r="CV176" s="24">
        <f t="shared" si="1307"/>
        <v>4911.3456404539911</v>
      </c>
      <c r="CW176" s="24">
        <f t="shared" si="1307"/>
        <v>4986.5997310969078</v>
      </c>
      <c r="CX176" s="24">
        <f t="shared" si="1307"/>
        <v>5064.1904815798753</v>
      </c>
      <c r="CY176" s="24">
        <f t="shared" si="1307"/>
        <v>5145.1564821238981</v>
      </c>
      <c r="CZ176" s="24">
        <f t="shared" si="1307"/>
        <v>5221.3180874612272</v>
      </c>
      <c r="DA176" s="24">
        <f t="shared" si="1307"/>
        <v>5298.7869922924247</v>
      </c>
      <c r="DB176" s="24">
        <f t="shared" si="1307"/>
        <v>5376.8535375081156</v>
      </c>
      <c r="DE176" s="123"/>
      <c r="DF176" s="23">
        <v>6118.7086093234029</v>
      </c>
    </row>
    <row r="177" spans="1:110" s="23" customFormat="1" outlineLevel="1" x14ac:dyDescent="0.2">
      <c r="A177" s="23" t="s">
        <v>70</v>
      </c>
      <c r="B177" s="23">
        <f>'Annual Raw'!C54</f>
        <v>66.349999999999994</v>
      </c>
      <c r="C177" s="23">
        <f>'Annual Raw'!D54</f>
        <v>80.44</v>
      </c>
      <c r="D177" s="23">
        <f>'Annual Raw'!E54</f>
        <v>119.89</v>
      </c>
      <c r="E177" s="23">
        <f>'Annual Raw'!F54</f>
        <v>119.08</v>
      </c>
      <c r="F177" s="23">
        <f>'Annual Raw'!G54</f>
        <v>142.65</v>
      </c>
      <c r="G177" s="23">
        <f>'Annual Raw'!H54</f>
        <v>199.66</v>
      </c>
      <c r="H177" s="23">
        <f>'Annual Raw'!I54</f>
        <v>280.08999999999997</v>
      </c>
      <c r="I177" s="23">
        <f>'Annual Raw'!J54</f>
        <v>260.22000000000003</v>
      </c>
      <c r="J177" s="23">
        <f>'Annual Raw'!K54</f>
        <v>296.77999999999997</v>
      </c>
      <c r="K177" s="23">
        <f>'Annual Raw'!L54</f>
        <v>336.15</v>
      </c>
      <c r="L177" s="23">
        <f>'Annual Raw'!M54</f>
        <v>227.7</v>
      </c>
      <c r="M177" s="23">
        <f>'Annual Raw'!N54</f>
        <v>313.89999999999998</v>
      </c>
      <c r="N177" s="23">
        <f>'Annual Raw'!O54</f>
        <v>319.13</v>
      </c>
      <c r="O177" s="23">
        <f>'Annual Raw'!P54</f>
        <v>341.33</v>
      </c>
      <c r="P177" s="23">
        <f>'Annual Raw'!Q54</f>
        <v>331.15</v>
      </c>
      <c r="Q177" s="23">
        <f>'Annual Raw'!R54</f>
        <v>287.27999999999997</v>
      </c>
      <c r="R177" s="23">
        <f>'Annual Raw'!S54</f>
        <v>293.06</v>
      </c>
      <c r="S177" s="23">
        <f>'Annual Raw'!T54</f>
        <v>339.95</v>
      </c>
      <c r="T177" s="23">
        <f>'Annual Raw'!U54</f>
        <v>325.25</v>
      </c>
      <c r="U177" s="23">
        <f>'Annual Raw'!V54</f>
        <v>389.32</v>
      </c>
      <c r="V177" s="23">
        <f>'Annual Raw'!W54</f>
        <v>317.81</v>
      </c>
      <c r="W177" s="23">
        <f>'Annual Raw'!X54</f>
        <v>387.33</v>
      </c>
      <c r="X177" s="23">
        <f>'Annual Raw'!Y54</f>
        <v>476.58</v>
      </c>
      <c r="Y177" s="23">
        <f>'Annual Raw'!Z54</f>
        <v>519.37</v>
      </c>
      <c r="Z177" s="23">
        <f>'Annual Raw'!AA54</f>
        <v>578.39</v>
      </c>
      <c r="AA177" s="23">
        <f>'Annual Raw'!AB54</f>
        <v>719.78</v>
      </c>
      <c r="AB177" s="24">
        <f t="shared" si="1301"/>
        <v>707.94834808257008</v>
      </c>
      <c r="AC177" s="24">
        <f t="shared" si="1302"/>
        <v>771.06141291939321</v>
      </c>
      <c r="AD177" s="24">
        <f t="shared" si="1303"/>
        <v>823.57342245107554</v>
      </c>
      <c r="AE177" s="24">
        <f t="shared" si="1304"/>
        <v>874.42083507930283</v>
      </c>
      <c r="AJ177" s="23">
        <f>+'QTR Raw'!D89</f>
        <v>0</v>
      </c>
      <c r="AK177" s="23">
        <f>+AK207*AK34/90</f>
        <v>0</v>
      </c>
      <c r="AL177" s="23">
        <f>+'QTR Raw'!F89</f>
        <v>319.13</v>
      </c>
      <c r="AM177" s="23">
        <f>+AM207*AM34/90</f>
        <v>285.28059556132689</v>
      </c>
      <c r="AN177" s="23">
        <f>+'QTR Raw'!H89</f>
        <v>151.54</v>
      </c>
      <c r="AO177" s="23">
        <f>+AO207*AO34/90</f>
        <v>197.49488726672021</v>
      </c>
      <c r="AP177" s="23">
        <f>+'QTR Raw'!J89</f>
        <v>341.33</v>
      </c>
      <c r="AQ177" s="23">
        <f>+AQ207*AQ34/90</f>
        <v>292.49992851658197</v>
      </c>
      <c r="AR177" s="23">
        <f>+'QTR Raw'!L89</f>
        <v>151.93</v>
      </c>
      <c r="AS177" s="23">
        <f>+AS207*AS34/90</f>
        <v>195.6897314834579</v>
      </c>
      <c r="AT177" s="23">
        <f>+'QTR Raw'!N89</f>
        <v>331.15</v>
      </c>
      <c r="AU177" s="23">
        <f>+AU207*AU34/90</f>
        <v>308.90585929739001</v>
      </c>
      <c r="AV177" s="23">
        <f>+'QTR Raw'!P89</f>
        <v>181.04</v>
      </c>
      <c r="AW177" s="23">
        <f>+AW207*AW34/90</f>
        <v>235.25261088811118</v>
      </c>
      <c r="AX177" s="23">
        <f>+'QTR Raw'!R89</f>
        <v>287.27999999999997</v>
      </c>
      <c r="AY177" s="23">
        <f>+AY207*AY34/90</f>
        <v>221.37479457853391</v>
      </c>
      <c r="AZ177" s="23">
        <f>+'QTR Raw'!T89</f>
        <v>168.4</v>
      </c>
      <c r="BA177" s="23">
        <f>+BA207*BA34/90</f>
        <v>214.86577479234055</v>
      </c>
      <c r="BB177" s="23">
        <f>+'QTR Raw'!V89</f>
        <v>293.06</v>
      </c>
      <c r="BC177" s="23">
        <f>+BC207*BC34/90</f>
        <v>253.77254718594966</v>
      </c>
      <c r="BD177" s="23">
        <f>+'QTR Raw'!X89</f>
        <v>345.68</v>
      </c>
      <c r="BE177" s="23">
        <f>+BE207*BE34/90</f>
        <v>485.94976551950879</v>
      </c>
      <c r="BF177" s="23">
        <f>+'QTR Raw'!Z89</f>
        <v>339.95</v>
      </c>
      <c r="BG177" s="23">
        <f>+BG207*BG34/90</f>
        <v>291.26424623511099</v>
      </c>
      <c r="BH177" s="23">
        <f>+'QTR Raw'!AB89</f>
        <v>348.35</v>
      </c>
      <c r="BI177" s="23">
        <f>+BI207*BI34/90</f>
        <v>477.97767565550072</v>
      </c>
      <c r="BJ177" s="23">
        <f>+'QTR Raw'!AD89</f>
        <v>325.25</v>
      </c>
      <c r="BK177" s="23">
        <f>+BK207*BK34/90</f>
        <v>266.61550083579789</v>
      </c>
      <c r="BL177" s="23">
        <f>+'QTR Raw'!AF89</f>
        <v>335.28</v>
      </c>
      <c r="BM177" s="23">
        <f>+BM207*BM34/90</f>
        <v>456.84662272691179</v>
      </c>
      <c r="BN177" s="23">
        <f>+'QTR Raw'!AH89</f>
        <v>389.32</v>
      </c>
      <c r="BO177" s="23">
        <f>+BO207*BO34/90</f>
        <v>52.597645487215189</v>
      </c>
      <c r="BP177" s="23">
        <f>+'QTR Raw'!AJ89</f>
        <v>326.23</v>
      </c>
      <c r="BQ177" s="23">
        <f>+BQ207*BQ34/90</f>
        <v>711.58736042389069</v>
      </c>
      <c r="BR177" s="23">
        <f>+'QTR Raw'!AL89</f>
        <v>317.81</v>
      </c>
      <c r="BS177" s="23">
        <f>+BS207*BS34/90</f>
        <v>178.0453245422913</v>
      </c>
      <c r="BT177" s="23">
        <f>+'QTR Raw'!AN89</f>
        <v>345.15</v>
      </c>
      <c r="BU177" s="23">
        <f>+BU207*BU34/90</f>
        <v>526.56971456814529</v>
      </c>
      <c r="BV177" s="23">
        <f>+'QTR Raw'!AP89</f>
        <v>387.33</v>
      </c>
      <c r="BW177" s="23">
        <f>+BW207*BW34/90</f>
        <v>562.31870138060719</v>
      </c>
      <c r="BX177" s="23">
        <f>+'QTR Raw'!AR89</f>
        <v>460.54</v>
      </c>
      <c r="BY177" s="23">
        <f>+BY207*BY34/90</f>
        <v>629.86535238234319</v>
      </c>
      <c r="BZ177" s="23">
        <f>+'QTR Raw'!AT89</f>
        <v>476.58</v>
      </c>
      <c r="CA177" s="23">
        <f>+CA207*CA34/90</f>
        <v>429.94322400841611</v>
      </c>
      <c r="CB177" s="23">
        <f>+'QTR Raw'!AV89</f>
        <v>454.54</v>
      </c>
      <c r="CC177" s="23">
        <f>+CC207*CC34/90</f>
        <v>622.83270555400509</v>
      </c>
      <c r="CD177" s="23">
        <f>+'QTR Raw'!AX89</f>
        <v>519.37</v>
      </c>
      <c r="CE177" s="23">
        <f>+CE207*CE34/90</f>
        <v>422.57180088593111</v>
      </c>
      <c r="CF177" s="23">
        <f>+'QTR Raw'!AZ89</f>
        <v>580.37</v>
      </c>
      <c r="CG177" s="23">
        <f>+CG207*CG34/90</f>
        <v>805.04360529428527</v>
      </c>
      <c r="CH177" s="23">
        <f t="shared" si="1259"/>
        <v>578.39</v>
      </c>
      <c r="CI177" s="23">
        <f>+CI207*CI34/90</f>
        <v>486.79262277641698</v>
      </c>
      <c r="CJ177" s="23">
        <f>+'QTR Raw'!BD89</f>
        <v>666.16</v>
      </c>
      <c r="CK177" s="23">
        <f t="shared" ref="CK177:DB177" si="1308">+CK207*CK34/90</f>
        <v>927.63454845680064</v>
      </c>
      <c r="CL177" s="23">
        <f>+'QTR Raw'!BF89</f>
        <v>719.78</v>
      </c>
      <c r="CM177" s="24">
        <f t="shared" si="1308"/>
        <v>702.166047497725</v>
      </c>
      <c r="CN177" s="24">
        <f t="shared" si="1308"/>
        <v>705.66423610625532</v>
      </c>
      <c r="CO177" s="24">
        <f t="shared" si="1308"/>
        <v>717.44148045098564</v>
      </c>
      <c r="CP177" s="24">
        <f t="shared" si="1308"/>
        <v>707.94834808257008</v>
      </c>
      <c r="CQ177" s="24">
        <f t="shared" si="1308"/>
        <v>740.37551412007338</v>
      </c>
      <c r="CR177" s="24">
        <f t="shared" si="1308"/>
        <v>749.6333259440745</v>
      </c>
      <c r="CS177" s="24">
        <f t="shared" si="1308"/>
        <v>760.47236430120461</v>
      </c>
      <c r="CT177" s="24">
        <f t="shared" si="1308"/>
        <v>771.06141291939321</v>
      </c>
      <c r="CU177" s="24">
        <f t="shared" si="1308"/>
        <v>787.11643914593265</v>
      </c>
      <c r="CV177" s="24">
        <f t="shared" si="1308"/>
        <v>798.71674508716148</v>
      </c>
      <c r="CW177" s="24">
        <f t="shared" si="1308"/>
        <v>810.95508193678484</v>
      </c>
      <c r="CX177" s="24">
        <f t="shared" si="1308"/>
        <v>823.57342245107554</v>
      </c>
      <c r="CY177" s="24">
        <f t="shared" si="1308"/>
        <v>836.74066930183267</v>
      </c>
      <c r="CZ177" s="24">
        <f t="shared" si="1308"/>
        <v>849.12659242126961</v>
      </c>
      <c r="DA177" s="24">
        <f t="shared" si="1308"/>
        <v>861.72511755918288</v>
      </c>
      <c r="DB177" s="24">
        <f t="shared" si="1308"/>
        <v>874.42083507930283</v>
      </c>
      <c r="DE177" s="123"/>
      <c r="DF177" s="23">
        <v>924.27815318174021</v>
      </c>
    </row>
    <row r="178" spans="1:110" s="23" customFormat="1" outlineLevel="1" x14ac:dyDescent="0.2">
      <c r="A178" s="23" t="s">
        <v>71</v>
      </c>
      <c r="B178" s="23">
        <f>'Annual Raw'!C55-Template!B150</f>
        <v>61.71</v>
      </c>
      <c r="C178" s="23">
        <f>'Annual Raw'!D55-Template!C150</f>
        <v>62.65</v>
      </c>
      <c r="D178" s="23">
        <f>'Annual Raw'!E55-Template!D150</f>
        <v>88.33</v>
      </c>
      <c r="E178" s="23">
        <f>'Annual Raw'!F55-Template!E150</f>
        <v>87.38</v>
      </c>
      <c r="F178" s="23">
        <f>'Annual Raw'!G55-Template!F150</f>
        <v>104.65</v>
      </c>
      <c r="G178" s="23">
        <f>'Annual Raw'!H55-Template!G150</f>
        <v>128.75</v>
      </c>
      <c r="H178" s="23">
        <f>'Annual Raw'!I55-Template!H150</f>
        <v>178.86</v>
      </c>
      <c r="I178" s="23">
        <f>'Annual Raw'!J55-Template!I150</f>
        <v>311.98</v>
      </c>
      <c r="J178" s="23">
        <f>'Annual Raw'!K55-Template!J150</f>
        <v>258.77</v>
      </c>
      <c r="K178" s="23">
        <f>'Annual Raw'!L55-Template!K150</f>
        <v>247.03</v>
      </c>
      <c r="L178" s="23">
        <f>'Annual Raw'!M55-Template!L150</f>
        <v>381.54000000000019</v>
      </c>
      <c r="M178" s="23">
        <f>'Annual Raw'!N55-Template!M150</f>
        <v>415.94999999999993</v>
      </c>
      <c r="N178" s="23">
        <f>'Annual Raw'!O55-Template!N150</f>
        <v>408.29000000000008</v>
      </c>
      <c r="O178" s="23">
        <f>'Annual Raw'!P55-Template!O150</f>
        <v>528.09</v>
      </c>
      <c r="P178" s="23">
        <f>'Annual Raw'!Q55-Template!P150</f>
        <v>518.21</v>
      </c>
      <c r="Q178" s="23">
        <f>'Annual Raw'!R55-Template!Q150</f>
        <v>892.01</v>
      </c>
      <c r="R178" s="23">
        <f>'Annual Raw'!S55-Template!R150</f>
        <v>817.62999999999988</v>
      </c>
      <c r="S178" s="23">
        <f>'Annual Raw'!T55-Template!S150</f>
        <v>792.31</v>
      </c>
      <c r="T178" s="23">
        <f>'Annual Raw'!U55-Template!T150</f>
        <v>945.26999999999987</v>
      </c>
      <c r="U178" s="23">
        <f>'Annual Raw'!V55-Template!U150</f>
        <v>847</v>
      </c>
      <c r="V178" s="23">
        <f>'Annual Raw'!W55-Template!V150</f>
        <v>1015.5300000000002</v>
      </c>
      <c r="W178" s="23">
        <f>'Annual Raw'!X55-Template!W150</f>
        <v>749.03</v>
      </c>
      <c r="X178" s="23">
        <f>'Annual Raw'!Y55-Template!X150</f>
        <v>907.67000000000007</v>
      </c>
      <c r="Y178" s="23">
        <f>'Annual Raw'!Z55-Template!Y150</f>
        <v>990.24</v>
      </c>
      <c r="Z178" s="23">
        <f>'Annual Raw'!AA55-Template!Z150</f>
        <v>1104.24</v>
      </c>
      <c r="AA178" s="23">
        <f>'Annual Raw'!AB55-Template!AA150</f>
        <v>1175.98</v>
      </c>
      <c r="AB178" s="24">
        <f t="shared" si="1301"/>
        <v>0</v>
      </c>
      <c r="AC178" s="24">
        <f t="shared" si="1302"/>
        <v>0</v>
      </c>
      <c r="AD178" s="24">
        <f t="shared" si="1303"/>
        <v>0</v>
      </c>
      <c r="AE178" s="24">
        <f t="shared" si="1304"/>
        <v>0</v>
      </c>
      <c r="AJ178" s="23">
        <f>+'QTR Raw'!D91</f>
        <v>0</v>
      </c>
      <c r="AK178" s="23">
        <f t="shared" si="1305"/>
        <v>0</v>
      </c>
      <c r="AL178" s="23">
        <f>+'QTR Raw'!F91</f>
        <v>547.08000000000004</v>
      </c>
      <c r="AM178" s="23">
        <f t="shared" si="1305"/>
        <v>547.08000000000004</v>
      </c>
      <c r="AN178" s="23">
        <f>+'QTR Raw'!H91</f>
        <v>360.61</v>
      </c>
      <c r="AO178" s="23">
        <f t="shared" si="1305"/>
        <v>360.61</v>
      </c>
      <c r="AP178" s="23">
        <f>+'QTR Raw'!J91</f>
        <v>1534.97</v>
      </c>
      <c r="AQ178" s="23">
        <f t="shared" si="1305"/>
        <v>1534.97</v>
      </c>
      <c r="AR178" s="23">
        <f>+'QTR Raw'!L91</f>
        <v>651.12</v>
      </c>
      <c r="AS178" s="23">
        <f t="shared" si="1305"/>
        <v>651.12</v>
      </c>
      <c r="AT178" s="23">
        <f>+'QTR Raw'!N91</f>
        <v>957.06</v>
      </c>
      <c r="AU178" s="23">
        <f t="shared" si="1305"/>
        <v>957.06</v>
      </c>
      <c r="AV178" s="23">
        <f>+'QTR Raw'!P91</f>
        <v>934.87</v>
      </c>
      <c r="AW178" s="23">
        <f t="shared" si="1305"/>
        <v>934.87</v>
      </c>
      <c r="AX178" s="23">
        <f>+'QTR Raw'!R91</f>
        <v>1905.6</v>
      </c>
      <c r="AY178" s="23">
        <f t="shared" si="1305"/>
        <v>1905.6</v>
      </c>
      <c r="AZ178" s="23">
        <f>+'QTR Raw'!T91</f>
        <v>1406.2</v>
      </c>
      <c r="BA178" s="23">
        <f t="shared" si="1305"/>
        <v>1406.2</v>
      </c>
      <c r="BB178" s="23">
        <f>+'QTR Raw'!V91</f>
        <v>1416.94</v>
      </c>
      <c r="BC178" s="23">
        <f t="shared" si="1305"/>
        <v>1416.94</v>
      </c>
      <c r="BD178" s="23">
        <f>+'QTR Raw'!X91</f>
        <v>1055.8</v>
      </c>
      <c r="BE178" s="23">
        <f t="shared" si="1305"/>
        <v>1055.8</v>
      </c>
      <c r="BF178" s="23">
        <f>+'QTR Raw'!Z91</f>
        <v>910.09</v>
      </c>
      <c r="BG178" s="23">
        <f t="shared" si="1305"/>
        <v>910.09</v>
      </c>
      <c r="BH178" s="23">
        <f>+'QTR Raw'!AB91</f>
        <v>901.71</v>
      </c>
      <c r="BI178" s="23">
        <f t="shared" si="1305"/>
        <v>901.71</v>
      </c>
      <c r="BJ178" s="23">
        <f>+'QTR Raw'!AD91</f>
        <v>1580.89</v>
      </c>
      <c r="BK178" s="23">
        <f t="shared" si="1305"/>
        <v>1580.89</v>
      </c>
      <c r="BL178" s="23">
        <f>+'QTR Raw'!AF91</f>
        <v>1768.97</v>
      </c>
      <c r="BM178" s="23">
        <f t="shared" si="1305"/>
        <v>1768.97</v>
      </c>
      <c r="BN178" s="23">
        <f>+'QTR Raw'!AH91</f>
        <v>1190.79</v>
      </c>
      <c r="BO178" s="23">
        <f t="shared" si="1305"/>
        <v>1190.79</v>
      </c>
      <c r="BP178" s="23">
        <f>+'QTR Raw'!AJ91</f>
        <v>1535.47</v>
      </c>
      <c r="BQ178" s="23">
        <f t="shared" si="1305"/>
        <v>1535.47</v>
      </c>
      <c r="BR178" s="23">
        <f>+'QTR Raw'!AL91</f>
        <v>1050.48</v>
      </c>
      <c r="BS178" s="23">
        <f t="shared" si="1305"/>
        <v>1050.48</v>
      </c>
      <c r="BT178" s="23">
        <f>+'QTR Raw'!AN91</f>
        <v>976.91</v>
      </c>
      <c r="BU178" s="23">
        <f t="shared" si="1305"/>
        <v>976.91</v>
      </c>
      <c r="BV178" s="23">
        <f>+'QTR Raw'!AP91</f>
        <v>783.73</v>
      </c>
      <c r="BW178" s="23">
        <f t="shared" si="1305"/>
        <v>783.73</v>
      </c>
      <c r="BX178" s="23">
        <f>+'QTR Raw'!AR91</f>
        <v>838.1</v>
      </c>
      <c r="BY178" s="23">
        <f t="shared" si="1305"/>
        <v>838.1</v>
      </c>
      <c r="BZ178" s="23">
        <f>+'QTR Raw'!AT91</f>
        <v>936.25</v>
      </c>
      <c r="CA178" s="23">
        <f t="shared" si="1305"/>
        <v>936.25</v>
      </c>
      <c r="CB178" s="23">
        <f>+'QTR Raw'!AV91</f>
        <v>943.62</v>
      </c>
      <c r="CC178" s="23">
        <f t="shared" si="1305"/>
        <v>943.62</v>
      </c>
      <c r="CD178" s="23">
        <f>+'QTR Raw'!AX91</f>
        <v>1022.92</v>
      </c>
      <c r="CE178" s="23">
        <f t="shared" si="1305"/>
        <v>1022.92</v>
      </c>
      <c r="CF178" s="23">
        <f>+'QTR Raw'!AZ91</f>
        <v>1133.72</v>
      </c>
      <c r="CG178" s="23">
        <f t="shared" ref="CG178:CG179" si="1309">+CF178</f>
        <v>1133.72</v>
      </c>
      <c r="CH178" s="23">
        <f t="shared" si="1259"/>
        <v>1104.24</v>
      </c>
      <c r="CJ178" s="23">
        <f>+'QTR Raw'!BD91</f>
        <v>1109.28</v>
      </c>
      <c r="CL178" s="23">
        <f>+'QTR Raw'!BF91</f>
        <v>1194.81</v>
      </c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  <c r="DF178" s="23">
        <v>1194.81</v>
      </c>
    </row>
    <row r="179" spans="1:110" s="23" customFormat="1" outlineLevel="1" x14ac:dyDescent="0.2">
      <c r="A179" s="23" t="s">
        <v>72</v>
      </c>
      <c r="B179" s="23">
        <f>'Annual Raw'!C57</f>
        <v>92.49</v>
      </c>
      <c r="C179" s="23">
        <f>'Annual Raw'!D57</f>
        <v>50</v>
      </c>
      <c r="D179" s="23">
        <f>'Annual Raw'!E57</f>
        <v>49.06</v>
      </c>
      <c r="E179" s="23">
        <f>'Annual Raw'!F57</f>
        <v>106.63</v>
      </c>
      <c r="F179" s="23">
        <f>'Annual Raw'!G57</f>
        <v>188.49</v>
      </c>
      <c r="G179" s="23">
        <f>'Annual Raw'!H57</f>
        <v>319.04000000000002</v>
      </c>
      <c r="H179" s="23">
        <f>'Annual Raw'!I57</f>
        <v>193.7</v>
      </c>
      <c r="I179" s="23">
        <f>'Annual Raw'!J57</f>
        <v>86.12</v>
      </c>
      <c r="J179" s="23">
        <f>'Annual Raw'!K57</f>
        <v>201.47</v>
      </c>
      <c r="K179" s="23">
        <f>'Annual Raw'!L57</f>
        <v>745.41</v>
      </c>
      <c r="L179" s="23">
        <f>'Annual Raw'!M57</f>
        <v>157.13</v>
      </c>
      <c r="M179" s="23">
        <f>'Annual Raw'!N57</f>
        <v>147.59</v>
      </c>
      <c r="N179" s="23">
        <f>'Annual Raw'!O57</f>
        <v>162.68</v>
      </c>
      <c r="O179" s="23">
        <f>'Annual Raw'!P57</f>
        <v>177.05</v>
      </c>
      <c r="P179" s="23">
        <f>'Annual Raw'!Q57</f>
        <v>106.09</v>
      </c>
      <c r="Q179" s="23">
        <f>'Annual Raw'!R57</f>
        <v>129.5</v>
      </c>
      <c r="R179" s="23">
        <f>'Annual Raw'!S57</f>
        <v>135.46</v>
      </c>
      <c r="S179" s="23">
        <f>'Annual Raw'!T57</f>
        <v>162.96</v>
      </c>
      <c r="T179" s="23">
        <f>'Annual Raw'!U57</f>
        <v>180.48</v>
      </c>
      <c r="U179" s="23">
        <f>'Annual Raw'!V57</f>
        <v>188.23</v>
      </c>
      <c r="V179" s="23">
        <f>'Annual Raw'!W57</f>
        <v>205.71</v>
      </c>
      <c r="W179" s="23">
        <f>'Annual Raw'!X57</f>
        <v>230.53</v>
      </c>
      <c r="X179" s="23">
        <f>'Annual Raw'!Y57</f>
        <v>247.62</v>
      </c>
      <c r="Y179" s="23">
        <f>'Annual Raw'!Z57</f>
        <v>274.89999999999998</v>
      </c>
      <c r="Z179" s="23">
        <f>'Annual Raw'!AA57</f>
        <v>291.97000000000003</v>
      </c>
      <c r="AA179" s="23">
        <f>'Annual Raw'!AB57</f>
        <v>334.75</v>
      </c>
      <c r="AB179" s="24">
        <f t="shared" si="1301"/>
        <v>0</v>
      </c>
      <c r="AC179" s="24">
        <f t="shared" si="1302"/>
        <v>0</v>
      </c>
      <c r="AD179" s="24">
        <f t="shared" si="1303"/>
        <v>0</v>
      </c>
      <c r="AE179" s="24">
        <f t="shared" si="1304"/>
        <v>0</v>
      </c>
      <c r="AJ179" s="23">
        <f>+'QTR Raw'!D92</f>
        <v>42.88</v>
      </c>
      <c r="AK179" s="23">
        <f t="shared" si="1305"/>
        <v>42.88</v>
      </c>
      <c r="AL179" s="23">
        <f>+'QTR Raw'!F92</f>
        <v>162.68</v>
      </c>
      <c r="AM179" s="23">
        <f t="shared" si="1305"/>
        <v>162.68</v>
      </c>
      <c r="AN179" s="23">
        <f>+'QTR Raw'!H92</f>
        <v>39.1</v>
      </c>
      <c r="AO179" s="23">
        <f t="shared" si="1305"/>
        <v>39.1</v>
      </c>
      <c r="AP179" s="23">
        <f>+'QTR Raw'!J92</f>
        <v>177.05</v>
      </c>
      <c r="AQ179" s="23">
        <f t="shared" si="1305"/>
        <v>177.05</v>
      </c>
      <c r="AR179" s="23">
        <f>+'QTR Raw'!L92</f>
        <v>93.16</v>
      </c>
      <c r="AS179" s="23">
        <f t="shared" si="1305"/>
        <v>93.16</v>
      </c>
      <c r="AT179" s="23">
        <f>+'QTR Raw'!N92</f>
        <v>110.66</v>
      </c>
      <c r="AU179" s="23">
        <f t="shared" si="1305"/>
        <v>110.66</v>
      </c>
      <c r="AV179" s="23">
        <f>+'QTR Raw'!P92</f>
        <v>79.7</v>
      </c>
      <c r="AW179" s="23">
        <f t="shared" si="1305"/>
        <v>79.7</v>
      </c>
      <c r="AX179" s="23">
        <f>+'QTR Raw'!R92</f>
        <v>129.4</v>
      </c>
      <c r="AY179" s="23">
        <f t="shared" si="1305"/>
        <v>129.4</v>
      </c>
      <c r="AZ179" s="23">
        <f>+'QTR Raw'!T92</f>
        <v>63.23</v>
      </c>
      <c r="BA179" s="23">
        <f t="shared" si="1305"/>
        <v>63.23</v>
      </c>
      <c r="BB179" s="23">
        <f>+'QTR Raw'!V92</f>
        <v>111.1</v>
      </c>
      <c r="BC179" s="23">
        <f t="shared" si="1305"/>
        <v>111.1</v>
      </c>
      <c r="BD179" s="23">
        <f>+'QTR Raw'!X92</f>
        <v>138.18</v>
      </c>
      <c r="BE179" s="23">
        <f t="shared" si="1305"/>
        <v>138.18</v>
      </c>
      <c r="BF179" s="23">
        <f>+'QTR Raw'!Z92</f>
        <v>138.4</v>
      </c>
      <c r="BG179" s="23">
        <f t="shared" si="1305"/>
        <v>138.4</v>
      </c>
      <c r="BH179" s="23">
        <f>+'QTR Raw'!AB92</f>
        <v>166.35</v>
      </c>
      <c r="BI179" s="23">
        <f t="shared" si="1305"/>
        <v>166.35</v>
      </c>
      <c r="BJ179" s="23">
        <f>+'QTR Raw'!AD92</f>
        <v>147.63999999999999</v>
      </c>
      <c r="BK179" s="23">
        <f t="shared" si="1305"/>
        <v>147.63999999999999</v>
      </c>
      <c r="BL179" s="23">
        <f>+'QTR Raw'!AF92</f>
        <v>150.52000000000001</v>
      </c>
      <c r="BM179" s="23">
        <f t="shared" si="1305"/>
        <v>150.52000000000001</v>
      </c>
      <c r="BN179" s="23">
        <f>+'QTR Raw'!AH92</f>
        <v>154.46</v>
      </c>
      <c r="BO179" s="23">
        <f t="shared" si="1305"/>
        <v>154.46</v>
      </c>
      <c r="BP179" s="23">
        <f>+'QTR Raw'!AJ92</f>
        <v>163.19999999999999</v>
      </c>
      <c r="BQ179" s="23">
        <f t="shared" si="1305"/>
        <v>163.19999999999999</v>
      </c>
      <c r="BR179" s="23">
        <f>+'QTR Raw'!AL92</f>
        <v>170.76</v>
      </c>
      <c r="BS179" s="23">
        <f t="shared" si="1305"/>
        <v>170.76</v>
      </c>
      <c r="BT179" s="23">
        <f>+'QTR Raw'!AN92</f>
        <v>181.54</v>
      </c>
      <c r="BU179" s="23">
        <f t="shared" si="1305"/>
        <v>181.54</v>
      </c>
      <c r="BV179" s="23">
        <f>+'QTR Raw'!AP92</f>
        <v>195.83</v>
      </c>
      <c r="BW179" s="23">
        <f t="shared" si="1305"/>
        <v>195.83</v>
      </c>
      <c r="BX179" s="23">
        <f>+'QTR Raw'!AR92</f>
        <v>206.94</v>
      </c>
      <c r="BY179" s="23">
        <f t="shared" si="1305"/>
        <v>206.94</v>
      </c>
      <c r="BZ179" s="23">
        <f>+'QTR Raw'!AT92</f>
        <v>219.04</v>
      </c>
      <c r="CA179" s="23">
        <f t="shared" si="1305"/>
        <v>219.04</v>
      </c>
      <c r="CB179" s="23">
        <f>+'QTR Raw'!AV92</f>
        <v>234.04</v>
      </c>
      <c r="CC179" s="23">
        <f t="shared" si="1305"/>
        <v>234.04</v>
      </c>
      <c r="CD179" s="23">
        <f>+'QTR Raw'!AX92</f>
        <v>242.22</v>
      </c>
      <c r="CE179" s="23">
        <f t="shared" si="1305"/>
        <v>242.22</v>
      </c>
      <c r="CF179" s="23">
        <f>+'QTR Raw'!AZ92</f>
        <v>254.71</v>
      </c>
      <c r="CG179" s="23">
        <f t="shared" si="1309"/>
        <v>254.71</v>
      </c>
      <c r="CH179" s="23">
        <f t="shared" si="1259"/>
        <v>291.97000000000003</v>
      </c>
      <c r="CJ179" s="23">
        <f>+'QTR Raw'!BD92</f>
        <v>272.91000000000003</v>
      </c>
      <c r="CL179" s="23">
        <f>+'QTR Raw'!BF92</f>
        <v>315.92</v>
      </c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E179" s="123"/>
      <c r="DF179" s="23">
        <v>315.92</v>
      </c>
    </row>
    <row r="180" spans="1:110" s="22" customFormat="1" x14ac:dyDescent="0.2">
      <c r="A180" s="22" t="s">
        <v>73</v>
      </c>
      <c r="B180" s="22">
        <f>SUM(B173:B179)</f>
        <v>220.55</v>
      </c>
      <c r="C180" s="22">
        <f t="shared" ref="C180:V180" si="1310">SUM(C173:C179)</f>
        <v>193.09</v>
      </c>
      <c r="D180" s="22">
        <f t="shared" si="1310"/>
        <v>257.27999999999997</v>
      </c>
      <c r="E180" s="22">
        <f t="shared" si="1310"/>
        <v>313.08999999999997</v>
      </c>
      <c r="F180" s="22">
        <f t="shared" si="1310"/>
        <v>435.79</v>
      </c>
      <c r="G180" s="22">
        <f t="shared" si="1310"/>
        <v>647.45000000000005</v>
      </c>
      <c r="H180" s="22">
        <f t="shared" si="1310"/>
        <v>652.65</v>
      </c>
      <c r="I180" s="22">
        <f t="shared" si="1310"/>
        <v>658.32</v>
      </c>
      <c r="J180" s="22">
        <f t="shared" si="1310"/>
        <v>757.02</v>
      </c>
      <c r="K180" s="22">
        <f t="shared" si="1310"/>
        <v>1328.59</v>
      </c>
      <c r="L180" s="22">
        <f t="shared" si="1310"/>
        <v>1382.4100000000003</v>
      </c>
      <c r="M180" s="22">
        <f t="shared" si="1310"/>
        <v>1558.0799999999997</v>
      </c>
      <c r="N180" s="22">
        <f t="shared" si="1310"/>
        <v>1662.3</v>
      </c>
      <c r="O180" s="22">
        <f t="shared" si="1310"/>
        <v>1728.66</v>
      </c>
      <c r="P180" s="22">
        <f t="shared" si="1310"/>
        <v>1595.8</v>
      </c>
      <c r="Q180" s="22">
        <f t="shared" si="1310"/>
        <v>1709.8899999999999</v>
      </c>
      <c r="R180" s="22">
        <f t="shared" si="1310"/>
        <v>1678.54</v>
      </c>
      <c r="S180" s="22">
        <f t="shared" si="1310"/>
        <v>1632.32</v>
      </c>
      <c r="T180" s="22">
        <f t="shared" si="1310"/>
        <v>1733.15</v>
      </c>
      <c r="U180" s="22">
        <f t="shared" si="1310"/>
        <v>3607.6300000000006</v>
      </c>
      <c r="V180" s="22">
        <f t="shared" si="1310"/>
        <v>3518.8100000000004</v>
      </c>
      <c r="W180" s="22">
        <f t="shared" ref="W180" si="1311">SUM(W173:W179)</f>
        <v>3362.02</v>
      </c>
      <c r="X180" s="22">
        <f t="shared" ref="X180:Y180" si="1312">SUM(X173:X179)</f>
        <v>4051.73</v>
      </c>
      <c r="Y180" s="22">
        <f t="shared" si="1312"/>
        <v>4322.9199999999992</v>
      </c>
      <c r="Z180" s="22">
        <f t="shared" ref="Z180:AA180" si="1313">SUM(Z173:Z179)</f>
        <v>4916.1400000000003</v>
      </c>
      <c r="AA180" s="22">
        <f t="shared" si="1313"/>
        <v>5145.74</v>
      </c>
      <c r="AB180" s="21">
        <f t="shared" ref="AA180:AD180" si="1314">SUM(AB173:AB179)</f>
        <v>5061.1549816088309</v>
      </c>
      <c r="AC180" s="21">
        <f t="shared" si="1314"/>
        <v>5512.3531564031218</v>
      </c>
      <c r="AD180" s="21">
        <f t="shared" si="1314"/>
        <v>5887.7639040309505</v>
      </c>
      <c r="AE180" s="21">
        <f t="shared" ref="AE180" si="1315">SUM(AE173:AE179)</f>
        <v>6251.2743725874188</v>
      </c>
      <c r="AJ180" s="22">
        <f t="shared" ref="AJ180" si="1316">SUM(AJ173:AJ179)</f>
        <v>1332.8200000000002</v>
      </c>
      <c r="AK180" s="22">
        <f t="shared" ref="AK180" si="1317">SUM(AK173:AK179)</f>
        <v>1332.8200000000002</v>
      </c>
      <c r="AL180" s="22">
        <f t="shared" ref="AL180:AM180" si="1318">SUM(AL173:AL179)</f>
        <v>1801.09</v>
      </c>
      <c r="AM180" s="22">
        <f t="shared" si="1318"/>
        <v>1767.2405955613269</v>
      </c>
      <c r="AN180" s="22">
        <f t="shared" ref="AN180:AO180" si="1319">SUM(AN173:AN179)</f>
        <v>1297.04</v>
      </c>
      <c r="AO180" s="22">
        <f t="shared" si="1319"/>
        <v>1342.9948872667201</v>
      </c>
      <c r="AP180" s="22">
        <f t="shared" ref="AP180:CE180" si="1320">SUM(AP173:AP179)</f>
        <v>2735.54</v>
      </c>
      <c r="AQ180" s="22">
        <f t="shared" si="1320"/>
        <v>2686.7099285165823</v>
      </c>
      <c r="AR180" s="22">
        <f t="shared" si="1320"/>
        <v>1556.05</v>
      </c>
      <c r="AS180" s="22">
        <f t="shared" si="1320"/>
        <v>1599.8097314834579</v>
      </c>
      <c r="AT180" s="22">
        <f t="shared" si="1320"/>
        <v>2039.22</v>
      </c>
      <c r="AU180" s="22">
        <f t="shared" si="1320"/>
        <v>2016.9758592973899</v>
      </c>
      <c r="AV180" s="22">
        <f t="shared" si="1320"/>
        <v>1826.8700000000001</v>
      </c>
      <c r="AW180" s="22">
        <f t="shared" si="1320"/>
        <v>1881.0826108881113</v>
      </c>
      <c r="AX180" s="22">
        <f t="shared" si="1320"/>
        <v>2723.38</v>
      </c>
      <c r="AY180" s="22">
        <f t="shared" si="1320"/>
        <v>2657.4747945785339</v>
      </c>
      <c r="AZ180" s="22">
        <f t="shared" si="1320"/>
        <v>2054.92</v>
      </c>
      <c r="BA180" s="22">
        <f t="shared" si="1320"/>
        <v>2101.3857747923407</v>
      </c>
      <c r="BB180" s="22">
        <f t="shared" si="1320"/>
        <v>2253.4900000000002</v>
      </c>
      <c r="BC180" s="22">
        <f t="shared" si="1320"/>
        <v>2214.2025471859497</v>
      </c>
      <c r="BD180" s="22">
        <f t="shared" si="1320"/>
        <v>1938.75</v>
      </c>
      <c r="BE180" s="22">
        <f t="shared" si="1320"/>
        <v>2079.0197655195088</v>
      </c>
      <c r="BF180" s="22">
        <f t="shared" si="1320"/>
        <v>1725.54</v>
      </c>
      <c r="BG180" s="22">
        <f t="shared" si="1320"/>
        <v>1676.8542462351111</v>
      </c>
      <c r="BH180" s="22">
        <f t="shared" ref="BH180" si="1321">SUM(BH173:BH179)</f>
        <v>1842.92</v>
      </c>
      <c r="BI180" s="22">
        <f t="shared" si="1320"/>
        <v>1972.5476756555006</v>
      </c>
      <c r="BJ180" s="22">
        <f t="shared" si="1320"/>
        <v>2335.9299999999998</v>
      </c>
      <c r="BK180" s="22">
        <f t="shared" si="1320"/>
        <v>2277.2955008357981</v>
      </c>
      <c r="BL180" s="22">
        <f t="shared" si="1320"/>
        <v>4429.7000000000007</v>
      </c>
      <c r="BM180" s="22">
        <f t="shared" si="1320"/>
        <v>4551.2666227269128</v>
      </c>
      <c r="BN180" s="22">
        <f t="shared" si="1320"/>
        <v>3917.65</v>
      </c>
      <c r="BO180" s="22">
        <f t="shared" si="1320"/>
        <v>3580.9276454872152</v>
      </c>
      <c r="BP180" s="22">
        <f t="shared" si="1320"/>
        <v>4326.95</v>
      </c>
      <c r="BQ180" s="22">
        <f t="shared" si="1320"/>
        <v>4712.3073604238907</v>
      </c>
      <c r="BR180" s="22">
        <f t="shared" si="1320"/>
        <v>3518.8100000000004</v>
      </c>
      <c r="BS180" s="22">
        <f t="shared" si="1320"/>
        <v>3379.0453245422914</v>
      </c>
      <c r="BT180" s="22">
        <f t="shared" si="1320"/>
        <v>3490.85</v>
      </c>
      <c r="BU180" s="22">
        <f t="shared" si="1320"/>
        <v>3672.269714568145</v>
      </c>
      <c r="BV180" s="22">
        <f t="shared" si="1320"/>
        <v>3362.02</v>
      </c>
      <c r="BW180" s="22">
        <f t="shared" si="1320"/>
        <v>3537.0087013806069</v>
      </c>
      <c r="BX180" s="22">
        <f t="shared" si="1320"/>
        <v>3573.6099999999997</v>
      </c>
      <c r="BY180" s="22">
        <f t="shared" si="1320"/>
        <v>3742.9353523823429</v>
      </c>
      <c r="BZ180" s="22">
        <f t="shared" si="1320"/>
        <v>4051.73</v>
      </c>
      <c r="CA180" s="22">
        <f t="shared" si="1320"/>
        <v>4005.0932240084162</v>
      </c>
      <c r="CB180" s="22">
        <f t="shared" si="1320"/>
        <v>4147.2</v>
      </c>
      <c r="CC180" s="22">
        <f t="shared" si="1320"/>
        <v>4315.4927055540047</v>
      </c>
      <c r="CD180" s="22">
        <f t="shared" si="1320"/>
        <v>4322.92</v>
      </c>
      <c r="CE180" s="22">
        <f t="shared" si="1320"/>
        <v>4226.1218008859314</v>
      </c>
      <c r="CF180" s="22">
        <f t="shared" ref="CF180:CG180" si="1322">SUM(CF173:CF179)</f>
        <v>4727.1900000000005</v>
      </c>
      <c r="CG180" s="22">
        <f t="shared" si="1322"/>
        <v>4951.8636052942857</v>
      </c>
      <c r="CH180" s="22">
        <f t="shared" ref="CH180:CI180" si="1323">SUM(CH173:CH179)</f>
        <v>4916.1400000000003</v>
      </c>
      <c r="CI180" s="22">
        <f t="shared" si="1323"/>
        <v>4137.5900076696607</v>
      </c>
      <c r="CJ180" s="22">
        <f t="shared" ref="CJ180:DB180" si="1324">SUM(CJ173:CJ179)</f>
        <v>5076.1299999999992</v>
      </c>
      <c r="CK180" s="22">
        <f t="shared" si="1324"/>
        <v>7068.5624481476216</v>
      </c>
      <c r="CL180" s="22">
        <f t="shared" ref="CL180" si="1325">SUM(CL173:CL179)</f>
        <v>5145.74</v>
      </c>
      <c r="CM180" s="21">
        <f t="shared" si="1324"/>
        <v>5019.817051392014</v>
      </c>
      <c r="CN180" s="21">
        <f t="shared" si="1324"/>
        <v>5044.8257610678293</v>
      </c>
      <c r="CO180" s="21">
        <f t="shared" si="1324"/>
        <v>5129.0218172439563</v>
      </c>
      <c r="CP180" s="21">
        <f t="shared" si="1324"/>
        <v>5061.1549816088309</v>
      </c>
      <c r="CQ180" s="21">
        <f t="shared" si="1324"/>
        <v>5292.9782683989924</v>
      </c>
      <c r="CR180" s="21">
        <f t="shared" si="1324"/>
        <v>5359.1627867452025</v>
      </c>
      <c r="CS180" s="21">
        <f t="shared" si="1324"/>
        <v>5436.6515655884868</v>
      </c>
      <c r="CT180" s="21">
        <f t="shared" si="1324"/>
        <v>5512.3531564031218</v>
      </c>
      <c r="CU180" s="21">
        <f t="shared" si="1324"/>
        <v>5627.1312700697308</v>
      </c>
      <c r="CV180" s="21">
        <f t="shared" si="1324"/>
        <v>5710.0623855411523</v>
      </c>
      <c r="CW180" s="21">
        <f t="shared" si="1324"/>
        <v>5797.5548130336929</v>
      </c>
      <c r="CX180" s="21">
        <f t="shared" si="1324"/>
        <v>5887.7639040309505</v>
      </c>
      <c r="CY180" s="21">
        <f t="shared" si="1324"/>
        <v>5981.897151425731</v>
      </c>
      <c r="CZ180" s="21">
        <f t="shared" si="1324"/>
        <v>6070.4446798824965</v>
      </c>
      <c r="DA180" s="21">
        <f t="shared" si="1324"/>
        <v>6160.5121098516074</v>
      </c>
      <c r="DB180" s="21">
        <f t="shared" si="1324"/>
        <v>6251.2743725874188</v>
      </c>
      <c r="DE180" s="126"/>
      <c r="DF180" s="22">
        <v>7042.9867625051429</v>
      </c>
    </row>
    <row r="181" spans="1:110" s="22" customFormat="1" x14ac:dyDescent="0.2">
      <c r="A181" s="22" t="s">
        <v>74</v>
      </c>
      <c r="B181" s="22">
        <f>B172-B180</f>
        <v>406.46999999999997</v>
      </c>
      <c r="C181" s="22">
        <f t="shared" ref="C181:V181" si="1326">C172-C180</f>
        <v>374.42999999999995</v>
      </c>
      <c r="D181" s="22">
        <f t="shared" si="1326"/>
        <v>335.09000000000003</v>
      </c>
      <c r="E181" s="22">
        <f t="shared" si="1326"/>
        <v>190.87</v>
      </c>
      <c r="F181" s="22">
        <f t="shared" si="1326"/>
        <v>77.699999999999989</v>
      </c>
      <c r="G181" s="22">
        <f t="shared" si="1326"/>
        <v>1.9399999999999409</v>
      </c>
      <c r="H181" s="22">
        <f t="shared" si="1326"/>
        <v>14.590000000000032</v>
      </c>
      <c r="I181" s="22">
        <f t="shared" si="1326"/>
        <v>134.83000000000004</v>
      </c>
      <c r="J181" s="22">
        <f t="shared" si="1326"/>
        <v>557.95000000000005</v>
      </c>
      <c r="K181" s="22">
        <f t="shared" si="1326"/>
        <v>-324.5</v>
      </c>
      <c r="L181" s="22">
        <f t="shared" si="1326"/>
        <v>-468.20000000000039</v>
      </c>
      <c r="M181" s="22">
        <f t="shared" si="1326"/>
        <v>-449.04999999999973</v>
      </c>
      <c r="N181" s="22">
        <f t="shared" si="1326"/>
        <v>-461.64999999999986</v>
      </c>
      <c r="O181" s="22">
        <f t="shared" si="1326"/>
        <v>-593.92000000000007</v>
      </c>
      <c r="P181" s="22">
        <f t="shared" si="1326"/>
        <v>-407.30999999999972</v>
      </c>
      <c r="Q181" s="22">
        <f t="shared" si="1326"/>
        <v>-661.88999999999987</v>
      </c>
      <c r="R181" s="22">
        <f t="shared" si="1326"/>
        <v>-608.29999999999995</v>
      </c>
      <c r="S181" s="22">
        <f t="shared" si="1326"/>
        <v>-459.27</v>
      </c>
      <c r="T181" s="22">
        <f t="shared" si="1326"/>
        <v>-333.34000000000037</v>
      </c>
      <c r="U181" s="22">
        <f t="shared" si="1326"/>
        <v>-2210.9700000000007</v>
      </c>
      <c r="V181" s="22">
        <f t="shared" si="1326"/>
        <v>-2363.5700000000006</v>
      </c>
      <c r="W181" s="22">
        <f t="shared" ref="W181" si="1327">W172-W180</f>
        <v>-2193.89</v>
      </c>
      <c r="X181" s="22">
        <f t="shared" ref="X181:Y181" si="1328">X172-X180</f>
        <v>-2636.21</v>
      </c>
      <c r="Y181" s="22">
        <f t="shared" si="1328"/>
        <v>-2903.059999999999</v>
      </c>
      <c r="Z181" s="22">
        <f t="shared" ref="Z181:AA181" si="1329">Z172-Z180</f>
        <v>-3311.2300000000005</v>
      </c>
      <c r="AA181" s="22">
        <f t="shared" si="1329"/>
        <v>-3360.01</v>
      </c>
      <c r="AB181" s="21">
        <f t="shared" ref="AA181:AD181" si="1330">AB172-AB180</f>
        <v>-1056.5621085293533</v>
      </c>
      <c r="AC181" s="21">
        <f t="shared" si="1330"/>
        <v>-1150.7538289286595</v>
      </c>
      <c r="AD181" s="21">
        <f t="shared" si="1330"/>
        <v>-1229.1242349959621</v>
      </c>
      <c r="AE181" s="21">
        <f t="shared" ref="AE181" si="1331">AE172-AE180</f>
        <v>-1305.0103496330667</v>
      </c>
      <c r="AJ181" s="22">
        <f t="shared" ref="AJ181" si="1332">AJ172-AJ180</f>
        <v>492.41000000000008</v>
      </c>
      <c r="AK181" s="22">
        <f t="shared" ref="AK181" si="1333">AK172-AK180</f>
        <v>441.10427684934871</v>
      </c>
      <c r="AL181" s="22">
        <f t="shared" ref="AL181:AM181" si="1334">AL172-AL180</f>
        <v>-600.44999999999982</v>
      </c>
      <c r="AM181" s="22">
        <f t="shared" si="1334"/>
        <v>-605.92203576909446</v>
      </c>
      <c r="AN181" s="22">
        <f t="shared" ref="AN181:AO181" si="1335">AN172-AN180</f>
        <v>717.17000000000007</v>
      </c>
      <c r="AO181" s="22">
        <f t="shared" si="1335"/>
        <v>720.70592441289409</v>
      </c>
      <c r="AP181" s="22">
        <f t="shared" ref="AP181:CE181" si="1336">AP172-AP180</f>
        <v>-1600.8</v>
      </c>
      <c r="AQ181" s="22">
        <f t="shared" si="1336"/>
        <v>-1606.6982915280271</v>
      </c>
      <c r="AR181" s="22">
        <f t="shared" si="1336"/>
        <v>337.07000000000016</v>
      </c>
      <c r="AS181" s="22">
        <f t="shared" si="1336"/>
        <v>346.9089549626467</v>
      </c>
      <c r="AT181" s="22">
        <f t="shared" si="1336"/>
        <v>-850.73</v>
      </c>
      <c r="AU181" s="22">
        <f t="shared" si="1336"/>
        <v>-855.54155910773943</v>
      </c>
      <c r="AV181" s="22">
        <f t="shared" si="1336"/>
        <v>154.67999999999984</v>
      </c>
      <c r="AW181" s="22">
        <f t="shared" si="1336"/>
        <v>162.39385802296601</v>
      </c>
      <c r="AX181" s="22">
        <f t="shared" si="1336"/>
        <v>-1675.38</v>
      </c>
      <c r="AY181" s="22">
        <f t="shared" si="1336"/>
        <v>-1683.3956219626357</v>
      </c>
      <c r="AZ181" s="22">
        <f t="shared" si="1336"/>
        <v>325.13000000000011</v>
      </c>
      <c r="BA181" s="22">
        <f t="shared" si="1336"/>
        <v>341.02328163918492</v>
      </c>
      <c r="BB181" s="22">
        <f t="shared" si="1336"/>
        <v>-1148.0500000000002</v>
      </c>
      <c r="BC181" s="22">
        <f t="shared" si="1336"/>
        <v>-1156.0184917602783</v>
      </c>
      <c r="BD181" s="22">
        <f t="shared" si="1336"/>
        <v>-722.8900000000001</v>
      </c>
      <c r="BE181" s="22">
        <f t="shared" si="1336"/>
        <v>-695.57699977690891</v>
      </c>
      <c r="BF181" s="22">
        <f t="shared" si="1336"/>
        <v>-552.48999999999978</v>
      </c>
      <c r="BG181" s="22">
        <f t="shared" si="1336"/>
        <v>-563.13513039371742</v>
      </c>
      <c r="BH181" s="22">
        <f t="shared" ref="BH181" si="1337">BH172-BH180</f>
        <v>-511.35000000000014</v>
      </c>
      <c r="BI181" s="22">
        <f t="shared" si="1336"/>
        <v>-488.79586358122606</v>
      </c>
      <c r="BJ181" s="22">
        <f t="shared" si="1336"/>
        <v>-936.11999999999966</v>
      </c>
      <c r="BK181" s="22">
        <f t="shared" si="1336"/>
        <v>-949.91645878873601</v>
      </c>
      <c r="BL181" s="22">
        <f t="shared" si="1336"/>
        <v>-1361.2300000000005</v>
      </c>
      <c r="BM181" s="22">
        <f t="shared" si="1336"/>
        <v>-1332.6693853728275</v>
      </c>
      <c r="BN181" s="22">
        <f t="shared" si="1336"/>
        <v>-937.70999999999958</v>
      </c>
      <c r="BO181" s="22">
        <f t="shared" si="1336"/>
        <v>-932.78872650473159</v>
      </c>
      <c r="BP181" s="22">
        <f t="shared" si="1336"/>
        <v>-1493.7399999999998</v>
      </c>
      <c r="BQ181" s="22">
        <f t="shared" si="1336"/>
        <v>-1501.8078992480623</v>
      </c>
      <c r="BR181" s="22">
        <f t="shared" si="1336"/>
        <v>-833.83000000000038</v>
      </c>
      <c r="BS181" s="22">
        <f t="shared" si="1336"/>
        <v>-831.59154873012267</v>
      </c>
      <c r="BT181" s="22">
        <f t="shared" si="1336"/>
        <v>-814.39000000000033</v>
      </c>
      <c r="BU181" s="22">
        <f t="shared" si="1336"/>
        <v>-826.02735326825632</v>
      </c>
      <c r="BV181" s="22">
        <f t="shared" si="1336"/>
        <v>-680.4699999999998</v>
      </c>
      <c r="BW181" s="22">
        <f t="shared" si="1336"/>
        <v>-694.54752545637984</v>
      </c>
      <c r="BX181" s="22">
        <f t="shared" si="1336"/>
        <v>-701.23999999999978</v>
      </c>
      <c r="BY181" s="22">
        <f t="shared" si="1336"/>
        <v>-697.06697974217286</v>
      </c>
      <c r="BZ181" s="22">
        <f t="shared" si="1336"/>
        <v>-757.2800000000002</v>
      </c>
      <c r="CA181" s="22">
        <f t="shared" si="1336"/>
        <v>-765.01854598475529</v>
      </c>
      <c r="CB181" s="22">
        <f t="shared" si="1336"/>
        <v>-778.15999999999985</v>
      </c>
      <c r="CC181" s="22">
        <f t="shared" si="1336"/>
        <v>-723.28178286352249</v>
      </c>
      <c r="CD181" s="22">
        <f t="shared" si="1336"/>
        <v>-932.72999999999956</v>
      </c>
      <c r="CE181" s="22">
        <f t="shared" si="1336"/>
        <v>-946.43424087039557</v>
      </c>
      <c r="CF181" s="22">
        <f t="shared" ref="CF181:CG181" si="1338">CF172-CF180</f>
        <v>-791.42000000000098</v>
      </c>
      <c r="CG181" s="22">
        <f t="shared" si="1338"/>
        <v>-730.51807263487717</v>
      </c>
      <c r="CH181" s="22">
        <f t="shared" ref="CH181:CI181" si="1339">CH172-CH180</f>
        <v>-3311.2300000000005</v>
      </c>
      <c r="CI181" s="22">
        <f t="shared" si="1339"/>
        <v>-2786.8433692075514</v>
      </c>
      <c r="CJ181" s="22">
        <f t="shared" ref="CJ181:DB181" si="1340">CJ172-CJ180</f>
        <v>-416.21000000000004</v>
      </c>
      <c r="CK181" s="22">
        <f t="shared" si="1340"/>
        <v>-579.57664136724907</v>
      </c>
      <c r="CL181" s="22">
        <f t="shared" ref="CL181" si="1341">CL172-CL180</f>
        <v>-1074.2199999999993</v>
      </c>
      <c r="CM181" s="21">
        <f t="shared" si="1340"/>
        <v>-1047.9324398330127</v>
      </c>
      <c r="CN181" s="21">
        <f t="shared" si="1340"/>
        <v>-1053.1532353080956</v>
      </c>
      <c r="CO181" s="21">
        <f t="shared" si="1340"/>
        <v>-1070.7299273806675</v>
      </c>
      <c r="CP181" s="21">
        <f t="shared" si="1340"/>
        <v>-1056.5621085293533</v>
      </c>
      <c r="CQ181" s="21">
        <f t="shared" si="1340"/>
        <v>-1104.9573269305411</v>
      </c>
      <c r="CR181" s="21">
        <f t="shared" si="1340"/>
        <v>-1118.7739467554575</v>
      </c>
      <c r="CS181" s="21">
        <f t="shared" si="1340"/>
        <v>-1134.9504337153576</v>
      </c>
      <c r="CT181" s="21">
        <f t="shared" si="1340"/>
        <v>-1150.7538289286595</v>
      </c>
      <c r="CU181" s="21">
        <f t="shared" si="1340"/>
        <v>-1174.7148034945994</v>
      </c>
      <c r="CV181" s="21">
        <f t="shared" si="1340"/>
        <v>-1192.0274276966993</v>
      </c>
      <c r="CW181" s="21">
        <f t="shared" si="1340"/>
        <v>-1210.2922672457316</v>
      </c>
      <c r="CX181" s="21">
        <f t="shared" si="1340"/>
        <v>-1229.1242349959621</v>
      </c>
      <c r="CY181" s="21">
        <f t="shared" si="1340"/>
        <v>-1248.7754060649286</v>
      </c>
      <c r="CZ181" s="21">
        <f t="shared" si="1340"/>
        <v>-1267.2605075311558</v>
      </c>
      <c r="DA181" s="21">
        <f t="shared" si="1340"/>
        <v>-1286.062902254057</v>
      </c>
      <c r="DB181" s="21">
        <f t="shared" si="1340"/>
        <v>-1305.0103496330667</v>
      </c>
      <c r="DE181" s="126"/>
      <c r="DF181" s="22">
        <v>-577.47959969942985</v>
      </c>
    </row>
    <row r="182" spans="1:110" s="23" customFormat="1" x14ac:dyDescent="0.2">
      <c r="AB182" s="24"/>
      <c r="AC182" s="24"/>
      <c r="AD182" s="24"/>
      <c r="AE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E182" s="123"/>
    </row>
    <row r="183" spans="1:110" s="23" customFormat="1" outlineLevel="1" x14ac:dyDescent="0.2">
      <c r="A183" s="23" t="s">
        <v>75</v>
      </c>
      <c r="B183" s="23">
        <f>'Annual Raw'!C75</f>
        <v>0</v>
      </c>
      <c r="C183" s="23">
        <f>'Annual Raw'!D75</f>
        <v>0</v>
      </c>
      <c r="D183" s="23">
        <f>'Annual Raw'!E75</f>
        <v>0.14000000000000001</v>
      </c>
      <c r="E183" s="23">
        <f>'Annual Raw'!F75</f>
        <v>0</v>
      </c>
      <c r="F183" s="23">
        <f>'Annual Raw'!G75</f>
        <v>0</v>
      </c>
      <c r="G183" s="23">
        <f>'Annual Raw'!H75</f>
        <v>56.98</v>
      </c>
      <c r="H183" s="23">
        <f>'Annual Raw'!I75</f>
        <v>13.08</v>
      </c>
      <c r="I183" s="23">
        <f>'Annual Raw'!J75</f>
        <v>2.61</v>
      </c>
      <c r="J183" s="23">
        <f>'Annual Raw'!K75</f>
        <v>425.73</v>
      </c>
      <c r="K183" s="23">
        <f>'Annual Raw'!L75</f>
        <v>23.28</v>
      </c>
      <c r="L183" s="23">
        <f>'Annual Raw'!M75</f>
        <v>654.34</v>
      </c>
      <c r="M183" s="23">
        <f>'Annual Raw'!N75</f>
        <v>62.75</v>
      </c>
      <c r="N183" s="23">
        <f>'Annual Raw'!O75</f>
        <v>40.69</v>
      </c>
      <c r="O183" s="23">
        <f>'Annual Raw'!P75</f>
        <v>107.93</v>
      </c>
      <c r="P183" s="23">
        <f>'Annual Raw'!Q75</f>
        <v>546.30999999999995</v>
      </c>
      <c r="Q183" s="23">
        <f>'Annual Raw'!R75</f>
        <v>170.61</v>
      </c>
      <c r="R183" s="23">
        <f>'Annual Raw'!S75</f>
        <v>90.8</v>
      </c>
      <c r="S183" s="23">
        <f>'Annual Raw'!T75</f>
        <v>330.53</v>
      </c>
      <c r="T183" s="23">
        <f>'Annual Raw'!U75</f>
        <v>211.21</v>
      </c>
      <c r="U183" s="23">
        <f>'Annual Raw'!V75</f>
        <v>436.24</v>
      </c>
      <c r="V183" s="23">
        <f>'Annual Raw'!W75</f>
        <v>448.63</v>
      </c>
      <c r="W183" s="23">
        <f>'Annual Raw'!X75</f>
        <v>902.47</v>
      </c>
      <c r="X183" s="23">
        <f>'Annual Raw'!Y75</f>
        <v>757.33</v>
      </c>
      <c r="Y183" s="23">
        <f>'Annual Raw'!Z75</f>
        <v>724.15</v>
      </c>
      <c r="Z183" s="23">
        <f>'Annual Raw'!AA75</f>
        <v>898.87</v>
      </c>
      <c r="AA183" s="23">
        <f>'Annual Raw'!AB75</f>
        <v>2499.86</v>
      </c>
      <c r="AB183" s="24">
        <f t="shared" ref="AB183:AB184" si="1342">+CP183</f>
        <v>0</v>
      </c>
      <c r="AC183" s="24">
        <f t="shared" ref="AC183:AC184" si="1343">+CT183</f>
        <v>0</v>
      </c>
      <c r="AD183" s="24">
        <f t="shared" ref="AD183:AD184" si="1344">+CX183</f>
        <v>0</v>
      </c>
      <c r="AE183" s="24">
        <f t="shared" ref="AE183:AE184" si="1345">+DB183</f>
        <v>0</v>
      </c>
      <c r="AJ183" s="23">
        <f>+'QTR Raw'!D80</f>
        <v>71.28</v>
      </c>
      <c r="AL183" s="23">
        <f>+'QTR Raw'!F80</f>
        <v>40.69</v>
      </c>
      <c r="AN183" s="23">
        <f>+'QTR Raw'!H80</f>
        <v>0</v>
      </c>
      <c r="AP183" s="23">
        <f>+'QTR Raw'!J80</f>
        <v>107.93</v>
      </c>
      <c r="AR183" s="23">
        <f>+'QTR Raw'!L80</f>
        <v>344.76</v>
      </c>
      <c r="AT183" s="23">
        <f>+'QTR Raw'!N80</f>
        <v>546.30999999999995</v>
      </c>
      <c r="AV183" s="23">
        <f>+'QTR Raw'!P80</f>
        <v>438.41</v>
      </c>
      <c r="AX183" s="23">
        <f>+'QTR Raw'!R80</f>
        <v>170.61</v>
      </c>
      <c r="AZ183" s="23">
        <f>+'QTR Raw'!T80</f>
        <v>131.11000000000001</v>
      </c>
      <c r="BB183" s="23">
        <f>+'QTR Raw'!V80</f>
        <v>90.8</v>
      </c>
      <c r="BD183" s="23">
        <f>+'QTR Raw'!X80</f>
        <v>76.03</v>
      </c>
      <c r="BF183" s="23">
        <f>+'QTR Raw'!Z80</f>
        <v>330.53</v>
      </c>
      <c r="BH183" s="23">
        <f>+'QTR Raw'!AB80</f>
        <v>47.22</v>
      </c>
      <c r="BJ183" s="23">
        <f>+'QTR Raw'!AD80</f>
        <v>211.21</v>
      </c>
      <c r="BL183" s="23">
        <f>+'QTR Raw'!AF80</f>
        <v>69.430000000000007</v>
      </c>
      <c r="BN183" s="23">
        <f>+'QTR Raw'!AH80</f>
        <v>436.24</v>
      </c>
      <c r="BP183" s="23">
        <f>+'QTR Raw'!AJ80</f>
        <v>425.06</v>
      </c>
      <c r="BR183" s="23">
        <f>+'QTR Raw'!AL80</f>
        <v>448.63</v>
      </c>
      <c r="BT183" s="23">
        <f>+'QTR Raw'!AN80</f>
        <v>317.58</v>
      </c>
      <c r="BV183" s="23">
        <f>+'QTR Raw'!AP80</f>
        <v>902.47</v>
      </c>
      <c r="BX183" s="23">
        <f>+'QTR Raw'!AR80</f>
        <v>513.66</v>
      </c>
      <c r="BZ183" s="23">
        <f>+'QTR Raw'!AT80</f>
        <v>757.33</v>
      </c>
      <c r="CB183" s="23">
        <f>+'QTR Raw'!AV80</f>
        <v>450.18</v>
      </c>
      <c r="CD183" s="23">
        <f>+'QTR Raw'!AX80</f>
        <v>724.15</v>
      </c>
      <c r="CF183" s="23">
        <f>+'QTR Raw'!AZ80</f>
        <v>734.77</v>
      </c>
      <c r="CH183" s="23">
        <f t="shared" ref="CH183:CH184" si="1346">Z183</f>
        <v>898.87</v>
      </c>
      <c r="CJ183" s="23">
        <f>+'QTR Raw'!BD80</f>
        <v>1951.28</v>
      </c>
      <c r="CL183" s="23">
        <f>+'QTR Raw'!BF80</f>
        <v>2499.86</v>
      </c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E183" s="123"/>
      <c r="DF183" s="23">
        <v>2499.86</v>
      </c>
    </row>
    <row r="184" spans="1:110" s="23" customFormat="1" outlineLevel="1" x14ac:dyDescent="0.2">
      <c r="A184" s="23" t="s">
        <v>76</v>
      </c>
      <c r="B184" s="23">
        <f>'Annual Raw'!C78</f>
        <v>24.04</v>
      </c>
      <c r="C184" s="23">
        <f>'Annual Raw'!D78</f>
        <v>110.29</v>
      </c>
      <c r="D184" s="23">
        <f>'Annual Raw'!E78</f>
        <v>54.69</v>
      </c>
      <c r="E184" s="23">
        <f>'Annual Raw'!F78</f>
        <v>661.14</v>
      </c>
      <c r="F184" s="23">
        <f>'Annual Raw'!G78</f>
        <v>471.4</v>
      </c>
      <c r="G184" s="23">
        <f>'Annual Raw'!H78</f>
        <v>389.85</v>
      </c>
      <c r="H184" s="23">
        <f>'Annual Raw'!I78</f>
        <v>177.15</v>
      </c>
      <c r="I184" s="23">
        <f>'Annual Raw'!J78</f>
        <v>257.60000000000002</v>
      </c>
      <c r="J184" s="23">
        <f>'Annual Raw'!K78</f>
        <v>252.84</v>
      </c>
      <c r="K184" s="23">
        <f>'Annual Raw'!L78</f>
        <v>548.76</v>
      </c>
      <c r="L184" s="23">
        <f>'Annual Raw'!M78</f>
        <v>190.77</v>
      </c>
      <c r="M184" s="23">
        <f>'Annual Raw'!N78</f>
        <v>159.72</v>
      </c>
      <c r="N184" s="23">
        <f>'Annual Raw'!O78</f>
        <v>210.06</v>
      </c>
      <c r="O184" s="23">
        <f>'Annual Raw'!P78</f>
        <v>183.55</v>
      </c>
      <c r="P184" s="23">
        <f>'Annual Raw'!Q78</f>
        <v>503.57</v>
      </c>
      <c r="Q184" s="23">
        <f>'Annual Raw'!R78</f>
        <v>182.55</v>
      </c>
      <c r="R184" s="23">
        <f>'Annual Raw'!S78</f>
        <v>247.06</v>
      </c>
      <c r="S184" s="23">
        <f>'Annual Raw'!T78</f>
        <v>270.32</v>
      </c>
      <c r="T184" s="23">
        <f>'Annual Raw'!U78</f>
        <v>240.94</v>
      </c>
      <c r="U184" s="23">
        <f>'Annual Raw'!V78</f>
        <v>315.58</v>
      </c>
      <c r="V184" s="23">
        <f>'Annual Raw'!W78</f>
        <v>153.63</v>
      </c>
      <c r="W184" s="23">
        <f>'Annual Raw'!X78</f>
        <v>1187.81</v>
      </c>
      <c r="X184" s="23">
        <f>'Annual Raw'!Y78</f>
        <v>1053.43</v>
      </c>
      <c r="Y184" s="23">
        <f>'Annual Raw'!Z78</f>
        <v>1485.5</v>
      </c>
      <c r="Z184" s="23">
        <f>'Annual Raw'!AA78</f>
        <v>2181.56</v>
      </c>
      <c r="AA184" s="23">
        <f>'Annual Raw'!AB78</f>
        <v>1831.19</v>
      </c>
      <c r="AB184" s="24">
        <f t="shared" si="1342"/>
        <v>6564.3882851408971</v>
      </c>
      <c r="AC184" s="24">
        <f t="shared" si="1343"/>
        <v>9378.1366347208077</v>
      </c>
      <c r="AD184" s="24">
        <f t="shared" si="1344"/>
        <v>12444.574172978047</v>
      </c>
      <c r="AE184" s="24">
        <f t="shared" si="1345"/>
        <v>15762.463542340494</v>
      </c>
      <c r="AJ184" s="23">
        <f>+'QTR Raw'!D83</f>
        <v>28.73</v>
      </c>
      <c r="AK184" s="23">
        <f t="shared" ref="AK184:AM184" si="1347">+AK234</f>
        <v>215.93572315065126</v>
      </c>
      <c r="AL184" s="23">
        <f>+'QTR Raw'!F83</f>
        <v>210.06</v>
      </c>
      <c r="AM184" s="23">
        <f t="shared" si="1347"/>
        <v>237.13203576909453</v>
      </c>
      <c r="AN184" s="23">
        <f>+'QTR Raw'!H83</f>
        <v>26.39</v>
      </c>
      <c r="AO184" s="23">
        <f t="shared" ref="AO184" si="1348">+AO234</f>
        <v>82.424075587105861</v>
      </c>
      <c r="AP184" s="23">
        <f>+'QTR Raw'!J83</f>
        <v>183.55</v>
      </c>
      <c r="AQ184" s="23">
        <f t="shared" ref="AQ184" si="1349">+AQ234</f>
        <v>262.55829152802687</v>
      </c>
      <c r="AR184" s="23">
        <f>+'QTR Raw'!L83</f>
        <v>462.35</v>
      </c>
      <c r="AS184" s="23">
        <f t="shared" ref="AS184" si="1350">+AS234</f>
        <v>859.11104503735339</v>
      </c>
      <c r="AT184" s="23">
        <f>+'QTR Raw'!N83</f>
        <v>503.57</v>
      </c>
      <c r="AU184" s="23">
        <f t="shared" ref="AU184" si="1351">+AU234</f>
        <v>1089.4715591077395</v>
      </c>
      <c r="AV184" s="23">
        <f>+'QTR Raw'!P83</f>
        <v>260.58999999999997</v>
      </c>
      <c r="AW184" s="23">
        <f t="shared" ref="AW184" si="1352">+AW234</f>
        <v>704.59614197703388</v>
      </c>
      <c r="AX184" s="23">
        <f>+'QTR Raw'!R83</f>
        <v>182.55</v>
      </c>
      <c r="AY184" s="23">
        <f t="shared" ref="AY184" si="1353">+AY234</f>
        <v>191.72562196263561</v>
      </c>
      <c r="AZ184" s="23">
        <f>+'QTR Raw'!T83</f>
        <v>10.56</v>
      </c>
      <c r="BA184" s="23">
        <f t="shared" ref="BA184" si="1354">+BA234</f>
        <v>218.75671836081534</v>
      </c>
      <c r="BB184" s="23">
        <f>+'QTR Raw'!V83</f>
        <v>247.06</v>
      </c>
      <c r="BC184" s="23">
        <f t="shared" ref="BC184" si="1355">+BC234</f>
        <v>320.86849176027789</v>
      </c>
      <c r="BD184" s="23">
        <f>+'QTR Raw'!X83</f>
        <v>244.4</v>
      </c>
      <c r="BE184" s="23">
        <f t="shared" ref="BE184" si="1356">+BE234</f>
        <v>400.98699977690876</v>
      </c>
      <c r="BF184" s="23">
        <f>+'QTR Raw'!Z83</f>
        <v>270.32</v>
      </c>
      <c r="BG184" s="23">
        <f t="shared" ref="BG184" si="1357">+BG234</f>
        <v>626.75513039371731</v>
      </c>
      <c r="BH184" s="23">
        <f>+'QTR Raw'!AB83</f>
        <v>351.15</v>
      </c>
      <c r="BI184" s="23">
        <f t="shared" ref="BI184" si="1358">+BI234</f>
        <v>537.59586358122624</v>
      </c>
      <c r="BJ184" s="23">
        <f>+'QTR Raw'!AD83</f>
        <v>240.94</v>
      </c>
      <c r="BK184" s="23">
        <f t="shared" ref="BK184" si="1359">+BK234</f>
        <v>471.60645878873657</v>
      </c>
      <c r="BL184" s="23">
        <f>+'QTR Raw'!AF83</f>
        <v>242.35</v>
      </c>
      <c r="BM184" s="23">
        <f t="shared" ref="BM184" si="1360">+BM234</f>
        <v>486.3493853728271</v>
      </c>
      <c r="BN184" s="23">
        <f>+'QTR Raw'!AH83</f>
        <v>315.58</v>
      </c>
      <c r="BO184" s="23">
        <f t="shared" ref="BO184" si="1361">+BO234</f>
        <v>466.97872650473073</v>
      </c>
      <c r="BP184" s="23">
        <f>+'QTR Raw'!AJ83</f>
        <v>198.21</v>
      </c>
      <c r="BQ184" s="23">
        <f t="shared" ref="BQ184" si="1362">+BQ234</f>
        <v>512.45789924806286</v>
      </c>
      <c r="BR184" s="23">
        <f>+'QTR Raw'!AL83</f>
        <v>153.63</v>
      </c>
      <c r="BS184" s="23">
        <f t="shared" ref="BS184" si="1363">+BS234</f>
        <v>322.68154873012236</v>
      </c>
      <c r="BT184" s="23">
        <f>+'QTR Raw'!AN83</f>
        <v>268.04000000000002</v>
      </c>
      <c r="BU184" s="23">
        <f t="shared" ref="BU184" si="1364">+BU234</f>
        <v>673.2673532682561</v>
      </c>
      <c r="BV184" s="23">
        <f>+'QTR Raw'!AP83</f>
        <v>1187.81</v>
      </c>
      <c r="BW184" s="23">
        <f t="shared" ref="BW184" si="1365">+BW234</f>
        <v>2274.40752545638</v>
      </c>
      <c r="BX184" s="23">
        <f>+'QTR Raw'!AR83</f>
        <v>652.96</v>
      </c>
      <c r="BY184" s="23">
        <f t="shared" ref="BY184" si="1366">+BY234</f>
        <v>1545.1569797421726</v>
      </c>
      <c r="BZ184" s="23">
        <f>+'QTR Raw'!AT83</f>
        <v>1053.43</v>
      </c>
      <c r="CA184" s="23">
        <f t="shared" ref="CA184" si="1367">+CA234</f>
        <v>2040.9385459847549</v>
      </c>
      <c r="CB184" s="23">
        <f>+'QTR Raw'!AV83</f>
        <v>950.65</v>
      </c>
      <c r="CC184" s="23">
        <f t="shared" ref="CC184" si="1368">+CC234</f>
        <v>1797.9017828635219</v>
      </c>
      <c r="CD184" s="23">
        <f>+'QTR Raw'!AX83</f>
        <v>1485.5</v>
      </c>
      <c r="CE184" s="23">
        <f t="shared" ref="CE184" si="1369">+CE234</f>
        <v>2471.744240870396</v>
      </c>
      <c r="CF184" s="23">
        <f>+'QTR Raw'!AZ83</f>
        <v>1729.6</v>
      </c>
      <c r="CG184" s="23">
        <f t="shared" ref="CG184:CI184" si="1370">+CG234</f>
        <v>2985.7880726348758</v>
      </c>
      <c r="CH184" s="23">
        <f t="shared" si="1346"/>
        <v>2181.56</v>
      </c>
      <c r="CI184" s="23">
        <f t="shared" si="1370"/>
        <v>2995.1633692075507</v>
      </c>
      <c r="CJ184" s="23">
        <f>+'QTR Raw'!BD83</f>
        <v>905</v>
      </c>
      <c r="CK184" s="23">
        <f t="shared" ref="CK184:DB184" si="1371">+CK234</f>
        <v>3923.196641367249</v>
      </c>
      <c r="CL184" s="23">
        <f>+'QTR Raw'!BF83</f>
        <v>1831.19</v>
      </c>
      <c r="CM184" s="24">
        <f t="shared" si="1371"/>
        <v>4831.5791406480766</v>
      </c>
      <c r="CN184" s="24">
        <f t="shared" si="1371"/>
        <v>5388.1051580010535</v>
      </c>
      <c r="CO184" s="24">
        <f t="shared" si="1371"/>
        <v>6001.5971751449742</v>
      </c>
      <c r="CP184" s="24">
        <f t="shared" si="1371"/>
        <v>6564.3882851408971</v>
      </c>
      <c r="CQ184" s="24">
        <f t="shared" si="1371"/>
        <v>7246.5167266054577</v>
      </c>
      <c r="CR184" s="24">
        <f t="shared" si="1371"/>
        <v>7924.3452823533144</v>
      </c>
      <c r="CS184" s="24">
        <f t="shared" si="1371"/>
        <v>8636.8317451677594</v>
      </c>
      <c r="CT184" s="24">
        <f t="shared" si="1371"/>
        <v>9378.1366347208077</v>
      </c>
      <c r="CU184" s="24">
        <f t="shared" si="1371"/>
        <v>10119.417523831284</v>
      </c>
      <c r="CV184" s="24">
        <f t="shared" si="1371"/>
        <v>10875.650869245525</v>
      </c>
      <c r="CW184" s="24">
        <f t="shared" si="1371"/>
        <v>11652.035298363358</v>
      </c>
      <c r="CX184" s="24">
        <f t="shared" si="1371"/>
        <v>12444.574172978047</v>
      </c>
      <c r="CY184" s="24">
        <f t="shared" si="1371"/>
        <v>13249.802687841982</v>
      </c>
      <c r="CZ184" s="24">
        <f t="shared" si="1371"/>
        <v>14071.204360988188</v>
      </c>
      <c r="DA184" s="24">
        <f t="shared" si="1371"/>
        <v>14909.092152372112</v>
      </c>
      <c r="DB184" s="24">
        <f t="shared" si="1371"/>
        <v>15762.463542340494</v>
      </c>
      <c r="DE184" s="123"/>
      <c r="DF184" s="23">
        <v>4544.6155323036746</v>
      </c>
    </row>
    <row r="185" spans="1:110" s="22" customFormat="1" x14ac:dyDescent="0.2">
      <c r="A185" s="22" t="s">
        <v>77</v>
      </c>
      <c r="B185" s="22">
        <f>B183+B184</f>
        <v>24.04</v>
      </c>
      <c r="C185" s="22">
        <f t="shared" ref="C185:V185" si="1372">C183+C184</f>
        <v>110.29</v>
      </c>
      <c r="D185" s="22">
        <f t="shared" si="1372"/>
        <v>54.83</v>
      </c>
      <c r="E185" s="22">
        <f t="shared" si="1372"/>
        <v>661.14</v>
      </c>
      <c r="F185" s="22">
        <f t="shared" si="1372"/>
        <v>471.4</v>
      </c>
      <c r="G185" s="22">
        <f t="shared" si="1372"/>
        <v>446.83000000000004</v>
      </c>
      <c r="H185" s="22">
        <f t="shared" si="1372"/>
        <v>190.23000000000002</v>
      </c>
      <c r="I185" s="22">
        <f t="shared" si="1372"/>
        <v>260.21000000000004</v>
      </c>
      <c r="J185" s="22">
        <f t="shared" si="1372"/>
        <v>678.57</v>
      </c>
      <c r="K185" s="22">
        <f t="shared" si="1372"/>
        <v>572.04</v>
      </c>
      <c r="L185" s="22">
        <f t="shared" si="1372"/>
        <v>845.11</v>
      </c>
      <c r="M185" s="22">
        <f t="shared" si="1372"/>
        <v>222.47</v>
      </c>
      <c r="N185" s="22">
        <f t="shared" si="1372"/>
        <v>250.75</v>
      </c>
      <c r="O185" s="22">
        <f t="shared" si="1372"/>
        <v>291.48</v>
      </c>
      <c r="P185" s="22">
        <f t="shared" si="1372"/>
        <v>1049.8799999999999</v>
      </c>
      <c r="Q185" s="22">
        <f t="shared" si="1372"/>
        <v>353.16</v>
      </c>
      <c r="R185" s="22">
        <f t="shared" si="1372"/>
        <v>337.86</v>
      </c>
      <c r="S185" s="22">
        <f t="shared" si="1372"/>
        <v>600.84999999999991</v>
      </c>
      <c r="T185" s="22">
        <f t="shared" si="1372"/>
        <v>452.15</v>
      </c>
      <c r="U185" s="22">
        <f t="shared" si="1372"/>
        <v>751.81999999999994</v>
      </c>
      <c r="V185" s="22">
        <f t="shared" si="1372"/>
        <v>602.26</v>
      </c>
      <c r="W185" s="22">
        <f t="shared" ref="W185" si="1373">W183+W184</f>
        <v>2090.2799999999997</v>
      </c>
      <c r="X185" s="22">
        <f t="shared" ref="X185:Y185" si="1374">X183+X184</f>
        <v>1810.7600000000002</v>
      </c>
      <c r="Y185" s="22">
        <f t="shared" si="1374"/>
        <v>2209.65</v>
      </c>
      <c r="Z185" s="22">
        <f t="shared" ref="Z185:AA185" si="1375">Z183+Z184</f>
        <v>3080.43</v>
      </c>
      <c r="AA185" s="22">
        <f t="shared" si="1375"/>
        <v>4331.05</v>
      </c>
      <c r="AB185" s="21">
        <f t="shared" ref="AA185:AD185" si="1376">AB183+AB184</f>
        <v>6564.3882851408971</v>
      </c>
      <c r="AC185" s="21">
        <f t="shared" si="1376"/>
        <v>9378.1366347208077</v>
      </c>
      <c r="AD185" s="21">
        <f t="shared" si="1376"/>
        <v>12444.574172978047</v>
      </c>
      <c r="AE185" s="21">
        <f t="shared" ref="AE185" si="1377">AE183+AE184</f>
        <v>15762.463542340494</v>
      </c>
      <c r="AJ185" s="22">
        <f t="shared" ref="AJ185" si="1378">AJ183+AJ184</f>
        <v>100.01</v>
      </c>
      <c r="AK185" s="22">
        <f t="shared" ref="AK185" si="1379">AK183+AK184</f>
        <v>215.93572315065126</v>
      </c>
      <c r="AL185" s="22">
        <f t="shared" ref="AL185:AM185" si="1380">AL183+AL184</f>
        <v>250.75</v>
      </c>
      <c r="AM185" s="22">
        <f t="shared" si="1380"/>
        <v>237.13203576909453</v>
      </c>
      <c r="AN185" s="22">
        <f t="shared" ref="AN185:AO185" si="1381">AN183+AN184</f>
        <v>26.39</v>
      </c>
      <c r="AO185" s="22">
        <f t="shared" si="1381"/>
        <v>82.424075587105861</v>
      </c>
      <c r="AP185" s="22">
        <f t="shared" ref="AP185:CE185" si="1382">AP183+AP184</f>
        <v>291.48</v>
      </c>
      <c r="AQ185" s="22">
        <f t="shared" si="1382"/>
        <v>262.55829152802687</v>
      </c>
      <c r="AR185" s="22">
        <f t="shared" si="1382"/>
        <v>807.11</v>
      </c>
      <c r="AS185" s="22">
        <f t="shared" si="1382"/>
        <v>859.11104503735339</v>
      </c>
      <c r="AT185" s="22">
        <f t="shared" si="1382"/>
        <v>1049.8799999999999</v>
      </c>
      <c r="AU185" s="22">
        <f t="shared" si="1382"/>
        <v>1089.4715591077395</v>
      </c>
      <c r="AV185" s="22">
        <f t="shared" si="1382"/>
        <v>699</v>
      </c>
      <c r="AW185" s="22">
        <f t="shared" si="1382"/>
        <v>704.59614197703388</v>
      </c>
      <c r="AX185" s="22">
        <f t="shared" si="1382"/>
        <v>353.16</v>
      </c>
      <c r="AY185" s="22">
        <f t="shared" si="1382"/>
        <v>191.72562196263561</v>
      </c>
      <c r="AZ185" s="22">
        <f t="shared" si="1382"/>
        <v>141.67000000000002</v>
      </c>
      <c r="BA185" s="22">
        <f t="shared" si="1382"/>
        <v>218.75671836081534</v>
      </c>
      <c r="BB185" s="22">
        <f t="shared" si="1382"/>
        <v>337.86</v>
      </c>
      <c r="BC185" s="22">
        <f t="shared" si="1382"/>
        <v>320.86849176027789</v>
      </c>
      <c r="BD185" s="22">
        <f t="shared" si="1382"/>
        <v>320.43</v>
      </c>
      <c r="BE185" s="22">
        <f t="shared" si="1382"/>
        <v>400.98699977690876</v>
      </c>
      <c r="BF185" s="22">
        <f t="shared" si="1382"/>
        <v>600.84999999999991</v>
      </c>
      <c r="BG185" s="22">
        <f t="shared" si="1382"/>
        <v>626.75513039371731</v>
      </c>
      <c r="BH185" s="22">
        <f t="shared" si="1382"/>
        <v>398.37</v>
      </c>
      <c r="BI185" s="22">
        <f t="shared" si="1382"/>
        <v>537.59586358122624</v>
      </c>
      <c r="BJ185" s="22">
        <f t="shared" si="1382"/>
        <v>452.15</v>
      </c>
      <c r="BK185" s="22">
        <f t="shared" si="1382"/>
        <v>471.60645878873657</v>
      </c>
      <c r="BL185" s="22">
        <f t="shared" si="1382"/>
        <v>311.77999999999997</v>
      </c>
      <c r="BM185" s="22">
        <f t="shared" si="1382"/>
        <v>486.3493853728271</v>
      </c>
      <c r="BN185" s="22">
        <f t="shared" si="1382"/>
        <v>751.81999999999994</v>
      </c>
      <c r="BO185" s="22">
        <f t="shared" si="1382"/>
        <v>466.97872650473073</v>
      </c>
      <c r="BP185" s="22">
        <f t="shared" si="1382"/>
        <v>623.27</v>
      </c>
      <c r="BQ185" s="22">
        <f t="shared" si="1382"/>
        <v>512.45789924806286</v>
      </c>
      <c r="BR185" s="22">
        <f t="shared" si="1382"/>
        <v>602.26</v>
      </c>
      <c r="BS185" s="22">
        <f t="shared" si="1382"/>
        <v>322.68154873012236</v>
      </c>
      <c r="BT185" s="22">
        <f t="shared" si="1382"/>
        <v>585.62</v>
      </c>
      <c r="BU185" s="22">
        <f t="shared" si="1382"/>
        <v>673.2673532682561</v>
      </c>
      <c r="BV185" s="22">
        <f t="shared" si="1382"/>
        <v>2090.2799999999997</v>
      </c>
      <c r="BW185" s="22">
        <f t="shared" si="1382"/>
        <v>2274.40752545638</v>
      </c>
      <c r="BX185" s="22">
        <f t="shared" si="1382"/>
        <v>1166.6199999999999</v>
      </c>
      <c r="BY185" s="22">
        <f t="shared" si="1382"/>
        <v>1545.1569797421726</v>
      </c>
      <c r="BZ185" s="22">
        <f t="shared" si="1382"/>
        <v>1810.7600000000002</v>
      </c>
      <c r="CA185" s="22">
        <f t="shared" si="1382"/>
        <v>2040.9385459847549</v>
      </c>
      <c r="CB185" s="22">
        <f t="shared" si="1382"/>
        <v>1400.83</v>
      </c>
      <c r="CC185" s="22">
        <f t="shared" si="1382"/>
        <v>1797.9017828635219</v>
      </c>
      <c r="CD185" s="22">
        <f t="shared" si="1382"/>
        <v>2209.65</v>
      </c>
      <c r="CE185" s="22">
        <f t="shared" si="1382"/>
        <v>2471.744240870396</v>
      </c>
      <c r="CF185" s="22">
        <f t="shared" ref="CF185:CG185" si="1383">CF183+CF184</f>
        <v>2464.37</v>
      </c>
      <c r="CG185" s="22">
        <f t="shared" si="1383"/>
        <v>2985.7880726348758</v>
      </c>
      <c r="CH185" s="22">
        <f t="shared" ref="CH185:CI185" si="1384">CH183+CH184</f>
        <v>3080.43</v>
      </c>
      <c r="CI185" s="22">
        <f t="shared" si="1384"/>
        <v>2995.1633692075507</v>
      </c>
      <c r="CJ185" s="22">
        <f t="shared" ref="CJ185:DB185" si="1385">CJ183+CJ184</f>
        <v>2856.2799999999997</v>
      </c>
      <c r="CK185" s="22">
        <f t="shared" si="1385"/>
        <v>3923.196641367249</v>
      </c>
      <c r="CL185" s="22">
        <f t="shared" ref="CL185" si="1386">CL183+CL184</f>
        <v>4331.05</v>
      </c>
      <c r="CM185" s="21">
        <f t="shared" si="1385"/>
        <v>4831.5791406480766</v>
      </c>
      <c r="CN185" s="21">
        <f t="shared" si="1385"/>
        <v>5388.1051580010535</v>
      </c>
      <c r="CO185" s="21">
        <f t="shared" si="1385"/>
        <v>6001.5971751449742</v>
      </c>
      <c r="CP185" s="21">
        <f t="shared" si="1385"/>
        <v>6564.3882851408971</v>
      </c>
      <c r="CQ185" s="21">
        <f t="shared" si="1385"/>
        <v>7246.5167266054577</v>
      </c>
      <c r="CR185" s="21">
        <f t="shared" si="1385"/>
        <v>7924.3452823533144</v>
      </c>
      <c r="CS185" s="21">
        <f t="shared" si="1385"/>
        <v>8636.8317451677594</v>
      </c>
      <c r="CT185" s="21">
        <f t="shared" si="1385"/>
        <v>9378.1366347208077</v>
      </c>
      <c r="CU185" s="21">
        <f t="shared" si="1385"/>
        <v>10119.417523831284</v>
      </c>
      <c r="CV185" s="21">
        <f t="shared" si="1385"/>
        <v>10875.650869245525</v>
      </c>
      <c r="CW185" s="21">
        <f t="shared" si="1385"/>
        <v>11652.035298363358</v>
      </c>
      <c r="CX185" s="21">
        <f t="shared" si="1385"/>
        <v>12444.574172978047</v>
      </c>
      <c r="CY185" s="21">
        <f t="shared" si="1385"/>
        <v>13249.802687841982</v>
      </c>
      <c r="CZ185" s="21">
        <f t="shared" si="1385"/>
        <v>14071.204360988188</v>
      </c>
      <c r="DA185" s="21">
        <f t="shared" si="1385"/>
        <v>14909.092152372112</v>
      </c>
      <c r="DB185" s="21">
        <f t="shared" si="1385"/>
        <v>15762.463542340494</v>
      </c>
      <c r="DE185" s="126"/>
      <c r="DF185" s="22">
        <v>4544.6155323036746</v>
      </c>
    </row>
    <row r="186" spans="1:110" s="23" customFormat="1" x14ac:dyDescent="0.2">
      <c r="AB186" s="24"/>
      <c r="AC186" s="24"/>
      <c r="AD186" s="24"/>
      <c r="AE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E186" s="123"/>
    </row>
    <row r="187" spans="1:110" s="23" customFormat="1" x14ac:dyDescent="0.2">
      <c r="A187" s="23" t="s">
        <v>78</v>
      </c>
      <c r="B187" s="23">
        <f>-'Annual Raw'!C49</f>
        <v>0</v>
      </c>
      <c r="C187" s="23">
        <f>-'Annual Raw'!D49</f>
        <v>-61.64</v>
      </c>
      <c r="D187" s="23">
        <f>-'Annual Raw'!E49</f>
        <v>-61.68</v>
      </c>
      <c r="E187" s="23">
        <f>-'Annual Raw'!F49</f>
        <v>-68.27</v>
      </c>
      <c r="F187" s="23">
        <f>-'Annual Raw'!G49</f>
        <v>-101.77</v>
      </c>
      <c r="G187" s="23">
        <f>-'Annual Raw'!H49</f>
        <v>-71.930000000000007</v>
      </c>
      <c r="H187" s="23">
        <f>-'Annual Raw'!I49</f>
        <v>-146.6</v>
      </c>
      <c r="I187" s="23">
        <f>-'Annual Raw'!J49</f>
        <v>-148.53</v>
      </c>
      <c r="J187" s="23">
        <f>-'Annual Raw'!K49</f>
        <v>-160.15</v>
      </c>
      <c r="K187" s="23">
        <f>-'Annual Raw'!L49</f>
        <v>14.36</v>
      </c>
      <c r="L187" s="23">
        <f>-'Annual Raw'!M49</f>
        <v>-44.06</v>
      </c>
      <c r="M187" s="23">
        <f>-'Annual Raw'!N49</f>
        <v>-127.69</v>
      </c>
      <c r="N187" s="23">
        <f>-'Annual Raw'!O49</f>
        <v>-124.34</v>
      </c>
      <c r="O187" s="23">
        <f>-'Annual Raw'!P49</f>
        <v>-161.49</v>
      </c>
      <c r="P187" s="23">
        <f>-'Annual Raw'!Q49</f>
        <v>-248.54</v>
      </c>
      <c r="Q187" s="23">
        <f>-'Annual Raw'!R49</f>
        <v>-238.22</v>
      </c>
      <c r="R187" s="23">
        <f>-'Annual Raw'!S49</f>
        <v>-282.04000000000002</v>
      </c>
      <c r="S187" s="23">
        <f>-'Annual Raw'!T49</f>
        <v>-296.16000000000003</v>
      </c>
      <c r="T187" s="23">
        <f>-'Annual Raw'!U49</f>
        <v>-307.33</v>
      </c>
      <c r="U187" s="23">
        <f>-'Annual Raw'!V49</f>
        <v>-110.35</v>
      </c>
      <c r="V187" s="23">
        <f>-'Annual Raw'!W49</f>
        <v>39.93</v>
      </c>
      <c r="W187" s="23">
        <f>-'Annual Raw'!X49</f>
        <v>70.42</v>
      </c>
      <c r="X187" s="23">
        <f>-'Annual Raw'!Y49</f>
        <v>1.47</v>
      </c>
      <c r="Y187" s="23">
        <f>-'Annual Raw'!Z49</f>
        <v>-21.3</v>
      </c>
      <c r="Z187" s="23">
        <f>-'Annual Raw'!AA49</f>
        <v>-59.53</v>
      </c>
      <c r="AA187" s="23">
        <f>-'Annual Raw'!AB49</f>
        <v>-84.38</v>
      </c>
      <c r="AB187" s="24">
        <f t="shared" ref="AB187:AB188" si="1387">+CP187</f>
        <v>-84.38</v>
      </c>
      <c r="AC187" s="24">
        <f t="shared" ref="AC187:AC188" si="1388">+CT187</f>
        <v>-84.38</v>
      </c>
      <c r="AD187" s="24">
        <f t="shared" ref="AD187:AD188" si="1389">+CX187</f>
        <v>-84.38</v>
      </c>
      <c r="AE187" s="24">
        <f t="shared" ref="AE187:AE188" si="1390">+DB187</f>
        <v>-84.38</v>
      </c>
      <c r="AJ187" s="23">
        <f>+'QTR Raw'!D96</f>
        <v>-78.2</v>
      </c>
      <c r="AK187" s="23">
        <f t="shared" ref="AK187:CE187" si="1391">+AJ187</f>
        <v>-78.2</v>
      </c>
      <c r="AL187" s="23">
        <f>+'QTR Raw'!F96</f>
        <v>-124.33</v>
      </c>
      <c r="AM187" s="23">
        <f t="shared" si="1391"/>
        <v>-124.33</v>
      </c>
      <c r="AN187" s="23">
        <f>+'QTR Raw'!H96</f>
        <v>-104.9</v>
      </c>
      <c r="AO187" s="23">
        <f t="shared" si="1391"/>
        <v>-104.9</v>
      </c>
      <c r="AP187" s="23">
        <f>+'QTR Raw'!J96</f>
        <v>-161.49</v>
      </c>
      <c r="AQ187" s="23">
        <f t="shared" si="1391"/>
        <v>-161.49</v>
      </c>
      <c r="AR187" s="23">
        <f>+'QTR Raw'!L96</f>
        <v>-113.65</v>
      </c>
      <c r="AS187" s="23">
        <f t="shared" si="1391"/>
        <v>-113.65</v>
      </c>
      <c r="AT187" s="23">
        <f>+'QTR Raw'!N96</f>
        <v>-248.54</v>
      </c>
      <c r="AU187" s="23">
        <f t="shared" si="1391"/>
        <v>-248.54</v>
      </c>
      <c r="AV187" s="23">
        <f>+'QTR Raw'!P96</f>
        <v>-202.42</v>
      </c>
      <c r="AW187" s="23">
        <f t="shared" si="1391"/>
        <v>-202.42</v>
      </c>
      <c r="AX187" s="23">
        <f>+'QTR Raw'!R96</f>
        <v>-238.22</v>
      </c>
      <c r="AY187" s="23">
        <f t="shared" si="1391"/>
        <v>-238.22</v>
      </c>
      <c r="AZ187" s="23">
        <f>+'QTR Raw'!T96</f>
        <v>-230.42</v>
      </c>
      <c r="BA187" s="23">
        <f t="shared" si="1391"/>
        <v>-230.42</v>
      </c>
      <c r="BB187" s="23">
        <f>+'QTR Raw'!V96</f>
        <v>-317.25</v>
      </c>
      <c r="BC187" s="23">
        <f t="shared" si="1391"/>
        <v>-317.25</v>
      </c>
      <c r="BD187" s="23">
        <f>+'QTR Raw'!X96</f>
        <v>-276.79000000000002</v>
      </c>
      <c r="BE187" s="23">
        <f t="shared" si="1391"/>
        <v>-276.79000000000002</v>
      </c>
      <c r="BF187" s="23">
        <f>+'QTR Raw'!Z96</f>
        <v>-296.16000000000003</v>
      </c>
      <c r="BG187" s="23">
        <f t="shared" si="1391"/>
        <v>-296.16000000000003</v>
      </c>
      <c r="BH187" s="23">
        <f>+'QTR Raw'!AB96</f>
        <v>-248.92</v>
      </c>
      <c r="BI187" s="23">
        <f t="shared" si="1391"/>
        <v>-248.92</v>
      </c>
      <c r="BJ187" s="23">
        <f>+'QTR Raw'!AD96</f>
        <v>-307.33</v>
      </c>
      <c r="BK187" s="23">
        <f t="shared" si="1391"/>
        <v>-307.33</v>
      </c>
      <c r="BL187" s="23">
        <f>+'QTR Raw'!AF96</f>
        <v>-151.91999999999999</v>
      </c>
      <c r="BM187" s="23">
        <f t="shared" si="1391"/>
        <v>-151.91999999999999</v>
      </c>
      <c r="BN187" s="23">
        <f>+'QTR Raw'!AH96</f>
        <v>-110.35</v>
      </c>
      <c r="BO187" s="23">
        <f t="shared" si="1391"/>
        <v>-110.35</v>
      </c>
      <c r="BP187" s="23">
        <f>+'QTR Raw'!AJ96</f>
        <v>-1.52</v>
      </c>
      <c r="BQ187" s="23">
        <f t="shared" si="1391"/>
        <v>-1.52</v>
      </c>
      <c r="BR187" s="23">
        <f>+'QTR Raw'!AL96</f>
        <v>39.93</v>
      </c>
      <c r="BS187" s="23">
        <f t="shared" si="1391"/>
        <v>39.93</v>
      </c>
      <c r="BT187" s="23">
        <f>+'QTR Raw'!AN96</f>
        <v>93.62</v>
      </c>
      <c r="BU187" s="23">
        <f t="shared" si="1391"/>
        <v>93.62</v>
      </c>
      <c r="BV187" s="23">
        <f>+'QTR Raw'!AP96</f>
        <v>70.42</v>
      </c>
      <c r="BW187" s="23">
        <f t="shared" si="1391"/>
        <v>70.42</v>
      </c>
      <c r="BX187" s="23">
        <f>+'QTR Raw'!AR96</f>
        <v>20.3</v>
      </c>
      <c r="BY187" s="23">
        <f t="shared" si="1391"/>
        <v>20.3</v>
      </c>
      <c r="BZ187" s="23">
        <f>+'QTR Raw'!AT96</f>
        <v>1.47</v>
      </c>
      <c r="CA187" s="23">
        <f t="shared" si="1391"/>
        <v>1.47</v>
      </c>
      <c r="CB187" s="23">
        <f>+'QTR Raw'!AV96</f>
        <v>-15.26</v>
      </c>
      <c r="CC187" s="23">
        <f t="shared" si="1391"/>
        <v>-15.26</v>
      </c>
      <c r="CD187" s="23">
        <f>+'QTR Raw'!AX96</f>
        <v>-21.3</v>
      </c>
      <c r="CE187" s="23">
        <f t="shared" si="1391"/>
        <v>-21.3</v>
      </c>
      <c r="CF187" s="23">
        <f>+'QTR Raw'!AZ96</f>
        <v>-62.67</v>
      </c>
      <c r="CG187" s="23">
        <f t="shared" ref="CG187:CI188" si="1392">+CF187</f>
        <v>-62.67</v>
      </c>
      <c r="CH187" s="23">
        <f t="shared" ref="CH187:CH188" si="1393">Z187</f>
        <v>-59.53</v>
      </c>
      <c r="CI187" s="23">
        <f t="shared" si="1392"/>
        <v>-59.53</v>
      </c>
      <c r="CJ187" s="23">
        <f>+'QTR Raw'!BD96</f>
        <v>-96.75</v>
      </c>
      <c r="CK187" s="23">
        <f t="shared" ref="CK187:CK188" si="1394">+CJ187</f>
        <v>-96.75</v>
      </c>
      <c r="CL187" s="23">
        <f>+'QTR Raw'!BF96</f>
        <v>-84.38</v>
      </c>
      <c r="CM187" s="24">
        <f t="shared" ref="CM187:CM188" si="1395">+CL187</f>
        <v>-84.38</v>
      </c>
      <c r="CN187" s="24">
        <f t="shared" ref="CN187:CN188" si="1396">+CM187</f>
        <v>-84.38</v>
      </c>
      <c r="CO187" s="24">
        <f t="shared" ref="CO187:CO188" si="1397">+CN187</f>
        <v>-84.38</v>
      </c>
      <c r="CP187" s="24">
        <f t="shared" ref="CP187:CP188" si="1398">+CO187</f>
        <v>-84.38</v>
      </c>
      <c r="CQ187" s="24">
        <f t="shared" ref="CQ187:CQ188" si="1399">+CP187</f>
        <v>-84.38</v>
      </c>
      <c r="CR187" s="24">
        <f t="shared" ref="CR187:CR188" si="1400">+CQ187</f>
        <v>-84.38</v>
      </c>
      <c r="CS187" s="24">
        <f t="shared" ref="CS187:CS188" si="1401">+CR187</f>
        <v>-84.38</v>
      </c>
      <c r="CT187" s="24">
        <f t="shared" ref="CT187:CT188" si="1402">+CS187</f>
        <v>-84.38</v>
      </c>
      <c r="CU187" s="24">
        <f t="shared" ref="CU187:CU188" si="1403">+CT187</f>
        <v>-84.38</v>
      </c>
      <c r="CV187" s="24">
        <f t="shared" ref="CV187:CV188" si="1404">+CU187</f>
        <v>-84.38</v>
      </c>
      <c r="CW187" s="24">
        <f t="shared" ref="CW187:CW188" si="1405">+CV187</f>
        <v>-84.38</v>
      </c>
      <c r="CX187" s="24">
        <f t="shared" ref="CX187:CX188" si="1406">+CW187</f>
        <v>-84.38</v>
      </c>
      <c r="CY187" s="24">
        <f t="shared" ref="CY187:CY188" si="1407">+CX187</f>
        <v>-84.38</v>
      </c>
      <c r="CZ187" s="24">
        <f t="shared" ref="CZ187:CZ188" si="1408">+CY187</f>
        <v>-84.38</v>
      </c>
      <c r="DA187" s="24">
        <f t="shared" ref="DA187:DA188" si="1409">+CZ187</f>
        <v>-84.38</v>
      </c>
      <c r="DB187" s="24">
        <f t="shared" ref="DB187:DB188" si="1410">+DA187</f>
        <v>-84.38</v>
      </c>
      <c r="DE187" s="123"/>
      <c r="DF187" s="23">
        <v>-96.75</v>
      </c>
    </row>
    <row r="188" spans="1:110" s="23" customFormat="1" x14ac:dyDescent="0.2">
      <c r="A188" s="23" t="s">
        <v>79</v>
      </c>
      <c r="B188" s="23">
        <f>'Annual Raw'!C83</f>
        <v>63.96</v>
      </c>
      <c r="C188" s="23">
        <f>'Annual Raw'!D83</f>
        <v>0</v>
      </c>
      <c r="D188" s="23">
        <f>'Annual Raw'!E83</f>
        <v>0</v>
      </c>
      <c r="E188" s="23">
        <f>'Annual Raw'!F83</f>
        <v>5</v>
      </c>
      <c r="F188" s="23">
        <f>'Annual Raw'!G83</f>
        <v>4.38</v>
      </c>
      <c r="G188" s="23">
        <f>'Annual Raw'!H83</f>
        <v>10.51</v>
      </c>
      <c r="H188" s="23">
        <f>'Annual Raw'!I83</f>
        <v>12.74</v>
      </c>
      <c r="I188" s="23">
        <f>'Annual Raw'!J83</f>
        <v>9.15</v>
      </c>
      <c r="J188" s="23">
        <f>'Annual Raw'!K83</f>
        <v>7.64</v>
      </c>
      <c r="K188" s="23">
        <f>'Annual Raw'!L83</f>
        <v>22.59</v>
      </c>
      <c r="L188" s="23">
        <f>'Annual Raw'!M83</f>
        <v>0</v>
      </c>
      <c r="M188" s="23">
        <f>'Annual Raw'!N83</f>
        <v>0</v>
      </c>
      <c r="N188" s="23">
        <f>'Annual Raw'!O83</f>
        <v>0</v>
      </c>
      <c r="O188" s="23">
        <f>'Annual Raw'!P83</f>
        <v>0</v>
      </c>
      <c r="P188" s="23">
        <f>'Annual Raw'!Q83</f>
        <v>0</v>
      </c>
      <c r="Q188" s="23">
        <f>'Annual Raw'!R83</f>
        <v>0</v>
      </c>
      <c r="R188" s="23">
        <f>'Annual Raw'!S83</f>
        <v>0</v>
      </c>
      <c r="S188" s="23">
        <f>'Annual Raw'!T83</f>
        <v>0</v>
      </c>
      <c r="T188" s="23">
        <f>'Annual Raw'!U83</f>
        <v>0</v>
      </c>
      <c r="U188" s="23">
        <f>'Annual Raw'!V83</f>
        <v>0</v>
      </c>
      <c r="V188" s="23">
        <f>'Annual Raw'!W83</f>
        <v>0</v>
      </c>
      <c r="W188" s="23">
        <f>'Annual Raw'!X83</f>
        <v>0</v>
      </c>
      <c r="X188" s="23">
        <f>'Annual Raw'!Y83</f>
        <v>0</v>
      </c>
      <c r="Y188" s="23">
        <f>'Annual Raw'!Z83</f>
        <v>0</v>
      </c>
      <c r="Z188" s="23">
        <f>'Annual Raw'!AA83</f>
        <v>0</v>
      </c>
      <c r="AA188" s="23">
        <f>'Annual Raw'!AB83</f>
        <v>0</v>
      </c>
      <c r="AB188" s="24">
        <f t="shared" si="1387"/>
        <v>0</v>
      </c>
      <c r="AC188" s="24">
        <f t="shared" si="1388"/>
        <v>0</v>
      </c>
      <c r="AD188" s="24">
        <f t="shared" si="1389"/>
        <v>0</v>
      </c>
      <c r="AE188" s="24">
        <f t="shared" si="1390"/>
        <v>0</v>
      </c>
      <c r="AJ188" s="23">
        <f>+'QTR Raw'!D95</f>
        <v>0</v>
      </c>
      <c r="AK188" s="23">
        <f t="shared" ref="AK188:CE188" si="1411">+AJ188</f>
        <v>0</v>
      </c>
      <c r="AL188" s="23">
        <f>+'QTR Raw'!F95</f>
        <v>0</v>
      </c>
      <c r="AM188" s="23">
        <f t="shared" si="1411"/>
        <v>0</v>
      </c>
      <c r="AN188" s="23">
        <f>+'QTR Raw'!H95</f>
        <v>0</v>
      </c>
      <c r="AO188" s="23">
        <f t="shared" si="1411"/>
        <v>0</v>
      </c>
      <c r="AP188" s="23">
        <f>+'QTR Raw'!J95</f>
        <v>0</v>
      </c>
      <c r="AQ188" s="23">
        <f t="shared" si="1411"/>
        <v>0</v>
      </c>
      <c r="AR188" s="23">
        <f>+'QTR Raw'!L95</f>
        <v>0</v>
      </c>
      <c r="AS188" s="23">
        <f t="shared" si="1411"/>
        <v>0</v>
      </c>
      <c r="AT188" s="23">
        <f>+'QTR Raw'!N95</f>
        <v>0</v>
      </c>
      <c r="AU188" s="23">
        <f t="shared" si="1411"/>
        <v>0</v>
      </c>
      <c r="AV188" s="23">
        <f>+'QTR Raw'!P95</f>
        <v>0</v>
      </c>
      <c r="AW188" s="23">
        <f t="shared" si="1411"/>
        <v>0</v>
      </c>
      <c r="AX188" s="23">
        <f>+'QTR Raw'!R95</f>
        <v>0</v>
      </c>
      <c r="AY188" s="23">
        <f t="shared" si="1411"/>
        <v>0</v>
      </c>
      <c r="AZ188" s="23">
        <f>+'QTR Raw'!T95</f>
        <v>0</v>
      </c>
      <c r="BA188" s="23">
        <f t="shared" si="1411"/>
        <v>0</v>
      </c>
      <c r="BB188" s="23">
        <f>+'QTR Raw'!V95</f>
        <v>0</v>
      </c>
      <c r="BC188" s="23">
        <f t="shared" si="1411"/>
        <v>0</v>
      </c>
      <c r="BD188" s="23">
        <f>+'QTR Raw'!X95</f>
        <v>0</v>
      </c>
      <c r="BE188" s="23">
        <f t="shared" si="1411"/>
        <v>0</v>
      </c>
      <c r="BF188" s="23">
        <f>+'QTR Raw'!Z95</f>
        <v>0</v>
      </c>
      <c r="BG188" s="23">
        <f t="shared" si="1411"/>
        <v>0</v>
      </c>
      <c r="BH188" s="23">
        <f>+'QTR Raw'!AB95</f>
        <v>0</v>
      </c>
      <c r="BI188" s="23">
        <f t="shared" si="1411"/>
        <v>0</v>
      </c>
      <c r="BJ188" s="23">
        <f>+'QTR Raw'!AD95</f>
        <v>0</v>
      </c>
      <c r="BK188" s="23">
        <f t="shared" si="1411"/>
        <v>0</v>
      </c>
      <c r="BL188" s="23">
        <f>+'QTR Raw'!AF95</f>
        <v>0</v>
      </c>
      <c r="BM188" s="23">
        <f t="shared" si="1411"/>
        <v>0</v>
      </c>
      <c r="BN188" s="23">
        <f>+'QTR Raw'!AH95</f>
        <v>0</v>
      </c>
      <c r="BO188" s="23">
        <f t="shared" si="1411"/>
        <v>0</v>
      </c>
      <c r="BP188" s="23">
        <f>+'QTR Raw'!AJ95</f>
        <v>0</v>
      </c>
      <c r="BQ188" s="23">
        <f t="shared" si="1411"/>
        <v>0</v>
      </c>
      <c r="BR188" s="23">
        <f>+'QTR Raw'!AL95</f>
        <v>0</v>
      </c>
      <c r="BS188" s="23">
        <f t="shared" si="1411"/>
        <v>0</v>
      </c>
      <c r="BT188" s="23">
        <f>+'QTR Raw'!AN95</f>
        <v>0</v>
      </c>
      <c r="BU188" s="23">
        <f t="shared" si="1411"/>
        <v>0</v>
      </c>
      <c r="BV188" s="23">
        <f>+'QTR Raw'!AP95</f>
        <v>0</v>
      </c>
      <c r="BW188" s="23">
        <f t="shared" si="1411"/>
        <v>0</v>
      </c>
      <c r="BX188" s="23">
        <f>+'QTR Raw'!AR95</f>
        <v>0</v>
      </c>
      <c r="BY188" s="23">
        <f t="shared" si="1411"/>
        <v>0</v>
      </c>
      <c r="BZ188" s="23">
        <f>+'QTR Raw'!AT95</f>
        <v>0</v>
      </c>
      <c r="CA188" s="23">
        <f t="shared" si="1411"/>
        <v>0</v>
      </c>
      <c r="CB188" s="23">
        <f>+'QTR Raw'!AV95</f>
        <v>0</v>
      </c>
      <c r="CC188" s="23">
        <f t="shared" si="1411"/>
        <v>0</v>
      </c>
      <c r="CD188" s="23">
        <f>+'QTR Raw'!AX95</f>
        <v>0</v>
      </c>
      <c r="CE188" s="23">
        <f t="shared" si="1411"/>
        <v>0</v>
      </c>
      <c r="CF188" s="23">
        <f>+'QTR Raw'!AZ95</f>
        <v>0</v>
      </c>
      <c r="CG188" s="23">
        <f t="shared" si="1392"/>
        <v>0</v>
      </c>
      <c r="CH188" s="23">
        <f t="shared" si="1393"/>
        <v>0</v>
      </c>
      <c r="CI188" s="23">
        <f t="shared" si="1392"/>
        <v>0</v>
      </c>
      <c r="CJ188" s="23">
        <f>+'QTR Raw'!BD95</f>
        <v>0</v>
      </c>
      <c r="CK188" s="23">
        <f t="shared" si="1394"/>
        <v>0</v>
      </c>
      <c r="CL188" s="23">
        <f>+'QTR Raw'!BF95</f>
        <v>0</v>
      </c>
      <c r="CM188" s="24">
        <f t="shared" si="1395"/>
        <v>0</v>
      </c>
      <c r="CN188" s="24">
        <f t="shared" si="1396"/>
        <v>0</v>
      </c>
      <c r="CO188" s="24">
        <f t="shared" si="1397"/>
        <v>0</v>
      </c>
      <c r="CP188" s="24">
        <f t="shared" si="1398"/>
        <v>0</v>
      </c>
      <c r="CQ188" s="24">
        <f t="shared" si="1399"/>
        <v>0</v>
      </c>
      <c r="CR188" s="24">
        <f t="shared" si="1400"/>
        <v>0</v>
      </c>
      <c r="CS188" s="24">
        <f t="shared" si="1401"/>
        <v>0</v>
      </c>
      <c r="CT188" s="24">
        <f t="shared" si="1402"/>
        <v>0</v>
      </c>
      <c r="CU188" s="24">
        <f t="shared" si="1403"/>
        <v>0</v>
      </c>
      <c r="CV188" s="24">
        <f t="shared" si="1404"/>
        <v>0</v>
      </c>
      <c r="CW188" s="24">
        <f t="shared" si="1405"/>
        <v>0</v>
      </c>
      <c r="CX188" s="24">
        <f t="shared" si="1406"/>
        <v>0</v>
      </c>
      <c r="CY188" s="24">
        <f t="shared" si="1407"/>
        <v>0</v>
      </c>
      <c r="CZ188" s="24">
        <f t="shared" si="1408"/>
        <v>0</v>
      </c>
      <c r="DA188" s="24">
        <f t="shared" si="1409"/>
        <v>0</v>
      </c>
      <c r="DB188" s="24">
        <f t="shared" si="1410"/>
        <v>0</v>
      </c>
      <c r="DE188" s="123"/>
      <c r="DF188" s="23">
        <v>0</v>
      </c>
    </row>
    <row r="189" spans="1:110" s="26" customFormat="1" x14ac:dyDescent="0.2">
      <c r="A189" s="26" t="s">
        <v>438</v>
      </c>
      <c r="B189" s="26">
        <f t="shared" ref="B189:W189" si="1412">B187+B185+B181+B164+B162+B188</f>
        <v>1580.53</v>
      </c>
      <c r="C189" s="26">
        <f t="shared" si="1412"/>
        <v>2702.7</v>
      </c>
      <c r="D189" s="26">
        <f t="shared" si="1412"/>
        <v>2710.8599999999997</v>
      </c>
      <c r="E189" s="26">
        <f t="shared" si="1412"/>
        <v>3363.7999999999997</v>
      </c>
      <c r="F189" s="26">
        <f t="shared" si="1412"/>
        <v>3566.74</v>
      </c>
      <c r="G189" s="26">
        <f t="shared" si="1412"/>
        <v>3706.33</v>
      </c>
      <c r="H189" s="26">
        <f t="shared" si="1412"/>
        <v>4442.88</v>
      </c>
      <c r="I189" s="26">
        <f t="shared" si="1412"/>
        <v>6041.5599999999995</v>
      </c>
      <c r="J189" s="26">
        <f t="shared" si="1412"/>
        <v>8242.68</v>
      </c>
      <c r="K189" s="26">
        <f t="shared" si="1412"/>
        <v>7300.49</v>
      </c>
      <c r="L189" s="26">
        <f t="shared" si="1412"/>
        <v>7450.18</v>
      </c>
      <c r="M189" s="26">
        <f t="shared" si="1412"/>
        <v>7543.880000000001</v>
      </c>
      <c r="N189" s="26">
        <f t="shared" si="1412"/>
        <v>7504.64</v>
      </c>
      <c r="O189" s="26">
        <f t="shared" si="1412"/>
        <v>7624.33</v>
      </c>
      <c r="P189" s="26">
        <f t="shared" si="1412"/>
        <v>8039.5399999999991</v>
      </c>
      <c r="Q189" s="26">
        <f t="shared" si="1412"/>
        <v>7849.27</v>
      </c>
      <c r="R189" s="26">
        <f t="shared" si="1412"/>
        <v>6638.49</v>
      </c>
      <c r="S189" s="26">
        <f t="shared" si="1412"/>
        <v>7385.92</v>
      </c>
      <c r="T189" s="26">
        <f t="shared" si="1412"/>
        <v>7473.84</v>
      </c>
      <c r="U189" s="26">
        <f t="shared" si="1412"/>
        <v>7723.78</v>
      </c>
      <c r="V189" s="26">
        <f t="shared" si="1412"/>
        <v>7915.85</v>
      </c>
      <c r="W189" s="26">
        <f t="shared" si="1412"/>
        <v>9640.0199999999986</v>
      </c>
      <c r="X189" s="26">
        <f t="shared" ref="X189:Y189" si="1413">X187+X185+X181+X164+X162+X188</f>
        <v>9460.3099999999977</v>
      </c>
      <c r="Y189" s="26">
        <f t="shared" si="1413"/>
        <v>10389.200000000001</v>
      </c>
      <c r="Z189" s="26">
        <f t="shared" ref="Z189:AA189" si="1414">Z187+Z185+Z181+Z164+Z162+Z188</f>
        <v>12640.31</v>
      </c>
      <c r="AA189" s="26">
        <f t="shared" si="1414"/>
        <v>14990.6</v>
      </c>
      <c r="AB189" s="27">
        <f t="shared" ref="AA189:AD189" si="1415">AB187+AB185+AB181+AB164+AB162+AB188</f>
        <v>17093.665085509383</v>
      </c>
      <c r="AC189" s="27">
        <f t="shared" si="1415"/>
        <v>19677.510426644159</v>
      </c>
      <c r="AD189" s="27">
        <f t="shared" si="1415"/>
        <v>22541.076660707549</v>
      </c>
      <c r="AE189" s="27">
        <f t="shared" ref="AE189" si="1416">AE187+AE185+AE181+AE164+AE162+AE188</f>
        <v>25668.863376355595</v>
      </c>
      <c r="AJ189" s="26">
        <f t="shared" ref="AJ189" si="1417">AJ187+AJ185+AJ181+AJ164+AJ162+AJ188</f>
        <v>6203.32</v>
      </c>
      <c r="AK189" s="26">
        <f t="shared" ref="AK189:AL189" si="1418">AK187+AK185+AK181+AK164+AK162+AK188</f>
        <v>6267.94</v>
      </c>
      <c r="AL189" s="26">
        <f t="shared" si="1418"/>
        <v>7365.8499999999995</v>
      </c>
      <c r="AM189" s="26">
        <f t="shared" ref="AM189:AO189" si="1419">AM187+AM185+AM181+AM164+AM162+AM188</f>
        <v>7346.7599999999993</v>
      </c>
      <c r="AN189" s="26">
        <f t="shared" si="1419"/>
        <v>5823.1299999999992</v>
      </c>
      <c r="AO189" s="26">
        <f t="shared" si="1419"/>
        <v>5882.7</v>
      </c>
      <c r="AP189" s="26">
        <f t="shared" ref="AP189:CE189" si="1420">AP187+AP185+AP181+AP164+AP162+AP188</f>
        <v>6617.4500000000007</v>
      </c>
      <c r="AQ189" s="26">
        <f t="shared" si="1420"/>
        <v>6582.63</v>
      </c>
      <c r="AR189" s="26">
        <f t="shared" si="1420"/>
        <v>5920.9500000000007</v>
      </c>
      <c r="AS189" s="26">
        <f t="shared" si="1420"/>
        <v>5982.7900000000009</v>
      </c>
      <c r="AT189" s="26">
        <f t="shared" si="1420"/>
        <v>7596.12</v>
      </c>
      <c r="AU189" s="26">
        <f t="shared" si="1420"/>
        <v>7630.9</v>
      </c>
      <c r="AV189" s="26">
        <f t="shared" si="1420"/>
        <v>5637.37</v>
      </c>
      <c r="AW189" s="26">
        <f t="shared" si="1420"/>
        <v>5650.68</v>
      </c>
      <c r="AX189" s="26">
        <f t="shared" si="1420"/>
        <v>6835.7800000000007</v>
      </c>
      <c r="AY189" s="26">
        <f t="shared" si="1420"/>
        <v>6666.33</v>
      </c>
      <c r="AZ189" s="26">
        <f t="shared" si="1420"/>
        <v>3937.1</v>
      </c>
      <c r="BA189" s="26">
        <f t="shared" si="1420"/>
        <v>4030.08</v>
      </c>
      <c r="BB189" s="26">
        <f t="shared" si="1420"/>
        <v>6063.53</v>
      </c>
      <c r="BC189" s="26">
        <f t="shared" si="1420"/>
        <v>6038.57</v>
      </c>
      <c r="BD189" s="26">
        <f t="shared" si="1420"/>
        <v>6685.98</v>
      </c>
      <c r="BE189" s="26">
        <f t="shared" si="1420"/>
        <v>6793.8499999999995</v>
      </c>
      <c r="BF189" s="26">
        <f t="shared" si="1420"/>
        <v>7292.7000000000007</v>
      </c>
      <c r="BG189" s="26">
        <f t="shared" si="1420"/>
        <v>7307.9600000000009</v>
      </c>
      <c r="BH189" s="26">
        <f t="shared" ref="BH189" si="1421">BH187+BH185+BH181+BH164+BH162+BH188</f>
        <v>7365.11</v>
      </c>
      <c r="BI189" s="26">
        <f t="shared" si="1420"/>
        <v>7526.8899999999994</v>
      </c>
      <c r="BJ189" s="26">
        <f t="shared" si="1420"/>
        <v>6871.06</v>
      </c>
      <c r="BK189" s="26">
        <f t="shared" si="1420"/>
        <v>6876.7200000000012</v>
      </c>
      <c r="BL189" s="26">
        <f t="shared" si="1420"/>
        <v>6354.7599999999984</v>
      </c>
      <c r="BM189" s="26">
        <f t="shared" si="1420"/>
        <v>6557.8899999999994</v>
      </c>
      <c r="BN189" s="26">
        <f t="shared" si="1420"/>
        <v>7413.76</v>
      </c>
      <c r="BO189" s="26">
        <f t="shared" si="1420"/>
        <v>7133.8399999999983</v>
      </c>
      <c r="BP189" s="26">
        <f t="shared" si="1420"/>
        <v>7030.2199999999993</v>
      </c>
      <c r="BQ189" s="26">
        <f t="shared" si="1420"/>
        <v>6911.34</v>
      </c>
      <c r="BR189" s="26">
        <f t="shared" si="1420"/>
        <v>7915.8499999999995</v>
      </c>
      <c r="BS189" s="26">
        <f t="shared" si="1420"/>
        <v>7638.5099999999993</v>
      </c>
      <c r="BT189" s="26">
        <f t="shared" si="1420"/>
        <v>7939.81</v>
      </c>
      <c r="BU189" s="26">
        <f t="shared" si="1420"/>
        <v>8015.8200000000006</v>
      </c>
      <c r="BV189" s="26">
        <f t="shared" si="1420"/>
        <v>9640.02</v>
      </c>
      <c r="BW189" s="26">
        <f t="shared" si="1420"/>
        <v>9810.07</v>
      </c>
      <c r="BX189" s="26">
        <f t="shared" si="1420"/>
        <v>8572.0999999999985</v>
      </c>
      <c r="BY189" s="26">
        <f t="shared" si="1420"/>
        <v>8954.81</v>
      </c>
      <c r="BZ189" s="26">
        <f t="shared" si="1420"/>
        <v>9460.31</v>
      </c>
      <c r="CA189" s="26">
        <f t="shared" si="1420"/>
        <v>9682.75</v>
      </c>
      <c r="CB189" s="26">
        <f t="shared" si="1420"/>
        <v>9266.7100000000009</v>
      </c>
      <c r="CC189" s="26">
        <f t="shared" si="1420"/>
        <v>9718.66</v>
      </c>
      <c r="CD189" s="26">
        <f t="shared" si="1420"/>
        <v>10389.200000000001</v>
      </c>
      <c r="CE189" s="26">
        <f t="shared" si="1420"/>
        <v>10637.59</v>
      </c>
      <c r="CF189" s="26">
        <f t="shared" ref="CF189:CG189" si="1422">CF187+CF185+CF181+CF164+CF162+CF188</f>
        <v>11604.109999999997</v>
      </c>
      <c r="CG189" s="26">
        <f t="shared" si="1422"/>
        <v>12186.429999999997</v>
      </c>
      <c r="CH189" s="26">
        <f t="shared" ref="CH189:CI189" si="1423">CH187+CH185+CH181+CH164+CH162+CH188</f>
        <v>12640.31</v>
      </c>
      <c r="CI189" s="26">
        <f t="shared" si="1423"/>
        <v>12936.679999999998</v>
      </c>
      <c r="CJ189" s="26">
        <f t="shared" ref="CJ189:DB189" si="1424">CJ187+CJ185+CJ181+CJ164+CJ162+CJ188</f>
        <v>13176.02</v>
      </c>
      <c r="CK189" s="26">
        <f t="shared" si="1424"/>
        <v>14079.25</v>
      </c>
      <c r="CL189" s="26">
        <f t="shared" ref="CL189" si="1425">CL187+CL185+CL181+CL164+CL162+CL188</f>
        <v>14990.6</v>
      </c>
      <c r="CM189" s="27">
        <f t="shared" si="1424"/>
        <v>15479.22977639354</v>
      </c>
      <c r="CN189" s="27">
        <f t="shared" si="1424"/>
        <v>15993.162355501527</v>
      </c>
      <c r="CO189" s="27">
        <f t="shared" si="1424"/>
        <v>16552.501956060747</v>
      </c>
      <c r="CP189" s="27">
        <f t="shared" si="1424"/>
        <v>17093.665085509383</v>
      </c>
      <c r="CQ189" s="27">
        <f t="shared" si="1424"/>
        <v>17692.365803497982</v>
      </c>
      <c r="CR189" s="27">
        <f t="shared" si="1424"/>
        <v>18322.092252508108</v>
      </c>
      <c r="CS189" s="27">
        <f t="shared" si="1424"/>
        <v>18984.847830515871</v>
      </c>
      <c r="CT189" s="27">
        <f t="shared" si="1424"/>
        <v>19677.510426644159</v>
      </c>
      <c r="CU189" s="27">
        <f t="shared" si="1424"/>
        <v>20362.691685604201</v>
      </c>
      <c r="CV189" s="27">
        <f t="shared" si="1424"/>
        <v>21070.159062184397</v>
      </c>
      <c r="CW189" s="27">
        <f t="shared" si="1424"/>
        <v>21797.496004796012</v>
      </c>
      <c r="CX189" s="27">
        <f t="shared" si="1424"/>
        <v>22541.076660707549</v>
      </c>
      <c r="CY189" s="27">
        <f t="shared" si="1424"/>
        <v>23297.170152846069</v>
      </c>
      <c r="CZ189" s="27">
        <f t="shared" si="1424"/>
        <v>24071.231573918099</v>
      </c>
      <c r="DA189" s="27">
        <f t="shared" si="1424"/>
        <v>24862.077114867279</v>
      </c>
      <c r="DB189" s="27">
        <f t="shared" si="1424"/>
        <v>25668.863376355595</v>
      </c>
      <c r="DE189" s="121"/>
      <c r="DF189" s="26">
        <v>14702.452060782522</v>
      </c>
    </row>
    <row r="190" spans="1:110" s="23" customFormat="1" x14ac:dyDescent="0.2">
      <c r="A190" s="28" t="s">
        <v>439</v>
      </c>
      <c r="B190" s="23">
        <f t="shared" ref="B190:W190" si="1426">B189-B153</f>
        <v>0</v>
      </c>
      <c r="C190" s="23">
        <f t="shared" si="1426"/>
        <v>0</v>
      </c>
      <c r="D190" s="23">
        <f t="shared" si="1426"/>
        <v>0</v>
      </c>
      <c r="E190" s="23">
        <f t="shared" si="1426"/>
        <v>0</v>
      </c>
      <c r="F190" s="23">
        <f t="shared" si="1426"/>
        <v>0</v>
      </c>
      <c r="G190" s="23">
        <f t="shared" si="1426"/>
        <v>0</v>
      </c>
      <c r="H190" s="23">
        <f t="shared" si="1426"/>
        <v>0</v>
      </c>
      <c r="I190" s="23">
        <f t="shared" si="1426"/>
        <v>0</v>
      </c>
      <c r="J190" s="23">
        <f t="shared" si="1426"/>
        <v>0</v>
      </c>
      <c r="K190" s="23">
        <f t="shared" si="1426"/>
        <v>0</v>
      </c>
      <c r="L190" s="23">
        <f t="shared" si="1426"/>
        <v>0</v>
      </c>
      <c r="M190" s="23">
        <f t="shared" si="1426"/>
        <v>0</v>
      </c>
      <c r="N190" s="23">
        <f t="shared" si="1426"/>
        <v>0</v>
      </c>
      <c r="O190" s="23">
        <f t="shared" si="1426"/>
        <v>0</v>
      </c>
      <c r="P190" s="23">
        <f t="shared" si="1426"/>
        <v>0</v>
      </c>
      <c r="Q190" s="23">
        <f t="shared" si="1426"/>
        <v>0</v>
      </c>
      <c r="R190" s="23">
        <f t="shared" si="1426"/>
        <v>0</v>
      </c>
      <c r="S190" s="23">
        <f t="shared" si="1426"/>
        <v>0</v>
      </c>
      <c r="T190" s="23">
        <f t="shared" si="1426"/>
        <v>0</v>
      </c>
      <c r="U190" s="23">
        <f t="shared" si="1426"/>
        <v>0</v>
      </c>
      <c r="V190" s="23">
        <f t="shared" si="1426"/>
        <v>0</v>
      </c>
      <c r="W190" s="23">
        <f t="shared" si="1426"/>
        <v>0</v>
      </c>
      <c r="X190" s="23">
        <f t="shared" ref="X190:Y190" si="1427">X189-X153</f>
        <v>0</v>
      </c>
      <c r="Y190" s="23">
        <f t="shared" si="1427"/>
        <v>0</v>
      </c>
      <c r="Z190" s="23">
        <f t="shared" ref="Z190:AA190" si="1428">Z189-Z153</f>
        <v>0</v>
      </c>
      <c r="AA190" s="23">
        <f t="shared" si="1428"/>
        <v>0</v>
      </c>
      <c r="AB190" s="24">
        <f t="shared" ref="AA190:AD190" si="1429">AB189-AB153</f>
        <v>0</v>
      </c>
      <c r="AC190" s="24">
        <f t="shared" si="1429"/>
        <v>0</v>
      </c>
      <c r="AD190" s="24">
        <f t="shared" si="1429"/>
        <v>0</v>
      </c>
      <c r="AE190" s="24">
        <f t="shared" ref="AE190" si="1430">AE189-AE153</f>
        <v>0</v>
      </c>
      <c r="AJ190" s="23">
        <f t="shared" ref="AJ190" si="1431">AJ189-AJ153</f>
        <v>0</v>
      </c>
      <c r="AK190" s="23">
        <f t="shared" ref="AK190" si="1432">AK189-AK153</f>
        <v>0</v>
      </c>
      <c r="AL190" s="23">
        <f t="shared" ref="AL190:AM190" si="1433">AL189-AL153</f>
        <v>0</v>
      </c>
      <c r="AM190" s="23">
        <f t="shared" si="1433"/>
        <v>0</v>
      </c>
      <c r="AN190" s="23">
        <f t="shared" ref="AN190:AO190" si="1434">AN189-AN153</f>
        <v>0</v>
      </c>
      <c r="AO190" s="23">
        <f t="shared" si="1434"/>
        <v>0</v>
      </c>
      <c r="AP190" s="23">
        <f t="shared" ref="AP190:CE190" si="1435">AP189-AP153</f>
        <v>0</v>
      </c>
      <c r="AQ190" s="23">
        <f t="shared" si="1435"/>
        <v>0</v>
      </c>
      <c r="AR190" s="23">
        <f t="shared" si="1435"/>
        <v>0</v>
      </c>
      <c r="AS190" s="23">
        <f t="shared" si="1435"/>
        <v>0</v>
      </c>
      <c r="AT190" s="23">
        <f t="shared" si="1435"/>
        <v>0</v>
      </c>
      <c r="AU190" s="23">
        <f t="shared" si="1435"/>
        <v>0</v>
      </c>
      <c r="AV190" s="23">
        <f t="shared" si="1435"/>
        <v>0</v>
      </c>
      <c r="AW190" s="23">
        <f t="shared" si="1435"/>
        <v>0</v>
      </c>
      <c r="AX190" s="23">
        <f t="shared" si="1435"/>
        <v>0</v>
      </c>
      <c r="AY190" s="23">
        <f t="shared" si="1435"/>
        <v>0</v>
      </c>
      <c r="AZ190" s="23">
        <f t="shared" si="1435"/>
        <v>0</v>
      </c>
      <c r="BA190" s="23">
        <f t="shared" si="1435"/>
        <v>0</v>
      </c>
      <c r="BB190" s="23">
        <f t="shared" si="1435"/>
        <v>0</v>
      </c>
      <c r="BC190" s="23">
        <f t="shared" si="1435"/>
        <v>0</v>
      </c>
      <c r="BD190" s="23">
        <f t="shared" si="1435"/>
        <v>0</v>
      </c>
      <c r="BE190" s="23">
        <f t="shared" si="1435"/>
        <v>0</v>
      </c>
      <c r="BF190" s="23">
        <f t="shared" si="1435"/>
        <v>0</v>
      </c>
      <c r="BG190" s="23">
        <f t="shared" si="1435"/>
        <v>0</v>
      </c>
      <c r="BH190" s="23">
        <f t="shared" ref="BH190" si="1436">BH189-BH153</f>
        <v>0</v>
      </c>
      <c r="BI190" s="23">
        <f t="shared" si="1435"/>
        <v>0</v>
      </c>
      <c r="BJ190" s="23">
        <f t="shared" si="1435"/>
        <v>0</v>
      </c>
      <c r="BK190" s="23">
        <f t="shared" si="1435"/>
        <v>0</v>
      </c>
      <c r="BL190" s="23">
        <f t="shared" si="1435"/>
        <v>0</v>
      </c>
      <c r="BM190" s="23">
        <f t="shared" si="1435"/>
        <v>0</v>
      </c>
      <c r="BN190" s="23">
        <f t="shared" si="1435"/>
        <v>0</v>
      </c>
      <c r="BO190" s="23">
        <f t="shared" si="1435"/>
        <v>0</v>
      </c>
      <c r="BP190" s="23">
        <f t="shared" si="1435"/>
        <v>0</v>
      </c>
      <c r="BQ190" s="23">
        <f t="shared" si="1435"/>
        <v>0</v>
      </c>
      <c r="BR190" s="23">
        <f t="shared" si="1435"/>
        <v>0</v>
      </c>
      <c r="BS190" s="23">
        <f t="shared" si="1435"/>
        <v>0</v>
      </c>
      <c r="BT190" s="23">
        <f t="shared" si="1435"/>
        <v>0</v>
      </c>
      <c r="BU190" s="23">
        <f t="shared" si="1435"/>
        <v>0</v>
      </c>
      <c r="BV190" s="23">
        <f t="shared" si="1435"/>
        <v>0</v>
      </c>
      <c r="BW190" s="23">
        <f t="shared" si="1435"/>
        <v>0</v>
      </c>
      <c r="BX190" s="23">
        <f t="shared" si="1435"/>
        <v>0</v>
      </c>
      <c r="BY190" s="23">
        <f t="shared" si="1435"/>
        <v>0</v>
      </c>
      <c r="BZ190" s="23">
        <f t="shared" si="1435"/>
        <v>0</v>
      </c>
      <c r="CA190" s="23">
        <f t="shared" si="1435"/>
        <v>0</v>
      </c>
      <c r="CB190" s="23">
        <f t="shared" si="1435"/>
        <v>0</v>
      </c>
      <c r="CC190" s="23">
        <f t="shared" si="1435"/>
        <v>0</v>
      </c>
      <c r="CD190" s="23">
        <f t="shared" si="1435"/>
        <v>0</v>
      </c>
      <c r="CE190" s="23">
        <f t="shared" si="1435"/>
        <v>0</v>
      </c>
      <c r="CF190" s="23">
        <f t="shared" ref="CF190:CG190" si="1437">CF189-CF153</f>
        <v>0</v>
      </c>
      <c r="CG190" s="23">
        <f t="shared" si="1437"/>
        <v>0</v>
      </c>
      <c r="CH190" s="23">
        <f t="shared" ref="CH190:CI190" si="1438">CH189-CH153</f>
        <v>0</v>
      </c>
      <c r="CI190" s="23">
        <f t="shared" si="1438"/>
        <v>0</v>
      </c>
      <c r="CJ190" s="23">
        <f t="shared" ref="CJ190:DB190" si="1439">CJ189-CJ153</f>
        <v>0</v>
      </c>
      <c r="CK190" s="23">
        <f t="shared" si="1439"/>
        <v>0</v>
      </c>
      <c r="CL190" s="23">
        <f t="shared" ref="CL190" si="1440">CL189-CL153</f>
        <v>0</v>
      </c>
      <c r="CM190" s="24">
        <f t="shared" si="1439"/>
        <v>0</v>
      </c>
      <c r="CN190" s="24">
        <f t="shared" si="1439"/>
        <v>0</v>
      </c>
      <c r="CO190" s="24">
        <f t="shared" si="1439"/>
        <v>0</v>
      </c>
      <c r="CP190" s="24">
        <f t="shared" si="1439"/>
        <v>0</v>
      </c>
      <c r="CQ190" s="24">
        <f t="shared" si="1439"/>
        <v>0</v>
      </c>
      <c r="CR190" s="24">
        <f t="shared" si="1439"/>
        <v>0</v>
      </c>
      <c r="CS190" s="24">
        <f t="shared" si="1439"/>
        <v>0</v>
      </c>
      <c r="CT190" s="24">
        <f t="shared" si="1439"/>
        <v>0</v>
      </c>
      <c r="CU190" s="24">
        <f t="shared" si="1439"/>
        <v>0</v>
      </c>
      <c r="CV190" s="24">
        <f t="shared" si="1439"/>
        <v>0</v>
      </c>
      <c r="CW190" s="24">
        <f t="shared" si="1439"/>
        <v>0</v>
      </c>
      <c r="CX190" s="24">
        <f t="shared" si="1439"/>
        <v>0</v>
      </c>
      <c r="CY190" s="24">
        <f t="shared" si="1439"/>
        <v>0</v>
      </c>
      <c r="CZ190" s="24">
        <f t="shared" si="1439"/>
        <v>0</v>
      </c>
      <c r="DA190" s="24">
        <f t="shared" si="1439"/>
        <v>0</v>
      </c>
      <c r="DB190" s="24">
        <f t="shared" si="1439"/>
        <v>0</v>
      </c>
      <c r="DE190" s="123"/>
      <c r="DF190" s="23">
        <v>0</v>
      </c>
    </row>
    <row r="191" spans="1:110" s="23" customFormat="1" x14ac:dyDescent="0.2">
      <c r="A191" s="28"/>
      <c r="AB191" s="24"/>
      <c r="AC191" s="24"/>
      <c r="AD191" s="24"/>
      <c r="AE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E191" s="123"/>
    </row>
    <row r="192" spans="1:110" s="22" customFormat="1" x14ac:dyDescent="0.2">
      <c r="A192" s="22" t="s">
        <v>80</v>
      </c>
      <c r="B192" s="22">
        <f t="shared" ref="B192:W192" si="1441">B152-B185</f>
        <v>531.27</v>
      </c>
      <c r="C192" s="22">
        <f t="shared" si="1441"/>
        <v>1369.27</v>
      </c>
      <c r="D192" s="22">
        <f t="shared" si="1441"/>
        <v>1411.92</v>
      </c>
      <c r="E192" s="22">
        <f t="shared" si="1441"/>
        <v>1453.7400000000002</v>
      </c>
      <c r="F192" s="22">
        <f t="shared" si="1441"/>
        <v>1545.13</v>
      </c>
      <c r="G192" s="22">
        <f t="shared" si="1441"/>
        <v>1087.5</v>
      </c>
      <c r="H192" s="22">
        <f t="shared" si="1441"/>
        <v>1880.19</v>
      </c>
      <c r="I192" s="22">
        <f t="shared" si="1441"/>
        <v>3230.25</v>
      </c>
      <c r="J192" s="22">
        <f t="shared" si="1441"/>
        <v>3992.11</v>
      </c>
      <c r="K192" s="22">
        <f t="shared" si="1441"/>
        <v>3910.5600000000004</v>
      </c>
      <c r="L192" s="22">
        <f t="shared" si="1441"/>
        <v>3397.9</v>
      </c>
      <c r="M192" s="22">
        <f t="shared" si="1441"/>
        <v>3580.8100000000004</v>
      </c>
      <c r="N192" s="22">
        <f t="shared" si="1441"/>
        <v>3566.89</v>
      </c>
      <c r="O192" s="22">
        <f t="shared" si="1441"/>
        <v>3960.53</v>
      </c>
      <c r="P192" s="22">
        <f t="shared" si="1441"/>
        <v>4024.6000000000004</v>
      </c>
      <c r="Q192" s="22">
        <f t="shared" si="1441"/>
        <v>4172.93</v>
      </c>
      <c r="R192" s="22">
        <f t="shared" si="1441"/>
        <v>3045.1199999999994</v>
      </c>
      <c r="S192" s="22">
        <f t="shared" si="1441"/>
        <v>1826.58</v>
      </c>
      <c r="T192" s="22">
        <f t="shared" si="1441"/>
        <v>1873.83</v>
      </c>
      <c r="U192" s="22">
        <f t="shared" si="1441"/>
        <v>1850.2500000000002</v>
      </c>
      <c r="V192" s="22">
        <f t="shared" si="1441"/>
        <v>3030.58</v>
      </c>
      <c r="W192" s="22">
        <f t="shared" si="1441"/>
        <v>-105.51999999999975</v>
      </c>
      <c r="X192" s="22">
        <f t="shared" ref="X192:Y192" si="1442">X152-X185</f>
        <v>-992.50000000000023</v>
      </c>
      <c r="Y192" s="22">
        <f t="shared" si="1442"/>
        <v>-1949.16</v>
      </c>
      <c r="Z192" s="22">
        <f t="shared" ref="Z192:AA192" si="1443">Z152-Z185</f>
        <v>-2855.73</v>
      </c>
      <c r="AA192" s="22">
        <f t="shared" si="1443"/>
        <v>-4279.7700000000004</v>
      </c>
      <c r="AB192" s="21">
        <f t="shared" ref="AA192:AD192" si="1444">AB152-AB185</f>
        <v>-6513.1082851408974</v>
      </c>
      <c r="AC192" s="21">
        <f t="shared" si="1444"/>
        <v>-9326.8566347208071</v>
      </c>
      <c r="AD192" s="21">
        <f t="shared" si="1444"/>
        <v>-12393.294172978047</v>
      </c>
      <c r="AE192" s="21">
        <f t="shared" ref="AE192" si="1445">AE152-AE185</f>
        <v>-15711.183542340494</v>
      </c>
      <c r="AJ192" s="22">
        <f t="shared" ref="AJ192:AM192" si="1446">AJ152-AJ185</f>
        <v>2434.7499999999995</v>
      </c>
      <c r="AK192" s="22">
        <f t="shared" si="1446"/>
        <v>2318.8242768493483</v>
      </c>
      <c r="AL192" s="22">
        <f t="shared" si="1446"/>
        <v>3428.1</v>
      </c>
      <c r="AM192" s="22">
        <f t="shared" si="1446"/>
        <v>3441.7179642309052</v>
      </c>
      <c r="AN192" s="22">
        <f t="shared" ref="AN192:AO192" si="1447">AN152-AN185</f>
        <v>2832.02</v>
      </c>
      <c r="AO192" s="22">
        <f t="shared" si="1447"/>
        <v>2775.9859244128938</v>
      </c>
      <c r="AP192" s="22">
        <f t="shared" ref="AP192:CE192" si="1448">AP152-AP185</f>
        <v>2953.65</v>
      </c>
      <c r="AQ192" s="22">
        <f t="shared" si="1448"/>
        <v>2982.5717084719731</v>
      </c>
      <c r="AR192" s="22">
        <f t="shared" si="1448"/>
        <v>2443.48</v>
      </c>
      <c r="AS192" s="22">
        <f t="shared" si="1448"/>
        <v>2391.4789549626466</v>
      </c>
      <c r="AT192" s="22">
        <f t="shared" si="1448"/>
        <v>3581.1800000000003</v>
      </c>
      <c r="AU192" s="22">
        <f t="shared" si="1448"/>
        <v>3541.5884408922611</v>
      </c>
      <c r="AV192" s="22">
        <f t="shared" si="1448"/>
        <v>2273.4699999999998</v>
      </c>
      <c r="AW192" s="22">
        <f t="shared" si="1448"/>
        <v>2267.873858022966</v>
      </c>
      <c r="AX192" s="22">
        <f t="shared" si="1448"/>
        <v>3159.4400000000005</v>
      </c>
      <c r="AY192" s="22">
        <f t="shared" si="1448"/>
        <v>3320.8743780373647</v>
      </c>
      <c r="AZ192" s="22">
        <f t="shared" si="1448"/>
        <v>1217.2199999999998</v>
      </c>
      <c r="BA192" s="22">
        <f t="shared" si="1448"/>
        <v>1140.1332816391846</v>
      </c>
      <c r="BB192" s="22">
        <f t="shared" si="1448"/>
        <v>2470.16</v>
      </c>
      <c r="BC192" s="22">
        <f t="shared" si="1448"/>
        <v>2487.1515082397223</v>
      </c>
      <c r="BD192" s="22">
        <f t="shared" si="1448"/>
        <v>3094.7400000000002</v>
      </c>
      <c r="BE192" s="22">
        <f t="shared" si="1448"/>
        <v>3014.1830002230913</v>
      </c>
      <c r="BF192" s="22">
        <f t="shared" si="1448"/>
        <v>1733.3600000000001</v>
      </c>
      <c r="BG192" s="22">
        <f t="shared" si="1448"/>
        <v>1707.4548696062827</v>
      </c>
      <c r="BH192" s="22">
        <f t="shared" si="1448"/>
        <v>1999.46</v>
      </c>
      <c r="BI192" s="22">
        <f t="shared" si="1448"/>
        <v>1860.2341364187737</v>
      </c>
      <c r="BJ192" s="22">
        <f t="shared" si="1448"/>
        <v>1271.0500000000002</v>
      </c>
      <c r="BK192" s="22">
        <f t="shared" si="1448"/>
        <v>1251.5935412112635</v>
      </c>
      <c r="BL192" s="22">
        <f t="shared" si="1448"/>
        <v>1236.1599999999999</v>
      </c>
      <c r="BM192" s="22">
        <f t="shared" si="1448"/>
        <v>1061.5906146271727</v>
      </c>
      <c r="BN192" s="22">
        <f t="shared" si="1448"/>
        <v>1540.2300000000002</v>
      </c>
      <c r="BO192" s="22">
        <f t="shared" si="1448"/>
        <v>1825.0712734952695</v>
      </c>
      <c r="BP192" s="22">
        <f t="shared" si="1448"/>
        <v>2078.4</v>
      </c>
      <c r="BQ192" s="22">
        <f t="shared" si="1448"/>
        <v>2189.2121007519372</v>
      </c>
      <c r="BR192" s="22">
        <f t="shared" si="1448"/>
        <v>3030.58</v>
      </c>
      <c r="BS192" s="22">
        <f t="shared" si="1448"/>
        <v>3310.1584512698778</v>
      </c>
      <c r="BT192" s="22">
        <f t="shared" si="1448"/>
        <v>3495.0299999999997</v>
      </c>
      <c r="BU192" s="22">
        <f t="shared" si="1448"/>
        <v>3407.3826467317435</v>
      </c>
      <c r="BV192" s="22">
        <f t="shared" si="1448"/>
        <v>-105.51999999999953</v>
      </c>
      <c r="BW192" s="22">
        <f t="shared" si="1448"/>
        <v>-289.64752545637975</v>
      </c>
      <c r="BX192" s="22">
        <f t="shared" si="1448"/>
        <v>-397.9699999999998</v>
      </c>
      <c r="BY192" s="22">
        <f t="shared" si="1448"/>
        <v>-776.50697974217246</v>
      </c>
      <c r="BZ192" s="22">
        <f t="shared" si="1448"/>
        <v>-992.50000000000023</v>
      </c>
      <c r="CA192" s="22">
        <f t="shared" si="1448"/>
        <v>-1222.6785459847549</v>
      </c>
      <c r="CB192" s="22">
        <f t="shared" si="1448"/>
        <v>-1110.46</v>
      </c>
      <c r="CC192" s="22">
        <f t="shared" si="1448"/>
        <v>-1507.531782863522</v>
      </c>
      <c r="CD192" s="22">
        <f t="shared" si="1448"/>
        <v>-1949.16</v>
      </c>
      <c r="CE192" s="22">
        <f t="shared" si="1448"/>
        <v>-2211.2542408703957</v>
      </c>
      <c r="CF192" s="22">
        <f t="shared" ref="CF192:CG192" si="1449">CF152-CF185</f>
        <v>-2182.09</v>
      </c>
      <c r="CG192" s="22">
        <f t="shared" si="1449"/>
        <v>-2703.508072634876</v>
      </c>
      <c r="CH192" s="22">
        <f t="shared" ref="CH192:CI192" si="1450">CH152-CH185</f>
        <v>-2855.73</v>
      </c>
      <c r="CI192" s="22">
        <f t="shared" si="1450"/>
        <v>-2770.4633692075508</v>
      </c>
      <c r="CJ192" s="22">
        <f t="shared" ref="CJ192:DB192" si="1451">CJ152-CJ185</f>
        <v>-2577.7299999999996</v>
      </c>
      <c r="CK192" s="22">
        <f t="shared" si="1451"/>
        <v>-3644.6466413672488</v>
      </c>
      <c r="CL192" s="22">
        <f t="shared" ref="CL192" si="1452">CL152-CL185</f>
        <v>-4279.7700000000004</v>
      </c>
      <c r="CM192" s="21">
        <f t="shared" si="1451"/>
        <v>-4780.2991406480769</v>
      </c>
      <c r="CN192" s="21">
        <f t="shared" si="1451"/>
        <v>-5336.8251580010538</v>
      </c>
      <c r="CO192" s="21">
        <f t="shared" si="1451"/>
        <v>-5950.3171751449745</v>
      </c>
      <c r="CP192" s="21">
        <f t="shared" si="1451"/>
        <v>-6513.1082851408974</v>
      </c>
      <c r="CQ192" s="21">
        <f t="shared" si="1451"/>
        <v>-7195.236726605458</v>
      </c>
      <c r="CR192" s="21">
        <f t="shared" si="1451"/>
        <v>-7873.0652823533146</v>
      </c>
      <c r="CS192" s="21">
        <f t="shared" si="1451"/>
        <v>-8585.5517451677588</v>
      </c>
      <c r="CT192" s="21">
        <f t="shared" si="1451"/>
        <v>-9326.8566347208071</v>
      </c>
      <c r="CU192" s="21">
        <f t="shared" si="1451"/>
        <v>-10068.137523831283</v>
      </c>
      <c r="CV192" s="21">
        <f t="shared" si="1451"/>
        <v>-10824.370869245524</v>
      </c>
      <c r="CW192" s="21">
        <f t="shared" si="1451"/>
        <v>-11600.755298363358</v>
      </c>
      <c r="CX192" s="21">
        <f t="shared" si="1451"/>
        <v>-12393.294172978047</v>
      </c>
      <c r="CY192" s="21">
        <f t="shared" si="1451"/>
        <v>-13198.522687841982</v>
      </c>
      <c r="CZ192" s="21">
        <f t="shared" si="1451"/>
        <v>-14019.924360988187</v>
      </c>
      <c r="DA192" s="21">
        <f t="shared" si="1451"/>
        <v>-14857.812152372111</v>
      </c>
      <c r="DB192" s="21">
        <f t="shared" si="1451"/>
        <v>-15711.183542340494</v>
      </c>
      <c r="DE192" s="126"/>
      <c r="DF192" s="22">
        <v>-4266.0655323036744</v>
      </c>
    </row>
    <row r="193" spans="1:110" x14ac:dyDescent="0.2">
      <c r="AA193" s="2"/>
      <c r="CE193" s="111"/>
      <c r="CG193" s="111"/>
      <c r="CL193" s="2"/>
    </row>
    <row r="194" spans="1:110" s="49" customFormat="1" x14ac:dyDescent="0.2">
      <c r="A194" s="49" t="s">
        <v>81</v>
      </c>
      <c r="B194" s="49">
        <f>'Annual Raw'!C85</f>
        <v>300.29000000000002</v>
      </c>
      <c r="C194" s="49">
        <f>'Annual Raw'!D85</f>
        <v>369.53</v>
      </c>
      <c r="D194" s="49">
        <f>'Annual Raw'!E85</f>
        <v>393.46</v>
      </c>
      <c r="E194" s="49">
        <f>'Annual Raw'!F85</f>
        <v>153.13</v>
      </c>
      <c r="F194" s="49">
        <f>'Annual Raw'!G85</f>
        <v>228.47</v>
      </c>
      <c r="G194" s="49">
        <f>'Annual Raw'!H85</f>
        <v>220.32</v>
      </c>
      <c r="H194" s="49">
        <f>'Annual Raw'!I85</f>
        <v>179.85</v>
      </c>
      <c r="I194" s="49">
        <f>'Annual Raw'!J85</f>
        <v>239.88</v>
      </c>
      <c r="J194" s="49">
        <f>'Annual Raw'!K85</f>
        <v>282.93</v>
      </c>
      <c r="K194" s="49">
        <f>'Annual Raw'!L85</f>
        <v>294.7</v>
      </c>
      <c r="L194" s="49">
        <f>'Annual Raw'!M85</f>
        <v>261.27</v>
      </c>
      <c r="M194" s="49">
        <f>'Annual Raw'!N85</f>
        <v>321.95</v>
      </c>
      <c r="N194" s="49">
        <f>'Annual Raw'!O85</f>
        <v>433.77</v>
      </c>
      <c r="O194" s="49">
        <f>'Annual Raw'!P85</f>
        <v>2508.4899999999998</v>
      </c>
      <c r="P194" s="49">
        <f>'Annual Raw'!Q85</f>
        <v>629.5</v>
      </c>
      <c r="Q194" s="49">
        <f>'Annual Raw'!R85</f>
        <v>587.09</v>
      </c>
      <c r="R194" s="49">
        <f>'Annual Raw'!S85</f>
        <v>297.92</v>
      </c>
      <c r="S194" s="49">
        <f>'Annual Raw'!T85</f>
        <v>458.11</v>
      </c>
      <c r="T194" s="49">
        <f>'Annual Raw'!U85</f>
        <v>478.89</v>
      </c>
      <c r="U194" s="49">
        <f>'Annual Raw'!V85</f>
        <v>536.66</v>
      </c>
      <c r="V194" s="49">
        <f>'Annual Raw'!W85</f>
        <v>579.02</v>
      </c>
      <c r="W194" s="49">
        <f>'Annual Raw'!X85</f>
        <v>545.99</v>
      </c>
      <c r="X194" s="49">
        <f>'Annual Raw'!Y85</f>
        <v>1972.7</v>
      </c>
      <c r="Y194" s="49">
        <f>'Annual Raw'!Z85</f>
        <v>2235.6799999999998</v>
      </c>
      <c r="Z194" s="49">
        <f>'Annual Raw'!AA85</f>
        <v>2639.81</v>
      </c>
      <c r="AA194" s="49">
        <f>'Annual Raw'!AB85</f>
        <v>2737.23</v>
      </c>
      <c r="AB194" s="50"/>
      <c r="AC194" s="50"/>
      <c r="AD194" s="50"/>
      <c r="AE194" s="50"/>
      <c r="CM194" s="50"/>
      <c r="CN194" s="50"/>
      <c r="CO194" s="50"/>
      <c r="CP194" s="50"/>
      <c r="CQ194" s="50"/>
      <c r="CR194" s="50"/>
      <c r="CS194" s="50"/>
      <c r="CT194" s="50"/>
      <c r="CU194" s="50"/>
      <c r="CV194" s="50"/>
      <c r="CW194" s="50"/>
      <c r="CX194" s="50"/>
      <c r="CY194" s="50"/>
      <c r="CZ194" s="50"/>
      <c r="DA194" s="50"/>
      <c r="DB194" s="50"/>
      <c r="DE194" s="138"/>
    </row>
    <row r="195" spans="1:110" s="29" customFormat="1" x14ac:dyDescent="0.2">
      <c r="A195" s="29" t="s">
        <v>82</v>
      </c>
      <c r="B195" s="29">
        <f>'Annual Raw'!C95</f>
        <v>164.65</v>
      </c>
      <c r="C195" s="29">
        <f>'Annual Raw'!D95</f>
        <v>231.68</v>
      </c>
      <c r="D195" s="29">
        <f>'Annual Raw'!E95</f>
        <v>250.78</v>
      </c>
      <c r="E195" s="29">
        <f>'Annual Raw'!F95</f>
        <v>7.81</v>
      </c>
      <c r="F195" s="29">
        <f>'Annual Raw'!G95</f>
        <v>81.430000000000007</v>
      </c>
      <c r="G195" s="29">
        <f>'Annual Raw'!H95</f>
        <v>81.2</v>
      </c>
      <c r="H195" s="29">
        <f>'Annual Raw'!I95</f>
        <v>32.83</v>
      </c>
      <c r="I195" s="29">
        <f>'Annual Raw'!J95</f>
        <v>33.04</v>
      </c>
      <c r="J195" s="29">
        <f>'Annual Raw'!K95</f>
        <v>37.64</v>
      </c>
      <c r="K195" s="29">
        <f>'Annual Raw'!L95</f>
        <v>46.18</v>
      </c>
      <c r="L195" s="29">
        <f>'Annual Raw'!M95</f>
        <v>46.18</v>
      </c>
      <c r="M195" s="29">
        <f>'Annual Raw'!N95</f>
        <v>32.549999999999997</v>
      </c>
      <c r="N195" s="29">
        <f>'Annual Raw'!O95</f>
        <v>24.05</v>
      </c>
      <c r="O195" s="29">
        <f>'Annual Raw'!P95</f>
        <v>2001.58</v>
      </c>
      <c r="P195" s="29">
        <f>'Annual Raw'!Q95</f>
        <v>71.94</v>
      </c>
      <c r="Q195" s="29">
        <f>'Annual Raw'!R95</f>
        <v>10.79</v>
      </c>
      <c r="R195" s="29">
        <f>'Annual Raw'!S95</f>
        <v>12.94</v>
      </c>
      <c r="S195" s="29">
        <f>'Annual Raw'!T95</f>
        <v>12.94</v>
      </c>
      <c r="T195" s="29">
        <f>'Annual Raw'!U95</f>
        <v>12.78</v>
      </c>
      <c r="U195" s="29">
        <f>'Annual Raw'!V95</f>
        <v>13.25</v>
      </c>
      <c r="V195" s="29">
        <f>'Annual Raw'!W95</f>
        <v>13.31</v>
      </c>
      <c r="W195" s="29">
        <f>'Annual Raw'!X95</f>
        <v>13.31</v>
      </c>
      <c r="X195" s="29">
        <f>'Annual Raw'!Y95</f>
        <v>0</v>
      </c>
      <c r="Y195" s="29">
        <f>'Annual Raw'!Z95</f>
        <v>54.7</v>
      </c>
      <c r="Z195" s="29">
        <f>'Annual Raw'!AA95</f>
        <v>148.87</v>
      </c>
      <c r="AA195" s="29">
        <f>'Annual Raw'!AB95</f>
        <v>0</v>
      </c>
      <c r="AB195" s="30"/>
      <c r="AC195" s="30"/>
      <c r="AD195" s="30"/>
      <c r="AE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E195" s="139"/>
    </row>
    <row r="196" spans="1:110" s="29" customFormat="1" x14ac:dyDescent="0.2">
      <c r="A196" s="29" t="s">
        <v>83</v>
      </c>
      <c r="B196" s="29">
        <f>'Annual Raw'!C93</f>
        <v>135.63999999999999</v>
      </c>
      <c r="C196" s="29">
        <f>'Annual Raw'!D93</f>
        <v>137.85</v>
      </c>
      <c r="D196" s="29">
        <f>'Annual Raw'!E93</f>
        <v>142.68</v>
      </c>
      <c r="E196" s="29">
        <f>'Annual Raw'!F93</f>
        <v>145.32</v>
      </c>
      <c r="F196" s="29">
        <f>'Annual Raw'!G93</f>
        <v>147.04</v>
      </c>
      <c r="G196" s="29">
        <f>'Annual Raw'!H93</f>
        <v>139.12</v>
      </c>
      <c r="H196" s="29">
        <f>'Annual Raw'!I93</f>
        <v>147.02000000000001</v>
      </c>
      <c r="I196" s="29">
        <f>'Annual Raw'!J93</f>
        <v>206.84</v>
      </c>
      <c r="J196" s="29">
        <f>'Annual Raw'!K93</f>
        <v>245.29</v>
      </c>
      <c r="K196" s="29">
        <f>'Annual Raw'!L93</f>
        <v>238.29</v>
      </c>
      <c r="L196" s="29">
        <f>'Annual Raw'!M93</f>
        <v>215.09</v>
      </c>
      <c r="M196" s="29">
        <f>'Annual Raw'!N93</f>
        <v>128.13999999999999</v>
      </c>
      <c r="N196" s="29">
        <f>'Annual Raw'!O93</f>
        <v>409.72</v>
      </c>
      <c r="O196" s="29">
        <f>'Annual Raw'!P93</f>
        <v>506.91</v>
      </c>
      <c r="P196" s="29">
        <f>'Annual Raw'!Q93</f>
        <v>557.55999999999995</v>
      </c>
      <c r="Q196" s="29">
        <f>'Annual Raw'!R93</f>
        <v>576.29999999999995</v>
      </c>
      <c r="R196" s="29">
        <f>'Annual Raw'!S93</f>
        <v>284.98</v>
      </c>
      <c r="S196" s="29">
        <f>'Annual Raw'!T93</f>
        <v>445.17</v>
      </c>
      <c r="T196" s="29">
        <f>'Annual Raw'!U93</f>
        <v>466.11</v>
      </c>
      <c r="U196" s="29">
        <f>'Annual Raw'!V93</f>
        <v>523.41</v>
      </c>
      <c r="V196" s="29">
        <f>'Annual Raw'!W93</f>
        <v>565.71</v>
      </c>
      <c r="W196" s="29">
        <f>'Annual Raw'!X93</f>
        <v>532.67999999999995</v>
      </c>
      <c r="X196" s="29">
        <f>'Annual Raw'!Y93</f>
        <v>1972.7</v>
      </c>
      <c r="Y196" s="29">
        <f>'Annual Raw'!Z93</f>
        <v>2180.98</v>
      </c>
      <c r="Z196" s="29">
        <f>'Annual Raw'!AA93</f>
        <v>2490.94</v>
      </c>
      <c r="AA196" s="29">
        <f>'Annual Raw'!AB93</f>
        <v>2737.23</v>
      </c>
      <c r="AB196" s="30"/>
      <c r="AC196" s="30"/>
      <c r="AD196" s="30"/>
      <c r="AE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E196" s="139"/>
    </row>
    <row r="197" spans="1:110" s="29" customFormat="1" x14ac:dyDescent="0.2">
      <c r="A197" s="29" t="s">
        <v>84</v>
      </c>
      <c r="B197" s="29">
        <f t="shared" ref="B197:V197" si="1453">B194-B195-B196</f>
        <v>0</v>
      </c>
      <c r="C197" s="29">
        <f t="shared" si="1453"/>
        <v>0</v>
      </c>
      <c r="D197" s="29">
        <f t="shared" si="1453"/>
        <v>0</v>
      </c>
      <c r="E197" s="29">
        <f t="shared" si="1453"/>
        <v>0</v>
      </c>
      <c r="F197" s="29">
        <f t="shared" si="1453"/>
        <v>0</v>
      </c>
      <c r="G197" s="29">
        <f t="shared" si="1453"/>
        <v>0</v>
      </c>
      <c r="H197" s="29">
        <f t="shared" si="1453"/>
        <v>0</v>
      </c>
      <c r="I197" s="29">
        <f t="shared" si="1453"/>
        <v>0</v>
      </c>
      <c r="J197" s="29">
        <f t="shared" si="1453"/>
        <v>0</v>
      </c>
      <c r="K197" s="29">
        <f t="shared" si="1453"/>
        <v>10.22999999999999</v>
      </c>
      <c r="L197" s="29">
        <f t="shared" si="1453"/>
        <v>0</v>
      </c>
      <c r="M197" s="29">
        <f t="shared" si="1453"/>
        <v>161.26</v>
      </c>
      <c r="N197" s="29">
        <f t="shared" si="1453"/>
        <v>0</v>
      </c>
      <c r="O197" s="29">
        <f t="shared" si="1453"/>
        <v>0</v>
      </c>
      <c r="P197" s="29">
        <f t="shared" si="1453"/>
        <v>0</v>
      </c>
      <c r="Q197" s="29">
        <f t="shared" si="1453"/>
        <v>0</v>
      </c>
      <c r="R197" s="29">
        <f t="shared" si="1453"/>
        <v>0</v>
      </c>
      <c r="S197" s="29">
        <f t="shared" si="1453"/>
        <v>0</v>
      </c>
      <c r="T197" s="29">
        <f t="shared" si="1453"/>
        <v>0</v>
      </c>
      <c r="U197" s="29">
        <f t="shared" si="1453"/>
        <v>0</v>
      </c>
      <c r="V197" s="29">
        <f t="shared" si="1453"/>
        <v>0</v>
      </c>
      <c r="W197" s="29">
        <f t="shared" ref="W197" si="1454">W194-W195-W196</f>
        <v>0</v>
      </c>
      <c r="X197" s="29">
        <f t="shared" ref="X197:Y197" si="1455">X194-X195-X196</f>
        <v>0</v>
      </c>
      <c r="Y197" s="29">
        <f t="shared" si="1455"/>
        <v>0</v>
      </c>
      <c r="Z197" s="29">
        <f t="shared" ref="Z197:AA197" si="1456">Z194-Z195-Z196</f>
        <v>0</v>
      </c>
      <c r="AA197" s="29">
        <f t="shared" si="1456"/>
        <v>0</v>
      </c>
      <c r="AB197" s="30">
        <f t="shared" ref="AA197:AD197" si="1457">AB194-AB195-AB196</f>
        <v>0</v>
      </c>
      <c r="AC197" s="30">
        <f t="shared" si="1457"/>
        <v>0</v>
      </c>
      <c r="AD197" s="30">
        <f t="shared" si="1457"/>
        <v>0</v>
      </c>
      <c r="AE197" s="30">
        <f t="shared" ref="AE197" si="1458">AE194-AE195-AE196</f>
        <v>0</v>
      </c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E197" s="139"/>
      <c r="DF197" s="29">
        <v>0</v>
      </c>
    </row>
    <row r="198" spans="1:110" s="5" customFormat="1" x14ac:dyDescent="0.2">
      <c r="AB198" s="63"/>
      <c r="AC198" s="63"/>
      <c r="AD198" s="63"/>
      <c r="AE198" s="63"/>
      <c r="CE198" s="112"/>
      <c r="CG198" s="112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E198" s="139"/>
    </row>
    <row r="199" spans="1:110" s="95" customFormat="1" x14ac:dyDescent="0.2">
      <c r="A199" s="95" t="s">
        <v>85</v>
      </c>
      <c r="B199" s="95">
        <f t="shared" ref="B199:W199" si="1459">B194/B144</f>
        <v>0.29290298667603054</v>
      </c>
      <c r="C199" s="95">
        <f t="shared" si="1459"/>
        <v>0.36009198896911931</v>
      </c>
      <c r="D199" s="95">
        <f t="shared" si="1459"/>
        <v>0.36833926231042874</v>
      </c>
      <c r="E199" s="95">
        <f t="shared" si="1459"/>
        <v>0.1430426334865299</v>
      </c>
      <c r="F199" s="95">
        <f t="shared" si="1459"/>
        <v>0.17306104516842527</v>
      </c>
      <c r="G199" s="95">
        <f t="shared" si="1459"/>
        <v>0.11402900410943305</v>
      </c>
      <c r="H199" s="95">
        <f t="shared" si="1459"/>
        <v>8.5780923581764937E-2</v>
      </c>
      <c r="I199" s="95">
        <f t="shared" si="1459"/>
        <v>0.10571638850816846</v>
      </c>
      <c r="J199" s="95">
        <f t="shared" si="1459"/>
        <v>8.5791218021219626E-2</v>
      </c>
      <c r="K199" s="95">
        <f t="shared" si="1459"/>
        <v>0.1157888533092352</v>
      </c>
      <c r="L199" s="95">
        <f t="shared" si="1459"/>
        <v>8.9769623254135941E-2</v>
      </c>
      <c r="M199" s="95">
        <f t="shared" si="1459"/>
        <v>0.10406632834470052</v>
      </c>
      <c r="N199" s="95">
        <f t="shared" si="1459"/>
        <v>0.14559558014016807</v>
      </c>
      <c r="O199" s="95">
        <f t="shared" si="1459"/>
        <v>0.95146142934085853</v>
      </c>
      <c r="P199" s="95">
        <f t="shared" si="1459"/>
        <v>0.28263934411508518</v>
      </c>
      <c r="Q199" s="95">
        <f t="shared" si="1459"/>
        <v>0.22753221587055519</v>
      </c>
      <c r="R199" s="95">
        <f t="shared" si="1459"/>
        <v>0.11833069202324353</v>
      </c>
      <c r="S199" s="95">
        <f t="shared" si="1459"/>
        <v>0.10956686039558967</v>
      </c>
      <c r="T199" s="95">
        <f t="shared" si="1459"/>
        <v>0.11014029438822447</v>
      </c>
      <c r="U199" s="95">
        <f t="shared" si="1459"/>
        <v>0.12317727878883861</v>
      </c>
      <c r="V199" s="95">
        <f t="shared" si="1459"/>
        <v>0.15870344585631119</v>
      </c>
      <c r="W199" s="95">
        <f t="shared" si="1459"/>
        <v>7.731105525859322E-2</v>
      </c>
      <c r="X199" s="95">
        <f t="shared" ref="X199:Y199" si="1460">X194/X144</f>
        <v>0.24714481155004536</v>
      </c>
      <c r="Y199" s="95">
        <f t="shared" si="1460"/>
        <v>0.23641352910385813</v>
      </c>
      <c r="Z199" s="95">
        <f t="shared" ref="Z199:AA199" si="1461">Z194/Z144</f>
        <v>0.23652706682639363</v>
      </c>
      <c r="AA199" s="95">
        <f t="shared" si="1461"/>
        <v>0.20971262514087566</v>
      </c>
      <c r="AB199" s="87">
        <f t="shared" ref="AA199:AD199" si="1462">AB194/AB144</f>
        <v>0</v>
      </c>
      <c r="AC199" s="87">
        <f t="shared" si="1462"/>
        <v>0</v>
      </c>
      <c r="AD199" s="87">
        <f t="shared" si="1462"/>
        <v>0</v>
      </c>
      <c r="AE199" s="87">
        <f t="shared" ref="AE199" si="1463">AE194/AE144</f>
        <v>0</v>
      </c>
      <c r="CM199" s="96"/>
      <c r="CN199" s="96"/>
      <c r="CO199" s="96"/>
      <c r="CP199" s="96"/>
      <c r="CQ199" s="96"/>
      <c r="CR199" s="96"/>
      <c r="CS199" s="96"/>
      <c r="CT199" s="96"/>
      <c r="CU199" s="96"/>
      <c r="CV199" s="96"/>
      <c r="CW199" s="96"/>
      <c r="CX199" s="96"/>
      <c r="CY199" s="96"/>
      <c r="CZ199" s="96"/>
      <c r="DA199" s="96"/>
      <c r="DB199" s="96"/>
      <c r="DE199" s="140"/>
      <c r="DF199" s="95">
        <v>0</v>
      </c>
    </row>
    <row r="200" spans="1:110" x14ac:dyDescent="0.2">
      <c r="A200" s="152" t="s">
        <v>492</v>
      </c>
      <c r="AA200" s="2"/>
      <c r="CE200" s="111"/>
      <c r="CG200" s="111"/>
      <c r="CL200" s="2"/>
    </row>
    <row r="201" spans="1:110" s="6" customFormat="1" x14ac:dyDescent="0.2">
      <c r="AB201" s="19"/>
      <c r="AC201" s="19"/>
      <c r="AD201" s="19"/>
      <c r="AE201" s="19"/>
      <c r="CE201" s="113"/>
      <c r="CG201" s="113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E201" s="123"/>
    </row>
    <row r="202" spans="1:110" s="62" customFormat="1" x14ac:dyDescent="0.2">
      <c r="A202" s="153" t="s">
        <v>493</v>
      </c>
      <c r="AB202" s="63"/>
      <c r="AC202" s="63"/>
      <c r="AD202" s="63"/>
      <c r="AE202" s="63"/>
      <c r="CE202" s="114"/>
      <c r="CG202" s="114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E202" s="139"/>
    </row>
    <row r="203" spans="1:110" s="62" customFormat="1" outlineLevel="1" x14ac:dyDescent="0.2">
      <c r="A203" s="68" t="s">
        <v>464</v>
      </c>
      <c r="B203" s="67">
        <f t="shared" ref="B203:AE203" si="1464">B168/B32*365</f>
        <v>9.5935272727272718</v>
      </c>
      <c r="C203" s="67">
        <f t="shared" si="1464"/>
        <v>8.5004796647395917</v>
      </c>
      <c r="D203" s="67">
        <f t="shared" si="1464"/>
        <v>9.1943896331683206</v>
      </c>
      <c r="E203" s="67">
        <f t="shared" si="1464"/>
        <v>9.0563581219945331</v>
      </c>
      <c r="F203" s="67">
        <f t="shared" si="1464"/>
        <v>8.0612167213539099</v>
      </c>
      <c r="G203" s="67">
        <f t="shared" si="1464"/>
        <v>6.9312473126472938</v>
      </c>
      <c r="H203" s="67">
        <f t="shared" si="1464"/>
        <v>6.5405087281795504</v>
      </c>
      <c r="I203" s="67">
        <f t="shared" si="1464"/>
        <v>6.6661815118337815</v>
      </c>
      <c r="J203" s="67">
        <f t="shared" si="1464"/>
        <v>8.7101145514178384</v>
      </c>
      <c r="K203" s="67">
        <f t="shared" si="1464"/>
        <v>8.6362861064172431</v>
      </c>
      <c r="L203" s="67">
        <f t="shared" si="1464"/>
        <v>7.4632921917085593</v>
      </c>
      <c r="M203" s="67">
        <f t="shared" si="1464"/>
        <v>9.1527710017656343</v>
      </c>
      <c r="N203" s="67">
        <f t="shared" si="1464"/>
        <v>9.4327288852795341</v>
      </c>
      <c r="O203" s="67">
        <f t="shared" si="1464"/>
        <v>9.1622747584347994</v>
      </c>
      <c r="P203" s="67">
        <f t="shared" si="1464"/>
        <v>8.9719813591046247</v>
      </c>
      <c r="Q203" s="67">
        <f t="shared" si="1464"/>
        <v>7.2800035794005504</v>
      </c>
      <c r="R203" s="67">
        <f t="shared" si="1464"/>
        <v>7.302596398023165</v>
      </c>
      <c r="S203" s="67">
        <f t="shared" si="1464"/>
        <v>7.6245689707692117</v>
      </c>
      <c r="T203" s="67">
        <f t="shared" si="1464"/>
        <v>6.5039893617021285</v>
      </c>
      <c r="U203" s="67">
        <f t="shared" si="1464"/>
        <v>7.6555183122196473</v>
      </c>
      <c r="V203" s="67">
        <f t="shared" si="1464"/>
        <v>21.522385027552755</v>
      </c>
      <c r="W203" s="67">
        <f t="shared" si="1464"/>
        <v>12.041983234191255</v>
      </c>
      <c r="X203" s="67">
        <f t="shared" si="1464"/>
        <v>6.8609754712207245</v>
      </c>
      <c r="Y203" s="67">
        <f t="shared" si="1464"/>
        <v>6.2789436749769161</v>
      </c>
      <c r="Z203" s="67">
        <f t="shared" si="1464"/>
        <v>5.932726941138923</v>
      </c>
      <c r="AA203" s="67">
        <f t="shared" ref="AA203" si="1465">AA168/AA32*365</f>
        <v>5.6404385492330658</v>
      </c>
      <c r="AB203" s="18">
        <f t="shared" si="1464"/>
        <v>4.9383545001404698</v>
      </c>
      <c r="AC203" s="18">
        <f t="shared" si="1464"/>
        <v>5.0433748869747763</v>
      </c>
      <c r="AD203" s="18">
        <f t="shared" si="1464"/>
        <v>5.0542727849931524</v>
      </c>
      <c r="AE203" s="18">
        <f t="shared" si="1464"/>
        <v>5.0500981726046632</v>
      </c>
      <c r="AI203" s="67">
        <f>AJ168/AI32*90</f>
        <v>4.1581336429853266</v>
      </c>
      <c r="AJ203" s="67">
        <f>AJ168/AJ32*90</f>
        <v>4.3562300319488818</v>
      </c>
      <c r="AK203" s="67">
        <f t="shared" ref="AK203:CE203" si="1466">+AJ203</f>
        <v>4.3562300319488818</v>
      </c>
      <c r="AL203" s="67">
        <f>AL168/AL32*90</f>
        <v>8.5651044740880646</v>
      </c>
      <c r="AM203" s="67">
        <f t="shared" ref="AM203:AM204" si="1467">+AL203</f>
        <v>8.5651044740880646</v>
      </c>
      <c r="AN203" s="67">
        <f>AN168/AN32*90</f>
        <v>3.9067104205732659</v>
      </c>
      <c r="AO203" s="67">
        <f t="shared" ref="AO203:AO204" si="1468">+AN203</f>
        <v>3.9067104205732659</v>
      </c>
      <c r="AP203" s="67">
        <f>AP168/AP32*90</f>
        <v>8.3972905773520043</v>
      </c>
      <c r="AQ203" s="67">
        <f t="shared" ref="AQ203:AQ204" si="1469">+AP203</f>
        <v>8.3972905773520043</v>
      </c>
      <c r="AR203" s="67">
        <f>AR168/AR32*90</f>
        <v>4.3146211312700107</v>
      </c>
      <c r="AS203" s="67">
        <f t="shared" ref="AS203:AS204" si="1470">+AR203</f>
        <v>4.3146211312700107</v>
      </c>
      <c r="AT203" s="67">
        <f>AT168/AT32*90</f>
        <v>8.368463830940124</v>
      </c>
      <c r="AU203" s="67">
        <f t="shared" ref="AU203:AU204" si="1471">+AT203</f>
        <v>8.368463830940124</v>
      </c>
      <c r="AV203" s="67">
        <f>AV168/AV32*90</f>
        <v>4.7879512953252013</v>
      </c>
      <c r="AW203" s="67">
        <f t="shared" ref="AW203:AW204" si="1472">+AV203</f>
        <v>4.7879512953252013</v>
      </c>
      <c r="AX203" s="67">
        <f>AX168/AX32*90</f>
        <v>5.8786275387683657</v>
      </c>
      <c r="AY203" s="67">
        <f t="shared" ref="AY203:AY204" si="1473">+AX203</f>
        <v>5.8786275387683657</v>
      </c>
      <c r="AZ203" s="67">
        <f>AZ168/AZ32*90</f>
        <v>4.8901687197809007</v>
      </c>
      <c r="BA203" s="67">
        <f t="shared" ref="BA203:BA204" si="1474">+AZ203</f>
        <v>4.8901687197809007</v>
      </c>
      <c r="BB203" s="67">
        <f>BB168/BB32*90</f>
        <v>6.8803102012887045</v>
      </c>
      <c r="BC203" s="67">
        <f t="shared" ref="BC203:BC204" si="1475">+BB203</f>
        <v>6.8803102012887045</v>
      </c>
      <c r="BD203" s="67">
        <f>BD168/BD32*90</f>
        <v>9.5889252879636491</v>
      </c>
      <c r="BE203" s="67">
        <f t="shared" ref="BE203:BE204" si="1476">+BD203</f>
        <v>9.5889252879636491</v>
      </c>
      <c r="BF203" s="67">
        <f>BF168/BF32*90</f>
        <v>6.7468910149895924</v>
      </c>
      <c r="BG203" s="67">
        <f t="shared" ref="BG203:BG204" si="1477">+BF203</f>
        <v>6.7468910149895924</v>
      </c>
      <c r="BH203" s="67">
        <f>BH168/BH32*90</f>
        <v>8.2485770271531216</v>
      </c>
      <c r="BI203" s="67">
        <f t="shared" ref="BI203:BI204" si="1478">+BH203</f>
        <v>8.2485770271531216</v>
      </c>
      <c r="BJ203" s="67">
        <f>BJ168/BJ32*90</f>
        <v>5.8152243795808163</v>
      </c>
      <c r="BK203" s="67">
        <f t="shared" ref="BK203:BK204" si="1479">+BJ203</f>
        <v>5.8152243795808163</v>
      </c>
      <c r="BL203" s="67">
        <f>BL168/BL32*90</f>
        <v>7.7873620265226711</v>
      </c>
      <c r="BM203" s="67">
        <f t="shared" ref="BM203:BM204" si="1480">+BL203</f>
        <v>7.7873620265226711</v>
      </c>
      <c r="BN203" s="67">
        <f>BN168/BN32*90</f>
        <v>7.9257370787785284</v>
      </c>
      <c r="BO203" s="67">
        <f t="shared" ref="BO203:BO204" si="1481">+BN203</f>
        <v>7.9257370787785284</v>
      </c>
      <c r="BP203" s="67">
        <f>BP168/BP32*90</f>
        <v>32.834378774301634</v>
      </c>
      <c r="BQ203" s="67">
        <f t="shared" ref="BQ203:BQ204" si="1482">+BP203</f>
        <v>32.834378774301634</v>
      </c>
      <c r="BR203" s="67">
        <f>BR168/BR32*90</f>
        <v>13.591753113719879</v>
      </c>
      <c r="BS203" s="67">
        <f t="shared" ref="BS203:BS204" si="1483">+BR203</f>
        <v>13.591753113719879</v>
      </c>
      <c r="BT203" s="67">
        <f>BT168/BT32*90</f>
        <v>11.644631162733226</v>
      </c>
      <c r="BU203" s="67">
        <f t="shared" ref="BU203:BU204" si="1484">+BT203</f>
        <v>11.644631162733226</v>
      </c>
      <c r="BV203" s="67">
        <f>BV168/BV32*90</f>
        <v>10.405811393450142</v>
      </c>
      <c r="BW203" s="67">
        <f t="shared" ref="BW203:BW204" si="1485">+BV203</f>
        <v>10.405811393450142</v>
      </c>
      <c r="BX203" s="67">
        <f>BX168/BX32*90</f>
        <v>7.8645313602842748</v>
      </c>
      <c r="BY203" s="67">
        <f t="shared" ref="BY203:BY204" si="1486">+BX203</f>
        <v>7.8645313602842748</v>
      </c>
      <c r="BZ203" s="67">
        <f>BZ168/BZ32*90</f>
        <v>6.0469537291670505</v>
      </c>
      <c r="CA203" s="67">
        <f t="shared" ref="CA203:CA204" si="1487">+BZ203</f>
        <v>6.0469537291670505</v>
      </c>
      <c r="CB203" s="67">
        <f>CB168/CB32*90</f>
        <v>7.4746720625174436</v>
      </c>
      <c r="CC203" s="67">
        <f t="shared" ref="CC203:CC204" si="1488">+CB203</f>
        <v>7.4746720625174436</v>
      </c>
      <c r="CD203" s="67">
        <f>CD168/CD32*90</f>
        <v>5.5001207133634944</v>
      </c>
      <c r="CE203" s="67">
        <f t="shared" si="1466"/>
        <v>5.5001207133634944</v>
      </c>
      <c r="CF203" s="67">
        <f>CF168/CF32*90</f>
        <v>6.4533546535824593</v>
      </c>
      <c r="CG203" s="67">
        <f t="shared" ref="CG203:CI204" si="1489">+CF203</f>
        <v>6.4533546535824593</v>
      </c>
      <c r="CH203" s="67">
        <f>CH168/CH32*90</f>
        <v>5.0274623320715506</v>
      </c>
      <c r="CI203" s="67">
        <f t="shared" si="1489"/>
        <v>5.0274623320715506</v>
      </c>
      <c r="CJ203" s="67">
        <f>CJ168/CJ32*90</f>
        <v>5.9991474307777484</v>
      </c>
      <c r="CK203" s="67">
        <f t="shared" ref="CK203:CK204" si="1490">+CJ203</f>
        <v>5.9991474307777484</v>
      </c>
      <c r="CL203" s="67">
        <f>CL168/CL32*90</f>
        <v>4.8731597770939032</v>
      </c>
      <c r="CM203" s="30">
        <f t="shared" ref="CM203:CM204" si="1491">+CL203</f>
        <v>4.8731597770939032</v>
      </c>
      <c r="CN203" s="30">
        <f t="shared" ref="CN203:CN204" si="1492">+CM203</f>
        <v>4.8731597770939032</v>
      </c>
      <c r="CO203" s="30">
        <f t="shared" ref="CO203:CO204" si="1493">+CN203</f>
        <v>4.8731597770939032</v>
      </c>
      <c r="CP203" s="30">
        <f t="shared" ref="CP203:CP204" si="1494">+CO203</f>
        <v>4.8731597770939032</v>
      </c>
      <c r="CQ203" s="30">
        <f t="shared" ref="CQ203:CQ204" si="1495">+CP203</f>
        <v>4.8731597770939032</v>
      </c>
      <c r="CR203" s="30">
        <f t="shared" ref="CR203:CR204" si="1496">+CQ203</f>
        <v>4.8731597770939032</v>
      </c>
      <c r="CS203" s="30">
        <f t="shared" ref="CS203:CS204" si="1497">+CR203</f>
        <v>4.8731597770939032</v>
      </c>
      <c r="CT203" s="30">
        <f t="shared" ref="CT203:CT204" si="1498">+CS203</f>
        <v>4.8731597770939032</v>
      </c>
      <c r="CU203" s="30">
        <f t="shared" ref="CU203:CU204" si="1499">+CT203</f>
        <v>4.8731597770939032</v>
      </c>
      <c r="CV203" s="30">
        <f t="shared" ref="CV203:CV204" si="1500">+CU203</f>
        <v>4.8731597770939032</v>
      </c>
      <c r="CW203" s="30">
        <f t="shared" ref="CW203:CW204" si="1501">+CV203</f>
        <v>4.8731597770939032</v>
      </c>
      <c r="CX203" s="30">
        <f t="shared" ref="CX203:CX204" si="1502">+CW203</f>
        <v>4.8731597770939032</v>
      </c>
      <c r="CY203" s="30">
        <f t="shared" ref="CY203:CY204" si="1503">+CX203</f>
        <v>4.8731597770939032</v>
      </c>
      <c r="CZ203" s="30">
        <f t="shared" ref="CZ203:CZ204" si="1504">+CY203</f>
        <v>4.8731597770939032</v>
      </c>
      <c r="DA203" s="30">
        <f t="shared" ref="DA203:DA204" si="1505">+CZ203</f>
        <v>4.8731597770939032</v>
      </c>
      <c r="DB203" s="30">
        <f t="shared" ref="DB203:DB204" si="1506">+DA203</f>
        <v>4.8731597770939032</v>
      </c>
      <c r="DE203" s="139"/>
      <c r="DF203" s="62">
        <v>5.9991474307777484</v>
      </c>
    </row>
    <row r="204" spans="1:110" s="62" customFormat="1" outlineLevel="1" x14ac:dyDescent="0.2">
      <c r="A204" s="68" t="s">
        <v>465</v>
      </c>
      <c r="B204" s="67">
        <f t="shared" ref="B204:AE204" si="1507">B169/B32*365</f>
        <v>52.299854545454551</v>
      </c>
      <c r="C204" s="67">
        <f t="shared" si="1507"/>
        <v>52.048736462093864</v>
      </c>
      <c r="D204" s="67">
        <f t="shared" si="1507"/>
        <v>46.275198762996041</v>
      </c>
      <c r="E204" s="67">
        <f t="shared" si="1507"/>
        <v>39.15318155516092</v>
      </c>
      <c r="F204" s="67">
        <f t="shared" si="1507"/>
        <v>27.759929350680991</v>
      </c>
      <c r="G204" s="67">
        <f t="shared" si="1507"/>
        <v>26.652225264108942</v>
      </c>
      <c r="H204" s="67">
        <f t="shared" si="1507"/>
        <v>29.818952618453864</v>
      </c>
      <c r="I204" s="67">
        <f t="shared" si="1507"/>
        <v>25.988482995037717</v>
      </c>
      <c r="J204" s="67">
        <f t="shared" si="1507"/>
        <v>24.155960433783918</v>
      </c>
      <c r="K204" s="67">
        <f t="shared" si="1507"/>
        <v>29.752838136944568</v>
      </c>
      <c r="L204" s="67">
        <f t="shared" si="1507"/>
        <v>25.753649819910777</v>
      </c>
      <c r="M204" s="67">
        <f t="shared" si="1507"/>
        <v>30.779173636279154</v>
      </c>
      <c r="N204" s="67">
        <f t="shared" si="1507"/>
        <v>26.714689476833648</v>
      </c>
      <c r="O204" s="67">
        <f t="shared" si="1507"/>
        <v>25.178078250155551</v>
      </c>
      <c r="P204" s="67">
        <f t="shared" si="1507"/>
        <v>26.126451545131594</v>
      </c>
      <c r="Q204" s="67">
        <f t="shared" si="1507"/>
        <v>21.954327843262028</v>
      </c>
      <c r="R204" s="67">
        <f t="shared" si="1507"/>
        <v>24.698463153234488</v>
      </c>
      <c r="S204" s="67">
        <f t="shared" si="1507"/>
        <v>29.224549475454179</v>
      </c>
      <c r="T204" s="67">
        <f t="shared" si="1507"/>
        <v>25.99816046099291</v>
      </c>
      <c r="U204" s="67">
        <f t="shared" si="1507"/>
        <v>23.718122218886254</v>
      </c>
      <c r="V204" s="67">
        <f t="shared" si="1507"/>
        <v>50.941872571675262</v>
      </c>
      <c r="W204" s="67">
        <f t="shared" si="1507"/>
        <v>30.494892383401723</v>
      </c>
      <c r="X204" s="67">
        <f t="shared" si="1507"/>
        <v>28.047637570977862</v>
      </c>
      <c r="Y204" s="67">
        <f t="shared" si="1507"/>
        <v>25.692764542936288</v>
      </c>
      <c r="Z204" s="67">
        <f t="shared" si="1507"/>
        <v>28.504416560482039</v>
      </c>
      <c r="AA204" s="67">
        <f t="shared" ref="AA204" si="1508">AA169/AA32*365</f>
        <v>27.379840688930589</v>
      </c>
      <c r="AB204" s="18">
        <f t="shared" si="1507"/>
        <v>23.971781324998979</v>
      </c>
      <c r="AC204" s="18">
        <f t="shared" si="1507"/>
        <v>24.481571731456675</v>
      </c>
      <c r="AD204" s="18">
        <f t="shared" si="1507"/>
        <v>24.534472354162318</v>
      </c>
      <c r="AE204" s="18">
        <f t="shared" si="1507"/>
        <v>24.514207933029599</v>
      </c>
      <c r="AI204" s="67">
        <f>AJ169/AI32*90</f>
        <v>12.211548611844188</v>
      </c>
      <c r="AJ204" s="67">
        <f>AJ169/AJ32*90</f>
        <v>12.793315310887197</v>
      </c>
      <c r="AK204" s="67">
        <f>+AJ204</f>
        <v>12.793315310887197</v>
      </c>
      <c r="AL204" s="67">
        <f>AL169/AL32*90</f>
        <v>24.257466650926695</v>
      </c>
      <c r="AM204" s="67">
        <f t="shared" si="1467"/>
        <v>24.257466650926695</v>
      </c>
      <c r="AN204" s="67">
        <f>AN169/AN32*90</f>
        <v>12.487610500937583</v>
      </c>
      <c r="AO204" s="67">
        <f t="shared" si="1468"/>
        <v>12.487610500937583</v>
      </c>
      <c r="AP204" s="67">
        <f>AP169/AP32*90</f>
        <v>23.075889429229587</v>
      </c>
      <c r="AQ204" s="67">
        <f t="shared" si="1469"/>
        <v>23.075889429229587</v>
      </c>
      <c r="AR204" s="67">
        <f>AR169/AR32*90</f>
        <v>13.559551760939167</v>
      </c>
      <c r="AS204" s="67">
        <f t="shared" si="1470"/>
        <v>13.559551760939167</v>
      </c>
      <c r="AT204" s="67">
        <f>AT169/AT32*90</f>
        <v>24.369005689515038</v>
      </c>
      <c r="AU204" s="67">
        <f t="shared" si="1471"/>
        <v>24.369005689515038</v>
      </c>
      <c r="AV204" s="67">
        <f>AV169/AV32*90</f>
        <v>16.022227936983576</v>
      </c>
      <c r="AW204" s="67">
        <f t="shared" si="1472"/>
        <v>16.022227936983576</v>
      </c>
      <c r="AX204" s="67">
        <f>AX169/AX32*90</f>
        <v>17.728194065692538</v>
      </c>
      <c r="AY204" s="67">
        <f t="shared" si="1473"/>
        <v>17.728194065692538</v>
      </c>
      <c r="AZ204" s="67">
        <f>AZ169/AZ32*90</f>
        <v>18.034082071973582</v>
      </c>
      <c r="BA204" s="67">
        <f t="shared" si="1474"/>
        <v>18.034082071973582</v>
      </c>
      <c r="BB204" s="67">
        <f>BB169/BB32*90</f>
        <v>23.270228659405827</v>
      </c>
      <c r="BC204" s="67">
        <f t="shared" si="1475"/>
        <v>23.270228659405827</v>
      </c>
      <c r="BD204" s="67">
        <f>BD169/BD32*90</f>
        <v>34.053682764451025</v>
      </c>
      <c r="BE204" s="67">
        <f t="shared" si="1476"/>
        <v>34.053682764451025</v>
      </c>
      <c r="BF204" s="67">
        <f>BF169/BF32*90</f>
        <v>25.860458608084233</v>
      </c>
      <c r="BG204" s="67">
        <f t="shared" si="1477"/>
        <v>25.860458608084233</v>
      </c>
      <c r="BH204" s="67">
        <f>BH169/BH32*90</f>
        <v>29.911355789866569</v>
      </c>
      <c r="BI204" s="67">
        <f t="shared" si="1478"/>
        <v>29.911355789866569</v>
      </c>
      <c r="BJ204" s="67">
        <f>BJ169/BJ32*90</f>
        <v>23.244985212806995</v>
      </c>
      <c r="BK204" s="67">
        <f t="shared" si="1479"/>
        <v>23.244985212806995</v>
      </c>
      <c r="BL204" s="67">
        <f>BL169/BL32*90</f>
        <v>29.201937584372271</v>
      </c>
      <c r="BM204" s="67">
        <f t="shared" si="1480"/>
        <v>29.201937584372271</v>
      </c>
      <c r="BN204" s="67">
        <f>BN169/BN32*90</f>
        <v>24.555306779055108</v>
      </c>
      <c r="BO204" s="67">
        <f t="shared" si="1481"/>
        <v>24.555306779055108</v>
      </c>
      <c r="BP204" s="67">
        <f>BP169/BP32*90</f>
        <v>79.161569330268435</v>
      </c>
      <c r="BQ204" s="67">
        <f t="shared" si="1482"/>
        <v>79.161569330268435</v>
      </c>
      <c r="BR204" s="67">
        <f>BR169/BR32*90</f>
        <v>32.170661116711649</v>
      </c>
      <c r="BS204" s="67">
        <f t="shared" si="1483"/>
        <v>32.170661116711649</v>
      </c>
      <c r="BT204" s="67">
        <f>BT169/BT32*90</f>
        <v>28.26763870011121</v>
      </c>
      <c r="BU204" s="67">
        <f t="shared" si="1484"/>
        <v>28.26763870011121</v>
      </c>
      <c r="BV204" s="67">
        <f>BV169/BV32*90</f>
        <v>26.351481515457294</v>
      </c>
      <c r="BW204" s="67">
        <f t="shared" si="1485"/>
        <v>26.351481515457294</v>
      </c>
      <c r="BX204" s="67">
        <f>BX169/BX32*90</f>
        <v>26.590892496410056</v>
      </c>
      <c r="BY204" s="67">
        <f t="shared" si="1486"/>
        <v>26.590892496410056</v>
      </c>
      <c r="BZ204" s="67">
        <f>BZ169/BZ32*90</f>
        <v>24.719920267252355</v>
      </c>
      <c r="CA204" s="67">
        <f t="shared" si="1487"/>
        <v>24.719920267252355</v>
      </c>
      <c r="CB204" s="67">
        <f>CB169/CB32*90</f>
        <v>30.376569913480321</v>
      </c>
      <c r="CC204" s="67">
        <f t="shared" si="1488"/>
        <v>30.376569913480321</v>
      </c>
      <c r="CD204" s="67">
        <f>CD169/CD32*90</f>
        <v>22.505904457997001</v>
      </c>
      <c r="CE204" s="114">
        <f t="shared" ref="CE204" si="1509">+CD204</f>
        <v>22.505904457997001</v>
      </c>
      <c r="CF204" s="67">
        <f>CF169/CF32*90</f>
        <v>29.903566030709921</v>
      </c>
      <c r="CG204" s="67">
        <f t="shared" si="1489"/>
        <v>29.903566030709921</v>
      </c>
      <c r="CH204" s="67">
        <f>CH169/CH32*90</f>
        <v>24.154976619906481</v>
      </c>
      <c r="CI204" s="67">
        <f t="shared" si="1489"/>
        <v>24.154976619906481</v>
      </c>
      <c r="CJ204" s="67">
        <f>CJ169/CJ32*90</f>
        <v>36.734855871703026</v>
      </c>
      <c r="CK204" s="67">
        <f t="shared" si="1490"/>
        <v>36.734855871703026</v>
      </c>
      <c r="CL204" s="67">
        <f>CL169/CL32*90</f>
        <v>23.655312824333077</v>
      </c>
      <c r="CM204" s="30">
        <f t="shared" si="1491"/>
        <v>23.655312824333077</v>
      </c>
      <c r="CN204" s="30">
        <f t="shared" si="1492"/>
        <v>23.655312824333077</v>
      </c>
      <c r="CO204" s="30">
        <f t="shared" si="1493"/>
        <v>23.655312824333077</v>
      </c>
      <c r="CP204" s="30">
        <f t="shared" si="1494"/>
        <v>23.655312824333077</v>
      </c>
      <c r="CQ204" s="30">
        <f t="shared" si="1495"/>
        <v>23.655312824333077</v>
      </c>
      <c r="CR204" s="30">
        <f t="shared" si="1496"/>
        <v>23.655312824333077</v>
      </c>
      <c r="CS204" s="30">
        <f t="shared" si="1497"/>
        <v>23.655312824333077</v>
      </c>
      <c r="CT204" s="30">
        <f t="shared" si="1498"/>
        <v>23.655312824333077</v>
      </c>
      <c r="CU204" s="30">
        <f t="shared" si="1499"/>
        <v>23.655312824333077</v>
      </c>
      <c r="CV204" s="30">
        <f t="shared" si="1500"/>
        <v>23.655312824333077</v>
      </c>
      <c r="CW204" s="30">
        <f t="shared" si="1501"/>
        <v>23.655312824333077</v>
      </c>
      <c r="CX204" s="30">
        <f t="shared" si="1502"/>
        <v>23.655312824333077</v>
      </c>
      <c r="CY204" s="30">
        <f t="shared" si="1503"/>
        <v>23.655312824333077</v>
      </c>
      <c r="CZ204" s="30">
        <f t="shared" si="1504"/>
        <v>23.655312824333077</v>
      </c>
      <c r="DA204" s="30">
        <f t="shared" si="1505"/>
        <v>23.655312824333077</v>
      </c>
      <c r="DB204" s="30">
        <f t="shared" si="1506"/>
        <v>23.655312824333077</v>
      </c>
      <c r="DE204" s="139"/>
      <c r="DF204" s="62">
        <v>36.734855871703026</v>
      </c>
    </row>
    <row r="205" spans="1:110" s="62" customFormat="1" outlineLevel="1" x14ac:dyDescent="0.2">
      <c r="A205" s="68" t="s">
        <v>466</v>
      </c>
      <c r="B205" s="67">
        <f>B206-B204-B203</f>
        <v>270.99723636363638</v>
      </c>
      <c r="C205" s="67">
        <f t="shared" ref="C205:U205" si="1510">C206-C204-C203</f>
        <v>200.92461689934612</v>
      </c>
      <c r="D205" s="67">
        <f t="shared" si="1510"/>
        <v>194.02562859879299</v>
      </c>
      <c r="E205" s="67">
        <f t="shared" si="1510"/>
        <v>135.30643294690424</v>
      </c>
      <c r="F205" s="67">
        <f t="shared" si="1510"/>
        <v>106.86600229914811</v>
      </c>
      <c r="G205" s="67">
        <f t="shared" si="1510"/>
        <v>95.424343197391835</v>
      </c>
      <c r="H205" s="67">
        <f t="shared" si="1510"/>
        <v>60.814643391521194</v>
      </c>
      <c r="I205" s="67">
        <f t="shared" si="1510"/>
        <v>66.488066903422236</v>
      </c>
      <c r="J205" s="67">
        <f t="shared" si="1510"/>
        <v>145.81628588340848</v>
      </c>
      <c r="K205" s="67">
        <f t="shared" si="1510"/>
        <v>106.985704199094</v>
      </c>
      <c r="L205" s="67">
        <f t="shared" si="1510"/>
        <v>83.356035172421016</v>
      </c>
      <c r="M205" s="67">
        <f t="shared" si="1510"/>
        <v>77.621009896849742</v>
      </c>
      <c r="N205" s="67">
        <f t="shared" si="1510"/>
        <v>80.923141242092655</v>
      </c>
      <c r="O205" s="67">
        <f t="shared" si="1510"/>
        <v>67.519151835010163</v>
      </c>
      <c r="P205" s="67">
        <f t="shared" si="1510"/>
        <v>68.467127755070862</v>
      </c>
      <c r="Q205" s="67">
        <f t="shared" si="1510"/>
        <v>65.848467072000631</v>
      </c>
      <c r="R205" s="67">
        <f t="shared" si="1510"/>
        <v>65.158696403743747</v>
      </c>
      <c r="S205" s="67">
        <f t="shared" si="1510"/>
        <v>67.490599602782936</v>
      </c>
      <c r="T205" s="67">
        <f t="shared" si="1510"/>
        <v>80.736026152482253</v>
      </c>
      <c r="U205" s="67">
        <f t="shared" si="1510"/>
        <v>82.846594550025316</v>
      </c>
      <c r="V205" s="67">
        <f>V206-V204-V203</f>
        <v>195.23083369308509</v>
      </c>
      <c r="W205" s="67">
        <f t="shared" ref="W205" si="1511">W206-W204-W203</f>
        <v>96.97122589342392</v>
      </c>
      <c r="X205" s="67">
        <f t="shared" ref="X205:Y205" si="1512">X206-X204-X203</f>
        <v>54.019580337733281</v>
      </c>
      <c r="Y205" s="67">
        <f t="shared" si="1512"/>
        <v>44.593226223453385</v>
      </c>
      <c r="Z205" s="67">
        <f t="shared" ref="Z205:AA205" si="1513">Z206-Z204-Z203</f>
        <v>35.847737247646535</v>
      </c>
      <c r="AA205" s="67">
        <f t="shared" si="1513"/>
        <v>34.249475189953358</v>
      </c>
      <c r="AB205" s="18">
        <f t="shared" ref="AA205:AD205" si="1514">AB206-AB204-AB203</f>
        <v>105.37563933289121</v>
      </c>
      <c r="AC205" s="18">
        <f t="shared" si="1514"/>
        <v>107.61658627287649</v>
      </c>
      <c r="AD205" s="18">
        <f t="shared" si="1514"/>
        <v>107.84912789600997</v>
      </c>
      <c r="AE205" s="18">
        <f t="shared" ref="AE205" si="1515">AE206-AE204-AE203</f>
        <v>107.76004914530635</v>
      </c>
      <c r="AI205" s="67">
        <f t="shared" ref="AI205:AK205" si="1516">AI206-AI204-AI203</f>
        <v>-16.369682254829513</v>
      </c>
      <c r="AJ205" s="67">
        <f t="shared" ref="AJ205:AM205" si="1517">AJ206-AJ204-AJ203</f>
        <v>184.70680756942741</v>
      </c>
      <c r="AK205" s="67">
        <f t="shared" si="1516"/>
        <v>276.03415664309989</v>
      </c>
      <c r="AL205" s="67">
        <f t="shared" si="1517"/>
        <v>73.478928107661432</v>
      </c>
      <c r="AM205" s="67">
        <f t="shared" si="1517"/>
        <v>82.19742489270385</v>
      </c>
      <c r="AN205" s="67">
        <f t="shared" ref="AN205:AY205" si="1518">AN206-AN204-AN203</f>
        <v>185.9439458880257</v>
      </c>
      <c r="AO205" s="67">
        <f t="shared" si="1518"/>
        <v>142.67683558722518</v>
      </c>
      <c r="AP205" s="67">
        <f t="shared" si="1518"/>
        <v>61.881787268273065</v>
      </c>
      <c r="AQ205" s="67">
        <f t="shared" si="1518"/>
        <v>72.212361060738573</v>
      </c>
      <c r="AR205" s="67">
        <f t="shared" si="1518"/>
        <v>163.96232657417292</v>
      </c>
      <c r="AS205" s="67">
        <f t="shared" si="1518"/>
        <v>127.29741150735781</v>
      </c>
      <c r="AT205" s="67">
        <f t="shared" si="1518"/>
        <v>63.861555134109999</v>
      </c>
      <c r="AU205" s="67">
        <f t="shared" si="1518"/>
        <v>68.460190527824025</v>
      </c>
      <c r="AV205" s="67">
        <f t="shared" si="1518"/>
        <v>178.59219338752419</v>
      </c>
      <c r="AW205" s="67">
        <f t="shared" si="1518"/>
        <v>137.43664977327288</v>
      </c>
      <c r="AX205" s="67">
        <f t="shared" si="1518"/>
        <v>53.172860108266512</v>
      </c>
      <c r="AY205" s="67">
        <f t="shared" si="1518"/>
        <v>69.002883914517824</v>
      </c>
      <c r="AZ205" s="67">
        <f t="shared" ref="AZ205:BC205" si="1519">AZ206-AZ204-AZ203</f>
        <v>218.49549742468474</v>
      </c>
      <c r="BA205" s="67">
        <f t="shared" si="1519"/>
        <v>171.24477735869056</v>
      </c>
      <c r="BB205" s="67">
        <f t="shared" si="1519"/>
        <v>64.401551006443512</v>
      </c>
      <c r="BC205" s="67">
        <f t="shared" si="1519"/>
        <v>74.371789806400628</v>
      </c>
      <c r="BD205" s="67">
        <f t="shared" ref="BD205:CE205" si="1520">BD206-BD204-BD203</f>
        <v>84.843073021240613</v>
      </c>
      <c r="BE205" s="67">
        <f t="shared" si="1520"/>
        <v>60.353056144864098</v>
      </c>
      <c r="BF205" s="67">
        <f t="shared" si="1520"/>
        <v>59.72163433788679</v>
      </c>
      <c r="BG205" s="67">
        <f t="shared" si="1520"/>
        <v>69.704297233847115</v>
      </c>
      <c r="BH205" s="67">
        <f t="shared" si="1520"/>
        <v>86.088457590743673</v>
      </c>
      <c r="BI205" s="67">
        <f t="shared" si="1520"/>
        <v>62.741244474668463</v>
      </c>
      <c r="BJ205" s="67">
        <f t="shared" si="1520"/>
        <v>72.186173974540324</v>
      </c>
      <c r="BK205" s="67">
        <f t="shared" si="1520"/>
        <v>88.061470588235309</v>
      </c>
      <c r="BL205" s="67">
        <f t="shared" si="1520"/>
        <v>237.13352656237595</v>
      </c>
      <c r="BM205" s="67">
        <f t="shared" si="1520"/>
        <v>174.03243195990439</v>
      </c>
      <c r="BN205" s="67">
        <f t="shared" si="1520"/>
        <v>219.82342094865385</v>
      </c>
      <c r="BO205" s="67">
        <f t="shared" si="1520"/>
        <v>1627.1004804679339</v>
      </c>
      <c r="BP205" s="67">
        <f t="shared" si="1520"/>
        <v>881.45439669614677</v>
      </c>
      <c r="BQ205" s="67">
        <f t="shared" si="1520"/>
        <v>404.10620512270918</v>
      </c>
      <c r="BR205" s="67">
        <f t="shared" si="1520"/>
        <v>347.14871061103707</v>
      </c>
      <c r="BS205" s="67">
        <f t="shared" si="1520"/>
        <v>619.65868524161942</v>
      </c>
      <c r="BT205" s="67">
        <f t="shared" si="1520"/>
        <v>290.80069195601129</v>
      </c>
      <c r="BU205" s="67">
        <f t="shared" si="1520"/>
        <v>190.61077014452584</v>
      </c>
      <c r="BV205" s="67">
        <f t="shared" si="1520"/>
        <v>239.98279974314281</v>
      </c>
      <c r="BW205" s="67">
        <f t="shared" si="1520"/>
        <v>165.30223447360734</v>
      </c>
      <c r="BX205" s="67">
        <f t="shared" si="1520"/>
        <v>175.27295738311392</v>
      </c>
      <c r="BY205" s="67">
        <f t="shared" si="1520"/>
        <v>128.15470399810181</v>
      </c>
      <c r="BZ205" s="67">
        <f t="shared" si="1520"/>
        <v>151.64670271866518</v>
      </c>
      <c r="CA205" s="67">
        <f t="shared" si="1520"/>
        <v>168.09611489596759</v>
      </c>
      <c r="CB205" s="67">
        <f t="shared" si="1520"/>
        <v>173.71281049399946</v>
      </c>
      <c r="CC205" s="67">
        <f t="shared" si="1520"/>
        <v>126.77468632882514</v>
      </c>
      <c r="CD205" s="67">
        <f t="shared" si="1520"/>
        <v>132.13185048337834</v>
      </c>
      <c r="CE205" s="114">
        <f t="shared" si="1520"/>
        <v>162.39919237790525</v>
      </c>
      <c r="CF205" s="67">
        <f t="shared" ref="CF205:CG205" si="1521">CF206-CF204-CF203</f>
        <v>157.6168050292423</v>
      </c>
      <c r="CG205" s="67">
        <f t="shared" si="1521"/>
        <v>113.62870847397403</v>
      </c>
      <c r="CH205" s="67">
        <f t="shared" ref="CH205" si="1522">CH206-CH204-CH203</f>
        <v>30.377792622281603</v>
      </c>
      <c r="CI205" s="67">
        <f>CH205</f>
        <v>30.377792622281603</v>
      </c>
      <c r="CJ205" s="67">
        <f t="shared" ref="CJ205:CL205" si="1523">CJ206-CJ204-CJ203</f>
        <v>162.76105032608316</v>
      </c>
      <c r="CK205" s="67">
        <f t="shared" ref="CK205:DB205" si="1524">CJ205</f>
        <v>162.76105032608316</v>
      </c>
      <c r="CL205" s="67">
        <f t="shared" si="1523"/>
        <v>103.98450072144334</v>
      </c>
      <c r="CM205" s="30">
        <f t="shared" si="1524"/>
        <v>103.98450072144334</v>
      </c>
      <c r="CN205" s="30">
        <f t="shared" si="1524"/>
        <v>103.98450072144334</v>
      </c>
      <c r="CO205" s="30">
        <f t="shared" si="1524"/>
        <v>103.98450072144334</v>
      </c>
      <c r="CP205" s="30">
        <f t="shared" si="1524"/>
        <v>103.98450072144334</v>
      </c>
      <c r="CQ205" s="30">
        <f t="shared" si="1524"/>
        <v>103.98450072144334</v>
      </c>
      <c r="CR205" s="30">
        <f t="shared" si="1524"/>
        <v>103.98450072144334</v>
      </c>
      <c r="CS205" s="30">
        <f t="shared" si="1524"/>
        <v>103.98450072144334</v>
      </c>
      <c r="CT205" s="30">
        <f t="shared" si="1524"/>
        <v>103.98450072144334</v>
      </c>
      <c r="CU205" s="30">
        <f t="shared" si="1524"/>
        <v>103.98450072144334</v>
      </c>
      <c r="CV205" s="30">
        <f t="shared" si="1524"/>
        <v>103.98450072144334</v>
      </c>
      <c r="CW205" s="30">
        <f t="shared" si="1524"/>
        <v>103.98450072144334</v>
      </c>
      <c r="CX205" s="30">
        <f t="shared" si="1524"/>
        <v>103.98450072144334</v>
      </c>
      <c r="CY205" s="30">
        <f t="shared" si="1524"/>
        <v>103.98450072144334</v>
      </c>
      <c r="CZ205" s="30">
        <f t="shared" si="1524"/>
        <v>103.98450072144334</v>
      </c>
      <c r="DA205" s="30">
        <f t="shared" si="1524"/>
        <v>103.98450072144334</v>
      </c>
      <c r="DB205" s="30">
        <f t="shared" si="1524"/>
        <v>103.98450072144334</v>
      </c>
      <c r="DE205" s="139"/>
      <c r="DF205" s="62">
        <v>162.76105032608316</v>
      </c>
    </row>
    <row r="206" spans="1:110" s="7" customFormat="1" outlineLevel="1" x14ac:dyDescent="0.2">
      <c r="A206" s="69" t="s">
        <v>467</v>
      </c>
      <c r="B206" s="70">
        <f t="shared" ref="B206:AE206" si="1525">B172/B32*365</f>
        <v>332.89061818181818</v>
      </c>
      <c r="C206" s="70">
        <f t="shared" si="1525"/>
        <v>261.47383302617959</v>
      </c>
      <c r="D206" s="70">
        <f t="shared" si="1525"/>
        <v>249.49521699495736</v>
      </c>
      <c r="E206" s="70">
        <f t="shared" si="1525"/>
        <v>183.51597262405969</v>
      </c>
      <c r="F206" s="70">
        <f t="shared" si="1525"/>
        <v>142.68714837118301</v>
      </c>
      <c r="G206" s="70">
        <f t="shared" si="1525"/>
        <v>129.00781577414807</v>
      </c>
      <c r="H206" s="70">
        <f t="shared" si="1525"/>
        <v>97.174104738154611</v>
      </c>
      <c r="I206" s="70">
        <f t="shared" si="1525"/>
        <v>99.142731410293734</v>
      </c>
      <c r="J206" s="70">
        <f t="shared" si="1525"/>
        <v>178.68236086861023</v>
      </c>
      <c r="K206" s="70">
        <f t="shared" si="1525"/>
        <v>145.37482844245582</v>
      </c>
      <c r="L206" s="70">
        <f t="shared" si="1525"/>
        <v>116.57297718404035</v>
      </c>
      <c r="M206" s="70">
        <f t="shared" si="1525"/>
        <v>117.55295453489452</v>
      </c>
      <c r="N206" s="70">
        <f t="shared" si="1525"/>
        <v>117.07055960420584</v>
      </c>
      <c r="O206" s="70">
        <f t="shared" si="1525"/>
        <v>101.85950484360052</v>
      </c>
      <c r="P206" s="70">
        <f t="shared" si="1525"/>
        <v>103.56556065930708</v>
      </c>
      <c r="Q206" s="70">
        <f t="shared" si="1525"/>
        <v>95.082798494663209</v>
      </c>
      <c r="R206" s="70">
        <f t="shared" si="1525"/>
        <v>97.159755955001401</v>
      </c>
      <c r="S206" s="70">
        <f t="shared" si="1525"/>
        <v>104.33971804900634</v>
      </c>
      <c r="T206" s="70">
        <f t="shared" si="1525"/>
        <v>113.23817597517728</v>
      </c>
      <c r="U206" s="70">
        <f t="shared" si="1525"/>
        <v>114.22023508113121</v>
      </c>
      <c r="V206" s="70">
        <f t="shared" si="1525"/>
        <v>267.69509129231312</v>
      </c>
      <c r="W206" s="70">
        <f t="shared" si="1525"/>
        <v>139.50810151101689</v>
      </c>
      <c r="X206" s="70">
        <f t="shared" si="1525"/>
        <v>88.928193379931869</v>
      </c>
      <c r="Y206" s="70">
        <f t="shared" si="1525"/>
        <v>76.564934441366589</v>
      </c>
      <c r="Z206" s="70">
        <f t="shared" si="1525"/>
        <v>70.284880749267501</v>
      </c>
      <c r="AA206" s="70">
        <f t="shared" ref="AA206" si="1526">AA172/AA32*365</f>
        <v>67.269754428117011</v>
      </c>
      <c r="AB206" s="71">
        <f t="shared" si="1525"/>
        <v>134.28577515803065</v>
      </c>
      <c r="AC206" s="71">
        <f t="shared" si="1525"/>
        <v>137.14153289130795</v>
      </c>
      <c r="AD206" s="71">
        <f t="shared" si="1525"/>
        <v>137.43787303516544</v>
      </c>
      <c r="AE206" s="71">
        <f t="shared" si="1525"/>
        <v>137.32435525094061</v>
      </c>
      <c r="AI206" s="70">
        <f t="shared" ref="AI206:CD206" si="1527">AI172/AI32*90</f>
        <v>0</v>
      </c>
      <c r="AJ206" s="70">
        <f t="shared" si="1527"/>
        <v>201.8563529122635</v>
      </c>
      <c r="AK206" s="70">
        <f t="shared" si="1527"/>
        <v>293.18370198593595</v>
      </c>
      <c r="AL206" s="70">
        <f t="shared" si="1527"/>
        <v>106.30149923267619</v>
      </c>
      <c r="AM206" s="70">
        <f t="shared" si="1527"/>
        <v>115.01999601771861</v>
      </c>
      <c r="AN206" s="70">
        <f t="shared" si="1527"/>
        <v>202.33826680953655</v>
      </c>
      <c r="AO206" s="70">
        <f t="shared" si="1527"/>
        <v>159.07115650873604</v>
      </c>
      <c r="AP206" s="70">
        <f t="shared" si="1527"/>
        <v>93.354967274854658</v>
      </c>
      <c r="AQ206" s="70">
        <f t="shared" si="1527"/>
        <v>103.68554106732017</v>
      </c>
      <c r="AR206" s="70">
        <f t="shared" si="1527"/>
        <v>181.83649946638209</v>
      </c>
      <c r="AS206" s="70">
        <f t="shared" si="1527"/>
        <v>145.171584399567</v>
      </c>
      <c r="AT206" s="70">
        <f t="shared" si="1527"/>
        <v>96.599024654565156</v>
      </c>
      <c r="AU206" s="70">
        <f t="shared" si="1527"/>
        <v>101.19766004827919</v>
      </c>
      <c r="AV206" s="70">
        <f t="shared" si="1527"/>
        <v>199.40237261983296</v>
      </c>
      <c r="AW206" s="70">
        <f t="shared" si="1527"/>
        <v>158.24682900558165</v>
      </c>
      <c r="AX206" s="70">
        <f t="shared" si="1527"/>
        <v>76.77968171272741</v>
      </c>
      <c r="AY206" s="70">
        <f t="shared" si="1527"/>
        <v>92.609705518978728</v>
      </c>
      <c r="AZ206" s="70">
        <f t="shared" si="1527"/>
        <v>241.41974821643922</v>
      </c>
      <c r="BA206" s="70">
        <f t="shared" si="1527"/>
        <v>194.16902815044503</v>
      </c>
      <c r="BB206" s="70">
        <f t="shared" si="1527"/>
        <v>94.552089867138051</v>
      </c>
      <c r="BC206" s="70">
        <f t="shared" si="1527"/>
        <v>104.52232866709517</v>
      </c>
      <c r="BD206" s="70">
        <f t="shared" si="1527"/>
        <v>128.48568107365529</v>
      </c>
      <c r="BE206" s="70">
        <f t="shared" si="1527"/>
        <v>103.99566419727877</v>
      </c>
      <c r="BF206" s="70">
        <f t="shared" si="1527"/>
        <v>92.328983960960613</v>
      </c>
      <c r="BG206" s="70">
        <f t="shared" si="1527"/>
        <v>102.31164685692093</v>
      </c>
      <c r="BH206" s="70">
        <f t="shared" si="1527"/>
        <v>124.24839040776337</v>
      </c>
      <c r="BI206" s="70">
        <f t="shared" si="1527"/>
        <v>100.90117729168816</v>
      </c>
      <c r="BJ206" s="70">
        <f t="shared" si="1527"/>
        <v>101.24638356692813</v>
      </c>
      <c r="BK206" s="70">
        <f t="shared" si="1527"/>
        <v>117.12168018062312</v>
      </c>
      <c r="BL206" s="70">
        <f t="shared" si="1527"/>
        <v>274.12282617327088</v>
      </c>
      <c r="BM206" s="70">
        <f t="shared" si="1527"/>
        <v>211.02173157079932</v>
      </c>
      <c r="BN206" s="70">
        <f t="shared" si="1527"/>
        <v>252.30446480648749</v>
      </c>
      <c r="BO206" s="70">
        <f t="shared" si="1527"/>
        <v>1659.5815243257678</v>
      </c>
      <c r="BP206" s="70">
        <f t="shared" si="1527"/>
        <v>993.45034480071683</v>
      </c>
      <c r="BQ206" s="70">
        <f t="shared" si="1527"/>
        <v>516.10215322727925</v>
      </c>
      <c r="BR206" s="70">
        <f t="shared" si="1527"/>
        <v>392.91112484146862</v>
      </c>
      <c r="BS206" s="70">
        <f t="shared" si="1527"/>
        <v>665.42109947205097</v>
      </c>
      <c r="BT206" s="70">
        <f t="shared" si="1527"/>
        <v>330.71296181885572</v>
      </c>
      <c r="BU206" s="70">
        <f t="shared" si="1527"/>
        <v>230.52304000737027</v>
      </c>
      <c r="BV206" s="70">
        <f t="shared" si="1527"/>
        <v>276.74009265205024</v>
      </c>
      <c r="BW206" s="70">
        <f t="shared" si="1527"/>
        <v>202.05952738251477</v>
      </c>
      <c r="BX206" s="70">
        <f t="shared" si="1527"/>
        <v>209.72838123980824</v>
      </c>
      <c r="BY206" s="70">
        <f t="shared" si="1527"/>
        <v>162.61012785479613</v>
      </c>
      <c r="BZ206" s="70">
        <f t="shared" si="1527"/>
        <v>182.41357671508459</v>
      </c>
      <c r="CA206" s="70">
        <f t="shared" si="1527"/>
        <v>198.86298889238699</v>
      </c>
      <c r="CB206" s="70">
        <f t="shared" si="1527"/>
        <v>211.56405246999722</v>
      </c>
      <c r="CC206" s="70">
        <f t="shared" si="1527"/>
        <v>164.62592830482291</v>
      </c>
      <c r="CD206" s="70">
        <f t="shared" si="1527"/>
        <v>160.13787565473882</v>
      </c>
      <c r="CE206" s="115">
        <f>CE172/CE34*90</f>
        <v>190.40521754926573</v>
      </c>
      <c r="CF206" s="70">
        <f>CF172/CF32*90</f>
        <v>193.97372571353469</v>
      </c>
      <c r="CG206" s="70">
        <f>CG172/CG34*90</f>
        <v>149.98562915826642</v>
      </c>
      <c r="CH206" s="70">
        <f>CH172/CH32*90</f>
        <v>59.560231574259639</v>
      </c>
      <c r="CI206" s="70">
        <f>CI203+CI204+CI205</f>
        <v>59.560231574259632</v>
      </c>
      <c r="CJ206" s="70">
        <f>CJ172/CJ32*90</f>
        <v>205.49505362856394</v>
      </c>
      <c r="CK206" s="70">
        <f t="shared" ref="CK206:DB206" si="1528">CK203+CK204+CK205</f>
        <v>205.49505362856394</v>
      </c>
      <c r="CL206" s="70">
        <f>CL172/CL32*90</f>
        <v>132.51297332287032</v>
      </c>
      <c r="CM206" s="50">
        <f t="shared" si="1528"/>
        <v>132.51297332287032</v>
      </c>
      <c r="CN206" s="50">
        <f t="shared" si="1528"/>
        <v>132.51297332287032</v>
      </c>
      <c r="CO206" s="50">
        <f t="shared" si="1528"/>
        <v>132.51297332287032</v>
      </c>
      <c r="CP206" s="50">
        <f t="shared" si="1528"/>
        <v>132.51297332287032</v>
      </c>
      <c r="CQ206" s="50">
        <f t="shared" si="1528"/>
        <v>132.51297332287032</v>
      </c>
      <c r="CR206" s="50">
        <f t="shared" si="1528"/>
        <v>132.51297332287032</v>
      </c>
      <c r="CS206" s="50">
        <f t="shared" si="1528"/>
        <v>132.51297332287032</v>
      </c>
      <c r="CT206" s="50">
        <f t="shared" si="1528"/>
        <v>132.51297332287032</v>
      </c>
      <c r="CU206" s="50">
        <f t="shared" si="1528"/>
        <v>132.51297332287032</v>
      </c>
      <c r="CV206" s="50">
        <f t="shared" si="1528"/>
        <v>132.51297332287032</v>
      </c>
      <c r="CW206" s="50">
        <f t="shared" si="1528"/>
        <v>132.51297332287032</v>
      </c>
      <c r="CX206" s="50">
        <f t="shared" si="1528"/>
        <v>132.51297332287032</v>
      </c>
      <c r="CY206" s="50">
        <f t="shared" si="1528"/>
        <v>132.51297332287032</v>
      </c>
      <c r="CZ206" s="50">
        <f t="shared" si="1528"/>
        <v>132.51297332287032</v>
      </c>
      <c r="DA206" s="50">
        <f t="shared" si="1528"/>
        <v>132.51297332287032</v>
      </c>
      <c r="DB206" s="50">
        <f t="shared" si="1528"/>
        <v>132.51297332287032</v>
      </c>
      <c r="DE206" s="138"/>
      <c r="DF206" s="7">
        <v>205.49505362856394</v>
      </c>
    </row>
    <row r="207" spans="1:110" s="62" customFormat="1" outlineLevel="1" x14ac:dyDescent="0.2">
      <c r="A207" s="68" t="s">
        <v>468</v>
      </c>
      <c r="B207" s="67">
        <f t="shared" ref="B207:AE207" si="1529">B177/B32*365</f>
        <v>35.225818181818184</v>
      </c>
      <c r="C207" s="67">
        <f t="shared" si="1529"/>
        <v>37.061169877054354</v>
      </c>
      <c r="D207" s="67">
        <f t="shared" si="1529"/>
        <v>50.495436240061849</v>
      </c>
      <c r="E207" s="67">
        <f t="shared" si="1529"/>
        <v>43.362731208971006</v>
      </c>
      <c r="F207" s="67">
        <f t="shared" si="1529"/>
        <v>39.639178397143574</v>
      </c>
      <c r="G207" s="67">
        <f t="shared" si="1529"/>
        <v>39.664455100119191</v>
      </c>
      <c r="H207" s="67">
        <f t="shared" si="1529"/>
        <v>40.791162094763088</v>
      </c>
      <c r="I207" s="67">
        <f t="shared" si="1529"/>
        <v>32.527165816789555</v>
      </c>
      <c r="J207" s="67">
        <f t="shared" si="1529"/>
        <v>40.327422723397596</v>
      </c>
      <c r="K207" s="67">
        <f t="shared" si="1529"/>
        <v>48.668693624009329</v>
      </c>
      <c r="L207" s="67">
        <f t="shared" si="1529"/>
        <v>29.03454009998358</v>
      </c>
      <c r="M207" s="67">
        <f t="shared" si="1529"/>
        <v>33.272204023789612</v>
      </c>
      <c r="N207" s="67">
        <f t="shared" si="1529"/>
        <v>31.117084651222431</v>
      </c>
      <c r="O207" s="67">
        <f t="shared" si="1529"/>
        <v>30.639357727995986</v>
      </c>
      <c r="P207" s="67">
        <f t="shared" si="1529"/>
        <v>28.856562034455095</v>
      </c>
      <c r="Q207" s="67">
        <f t="shared" si="1529"/>
        <v>26.064299953766078</v>
      </c>
      <c r="R207" s="67">
        <f t="shared" si="1529"/>
        <v>26.604909254160479</v>
      </c>
      <c r="S207" s="67">
        <f t="shared" si="1529"/>
        <v>30.23766007481327</v>
      </c>
      <c r="T207" s="67">
        <f t="shared" si="1529"/>
        <v>26.311225620567377</v>
      </c>
      <c r="U207" s="67">
        <f t="shared" si="1529"/>
        <v>31.838974354378305</v>
      </c>
      <c r="V207" s="67">
        <f t="shared" si="1529"/>
        <v>73.643725081896434</v>
      </c>
      <c r="W207" s="67">
        <f t="shared" si="1529"/>
        <v>46.258270019828423</v>
      </c>
      <c r="X207" s="67">
        <f t="shared" si="1529"/>
        <v>29.940515429671027</v>
      </c>
      <c r="Y207" s="67">
        <f t="shared" si="1529"/>
        <v>28.006655586334254</v>
      </c>
      <c r="Z207" s="67">
        <f t="shared" si="1529"/>
        <v>25.329814242897623</v>
      </c>
      <c r="AA207" s="67">
        <f t="shared" ref="AA207" si="1530">AA177/AA32*365</f>
        <v>27.1146387428503</v>
      </c>
      <c r="AB207" s="18">
        <f t="shared" si="1529"/>
        <v>23.739589942637462</v>
      </c>
      <c r="AC207" s="18">
        <f t="shared" si="1529"/>
        <v>24.244442504152165</v>
      </c>
      <c r="AD207" s="18">
        <f t="shared" si="1529"/>
        <v>24.296830729862897</v>
      </c>
      <c r="AE207" s="18">
        <f t="shared" si="1529"/>
        <v>24.276762590512149</v>
      </c>
      <c r="AI207" s="67">
        <f>AJ177/AI32*90</f>
        <v>0</v>
      </c>
      <c r="AJ207" s="67">
        <f>AJ177/AJ32*90</f>
        <v>0</v>
      </c>
      <c r="AK207" s="67">
        <f t="shared" ref="AK207:CE207" si="1531">+AJ207</f>
        <v>0</v>
      </c>
      <c r="AL207" s="67">
        <f>AL177/AL32*90</f>
        <v>28.2549285798607</v>
      </c>
      <c r="AM207" s="67">
        <f t="shared" ref="AM207" si="1532">+AL207</f>
        <v>28.2549285798607</v>
      </c>
      <c r="AN207" s="67">
        <f>AN177/AN32*90</f>
        <v>15.223010983123492</v>
      </c>
      <c r="AO207" s="67">
        <f t="shared" ref="AO207" si="1533">+AN207</f>
        <v>15.223010983123492</v>
      </c>
      <c r="AP207" s="67">
        <f>AP177/AP32*90</f>
        <v>28.081191268419321</v>
      </c>
      <c r="AQ207" s="67">
        <f t="shared" ref="AQ207" si="1534">+AP207</f>
        <v>28.081191268419321</v>
      </c>
      <c r="AR207" s="67">
        <f>AR177/AR32*90</f>
        <v>14.59306296691569</v>
      </c>
      <c r="AS207" s="67">
        <f t="shared" ref="AS207" si="1535">+AR207</f>
        <v>14.59306296691569</v>
      </c>
      <c r="AT207" s="67">
        <f>AT177/AT32*90</f>
        <v>26.915470062313734</v>
      </c>
      <c r="AU207" s="67">
        <f t="shared" ref="AU207" si="1536">+AT207</f>
        <v>26.915470062313734</v>
      </c>
      <c r="AV207" s="67">
        <f>AV177/AV32*90</f>
        <v>18.217963482674953</v>
      </c>
      <c r="AW207" s="67">
        <f t="shared" ref="AW207" si="1537">+AV207</f>
        <v>18.217963482674953</v>
      </c>
      <c r="AX207" s="67">
        <f>AX177/AX32*90</f>
        <v>21.047010460336192</v>
      </c>
      <c r="AY207" s="67">
        <f t="shared" ref="AY207" si="1538">+AX207</f>
        <v>21.047010460336192</v>
      </c>
      <c r="AZ207" s="67">
        <f>AZ177/AZ32*90</f>
        <v>17.08160988199759</v>
      </c>
      <c r="BA207" s="67">
        <f t="shared" ref="BA207" si="1539">+AZ207</f>
        <v>17.08160988199759</v>
      </c>
      <c r="BB207" s="67">
        <f>BB177/BB32*90</f>
        <v>25.066430974511032</v>
      </c>
      <c r="BC207" s="67">
        <f t="shared" ref="BC207" si="1540">+BB207</f>
        <v>25.066430974511032</v>
      </c>
      <c r="BD207" s="67">
        <f>BD177/BD32*90</f>
        <v>36.529641762654556</v>
      </c>
      <c r="BE207" s="67">
        <f t="shared" ref="BE207" si="1541">+BD207</f>
        <v>36.529641762654556</v>
      </c>
      <c r="BF207" s="67">
        <f>BF177/BF32*90</f>
        <v>26.756948209819317</v>
      </c>
      <c r="BG207" s="67">
        <f t="shared" ref="BG207" si="1542">+BF207</f>
        <v>26.756948209819317</v>
      </c>
      <c r="BH207" s="67">
        <f>BH177/BH32*90</f>
        <v>32.504432210506678</v>
      </c>
      <c r="BI207" s="67">
        <f t="shared" ref="BI207" si="1543">+BH207</f>
        <v>32.504432210506678</v>
      </c>
      <c r="BJ207" s="67">
        <f>BJ177/BJ32*90</f>
        <v>23.524897132570402</v>
      </c>
      <c r="BK207" s="67">
        <f t="shared" ref="BK207" si="1544">+BJ207</f>
        <v>23.524897132570402</v>
      </c>
      <c r="BL207" s="67">
        <f>BL177/BL32*90</f>
        <v>29.952354482649088</v>
      </c>
      <c r="BM207" s="67">
        <f t="shared" ref="BM207" si="1545">+BL207</f>
        <v>29.952354482649088</v>
      </c>
      <c r="BN207" s="67">
        <f>BN177/BN32*90</f>
        <v>32.962802686786205</v>
      </c>
      <c r="BO207" s="67">
        <f t="shared" ref="BO207" si="1546">+BN207</f>
        <v>32.962802686786205</v>
      </c>
      <c r="BP207" s="67">
        <f>BP177/BP32*90</f>
        <v>114.39085206685628</v>
      </c>
      <c r="BQ207" s="67">
        <f t="shared" ref="BQ207" si="1547">+BP207</f>
        <v>114.39085206685628</v>
      </c>
      <c r="BR207" s="67">
        <f>BR177/BR32*90</f>
        <v>46.507268056323369</v>
      </c>
      <c r="BS207" s="67">
        <f t="shared" ref="BS207" si="1548">+BR207</f>
        <v>46.507268056323369</v>
      </c>
      <c r="BT207" s="67">
        <f>BT177/BT32*90</f>
        <v>42.647967379216603</v>
      </c>
      <c r="BU207" s="67">
        <f t="shared" ref="BU207" si="1549">+BT207</f>
        <v>42.647967379216603</v>
      </c>
      <c r="BV207" s="67">
        <f>BV177/BV32*90</f>
        <v>39.973052930923764</v>
      </c>
      <c r="BW207" s="67">
        <f t="shared" ref="BW207" si="1550">+BV207</f>
        <v>39.973052930923764</v>
      </c>
      <c r="BX207" s="67">
        <f>BX177/BX32*90</f>
        <v>33.626694574926383</v>
      </c>
      <c r="BY207" s="67">
        <f t="shared" ref="BY207" si="1551">+BX207</f>
        <v>33.626694574926383</v>
      </c>
      <c r="BZ207" s="67">
        <f>BZ177/BZ32*90</f>
        <v>26.388217271737322</v>
      </c>
      <c r="CA207" s="67">
        <f t="shared" ref="CA207" si="1552">+BZ207</f>
        <v>26.388217271737322</v>
      </c>
      <c r="CB207" s="67">
        <f>CB177/CB32*90</f>
        <v>28.543538933854315</v>
      </c>
      <c r="CC207" s="67">
        <f t="shared" ref="CC207" si="1553">+CB207</f>
        <v>28.543538933854315</v>
      </c>
      <c r="CD207" s="67">
        <f>CD177/CD32*90</f>
        <v>24.532786799206441</v>
      </c>
      <c r="CE207" s="114">
        <f t="shared" si="1531"/>
        <v>24.532786799206441</v>
      </c>
      <c r="CF207" s="67">
        <f>CF177/CF32*90</f>
        <v>28.603432414080128</v>
      </c>
      <c r="CG207" s="67">
        <f t="shared" ref="CG207:CI207" si="1554">+CF207</f>
        <v>28.603432414080128</v>
      </c>
      <c r="CH207" s="67">
        <f>CH177/CH32*90</f>
        <v>21.464781414681212</v>
      </c>
      <c r="CI207" s="67">
        <f t="shared" si="1554"/>
        <v>21.464781414681212</v>
      </c>
      <c r="CJ207" s="67">
        <f>CJ177/CJ32*90</f>
        <v>29.376595504902273</v>
      </c>
      <c r="CK207" s="67">
        <f t="shared" ref="CK207" si="1555">+CJ207</f>
        <v>29.376595504902273</v>
      </c>
      <c r="CL207" s="67">
        <f>CL177/CL32*90</f>
        <v>23.426186765221729</v>
      </c>
      <c r="CM207" s="30">
        <f t="shared" ref="CM207" si="1556">+CL207</f>
        <v>23.426186765221729</v>
      </c>
      <c r="CN207" s="30">
        <f t="shared" ref="CN207" si="1557">+CM207</f>
        <v>23.426186765221729</v>
      </c>
      <c r="CO207" s="30">
        <f t="shared" ref="CO207" si="1558">+CN207</f>
        <v>23.426186765221729</v>
      </c>
      <c r="CP207" s="30">
        <f t="shared" ref="CP207" si="1559">+CO207</f>
        <v>23.426186765221729</v>
      </c>
      <c r="CQ207" s="30">
        <f t="shared" ref="CQ207" si="1560">+CP207</f>
        <v>23.426186765221729</v>
      </c>
      <c r="CR207" s="30">
        <f t="shared" ref="CR207" si="1561">+CQ207</f>
        <v>23.426186765221729</v>
      </c>
      <c r="CS207" s="30">
        <f t="shared" ref="CS207" si="1562">+CR207</f>
        <v>23.426186765221729</v>
      </c>
      <c r="CT207" s="30">
        <f t="shared" ref="CT207" si="1563">+CS207</f>
        <v>23.426186765221729</v>
      </c>
      <c r="CU207" s="30">
        <f t="shared" ref="CU207" si="1564">+CT207</f>
        <v>23.426186765221729</v>
      </c>
      <c r="CV207" s="30">
        <f t="shared" ref="CV207" si="1565">+CU207</f>
        <v>23.426186765221729</v>
      </c>
      <c r="CW207" s="30">
        <f t="shared" ref="CW207" si="1566">+CV207</f>
        <v>23.426186765221729</v>
      </c>
      <c r="CX207" s="30">
        <f t="shared" ref="CX207" si="1567">+CW207</f>
        <v>23.426186765221729</v>
      </c>
      <c r="CY207" s="30">
        <f t="shared" ref="CY207" si="1568">+CX207</f>
        <v>23.426186765221729</v>
      </c>
      <c r="CZ207" s="30">
        <f t="shared" ref="CZ207" si="1569">+CY207</f>
        <v>23.426186765221729</v>
      </c>
      <c r="DA207" s="30">
        <f t="shared" ref="DA207" si="1570">+CZ207</f>
        <v>23.426186765221729</v>
      </c>
      <c r="DB207" s="30">
        <f t="shared" ref="DB207" si="1571">+DA207</f>
        <v>23.426186765221729</v>
      </c>
      <c r="DE207" s="139"/>
      <c r="DF207" s="62">
        <v>29.376595504902273</v>
      </c>
    </row>
    <row r="208" spans="1:110" s="62" customFormat="1" outlineLevel="1" x14ac:dyDescent="0.2">
      <c r="A208" s="68" t="s">
        <v>466</v>
      </c>
      <c r="B208" s="67">
        <f>B209-B207</f>
        <v>81.866181818181829</v>
      </c>
      <c r="C208" s="67">
        <f t="shared" ref="C208:V208" si="1572">C209-C207</f>
        <v>51.901302668450683</v>
      </c>
      <c r="D208" s="67">
        <f t="shared" si="1572"/>
        <v>57.86611047645421</v>
      </c>
      <c r="E208" s="67">
        <f t="shared" si="1572"/>
        <v>70.648332901011628</v>
      </c>
      <c r="F208" s="67">
        <f t="shared" si="1572"/>
        <v>81.456913812398653</v>
      </c>
      <c r="G208" s="67">
        <f t="shared" si="1572"/>
        <v>88.957960278885992</v>
      </c>
      <c r="H208" s="67">
        <f t="shared" si="1572"/>
        <v>54.258114713216948</v>
      </c>
      <c r="I208" s="67">
        <f t="shared" si="1572"/>
        <v>49.761988746690953</v>
      </c>
      <c r="J208" s="67">
        <f t="shared" si="1572"/>
        <v>62.538894245624753</v>
      </c>
      <c r="K208" s="67">
        <f t="shared" si="1572"/>
        <v>143.6881103680256</v>
      </c>
      <c r="L208" s="67">
        <f t="shared" si="1572"/>
        <v>147.23967412758915</v>
      </c>
      <c r="M208" s="67">
        <f t="shared" si="1572"/>
        <v>131.87833960598456</v>
      </c>
      <c r="N208" s="67">
        <f t="shared" si="1572"/>
        <v>130.96711243374935</v>
      </c>
      <c r="O208" s="67">
        <f t="shared" si="1572"/>
        <v>124.53315019711329</v>
      </c>
      <c r="P208" s="67">
        <f t="shared" si="1572"/>
        <v>110.20217779517932</v>
      </c>
      <c r="Q208" s="67">
        <f t="shared" si="1572"/>
        <v>129.07036256344736</v>
      </c>
      <c r="R208" s="67">
        <f t="shared" si="1572"/>
        <v>125.77823542433038</v>
      </c>
      <c r="S208" s="67">
        <f t="shared" si="1572"/>
        <v>114.95291881419746</v>
      </c>
      <c r="T208" s="67">
        <f t="shared" si="1572"/>
        <v>113.89261968085108</v>
      </c>
      <c r="U208" s="67">
        <f t="shared" si="1572"/>
        <v>263.19657236833262</v>
      </c>
      <c r="V208" s="67">
        <f t="shared" si="1572"/>
        <v>741.74369587851402</v>
      </c>
      <c r="W208" s="67">
        <f t="shared" ref="W208" si="1573">W209-W207</f>
        <v>355.26298826655147</v>
      </c>
      <c r="X208" s="67">
        <f t="shared" ref="X208:Y208" si="1574">X209-X207</f>
        <v>224.60412467663011</v>
      </c>
      <c r="Y208" s="67">
        <f t="shared" si="1574"/>
        <v>205.10371191135729</v>
      </c>
      <c r="Z208" s="67">
        <f t="shared" ref="Z208:AA208" si="1575">Z209-Z207</f>
        <v>189.96594293146353</v>
      </c>
      <c r="AA208" s="67">
        <f t="shared" si="1575"/>
        <v>166.72914847634794</v>
      </c>
      <c r="AB208" s="18">
        <f t="shared" ref="AA208:AD208" si="1576">AB209-AB207</f>
        <v>145.97581969840189</v>
      </c>
      <c r="AC208" s="18">
        <f t="shared" si="1576"/>
        <v>149.08018109099632</v>
      </c>
      <c r="AD208" s="18">
        <f t="shared" si="1576"/>
        <v>149.40231867674007</v>
      </c>
      <c r="AE208" s="18">
        <f t="shared" ref="AE208" si="1577">AE209-AE207</f>
        <v>149.27891877393535</v>
      </c>
      <c r="AI208" s="67">
        <f t="shared" ref="AI208:AK208" si="1578">AI209-AI207</f>
        <v>0</v>
      </c>
      <c r="AJ208" s="67">
        <f t="shared" ref="AJ208:AM208" si="1579">AJ209-AJ207</f>
        <v>147.39960678299337</v>
      </c>
      <c r="AK208" s="67">
        <f t="shared" si="1578"/>
        <v>220.28059865944363</v>
      </c>
      <c r="AL208" s="67">
        <f t="shared" si="1579"/>
        <v>131.2088301263133</v>
      </c>
      <c r="AM208" s="67">
        <f t="shared" si="1579"/>
        <v>146.7771541762958</v>
      </c>
      <c r="AN208" s="67">
        <f t="shared" ref="AN208:AY208" si="1580">AN209-AN207</f>
        <v>115.07165818376643</v>
      </c>
      <c r="AO208" s="67">
        <f t="shared" si="1580"/>
        <v>88.295749436883881</v>
      </c>
      <c r="AP208" s="67">
        <f t="shared" si="1580"/>
        <v>196.97146147939594</v>
      </c>
      <c r="AQ208" s="67">
        <f t="shared" si="1580"/>
        <v>229.85396710259641</v>
      </c>
      <c r="AR208" s="67">
        <f t="shared" si="1580"/>
        <v>134.86744930629669</v>
      </c>
      <c r="AS208" s="67">
        <f t="shared" si="1580"/>
        <v>104.70867029033539</v>
      </c>
      <c r="AT208" s="67">
        <f t="shared" si="1580"/>
        <v>138.82985640747765</v>
      </c>
      <c r="AU208" s="67">
        <f t="shared" si="1580"/>
        <v>148.82691786391973</v>
      </c>
      <c r="AV208" s="67">
        <f t="shared" si="1580"/>
        <v>165.61903910014874</v>
      </c>
      <c r="AW208" s="67">
        <f t="shared" si="1580"/>
        <v>127.45308426333045</v>
      </c>
      <c r="AX208" s="67">
        <f t="shared" si="1580"/>
        <v>178.47612845455654</v>
      </c>
      <c r="AY208" s="67">
        <f t="shared" si="1580"/>
        <v>231.61002714893888</v>
      </c>
      <c r="AZ208" s="67">
        <f t="shared" ref="AZ208:BC208" si="1581">AZ209-AZ207</f>
        <v>191.3586619631003</v>
      </c>
      <c r="BA208" s="67">
        <f t="shared" si="1581"/>
        <v>149.97641530267029</v>
      </c>
      <c r="BB208" s="67">
        <f t="shared" si="1581"/>
        <v>167.68232879055714</v>
      </c>
      <c r="BC208" s="67">
        <f t="shared" si="1581"/>
        <v>193.64184116949824</v>
      </c>
      <c r="BD208" s="67">
        <f t="shared" ref="BD208:CE208" si="1582">BD209-BD207</f>
        <v>168.34724717320091</v>
      </c>
      <c r="BE208" s="67">
        <f t="shared" si="1582"/>
        <v>119.75368758665621</v>
      </c>
      <c r="BF208" s="67">
        <f t="shared" si="1582"/>
        <v>109.05768457138859</v>
      </c>
      <c r="BG208" s="67">
        <f t="shared" si="1582"/>
        <v>127.28702664080842</v>
      </c>
      <c r="BH208" s="67">
        <f t="shared" si="1582"/>
        <v>139.45787067276291</v>
      </c>
      <c r="BI208" s="67">
        <f t="shared" si="1582"/>
        <v>101.63685821149267</v>
      </c>
      <c r="BJ208" s="67">
        <f t="shared" si="1582"/>
        <v>145.42979297929793</v>
      </c>
      <c r="BK208" s="67">
        <f t="shared" si="1582"/>
        <v>177.41294117647061</v>
      </c>
      <c r="BL208" s="67">
        <f t="shared" si="1582"/>
        <v>365.7764234098309</v>
      </c>
      <c r="BM208" s="67">
        <f t="shared" si="1582"/>
        <v>268.4435281776328</v>
      </c>
      <c r="BN208" s="67">
        <f t="shared" si="1582"/>
        <v>298.73534779581928</v>
      </c>
      <c r="BO208" s="67">
        <f t="shared" si="1582"/>
        <v>2211.1949028619174</v>
      </c>
      <c r="BP208" s="67">
        <f t="shared" si="1582"/>
        <v>1402.8316515369929</v>
      </c>
      <c r="BQ208" s="67">
        <f t="shared" si="1582"/>
        <v>643.13364055299542</v>
      </c>
      <c r="BR208" s="67">
        <f t="shared" si="1582"/>
        <v>468.42379109622459</v>
      </c>
      <c r="BS208" s="67">
        <f t="shared" si="1582"/>
        <v>836.13408794079226</v>
      </c>
      <c r="BT208" s="67">
        <f t="shared" si="1582"/>
        <v>388.6939330285432</v>
      </c>
      <c r="BU208" s="67">
        <f t="shared" si="1582"/>
        <v>254.77673188027569</v>
      </c>
      <c r="BV208" s="67">
        <f t="shared" si="1582"/>
        <v>306.99259242271353</v>
      </c>
      <c r="BW208" s="67">
        <f t="shared" si="1582"/>
        <v>211.45916102585164</v>
      </c>
      <c r="BX208" s="67">
        <f t="shared" si="1582"/>
        <v>227.30328327694889</v>
      </c>
      <c r="BY208" s="67">
        <f t="shared" si="1582"/>
        <v>166.19782892395301</v>
      </c>
      <c r="BZ208" s="67">
        <f t="shared" si="1582"/>
        <v>197.95592550894227</v>
      </c>
      <c r="CA208" s="67">
        <f t="shared" si="1582"/>
        <v>219.42858896458603</v>
      </c>
      <c r="CB208" s="67">
        <f t="shared" si="1582"/>
        <v>231.88626849009208</v>
      </c>
      <c r="CC208" s="67">
        <f t="shared" si="1582"/>
        <v>169.22936695453802</v>
      </c>
      <c r="CD208" s="67">
        <f t="shared" si="1582"/>
        <v>179.66320971585128</v>
      </c>
      <c r="CE208" s="114">
        <f t="shared" si="1582"/>
        <v>220.81852370293444</v>
      </c>
      <c r="CF208" s="67">
        <f t="shared" ref="CF208:CG208" si="1583">CF209-CF207</f>
        <v>204.37528749479779</v>
      </c>
      <c r="CG208" s="67">
        <f t="shared" si="1583"/>
        <v>147.33771540238055</v>
      </c>
      <c r="CH208" s="67">
        <f t="shared" ref="CH208" si="1584">CH209-CH207</f>
        <v>160.97936613968682</v>
      </c>
      <c r="CI208" s="67">
        <f>CH208</f>
        <v>160.97936613968682</v>
      </c>
      <c r="CJ208" s="67">
        <f t="shared" ref="CJ208:CL208" si="1585">CJ209-CJ207</f>
        <v>194.47265653709897</v>
      </c>
      <c r="CK208" s="67">
        <f t="shared" ref="CK208:DB208" si="1586">CJ208</f>
        <v>194.47265653709897</v>
      </c>
      <c r="CL208" s="67">
        <f t="shared" si="1585"/>
        <v>144.04868928756116</v>
      </c>
      <c r="CM208" s="30">
        <f t="shared" si="1586"/>
        <v>144.04868928756116</v>
      </c>
      <c r="CN208" s="30">
        <f t="shared" si="1586"/>
        <v>144.04868928756116</v>
      </c>
      <c r="CO208" s="30">
        <f t="shared" si="1586"/>
        <v>144.04868928756116</v>
      </c>
      <c r="CP208" s="30">
        <f t="shared" si="1586"/>
        <v>144.04868928756116</v>
      </c>
      <c r="CQ208" s="30">
        <f t="shared" si="1586"/>
        <v>144.04868928756116</v>
      </c>
      <c r="CR208" s="30">
        <f t="shared" si="1586"/>
        <v>144.04868928756116</v>
      </c>
      <c r="CS208" s="30">
        <f t="shared" si="1586"/>
        <v>144.04868928756116</v>
      </c>
      <c r="CT208" s="30">
        <f t="shared" si="1586"/>
        <v>144.04868928756116</v>
      </c>
      <c r="CU208" s="30">
        <f t="shared" si="1586"/>
        <v>144.04868928756116</v>
      </c>
      <c r="CV208" s="30">
        <f t="shared" si="1586"/>
        <v>144.04868928756116</v>
      </c>
      <c r="CW208" s="30">
        <f t="shared" si="1586"/>
        <v>144.04868928756116</v>
      </c>
      <c r="CX208" s="30">
        <f t="shared" si="1586"/>
        <v>144.04868928756116</v>
      </c>
      <c r="CY208" s="30">
        <f t="shared" si="1586"/>
        <v>144.04868928756116</v>
      </c>
      <c r="CZ208" s="30">
        <f t="shared" si="1586"/>
        <v>144.04868928756116</v>
      </c>
      <c r="DA208" s="30">
        <f t="shared" si="1586"/>
        <v>144.04868928756116</v>
      </c>
      <c r="DB208" s="30">
        <f t="shared" si="1586"/>
        <v>144.04868928756116</v>
      </c>
      <c r="DE208" s="139"/>
      <c r="DF208" s="62">
        <v>194.47265653709897</v>
      </c>
    </row>
    <row r="209" spans="1:110" s="7" customFormat="1" outlineLevel="1" x14ac:dyDescent="0.2">
      <c r="A209" s="69" t="s">
        <v>469</v>
      </c>
      <c r="B209" s="70">
        <f t="shared" ref="B209:AE209" si="1587">B180/B32*365</f>
        <v>117.09200000000001</v>
      </c>
      <c r="C209" s="70">
        <f t="shared" si="1587"/>
        <v>88.962472545505037</v>
      </c>
      <c r="D209" s="70">
        <f t="shared" si="1587"/>
        <v>108.36154671651606</v>
      </c>
      <c r="E209" s="70">
        <f t="shared" si="1587"/>
        <v>114.01106410998263</v>
      </c>
      <c r="F209" s="70">
        <f t="shared" si="1587"/>
        <v>121.09609220954223</v>
      </c>
      <c r="G209" s="70">
        <f t="shared" si="1587"/>
        <v>128.62241537900519</v>
      </c>
      <c r="H209" s="70">
        <f t="shared" si="1587"/>
        <v>95.049276807980036</v>
      </c>
      <c r="I209" s="70">
        <f t="shared" si="1587"/>
        <v>82.289154563480508</v>
      </c>
      <c r="J209" s="70">
        <f t="shared" si="1587"/>
        <v>102.86631696902235</v>
      </c>
      <c r="K209" s="70">
        <f t="shared" si="1587"/>
        <v>192.35680399203494</v>
      </c>
      <c r="L209" s="70">
        <f t="shared" si="1587"/>
        <v>176.27421422757274</v>
      </c>
      <c r="M209" s="70">
        <f t="shared" si="1587"/>
        <v>165.15054362977418</v>
      </c>
      <c r="N209" s="70">
        <f t="shared" si="1587"/>
        <v>162.08419708497178</v>
      </c>
      <c r="O209" s="70">
        <f t="shared" si="1587"/>
        <v>155.17250792510927</v>
      </c>
      <c r="P209" s="70">
        <f t="shared" si="1587"/>
        <v>139.05873982963442</v>
      </c>
      <c r="Q209" s="70">
        <f t="shared" si="1587"/>
        <v>155.13466251721343</v>
      </c>
      <c r="R209" s="70">
        <f t="shared" si="1587"/>
        <v>152.38314467849085</v>
      </c>
      <c r="S209" s="70">
        <f t="shared" si="1587"/>
        <v>145.19057888901074</v>
      </c>
      <c r="T209" s="70">
        <f t="shared" si="1587"/>
        <v>140.20384530141845</v>
      </c>
      <c r="U209" s="70">
        <f t="shared" si="1587"/>
        <v>295.03554672271093</v>
      </c>
      <c r="V209" s="70">
        <f t="shared" si="1587"/>
        <v>815.3874209604104</v>
      </c>
      <c r="W209" s="70">
        <f t="shared" si="1587"/>
        <v>401.52125828637992</v>
      </c>
      <c r="X209" s="70">
        <f t="shared" si="1587"/>
        <v>254.54464010630113</v>
      </c>
      <c r="Y209" s="70">
        <f t="shared" si="1587"/>
        <v>233.11036749769156</v>
      </c>
      <c r="Z209" s="70">
        <f t="shared" si="1587"/>
        <v>215.29575717436114</v>
      </c>
      <c r="AA209" s="70">
        <f t="shared" ref="AA209" si="1588">AA180/AA32*365</f>
        <v>193.84378721919825</v>
      </c>
      <c r="AB209" s="71">
        <f t="shared" si="1587"/>
        <v>169.71540964103934</v>
      </c>
      <c r="AC209" s="71">
        <f t="shared" si="1587"/>
        <v>173.32462359514849</v>
      </c>
      <c r="AD209" s="71">
        <f t="shared" si="1587"/>
        <v>173.69914940660297</v>
      </c>
      <c r="AE209" s="71">
        <f t="shared" si="1587"/>
        <v>173.55568136444748</v>
      </c>
      <c r="AI209" s="70">
        <f t="shared" ref="AI209:CD209" si="1589">AI180/AI32*90</f>
        <v>0</v>
      </c>
      <c r="AJ209" s="70">
        <f t="shared" si="1589"/>
        <v>147.39960678299337</v>
      </c>
      <c r="AK209" s="70">
        <f>AK180/AK32*90</f>
        <v>220.28059865944363</v>
      </c>
      <c r="AL209" s="70">
        <f t="shared" si="1589"/>
        <v>159.46375870617399</v>
      </c>
      <c r="AM209" s="70">
        <f t="shared" si="1589"/>
        <v>175.03208275615648</v>
      </c>
      <c r="AN209" s="70">
        <f t="shared" si="1589"/>
        <v>130.29466916688992</v>
      </c>
      <c r="AO209" s="70">
        <f t="shared" si="1589"/>
        <v>103.51876042000737</v>
      </c>
      <c r="AP209" s="70">
        <f t="shared" si="1589"/>
        <v>225.05265274781527</v>
      </c>
      <c r="AQ209" s="70">
        <f t="shared" si="1589"/>
        <v>257.93515837101575</v>
      </c>
      <c r="AR209" s="70">
        <f t="shared" si="1589"/>
        <v>149.46051227321237</v>
      </c>
      <c r="AS209" s="70">
        <f t="shared" si="1589"/>
        <v>119.30173325725109</v>
      </c>
      <c r="AT209" s="70">
        <f t="shared" si="1589"/>
        <v>165.74532646979139</v>
      </c>
      <c r="AU209" s="70">
        <f t="shared" si="1589"/>
        <v>175.74238792623348</v>
      </c>
      <c r="AV209" s="70">
        <f t="shared" si="1589"/>
        <v>183.83700258282369</v>
      </c>
      <c r="AW209" s="70">
        <f t="shared" si="1589"/>
        <v>145.6710477460054</v>
      </c>
      <c r="AX209" s="70">
        <f t="shared" si="1589"/>
        <v>199.52313891489274</v>
      </c>
      <c r="AY209" s="70">
        <f t="shared" si="1589"/>
        <v>252.65703760927508</v>
      </c>
      <c r="AZ209" s="70">
        <f t="shared" si="1589"/>
        <v>208.4402718450979</v>
      </c>
      <c r="BA209" s="70">
        <f t="shared" si="1589"/>
        <v>167.05802518466788</v>
      </c>
      <c r="BB209" s="70">
        <f t="shared" si="1589"/>
        <v>192.74875976506817</v>
      </c>
      <c r="BC209" s="70">
        <f t="shared" si="1589"/>
        <v>218.70827214400927</v>
      </c>
      <c r="BD209" s="70">
        <f t="shared" si="1589"/>
        <v>204.87688893585548</v>
      </c>
      <c r="BE209" s="70">
        <f t="shared" si="1589"/>
        <v>156.28332934931078</v>
      </c>
      <c r="BF209" s="70">
        <f t="shared" si="1589"/>
        <v>135.81463278120791</v>
      </c>
      <c r="BG209" s="70">
        <f t="shared" si="1589"/>
        <v>154.04397485062773</v>
      </c>
      <c r="BH209" s="70">
        <f t="shared" si="1589"/>
        <v>171.96230288326959</v>
      </c>
      <c r="BI209" s="70">
        <f t="shared" si="1589"/>
        <v>134.14129042199934</v>
      </c>
      <c r="BJ209" s="70">
        <f t="shared" si="1589"/>
        <v>168.95469011186833</v>
      </c>
      <c r="BK209" s="70">
        <f t="shared" si="1589"/>
        <v>200.93783830904101</v>
      </c>
      <c r="BL209" s="70">
        <f t="shared" si="1589"/>
        <v>395.72877789247997</v>
      </c>
      <c r="BM209" s="70">
        <f t="shared" si="1589"/>
        <v>298.39588266028187</v>
      </c>
      <c r="BN209" s="70">
        <f t="shared" si="1589"/>
        <v>331.69815048260551</v>
      </c>
      <c r="BO209" s="70">
        <f t="shared" si="1589"/>
        <v>2244.1577055487037</v>
      </c>
      <c r="BP209" s="70">
        <f t="shared" si="1589"/>
        <v>1517.2225036038492</v>
      </c>
      <c r="BQ209" s="70">
        <f t="shared" si="1589"/>
        <v>757.52449261985169</v>
      </c>
      <c r="BR209" s="70">
        <f t="shared" si="1589"/>
        <v>514.93105915254796</v>
      </c>
      <c r="BS209" s="70">
        <f t="shared" si="1589"/>
        <v>882.64135599711562</v>
      </c>
      <c r="BT209" s="70">
        <f t="shared" si="1589"/>
        <v>431.34190040775979</v>
      </c>
      <c r="BU209" s="70">
        <f t="shared" si="1589"/>
        <v>297.42469925949229</v>
      </c>
      <c r="BV209" s="70">
        <f t="shared" si="1589"/>
        <v>346.96564535363729</v>
      </c>
      <c r="BW209" s="70">
        <f t="shared" si="1589"/>
        <v>251.4322139567754</v>
      </c>
      <c r="BX209" s="70">
        <f t="shared" si="1589"/>
        <v>260.92997785187526</v>
      </c>
      <c r="BY209" s="70">
        <f t="shared" si="1589"/>
        <v>199.82452349887939</v>
      </c>
      <c r="BZ209" s="70">
        <f t="shared" si="1589"/>
        <v>224.34414278067959</v>
      </c>
      <c r="CA209" s="70">
        <f t="shared" si="1589"/>
        <v>245.81680623632334</v>
      </c>
      <c r="CB209" s="70">
        <f t="shared" si="1589"/>
        <v>260.42980742394639</v>
      </c>
      <c r="CC209" s="70">
        <f t="shared" si="1589"/>
        <v>197.77290588839233</v>
      </c>
      <c r="CD209" s="70">
        <f t="shared" si="1589"/>
        <v>204.19599651505771</v>
      </c>
      <c r="CE209" s="115">
        <f>CE180/CE34*90</f>
        <v>245.35131050214088</v>
      </c>
      <c r="CF209" s="70">
        <f>CF180/CF32*90</f>
        <v>232.97871990887791</v>
      </c>
      <c r="CG209" s="70">
        <f>CG180/CG34*90</f>
        <v>175.94114781646067</v>
      </c>
      <c r="CH209" s="70">
        <f>CH180/CH32*90</f>
        <v>182.44414755436802</v>
      </c>
      <c r="CI209" s="70">
        <f>CI207+CI208</f>
        <v>182.44414755436804</v>
      </c>
      <c r="CJ209" s="70">
        <f>CJ180/CJ32*90</f>
        <v>223.84925204200124</v>
      </c>
      <c r="CK209" s="70">
        <f t="shared" ref="CK209:DB209" si="1590">CK207+CK208</f>
        <v>223.84925204200124</v>
      </c>
      <c r="CL209" s="70">
        <f>CL180/CL32*90</f>
        <v>167.47487605278289</v>
      </c>
      <c r="CM209" s="50">
        <f t="shared" si="1590"/>
        <v>167.47487605278289</v>
      </c>
      <c r="CN209" s="50">
        <f t="shared" si="1590"/>
        <v>167.47487605278289</v>
      </c>
      <c r="CO209" s="50">
        <f t="shared" si="1590"/>
        <v>167.47487605278289</v>
      </c>
      <c r="CP209" s="50">
        <f t="shared" si="1590"/>
        <v>167.47487605278289</v>
      </c>
      <c r="CQ209" s="50">
        <f t="shared" si="1590"/>
        <v>167.47487605278289</v>
      </c>
      <c r="CR209" s="50">
        <f t="shared" si="1590"/>
        <v>167.47487605278289</v>
      </c>
      <c r="CS209" s="50">
        <f t="shared" si="1590"/>
        <v>167.47487605278289</v>
      </c>
      <c r="CT209" s="50">
        <f t="shared" si="1590"/>
        <v>167.47487605278289</v>
      </c>
      <c r="CU209" s="50">
        <f t="shared" si="1590"/>
        <v>167.47487605278289</v>
      </c>
      <c r="CV209" s="50">
        <f t="shared" si="1590"/>
        <v>167.47487605278289</v>
      </c>
      <c r="CW209" s="50">
        <f t="shared" si="1590"/>
        <v>167.47487605278289</v>
      </c>
      <c r="CX209" s="50">
        <f t="shared" si="1590"/>
        <v>167.47487605278289</v>
      </c>
      <c r="CY209" s="50">
        <f t="shared" si="1590"/>
        <v>167.47487605278289</v>
      </c>
      <c r="CZ209" s="50">
        <f t="shared" si="1590"/>
        <v>167.47487605278289</v>
      </c>
      <c r="DA209" s="50">
        <f t="shared" si="1590"/>
        <v>167.47487605278289</v>
      </c>
      <c r="DB209" s="50">
        <f t="shared" si="1590"/>
        <v>167.47487605278289</v>
      </c>
      <c r="DE209" s="138"/>
      <c r="DF209" s="7">
        <v>223.84925204200124</v>
      </c>
    </row>
    <row r="210" spans="1:110" s="7" customFormat="1" x14ac:dyDescent="0.2">
      <c r="A210" s="69" t="s">
        <v>470</v>
      </c>
      <c r="B210" s="70">
        <f>B206-B209</f>
        <v>215.79861818181817</v>
      </c>
      <c r="C210" s="70">
        <f t="shared" ref="C210:V210" si="1591">C206-C209</f>
        <v>172.51136048067457</v>
      </c>
      <c r="D210" s="70">
        <f t="shared" si="1591"/>
        <v>141.13367027844129</v>
      </c>
      <c r="E210" s="70">
        <f t="shared" si="1591"/>
        <v>69.504908514077059</v>
      </c>
      <c r="F210" s="70">
        <f t="shared" si="1591"/>
        <v>21.591056161640779</v>
      </c>
      <c r="G210" s="70">
        <f t="shared" si="1591"/>
        <v>0.38540039514288083</v>
      </c>
      <c r="H210" s="70">
        <f t="shared" si="1591"/>
        <v>2.1248279301745754</v>
      </c>
      <c r="I210" s="70">
        <f t="shared" si="1591"/>
        <v>16.853576846813226</v>
      </c>
      <c r="J210" s="70">
        <f t="shared" si="1591"/>
        <v>75.816043899587882</v>
      </c>
      <c r="K210" s="70">
        <f t="shared" si="1591"/>
        <v>-46.981975549579118</v>
      </c>
      <c r="L210" s="70">
        <f t="shared" si="1591"/>
        <v>-59.701237043532387</v>
      </c>
      <c r="M210" s="70">
        <f t="shared" si="1591"/>
        <v>-47.597589094879652</v>
      </c>
      <c r="N210" s="70">
        <f t="shared" si="1591"/>
        <v>-45.013637480765937</v>
      </c>
      <c r="O210" s="70">
        <f t="shared" si="1591"/>
        <v>-53.313003081508754</v>
      </c>
      <c r="P210" s="70">
        <f t="shared" si="1591"/>
        <v>-35.493179170327338</v>
      </c>
      <c r="Q210" s="70">
        <f t="shared" si="1591"/>
        <v>-60.05186402255022</v>
      </c>
      <c r="R210" s="70">
        <f t="shared" si="1591"/>
        <v>-55.22338872348945</v>
      </c>
      <c r="S210" s="70">
        <f t="shared" si="1591"/>
        <v>-40.850860840004401</v>
      </c>
      <c r="T210" s="70">
        <f t="shared" si="1591"/>
        <v>-26.965669326241169</v>
      </c>
      <c r="U210" s="70">
        <f t="shared" si="1591"/>
        <v>-180.81531164157974</v>
      </c>
      <c r="V210" s="70">
        <f t="shared" si="1591"/>
        <v>-547.69232966809727</v>
      </c>
      <c r="W210" s="70">
        <f t="shared" ref="W210" si="1592">W206-W209</f>
        <v>-262.01315677536303</v>
      </c>
      <c r="X210" s="70">
        <f t="shared" ref="X210:Y210" si="1593">X206-X209</f>
        <v>-165.61644672636925</v>
      </c>
      <c r="Y210" s="70">
        <f t="shared" si="1593"/>
        <v>-156.54543305632495</v>
      </c>
      <c r="Z210" s="70">
        <f t="shared" ref="Z210:AA210" si="1594">Z206-Z209</f>
        <v>-145.01087642509364</v>
      </c>
      <c r="AA210" s="70">
        <f t="shared" si="1594"/>
        <v>-126.57403279108124</v>
      </c>
      <c r="AB210" s="71">
        <f t="shared" ref="AA210:AD210" si="1595">AB206-AB209</f>
        <v>-35.429634483008698</v>
      </c>
      <c r="AC210" s="71">
        <f t="shared" si="1595"/>
        <v>-36.183090703840548</v>
      </c>
      <c r="AD210" s="71">
        <f t="shared" si="1595"/>
        <v>-36.261276371437532</v>
      </c>
      <c r="AE210" s="71">
        <f t="shared" ref="AE210" si="1596">AE206-AE209</f>
        <v>-36.231326113506867</v>
      </c>
      <c r="AI210" s="70">
        <f t="shared" ref="AI210:AK210" si="1597">AI206-AI209</f>
        <v>0</v>
      </c>
      <c r="AJ210" s="70">
        <f t="shared" ref="AJ210:AM210" si="1598">AJ206-AJ209</f>
        <v>54.45674612927013</v>
      </c>
      <c r="AK210" s="70">
        <f t="shared" si="1597"/>
        <v>72.903103326492328</v>
      </c>
      <c r="AL210" s="70">
        <f t="shared" si="1598"/>
        <v>-53.162259473497798</v>
      </c>
      <c r="AM210" s="70">
        <f t="shared" si="1598"/>
        <v>-60.012086738437873</v>
      </c>
      <c r="AN210" s="70">
        <f t="shared" ref="AN210:AY210" si="1599">AN206-AN209</f>
        <v>72.043597642646631</v>
      </c>
      <c r="AO210" s="70">
        <f t="shared" si="1599"/>
        <v>55.552396088728671</v>
      </c>
      <c r="AP210" s="70">
        <f t="shared" si="1599"/>
        <v>-131.69768547296061</v>
      </c>
      <c r="AQ210" s="70">
        <f t="shared" si="1599"/>
        <v>-154.24961730369557</v>
      </c>
      <c r="AR210" s="70">
        <f t="shared" si="1599"/>
        <v>32.375987193169721</v>
      </c>
      <c r="AS210" s="70">
        <f t="shared" si="1599"/>
        <v>25.869851142315909</v>
      </c>
      <c r="AT210" s="70">
        <f t="shared" si="1599"/>
        <v>-69.146301815226238</v>
      </c>
      <c r="AU210" s="70">
        <f t="shared" si="1599"/>
        <v>-74.544727877954287</v>
      </c>
      <c r="AV210" s="70">
        <f t="shared" si="1599"/>
        <v>15.565370037009274</v>
      </c>
      <c r="AW210" s="70">
        <f t="shared" si="1599"/>
        <v>12.575781259576246</v>
      </c>
      <c r="AX210" s="70">
        <f t="shared" si="1599"/>
        <v>-122.74345720216533</v>
      </c>
      <c r="AY210" s="70">
        <f t="shared" si="1599"/>
        <v>-160.04733209029635</v>
      </c>
      <c r="AZ210" s="70">
        <f t="shared" ref="AZ210:BC210" si="1600">AZ206-AZ209</f>
        <v>32.97947637134132</v>
      </c>
      <c r="BA210" s="70">
        <f t="shared" si="1600"/>
        <v>27.111002965777146</v>
      </c>
      <c r="BB210" s="70">
        <f t="shared" si="1600"/>
        <v>-98.196669897930121</v>
      </c>
      <c r="BC210" s="70">
        <f t="shared" si="1600"/>
        <v>-114.1859434769141</v>
      </c>
      <c r="BD210" s="70">
        <f t="shared" ref="BD210:CE210" si="1601">BD206-BD209</f>
        <v>-76.39120786220019</v>
      </c>
      <c r="BE210" s="70">
        <f t="shared" si="1601"/>
        <v>-52.287665152032005</v>
      </c>
      <c r="BF210" s="70">
        <f t="shared" si="1601"/>
        <v>-43.485648820247292</v>
      </c>
      <c r="BG210" s="70">
        <f t="shared" si="1601"/>
        <v>-51.732327993706804</v>
      </c>
      <c r="BH210" s="70">
        <f t="shared" si="1601"/>
        <v>-47.71391247550622</v>
      </c>
      <c r="BI210" s="70">
        <f t="shared" si="1601"/>
        <v>-33.240113130311187</v>
      </c>
      <c r="BJ210" s="70">
        <f t="shared" si="1601"/>
        <v>-67.7083065449402</v>
      </c>
      <c r="BK210" s="70">
        <f t="shared" si="1601"/>
        <v>-83.816158128417896</v>
      </c>
      <c r="BL210" s="70">
        <f t="shared" si="1601"/>
        <v>-121.60595171920909</v>
      </c>
      <c r="BM210" s="70">
        <f t="shared" si="1601"/>
        <v>-87.374151089482552</v>
      </c>
      <c r="BN210" s="70">
        <f t="shared" si="1601"/>
        <v>-79.393685676118025</v>
      </c>
      <c r="BO210" s="70">
        <f t="shared" si="1601"/>
        <v>-584.57618122293593</v>
      </c>
      <c r="BP210" s="70">
        <f t="shared" si="1601"/>
        <v>-523.77215880313236</v>
      </c>
      <c r="BQ210" s="70">
        <f t="shared" si="1601"/>
        <v>-241.42233939257244</v>
      </c>
      <c r="BR210" s="70">
        <f t="shared" si="1601"/>
        <v>-122.01993431107934</v>
      </c>
      <c r="BS210" s="70">
        <f t="shared" si="1601"/>
        <v>-217.22025652506466</v>
      </c>
      <c r="BT210" s="70">
        <f t="shared" si="1601"/>
        <v>-100.62893858890408</v>
      </c>
      <c r="BU210" s="70">
        <f t="shared" si="1601"/>
        <v>-66.901659252122016</v>
      </c>
      <c r="BV210" s="70">
        <f t="shared" si="1601"/>
        <v>-70.225552701587048</v>
      </c>
      <c r="BW210" s="70">
        <f t="shared" si="1601"/>
        <v>-49.372686574260626</v>
      </c>
      <c r="BX210" s="70">
        <f t="shared" si="1601"/>
        <v>-51.201596612067021</v>
      </c>
      <c r="BY210" s="70">
        <f t="shared" si="1601"/>
        <v>-37.214395644083254</v>
      </c>
      <c r="BZ210" s="70">
        <f t="shared" si="1601"/>
        <v>-41.930566065595002</v>
      </c>
      <c r="CA210" s="70">
        <f t="shared" si="1601"/>
        <v>-46.95381734393635</v>
      </c>
      <c r="CB210" s="70">
        <f t="shared" si="1601"/>
        <v>-48.865754953949164</v>
      </c>
      <c r="CC210" s="70">
        <f t="shared" si="1601"/>
        <v>-33.146977583569424</v>
      </c>
      <c r="CD210" s="70">
        <f t="shared" si="1601"/>
        <v>-44.058120860318894</v>
      </c>
      <c r="CE210" s="115">
        <f t="shared" si="1601"/>
        <v>-54.946092952875148</v>
      </c>
      <c r="CF210" s="70">
        <f t="shared" ref="CF210:CG210" si="1602">CF206-CF209</f>
        <v>-39.004994195343215</v>
      </c>
      <c r="CG210" s="70">
        <f t="shared" si="1602"/>
        <v>-25.955518658194251</v>
      </c>
      <c r="CH210" s="70">
        <f t="shared" ref="CH210:CI210" si="1603">CH206-CH209</f>
        <v>-122.88391598010838</v>
      </c>
      <c r="CI210" s="70">
        <f t="shared" si="1603"/>
        <v>-122.88391598010841</v>
      </c>
      <c r="CJ210" s="70">
        <f t="shared" ref="CJ210:DB210" si="1604">CJ206-CJ209</f>
        <v>-18.354198413437302</v>
      </c>
      <c r="CK210" s="70">
        <f t="shared" si="1604"/>
        <v>-18.354198413437302</v>
      </c>
      <c r="CL210" s="70">
        <f t="shared" ref="CL210" si="1605">CL206-CL209</f>
        <v>-34.961902729912566</v>
      </c>
      <c r="CM210" s="50">
        <f t="shared" si="1604"/>
        <v>-34.961902729912566</v>
      </c>
      <c r="CN210" s="50">
        <f t="shared" si="1604"/>
        <v>-34.961902729912566</v>
      </c>
      <c r="CO210" s="50">
        <f t="shared" si="1604"/>
        <v>-34.961902729912566</v>
      </c>
      <c r="CP210" s="50">
        <f t="shared" si="1604"/>
        <v>-34.961902729912566</v>
      </c>
      <c r="CQ210" s="50">
        <f t="shared" si="1604"/>
        <v>-34.961902729912566</v>
      </c>
      <c r="CR210" s="50">
        <f t="shared" si="1604"/>
        <v>-34.961902729912566</v>
      </c>
      <c r="CS210" s="50">
        <f t="shared" si="1604"/>
        <v>-34.961902729912566</v>
      </c>
      <c r="CT210" s="50">
        <f t="shared" si="1604"/>
        <v>-34.961902729912566</v>
      </c>
      <c r="CU210" s="50">
        <f t="shared" si="1604"/>
        <v>-34.961902729912566</v>
      </c>
      <c r="CV210" s="50">
        <f t="shared" si="1604"/>
        <v>-34.961902729912566</v>
      </c>
      <c r="CW210" s="50">
        <f t="shared" si="1604"/>
        <v>-34.961902729912566</v>
      </c>
      <c r="CX210" s="50">
        <f t="shared" si="1604"/>
        <v>-34.961902729912566</v>
      </c>
      <c r="CY210" s="50">
        <f t="shared" si="1604"/>
        <v>-34.961902729912566</v>
      </c>
      <c r="CZ210" s="50">
        <f t="shared" si="1604"/>
        <v>-34.961902729912566</v>
      </c>
      <c r="DA210" s="50">
        <f t="shared" si="1604"/>
        <v>-34.961902729912566</v>
      </c>
      <c r="DB210" s="50">
        <f t="shared" si="1604"/>
        <v>-34.961902729912566</v>
      </c>
      <c r="DE210" s="138"/>
      <c r="DF210" s="7">
        <v>-18.354198413437302</v>
      </c>
    </row>
    <row r="211" spans="1:110" s="7" customFormat="1" x14ac:dyDescent="0.2">
      <c r="A211" s="69" t="s">
        <v>86</v>
      </c>
      <c r="AB211" s="77"/>
      <c r="AC211" s="77"/>
      <c r="AD211" s="77"/>
      <c r="AE211" s="77"/>
      <c r="CE211" s="115"/>
      <c r="CG211" s="115"/>
      <c r="CM211" s="50"/>
      <c r="CN211" s="50"/>
      <c r="CO211" s="50"/>
      <c r="CP211" s="50"/>
      <c r="CQ211" s="50"/>
      <c r="CR211" s="50"/>
      <c r="CS211" s="50"/>
      <c r="CT211" s="50"/>
      <c r="CU211" s="50"/>
      <c r="CV211" s="50"/>
      <c r="CW211" s="50"/>
      <c r="CX211" s="50"/>
      <c r="CY211" s="50"/>
      <c r="CZ211" s="50"/>
      <c r="DA211" s="50"/>
      <c r="DB211" s="50"/>
      <c r="DE211" s="138"/>
    </row>
    <row r="212" spans="1:110" s="86" customFormat="1" x14ac:dyDescent="0.2">
      <c r="A212" s="86" t="s">
        <v>440</v>
      </c>
      <c r="C212" s="86">
        <f t="shared" ref="C212:Y212" si="1606">C34/B34-1</f>
        <v>0.15232000000000001</v>
      </c>
      <c r="D212" s="86">
        <f t="shared" si="1606"/>
        <v>9.3900684153391811E-2</v>
      </c>
      <c r="E212" s="86">
        <f t="shared" si="1606"/>
        <v>0.15662177911632691</v>
      </c>
      <c r="F212" s="86">
        <f t="shared" si="1606"/>
        <v>0.31046351537402472</v>
      </c>
      <c r="G212" s="86">
        <f t="shared" si="1606"/>
        <v>0.39875754645877892</v>
      </c>
      <c r="H212" s="86">
        <f t="shared" si="1606"/>
        <v>0.36408662664438785</v>
      </c>
      <c r="I212" s="86">
        <f t="shared" si="1606"/>
        <v>0.16509925187032426</v>
      </c>
      <c r="J212" s="86">
        <f t="shared" si="1606"/>
        <v>-8.010191676112921E-2</v>
      </c>
      <c r="K212" s="86">
        <f t="shared" si="1606"/>
        <v>-6.1467613257735199E-2</v>
      </c>
      <c r="L212" s="86">
        <f t="shared" si="1606"/>
        <v>0.13544121030376588</v>
      </c>
      <c r="M212" s="86">
        <f t="shared" si="1606"/>
        <v>0.20298902695923449</v>
      </c>
      <c r="N212" s="86">
        <f t="shared" si="1606"/>
        <v>8.7073692036056194E-2</v>
      </c>
      <c r="O212" s="86">
        <f t="shared" si="1606"/>
        <v>8.6240703539066432E-2</v>
      </c>
      <c r="P212" s="86">
        <f t="shared" si="1606"/>
        <v>3.0114185515187408E-2</v>
      </c>
      <c r="Q212" s="86">
        <f t="shared" si="1606"/>
        <v>-3.954028037740176E-2</v>
      </c>
      <c r="R212" s="86">
        <f t="shared" si="1606"/>
        <v>-6.089952324372927E-4</v>
      </c>
      <c r="S212" s="86">
        <f t="shared" si="1606"/>
        <v>2.0638864638595988E-2</v>
      </c>
      <c r="T212" s="86">
        <f t="shared" si="1606"/>
        <v>9.9535767810797982E-2</v>
      </c>
      <c r="U212" s="86">
        <f t="shared" si="1606"/>
        <v>-1.0828900709219824E-2</v>
      </c>
      <c r="V212" s="86">
        <f t="shared" si="1606"/>
        <v>-0.64707358496484546</v>
      </c>
      <c r="W212" s="86">
        <f t="shared" si="1606"/>
        <v>0.94026003707559846</v>
      </c>
      <c r="X212" s="86">
        <f t="shared" si="1606"/>
        <v>0.90101170727238222</v>
      </c>
      <c r="Y212" s="86">
        <f t="shared" si="1606"/>
        <v>0.16503525872173586</v>
      </c>
      <c r="Z212" s="86">
        <f>Z34/Y34-1</f>
        <v>0.23132631578947382</v>
      </c>
      <c r="AA212" s="86">
        <f>AA34/Z34-1</f>
        <v>0.16253806448826191</v>
      </c>
      <c r="AB212" s="87">
        <f t="shared" ref="AA212:AE212" si="1607">AB34/AA34-1</f>
        <v>0.12339479455594504</v>
      </c>
      <c r="AC212" s="87">
        <f t="shared" si="1607"/>
        <v>6.6469422668727463E-2</v>
      </c>
      <c r="AD212" s="87">
        <f t="shared" si="1607"/>
        <v>6.5800518648608142E-2</v>
      </c>
      <c r="AE212" s="87">
        <f t="shared" si="1607"/>
        <v>6.2617663864640738E-2</v>
      </c>
      <c r="AN212" s="86">
        <f t="shared" ref="AN212:CI212" si="1608">+(AN34+AM34)/(AJ34+AI34)-1</f>
        <v>8.2964767728655797E-2</v>
      </c>
      <c r="AO212" s="86">
        <f t="shared" si="1608"/>
        <v>0.51914455037361495</v>
      </c>
      <c r="AP212" s="86">
        <f t="shared" si="1608"/>
        <v>0.44873067831679547</v>
      </c>
      <c r="AQ212" s="86">
        <f t="shared" si="1608"/>
        <v>5.516252688004486E-2</v>
      </c>
      <c r="AR212" s="86">
        <f t="shared" si="1608"/>
        <v>3.8700668284735951E-2</v>
      </c>
      <c r="AS212" s="86">
        <f t="shared" si="1608"/>
        <v>3.8938130291297224E-2</v>
      </c>
      <c r="AT212" s="86">
        <f t="shared" si="1608"/>
        <v>2.3262600759649477E-2</v>
      </c>
      <c r="AU212" s="86">
        <f t="shared" si="1608"/>
        <v>5.355859448070821E-2</v>
      </c>
      <c r="AV212" s="86">
        <f t="shared" si="1608"/>
        <v>2.8184117025703337E-2</v>
      </c>
      <c r="AW212" s="86">
        <f t="shared" si="1608"/>
        <v>-4.072989159841045E-2</v>
      </c>
      <c r="AX212" s="86">
        <f t="shared" si="1608"/>
        <v>3.3039780829494658E-2</v>
      </c>
      <c r="AY212" s="86">
        <f t="shared" si="1608"/>
        <v>1.628804515423643E-2</v>
      </c>
      <c r="AZ212" s="86">
        <f t="shared" si="1608"/>
        <v>-4.8456641190479877E-2</v>
      </c>
      <c r="BA212" s="86">
        <f t="shared" si="1608"/>
        <v>-1.8088458396545715E-2</v>
      </c>
      <c r="BB212" s="86">
        <f t="shared" si="1608"/>
        <v>-8.6307432319379096E-2</v>
      </c>
      <c r="BC212" s="86">
        <f t="shared" si="1608"/>
        <v>-9.7329753388381013E-2</v>
      </c>
      <c r="BD212" s="86">
        <f t="shared" si="1608"/>
        <v>-3.8753476198266079E-2</v>
      </c>
      <c r="BE212" s="86">
        <f t="shared" si="1608"/>
        <v>1.4643253307978776E-2</v>
      </c>
      <c r="BF212" s="86">
        <f t="shared" si="1608"/>
        <v>7.1606136491615402E-2</v>
      </c>
      <c r="BG212" s="86">
        <f t="shared" si="1608"/>
        <v>8.1380069064572291E-2</v>
      </c>
      <c r="BH212" s="86">
        <f t="shared" si="1608"/>
        <v>0.10290271892354919</v>
      </c>
      <c r="BI212" s="86">
        <f t="shared" si="1608"/>
        <v>0.11667065248690789</v>
      </c>
      <c r="BJ212" s="86">
        <f t="shared" si="1608"/>
        <v>9.7000068355035829E-2</v>
      </c>
      <c r="BK212" s="86">
        <f t="shared" si="1608"/>
        <v>6.648580417867711E-2</v>
      </c>
      <c r="BL212" s="86">
        <f t="shared" si="1608"/>
        <v>4.2798434341615899E-2</v>
      </c>
      <c r="BM212" s="86">
        <f t="shared" si="1608"/>
        <v>4.0288813713406535E-2</v>
      </c>
      <c r="BN212" s="86">
        <f t="shared" si="1608"/>
        <v>-5.143373432978815E-2</v>
      </c>
      <c r="BO212" s="86">
        <f t="shared" si="1608"/>
        <v>-0.46712920435274152</v>
      </c>
      <c r="BP212" s="86">
        <f t="shared" si="1608"/>
        <v>-0.80256875665864347</v>
      </c>
      <c r="BQ212" s="86">
        <f t="shared" si="1608"/>
        <v>-0.65694323070717942</v>
      </c>
      <c r="BR212" s="86">
        <f t="shared" si="1608"/>
        <v>-0.51764174569938826</v>
      </c>
      <c r="BS212" s="86">
        <f t="shared" si="1608"/>
        <v>-0.20472571461722722</v>
      </c>
      <c r="BT212" s="86">
        <f t="shared" si="1608"/>
        <v>1.6804237034076146</v>
      </c>
      <c r="BU212" s="86">
        <f t="shared" si="1608"/>
        <v>1.2529362056507418</v>
      </c>
      <c r="BV212" s="86">
        <f t="shared" si="1608"/>
        <v>0.68808729402151703</v>
      </c>
      <c r="BW212" s="86">
        <f t="shared" si="1608"/>
        <v>1.2282376481132178</v>
      </c>
      <c r="BX212" s="86">
        <f t="shared" si="1608"/>
        <v>1.3288595608246649</v>
      </c>
      <c r="BY212" s="86">
        <f t="shared" si="1608"/>
        <v>0.58644589283481618</v>
      </c>
      <c r="BZ212" s="86">
        <f t="shared" si="1608"/>
        <v>0.6695557908536276</v>
      </c>
      <c r="CA212" s="86">
        <f t="shared" si="1608"/>
        <v>0.44601641606061326</v>
      </c>
      <c r="CB212" s="86">
        <f t="shared" si="1608"/>
        <v>0.16044071269630367</v>
      </c>
      <c r="CC212" s="86">
        <f t="shared" si="1608"/>
        <v>0.16400368693912104</v>
      </c>
      <c r="CD212" s="86">
        <f t="shared" si="1608"/>
        <v>0.16850233900997513</v>
      </c>
      <c r="CE212" s="86">
        <f t="shared" si="1608"/>
        <v>0.11765638139595036</v>
      </c>
      <c r="CF212" s="86">
        <f t="shared" si="1608"/>
        <v>0.16443127774118249</v>
      </c>
      <c r="CG212" s="86">
        <f t="shared" si="1608"/>
        <v>0.28322598497515483</v>
      </c>
      <c r="CH212" s="86">
        <f t="shared" si="1608"/>
        <v>0.28145756982099579</v>
      </c>
      <c r="CI212" s="86">
        <f t="shared" si="1608"/>
        <v>0.29246983855051401</v>
      </c>
      <c r="CJ212" s="86">
        <f>+(CJ34+CI34)/(CF34+CE34)-1</f>
        <v>0.20898899699379525</v>
      </c>
      <c r="CK212" s="86">
        <f>+(CK34+CJ34)/(CG34+CF34)-1</f>
        <v>0.12013296109121696</v>
      </c>
      <c r="CL212" s="86">
        <f>+(CL34+CK34)/(CH34+CG34)-1</f>
        <v>0.13090664133484187</v>
      </c>
      <c r="CM212" s="87"/>
      <c r="CN212" s="87"/>
      <c r="CO212" s="87"/>
      <c r="CP212" s="87"/>
      <c r="CQ212" s="87"/>
      <c r="CR212" s="87"/>
      <c r="CS212" s="87"/>
      <c r="CT212" s="87"/>
      <c r="CU212" s="87"/>
      <c r="CV212" s="87"/>
      <c r="CW212" s="87"/>
      <c r="CX212" s="87"/>
      <c r="CY212" s="87"/>
      <c r="CZ212" s="87"/>
      <c r="DA212" s="87"/>
      <c r="DB212" s="87"/>
      <c r="DE212" s="141"/>
      <c r="DF212" s="86">
        <v>0.16253806448826214</v>
      </c>
    </row>
    <row r="213" spans="1:110" s="86" customFormat="1" x14ac:dyDescent="0.2">
      <c r="A213" s="86" t="s">
        <v>441</v>
      </c>
      <c r="C213" s="86">
        <f t="shared" ref="C213" si="1609">C210/B210-1</f>
        <v>-0.20059098647551354</v>
      </c>
      <c r="D213" s="86">
        <f t="shared" ref="D213" si="1610">D210/C210-1</f>
        <v>-0.18188767461345445</v>
      </c>
      <c r="E213" s="86">
        <f>E210/D210-1</f>
        <v>-0.5075242613831874</v>
      </c>
      <c r="F213" s="86">
        <f t="shared" ref="F213" si="1611">F210/E210-1</f>
        <v>-0.68935926075972209</v>
      </c>
      <c r="G213" s="86">
        <f t="shared" ref="G213" si="1612">G210/F210-1</f>
        <v>-0.98214999802429337</v>
      </c>
      <c r="H213" s="86">
        <f t="shared" ref="H213" si="1613">H210/G210-1</f>
        <v>4.5132998226087198</v>
      </c>
      <c r="I213" s="86">
        <f t="shared" ref="I213" si="1614">I210/H210-1</f>
        <v>6.931737251509368</v>
      </c>
      <c r="J213" s="86">
        <f t="shared" ref="J213" si="1615">J210/I210-1</f>
        <v>3.4985135552352276</v>
      </c>
      <c r="K213" s="86">
        <f>K210/J210-1</f>
        <v>-1.6196838180029927</v>
      </c>
      <c r="L213" s="86">
        <f t="shared" ref="L213" si="1616">L210/K210-1</f>
        <v>0.27072640826971806</v>
      </c>
      <c r="M213" s="86">
        <f t="shared" ref="M213" si="1617">M210/L210-1</f>
        <v>-0.20273697075702324</v>
      </c>
      <c r="N213" s="86">
        <f t="shared" ref="N213" si="1618">N210/M210-1</f>
        <v>-5.4287447394928745E-2</v>
      </c>
      <c r="O213" s="86">
        <f t="shared" ref="O213" si="1619">O210/N210-1</f>
        <v>0.18437447105422411</v>
      </c>
      <c r="P213" s="86">
        <f t="shared" ref="P213" si="1620">P210/O210-1</f>
        <v>-0.33424911149606762</v>
      </c>
      <c r="Q213" s="86">
        <f t="shared" ref="Q213" si="1621">Q210/P210-1</f>
        <v>0.69192688359554433</v>
      </c>
      <c r="R213" s="86">
        <f t="shared" ref="R213" si="1622">R210/Q210-1</f>
        <v>-8.0405086131008607E-2</v>
      </c>
      <c r="S213" s="86">
        <f t="shared" ref="S213" si="1623">S210/R210-1</f>
        <v>-0.2602616068247845</v>
      </c>
      <c r="T213" s="86">
        <f t="shared" ref="T213" si="1624">T210/S210-1</f>
        <v>-0.33989960623218374</v>
      </c>
      <c r="U213" s="86">
        <f t="shared" ref="U213" si="1625">U210/T210-1</f>
        <v>5.7053893398307931</v>
      </c>
      <c r="V213" s="86">
        <f t="shared" ref="V213" si="1626">V210/U210-1</f>
        <v>2.0290152127921428</v>
      </c>
      <c r="W213" s="86">
        <f t="shared" ref="W213:AA213" si="1627">W210/V210-1</f>
        <v>-0.521605210476211</v>
      </c>
      <c r="X213" s="86">
        <f t="shared" si="1627"/>
        <v>-0.3679078991122553</v>
      </c>
      <c r="Y213" s="86">
        <f t="shared" si="1627"/>
        <v>-5.4771212940170066E-2</v>
      </c>
      <c r="Z213" s="86">
        <f t="shared" si="1627"/>
        <v>-7.3681846899239734E-2</v>
      </c>
      <c r="AA213" s="86">
        <f t="shared" si="1627"/>
        <v>-0.12714110891906849</v>
      </c>
      <c r="AB213" s="87">
        <f t="shared" ref="AB213" si="1628">AB210/AA210-1</f>
        <v>-0.72008765382795659</v>
      </c>
      <c r="AC213" s="87">
        <f t="shared" ref="AC213" si="1629">AC210/AB210-1</f>
        <v>2.1266271352395449E-2</v>
      </c>
      <c r="AD213" s="87">
        <f t="shared" ref="AD213" si="1630">AD210/AC210-1</f>
        <v>2.1608344139789626E-3</v>
      </c>
      <c r="AE213" s="87">
        <f t="shared" ref="AE213" si="1631">AE210/AD210-1</f>
        <v>-8.259570794991733E-4</v>
      </c>
      <c r="AN213" s="86">
        <f t="shared" ref="AN213:CI213" si="1632">+AN210/AJ210-1</f>
        <v>0.32295083278807368</v>
      </c>
      <c r="AO213" s="86">
        <f t="shared" si="1632"/>
        <v>-0.23799682655564769</v>
      </c>
      <c r="AP213" s="86">
        <f t="shared" si="1632"/>
        <v>1.4772778052936957</v>
      </c>
      <c r="AQ213" s="86">
        <f t="shared" si="1632"/>
        <v>1.5703091774827147</v>
      </c>
      <c r="AR213" s="86">
        <f t="shared" si="1632"/>
        <v>-0.5506056297498868</v>
      </c>
      <c r="AS213" s="86">
        <f t="shared" si="1632"/>
        <v>-0.53431619581275291</v>
      </c>
      <c r="AT213" s="86">
        <f t="shared" si="1632"/>
        <v>-0.47496190561812912</v>
      </c>
      <c r="AU213" s="86">
        <f t="shared" si="1632"/>
        <v>-0.51672665915801708</v>
      </c>
      <c r="AV213" s="86">
        <f t="shared" si="1632"/>
        <v>-0.51923102933852594</v>
      </c>
      <c r="AW213" s="86">
        <f t="shared" si="1632"/>
        <v>-0.51388273591548606</v>
      </c>
      <c r="AX213" s="86">
        <f t="shared" si="1632"/>
        <v>0.77512685393012348</v>
      </c>
      <c r="AY213" s="86">
        <f t="shared" si="1632"/>
        <v>1.1469973349735501</v>
      </c>
      <c r="AZ213" s="86">
        <f t="shared" si="1632"/>
        <v>1.1187723962184704</v>
      </c>
      <c r="BA213" s="86">
        <f t="shared" si="1632"/>
        <v>1.1558106336441383</v>
      </c>
      <c r="BB213" s="86">
        <f t="shared" si="1632"/>
        <v>-0.19998448686193737</v>
      </c>
      <c r="BC213" s="86">
        <f t="shared" si="1632"/>
        <v>-0.2865489103405231</v>
      </c>
      <c r="BD213" s="86">
        <f t="shared" si="1632"/>
        <v>-3.3163256748546508</v>
      </c>
      <c r="BE213" s="86">
        <f t="shared" si="1632"/>
        <v>-2.9286510800812477</v>
      </c>
      <c r="BF213" s="86">
        <f t="shared" si="1632"/>
        <v>-0.55715760152102756</v>
      </c>
      <c r="BG213" s="86">
        <f t="shared" si="1632"/>
        <v>-0.54694661690853441</v>
      </c>
      <c r="BH213" s="86">
        <f t="shared" si="1632"/>
        <v>-0.37540047067228055</v>
      </c>
      <c r="BI213" s="86">
        <f t="shared" si="1632"/>
        <v>-0.3642838510065044</v>
      </c>
      <c r="BJ213" s="86">
        <f t="shared" si="1632"/>
        <v>0.5570264761328485</v>
      </c>
      <c r="BK213" s="86">
        <f t="shared" si="1632"/>
        <v>0.62018918109801802</v>
      </c>
      <c r="BL213" s="86">
        <f t="shared" si="1632"/>
        <v>1.5486476671062155</v>
      </c>
      <c r="BM213" s="86">
        <f t="shared" si="1632"/>
        <v>1.6285756232823201</v>
      </c>
      <c r="BN213" s="86">
        <f t="shared" si="1632"/>
        <v>0.17258412929618694</v>
      </c>
      <c r="BO213" s="86">
        <f t="shared" si="1632"/>
        <v>5.9745046095680587</v>
      </c>
      <c r="BP213" s="86">
        <f t="shared" si="1632"/>
        <v>3.3071260197242172</v>
      </c>
      <c r="BQ213" s="86">
        <f t="shared" si="1632"/>
        <v>1.763086523671336</v>
      </c>
      <c r="BR213" s="86">
        <f t="shared" si="1632"/>
        <v>0.53689721382696165</v>
      </c>
      <c r="BS213" s="86">
        <f t="shared" si="1632"/>
        <v>-0.62841411692375337</v>
      </c>
      <c r="BT213" s="86">
        <f t="shared" si="1632"/>
        <v>-0.80787650336579464</v>
      </c>
      <c r="BU213" s="86">
        <f t="shared" si="1632"/>
        <v>-0.72288538243623579</v>
      </c>
      <c r="BV213" s="86">
        <f t="shared" si="1632"/>
        <v>-0.42447475407950119</v>
      </c>
      <c r="BW213" s="86">
        <f t="shared" si="1632"/>
        <v>-0.77270680292855842</v>
      </c>
      <c r="BX213" s="86">
        <f t="shared" si="1632"/>
        <v>-0.4911841729620231</v>
      </c>
      <c r="BY213" s="86">
        <f t="shared" si="1632"/>
        <v>-0.44374480304234198</v>
      </c>
      <c r="BZ213" s="86">
        <f t="shared" si="1632"/>
        <v>-0.40291582689604943</v>
      </c>
      <c r="CA213" s="86">
        <f t="shared" si="1632"/>
        <v>-4.8992052046551993E-2</v>
      </c>
      <c r="CB213" s="86">
        <f t="shared" si="1632"/>
        <v>-4.5620484763698843E-2</v>
      </c>
      <c r="CC213" s="86">
        <f t="shared" si="1632"/>
        <v>-0.10929689949594845</v>
      </c>
      <c r="CD213" s="86">
        <f t="shared" si="1632"/>
        <v>5.0739949262683659E-2</v>
      </c>
      <c r="CE213" s="86">
        <f t="shared" si="1632"/>
        <v>0.17021567278322536</v>
      </c>
      <c r="CF213" s="86">
        <f t="shared" si="1632"/>
        <v>-0.20179286635187932</v>
      </c>
      <c r="CG213" s="86">
        <f t="shared" si="1632"/>
        <v>-0.21695670162518521</v>
      </c>
      <c r="CH213" s="86">
        <f t="shared" si="1632"/>
        <v>1.7891320278887388</v>
      </c>
      <c r="CI213" s="86">
        <f t="shared" si="1632"/>
        <v>1.2364450204949158</v>
      </c>
      <c r="CJ213" s="86">
        <f>+CJ210/CF210-1</f>
        <v>-0.52943978605620201</v>
      </c>
      <c r="CK213" s="86">
        <f>+CK210/CG210-1</f>
        <v>-0.29285950108946035</v>
      </c>
      <c r="CL213" s="86">
        <f>+CL210/CH210-1</f>
        <v>-0.71548837412072741</v>
      </c>
      <c r="CM213" s="87"/>
      <c r="CN213" s="87"/>
      <c r="CO213" s="87"/>
      <c r="CP213" s="87"/>
      <c r="CQ213" s="87"/>
      <c r="CR213" s="87"/>
      <c r="CS213" s="87"/>
      <c r="CT213" s="87"/>
      <c r="CU213" s="87"/>
      <c r="CV213" s="87"/>
      <c r="CW213" s="87"/>
      <c r="CX213" s="87"/>
      <c r="CY213" s="87"/>
      <c r="CZ213" s="87"/>
      <c r="DA213" s="87"/>
      <c r="DB213" s="87"/>
      <c r="DE213" s="141"/>
      <c r="DF213" s="86">
        <v>-0.72094056923135419</v>
      </c>
    </row>
    <row r="214" spans="1:110" s="103" customFormat="1" x14ac:dyDescent="0.2">
      <c r="A214" s="147" t="s">
        <v>87</v>
      </c>
      <c r="C214" s="103">
        <f>IF(C213&gt;C212,"RF",0)</f>
        <v>0</v>
      </c>
      <c r="D214" s="103">
        <f>IF(D213&gt;D212,"RF",0)</f>
        <v>0</v>
      </c>
      <c r="E214" s="103">
        <f t="shared" ref="E214:U214" si="1633">IF(E213&gt;E212,"RF",0)</f>
        <v>0</v>
      </c>
      <c r="F214" s="103">
        <f t="shared" si="1633"/>
        <v>0</v>
      </c>
      <c r="G214" s="103">
        <f t="shared" si="1633"/>
        <v>0</v>
      </c>
      <c r="H214" s="103" t="str">
        <f t="shared" si="1633"/>
        <v>RF</v>
      </c>
      <c r="I214" s="103" t="str">
        <f t="shared" si="1633"/>
        <v>RF</v>
      </c>
      <c r="J214" s="103" t="str">
        <f t="shared" si="1633"/>
        <v>RF</v>
      </c>
      <c r="K214" s="103">
        <f t="shared" si="1633"/>
        <v>0</v>
      </c>
      <c r="L214" s="103" t="str">
        <f t="shared" si="1633"/>
        <v>RF</v>
      </c>
      <c r="M214" s="103">
        <f t="shared" si="1633"/>
        <v>0</v>
      </c>
      <c r="N214" s="103">
        <f t="shared" si="1633"/>
        <v>0</v>
      </c>
      <c r="O214" s="103" t="str">
        <f t="shared" si="1633"/>
        <v>RF</v>
      </c>
      <c r="P214" s="103">
        <f t="shared" si="1633"/>
        <v>0</v>
      </c>
      <c r="Q214" s="103" t="str">
        <f t="shared" si="1633"/>
        <v>RF</v>
      </c>
      <c r="R214" s="103">
        <f t="shared" si="1633"/>
        <v>0</v>
      </c>
      <c r="S214" s="103">
        <f t="shared" si="1633"/>
        <v>0</v>
      </c>
      <c r="T214" s="103">
        <f t="shared" si="1633"/>
        <v>0</v>
      </c>
      <c r="U214" s="103" t="str">
        <f t="shared" si="1633"/>
        <v>RF</v>
      </c>
      <c r="V214" s="103" t="str">
        <f>IF(V213&gt;V212,"RF",0)</f>
        <v>RF</v>
      </c>
      <c r="W214" s="103">
        <f t="shared" ref="W214" si="1634">IF(W213&gt;W212,"RF",0)</f>
        <v>0</v>
      </c>
      <c r="X214" s="103">
        <f t="shared" ref="X214:Y214" si="1635">IF(X213&gt;X212,"RF",0)</f>
        <v>0</v>
      </c>
      <c r="Y214" s="103">
        <f t="shared" si="1635"/>
        <v>0</v>
      </c>
      <c r="Z214" s="103">
        <f t="shared" ref="Z214:AA214" si="1636">IF(Z213&gt;Z212,"RF",0)</f>
        <v>0</v>
      </c>
      <c r="AA214" s="103">
        <f t="shared" si="1636"/>
        <v>0</v>
      </c>
      <c r="AB214" s="73">
        <f t="shared" ref="AA214:AD214" si="1637">IF(AB213&gt;AB212,"RF",0)</f>
        <v>0</v>
      </c>
      <c r="AC214" s="73">
        <f t="shared" si="1637"/>
        <v>0</v>
      </c>
      <c r="AD214" s="73">
        <f t="shared" si="1637"/>
        <v>0</v>
      </c>
      <c r="AE214" s="73">
        <f t="shared" ref="AE214" si="1638">IF(AE213&gt;AE212,"RF",0)</f>
        <v>0</v>
      </c>
      <c r="CM214" s="73"/>
      <c r="CN214" s="73"/>
      <c r="CO214" s="73"/>
      <c r="CP214" s="73"/>
      <c r="CQ214" s="73"/>
      <c r="CR214" s="73"/>
      <c r="CS214" s="73"/>
      <c r="CT214" s="73"/>
      <c r="CU214" s="73"/>
      <c r="CV214" s="73"/>
      <c r="CW214" s="73"/>
      <c r="CX214" s="73"/>
      <c r="CY214" s="73"/>
      <c r="CZ214" s="73"/>
      <c r="DA214" s="73"/>
      <c r="DB214" s="73"/>
      <c r="DE214" s="142"/>
      <c r="DF214" s="103">
        <v>0</v>
      </c>
    </row>
    <row r="215" spans="1:110" x14ac:dyDescent="0.2">
      <c r="A215" s="153" t="s">
        <v>494</v>
      </c>
      <c r="AA215" s="2"/>
      <c r="CL215" s="2"/>
    </row>
    <row r="216" spans="1:110" x14ac:dyDescent="0.2">
      <c r="A216" s="152" t="s">
        <v>495</v>
      </c>
      <c r="AA216" s="2"/>
      <c r="CL216" s="2"/>
    </row>
    <row r="217" spans="1:110" s="23" customFormat="1" x14ac:dyDescent="0.2">
      <c r="A217" s="23" t="s">
        <v>22</v>
      </c>
      <c r="C217" s="23">
        <f t="shared" ref="C217:AE217" si="1639">C72</f>
        <v>21.799999999999947</v>
      </c>
      <c r="D217" s="23">
        <f t="shared" si="1639"/>
        <v>28.069999999999929</v>
      </c>
      <c r="E217" s="23">
        <f t="shared" si="1639"/>
        <v>71.989999999999966</v>
      </c>
      <c r="F217" s="23">
        <f t="shared" si="1639"/>
        <v>128.49999999999986</v>
      </c>
      <c r="G217" s="23">
        <f t="shared" si="1639"/>
        <v>248.73999999999967</v>
      </c>
      <c r="H217" s="23">
        <f t="shared" si="1639"/>
        <v>370.30999999999983</v>
      </c>
      <c r="I217" s="23">
        <f t="shared" si="1639"/>
        <v>354.98000000000025</v>
      </c>
      <c r="J217" s="23">
        <f t="shared" si="1639"/>
        <v>12.460000000000027</v>
      </c>
      <c r="K217" s="23">
        <f t="shared" si="1639"/>
        <v>-136.87999999999988</v>
      </c>
      <c r="L217" s="23">
        <f t="shared" si="1639"/>
        <v>-87.260000000000275</v>
      </c>
      <c r="M217" s="23">
        <f t="shared" si="1639"/>
        <v>3.0600000000000054</v>
      </c>
      <c r="N217" s="23">
        <f t="shared" si="1639"/>
        <v>-430.24000000000012</v>
      </c>
      <c r="O217" s="23">
        <f t="shared" si="1639"/>
        <v>-553.84999999999991</v>
      </c>
      <c r="P217" s="23">
        <f t="shared" si="1639"/>
        <v>-378.09999999999968</v>
      </c>
      <c r="Q217" s="23">
        <f t="shared" si="1639"/>
        <v>-231.07999999999967</v>
      </c>
      <c r="R217" s="23">
        <f t="shared" si="1639"/>
        <v>-63.200000000000159</v>
      </c>
      <c r="S217" s="23">
        <f t="shared" si="1639"/>
        <v>100.86999999999992</v>
      </c>
      <c r="T217" s="23">
        <f t="shared" si="1639"/>
        <v>286.81999999999954</v>
      </c>
      <c r="U217" s="23">
        <f t="shared" si="1639"/>
        <v>354.42000000000064</v>
      </c>
      <c r="V217" s="23">
        <f t="shared" si="1639"/>
        <v>-720.10999999999967</v>
      </c>
      <c r="W217" s="23">
        <f t="shared" si="1639"/>
        <v>-247.72000000000008</v>
      </c>
      <c r="X217" s="23">
        <f t="shared" si="1639"/>
        <v>1002.5899999999993</v>
      </c>
      <c r="Y217" s="23">
        <f t="shared" si="1639"/>
        <v>1259.0699999999993</v>
      </c>
      <c r="Z217" s="23">
        <f t="shared" si="1639"/>
        <v>1907.5900000000008</v>
      </c>
      <c r="AA217" s="23">
        <f t="shared" ref="AA217" si="1640">AA72</f>
        <v>2084.3799999999997</v>
      </c>
      <c r="AB217" s="24">
        <f t="shared" si="1639"/>
        <v>2103.0650855093836</v>
      </c>
      <c r="AC217" s="24">
        <f t="shared" si="1639"/>
        <v>2583.8453411347737</v>
      </c>
      <c r="AD217" s="24">
        <f t="shared" si="1639"/>
        <v>2863.5662340633917</v>
      </c>
      <c r="AE217" s="24">
        <f t="shared" si="1639"/>
        <v>3127.7867156480493</v>
      </c>
      <c r="AI217" s="23">
        <f t="shared" ref="AI217:BN217" si="1641">AI72</f>
        <v>-33.36</v>
      </c>
      <c r="AJ217" s="23">
        <f t="shared" si="1641"/>
        <v>-57.489999999999981</v>
      </c>
      <c r="AK217" s="23">
        <f t="shared" si="1641"/>
        <v>64.619999999999919</v>
      </c>
      <c r="AL217" s="23">
        <f t="shared" si="1641"/>
        <v>-389.15999999999991</v>
      </c>
      <c r="AM217" s="23">
        <f t="shared" si="1641"/>
        <v>-19.090000000000117</v>
      </c>
      <c r="AN217" s="23">
        <f t="shared" si="1641"/>
        <v>-433.48</v>
      </c>
      <c r="AO217" s="23">
        <f t="shared" si="1641"/>
        <v>59.569999999999894</v>
      </c>
      <c r="AP217" s="23">
        <f t="shared" si="1641"/>
        <v>-160.84999999999997</v>
      </c>
      <c r="AQ217" s="23">
        <f t="shared" si="1641"/>
        <v>-34.820000000000093</v>
      </c>
      <c r="AR217" s="23">
        <f t="shared" si="1641"/>
        <v>-97.689999999999927</v>
      </c>
      <c r="AS217" s="23">
        <f t="shared" si="1641"/>
        <v>61.840000000000089</v>
      </c>
      <c r="AT217" s="23">
        <f t="shared" si="1641"/>
        <v>-307.43</v>
      </c>
      <c r="AU217" s="23">
        <f t="shared" si="1641"/>
        <v>34.779999999999987</v>
      </c>
      <c r="AV217" s="23">
        <f t="shared" si="1641"/>
        <v>-151.96</v>
      </c>
      <c r="AW217" s="23">
        <f t="shared" si="1641"/>
        <v>13.310000000000105</v>
      </c>
      <c r="AX217" s="23">
        <f t="shared" si="1641"/>
        <v>-51.72</v>
      </c>
      <c r="AY217" s="23">
        <f t="shared" si="1641"/>
        <v>-169.45000000000007</v>
      </c>
      <c r="AZ217" s="23">
        <f t="shared" si="1641"/>
        <v>-26.760000000000034</v>
      </c>
      <c r="BA217" s="23">
        <f t="shared" si="1641"/>
        <v>92.979999999999976</v>
      </c>
      <c r="BB217" s="23">
        <f t="shared" si="1641"/>
        <v>40.029999999999959</v>
      </c>
      <c r="BC217" s="23">
        <f t="shared" si="1641"/>
        <v>-24.960000000000083</v>
      </c>
      <c r="BD217" s="23">
        <f t="shared" si="1641"/>
        <v>-57.669999999999959</v>
      </c>
      <c r="BE217" s="23">
        <f t="shared" si="1641"/>
        <v>107.86999999999999</v>
      </c>
      <c r="BF217" s="23">
        <f t="shared" si="1641"/>
        <v>75.629999999999953</v>
      </c>
      <c r="BG217" s="23">
        <f t="shared" si="1641"/>
        <v>15.260000000000083</v>
      </c>
      <c r="BH217" s="23">
        <f t="shared" si="1641"/>
        <v>-5.2100000000000932</v>
      </c>
      <c r="BI217" s="23">
        <f t="shared" si="1641"/>
        <v>161.78000000000009</v>
      </c>
      <c r="BJ217" s="23">
        <f t="shared" si="1641"/>
        <v>114.98999999999984</v>
      </c>
      <c r="BK217" s="23">
        <f t="shared" si="1641"/>
        <v>5.6599999999999451</v>
      </c>
      <c r="BL217" s="23">
        <f t="shared" si="1641"/>
        <v>71.310000000000031</v>
      </c>
      <c r="BM217" s="23">
        <f t="shared" si="1641"/>
        <v>203.13000000000002</v>
      </c>
      <c r="BN217" s="23">
        <f t="shared" si="1641"/>
        <v>74.320000000000064</v>
      </c>
      <c r="BO217" s="23">
        <f t="shared" ref="BO217:CT217" si="1642">BO72</f>
        <v>-279.91999999999996</v>
      </c>
      <c r="BP217" s="23">
        <f t="shared" si="1642"/>
        <v>-230.01</v>
      </c>
      <c r="BQ217" s="23">
        <f t="shared" si="1642"/>
        <v>-118.87999999999994</v>
      </c>
      <c r="BR217" s="23">
        <f t="shared" si="1642"/>
        <v>-91.299999999999983</v>
      </c>
      <c r="BS217" s="23">
        <f t="shared" si="1642"/>
        <v>-277.33999999999997</v>
      </c>
      <c r="BT217" s="23">
        <f t="shared" si="1642"/>
        <v>-120.57999999999997</v>
      </c>
      <c r="BU217" s="23">
        <f t="shared" si="1642"/>
        <v>76.009999999999977</v>
      </c>
      <c r="BV217" s="23">
        <f t="shared" si="1642"/>
        <v>74.190000000000026</v>
      </c>
      <c r="BW217" s="23">
        <f t="shared" si="1642"/>
        <v>170.04999999999993</v>
      </c>
      <c r="BX217" s="23">
        <f t="shared" si="1642"/>
        <v>121.55999999999992</v>
      </c>
      <c r="BY217" s="23">
        <f t="shared" si="1642"/>
        <v>382.71</v>
      </c>
      <c r="BZ217" s="23">
        <f t="shared" si="1642"/>
        <v>328.27</v>
      </c>
      <c r="CA217" s="23">
        <f t="shared" si="1642"/>
        <v>222.43999999999983</v>
      </c>
      <c r="CB217" s="23">
        <f t="shared" si="1642"/>
        <v>166.92000000000021</v>
      </c>
      <c r="CC217" s="23">
        <f t="shared" si="1642"/>
        <v>451.94999999999987</v>
      </c>
      <c r="CD217" s="23">
        <f t="shared" si="1642"/>
        <v>417.75999999999993</v>
      </c>
      <c r="CE217" s="23">
        <f t="shared" si="1642"/>
        <v>248.39</v>
      </c>
      <c r="CF217" s="23">
        <f t="shared" si="1642"/>
        <v>554.57999999999993</v>
      </c>
      <c r="CG217" s="23">
        <f t="shared" si="1642"/>
        <v>582.32000000000016</v>
      </c>
      <c r="CH217" s="23">
        <f t="shared" si="1642"/>
        <v>522.29999999999995</v>
      </c>
      <c r="CI217" s="23">
        <f t="shared" si="1642"/>
        <v>296.36999999999972</v>
      </c>
      <c r="CJ217" s="23">
        <f t="shared" si="1642"/>
        <v>284.92</v>
      </c>
      <c r="CK217" s="23">
        <f t="shared" si="1642"/>
        <v>903.2299999999999</v>
      </c>
      <c r="CL217" s="23">
        <f t="shared" ref="CL217" si="1643">CL72</f>
        <v>599.86000000000013</v>
      </c>
      <c r="CM217" s="24">
        <f t="shared" si="1642"/>
        <v>488.62977639354028</v>
      </c>
      <c r="CN217" s="24">
        <f t="shared" si="1642"/>
        <v>513.93257910798627</v>
      </c>
      <c r="CO217" s="24">
        <f t="shared" si="1642"/>
        <v>559.33960055922194</v>
      </c>
      <c r="CP217" s="24">
        <f t="shared" si="1642"/>
        <v>541.16312944863512</v>
      </c>
      <c r="CQ217" s="24">
        <f t="shared" si="1642"/>
        <v>598.70071798859703</v>
      </c>
      <c r="CR217" s="24">
        <f t="shared" si="1642"/>
        <v>629.72644901012973</v>
      </c>
      <c r="CS217" s="24">
        <f t="shared" si="1642"/>
        <v>662.75557800776153</v>
      </c>
      <c r="CT217" s="24">
        <f t="shared" si="1642"/>
        <v>692.66259612828742</v>
      </c>
      <c r="CU217" s="24">
        <f t="shared" ref="CU217:DB217" si="1644">CU72</f>
        <v>685.18125896004619</v>
      </c>
      <c r="CV217" s="24">
        <f t="shared" si="1644"/>
        <v>707.46737658019299</v>
      </c>
      <c r="CW217" s="24">
        <f t="shared" si="1644"/>
        <v>727.33694261162054</v>
      </c>
      <c r="CX217" s="24">
        <f t="shared" si="1644"/>
        <v>743.58065591153422</v>
      </c>
      <c r="CY217" s="24">
        <f t="shared" si="1644"/>
        <v>756.09349213852249</v>
      </c>
      <c r="CZ217" s="24">
        <f t="shared" si="1644"/>
        <v>774.06142107202879</v>
      </c>
      <c r="DA217" s="24">
        <f t="shared" si="1644"/>
        <v>790.84554094918383</v>
      </c>
      <c r="DB217" s="24">
        <f t="shared" si="1644"/>
        <v>806.7862614883137</v>
      </c>
      <c r="DE217" s="123"/>
      <c r="DF217" s="23">
        <v>623.2020607825217</v>
      </c>
    </row>
    <row r="218" spans="1:110" s="23" customFormat="1" x14ac:dyDescent="0.2">
      <c r="A218" s="23" t="s">
        <v>88</v>
      </c>
      <c r="C218" s="23">
        <f t="shared" ref="C218:AE218" si="1645">C56</f>
        <v>78.849999999999994</v>
      </c>
      <c r="D218" s="23">
        <f t="shared" si="1645"/>
        <v>75.650000000000006</v>
      </c>
      <c r="E218" s="23">
        <f t="shared" si="1645"/>
        <v>87.83</v>
      </c>
      <c r="F218" s="23">
        <f t="shared" si="1645"/>
        <v>111.73</v>
      </c>
      <c r="G218" s="23">
        <f t="shared" si="1645"/>
        <v>127.35</v>
      </c>
      <c r="H218" s="23">
        <f t="shared" si="1645"/>
        <v>160.66999999999999</v>
      </c>
      <c r="I218" s="23">
        <f t="shared" si="1645"/>
        <v>167.62</v>
      </c>
      <c r="J218" s="23">
        <f t="shared" si="1645"/>
        <v>188.53</v>
      </c>
      <c r="K218" s="23">
        <f t="shared" si="1645"/>
        <v>218.54</v>
      </c>
      <c r="L218" s="23">
        <f t="shared" si="1645"/>
        <v>227.89</v>
      </c>
      <c r="M218" s="23">
        <f t="shared" si="1645"/>
        <v>255.07</v>
      </c>
      <c r="N218" s="23">
        <f t="shared" si="1645"/>
        <v>288.42</v>
      </c>
      <c r="O218" s="23">
        <f t="shared" si="1645"/>
        <v>308.13</v>
      </c>
      <c r="P218" s="23">
        <f t="shared" si="1645"/>
        <v>291.29000000000002</v>
      </c>
      <c r="Q218" s="23">
        <f t="shared" si="1645"/>
        <v>284.82</v>
      </c>
      <c r="R218" s="23">
        <f t="shared" si="1645"/>
        <v>299.37</v>
      </c>
      <c r="S218" s="23">
        <f t="shared" si="1645"/>
        <v>301.2</v>
      </c>
      <c r="T218" s="23">
        <f t="shared" si="1645"/>
        <v>327.85</v>
      </c>
      <c r="U218" s="23">
        <f t="shared" si="1645"/>
        <v>404.24</v>
      </c>
      <c r="V218" s="23">
        <f t="shared" si="1645"/>
        <v>409.63</v>
      </c>
      <c r="W218" s="23">
        <f t="shared" si="1645"/>
        <v>406.05</v>
      </c>
      <c r="X218" s="23">
        <f t="shared" si="1645"/>
        <v>416.06</v>
      </c>
      <c r="Y218" s="23">
        <f t="shared" si="1645"/>
        <v>454.3</v>
      </c>
      <c r="Z218" s="23">
        <f t="shared" si="1645"/>
        <v>518.16</v>
      </c>
      <c r="AA218" s="23">
        <f t="shared" ref="AA218" si="1646">AA56</f>
        <v>605.16</v>
      </c>
      <c r="AB218" s="24">
        <f t="shared" si="1645"/>
        <v>747.93109110215937</v>
      </c>
      <c r="AC218" s="24">
        <f t="shared" si="1645"/>
        <v>735.71128804583213</v>
      </c>
      <c r="AD218" s="24">
        <f t="shared" si="1645"/>
        <v>724.50089812654664</v>
      </c>
      <c r="AE218" s="24">
        <f t="shared" si="1645"/>
        <v>714.21653907729444</v>
      </c>
      <c r="AI218" s="23">
        <f t="shared" ref="AI218:BN218" si="1647">AI56</f>
        <v>71.42</v>
      </c>
      <c r="AJ218" s="23">
        <f t="shared" si="1647"/>
        <v>73.7</v>
      </c>
      <c r="AK218" s="23">
        <f t="shared" si="1647"/>
        <v>30.49</v>
      </c>
      <c r="AL218" s="23">
        <f t="shared" si="1647"/>
        <v>71</v>
      </c>
      <c r="AM218" s="23">
        <f t="shared" si="1647"/>
        <v>73.25</v>
      </c>
      <c r="AN218" s="23">
        <f t="shared" si="1647"/>
        <v>80.349999999999994</v>
      </c>
      <c r="AO218" s="23">
        <f t="shared" si="1647"/>
        <v>78.989999999999995</v>
      </c>
      <c r="AP218" s="23">
        <f t="shared" si="1647"/>
        <v>75.540000000000006</v>
      </c>
      <c r="AQ218" s="23">
        <f t="shared" si="1647"/>
        <v>69.760000000000005</v>
      </c>
      <c r="AR218" s="23">
        <f t="shared" si="1647"/>
        <v>74.86</v>
      </c>
      <c r="AS218" s="23">
        <f t="shared" si="1647"/>
        <v>74.819999999999993</v>
      </c>
      <c r="AT218" s="23">
        <f t="shared" si="1647"/>
        <v>71.849999999999994</v>
      </c>
      <c r="AU218" s="23">
        <f t="shared" si="1647"/>
        <v>73.95</v>
      </c>
      <c r="AV218" s="23">
        <f t="shared" si="1647"/>
        <v>69.22</v>
      </c>
      <c r="AW218" s="23">
        <f t="shared" si="1647"/>
        <v>72.209999999999994</v>
      </c>
      <c r="AX218" s="23">
        <f t="shared" si="1647"/>
        <v>85.53</v>
      </c>
      <c r="AY218" s="23">
        <f t="shared" si="1647"/>
        <v>73.709999999999994</v>
      </c>
      <c r="AZ218" s="23">
        <f t="shared" si="1647"/>
        <v>66.97</v>
      </c>
      <c r="BA218" s="23">
        <f t="shared" si="1647"/>
        <v>69.14</v>
      </c>
      <c r="BB218" s="23">
        <f t="shared" si="1647"/>
        <v>89.55</v>
      </c>
      <c r="BC218" s="23">
        <f t="shared" si="1647"/>
        <v>71.38</v>
      </c>
      <c r="BD218" s="23">
        <f t="shared" si="1647"/>
        <v>70.47</v>
      </c>
      <c r="BE218" s="23">
        <f t="shared" si="1647"/>
        <v>74.17</v>
      </c>
      <c r="BF218" s="23">
        <f t="shared" si="1647"/>
        <v>85.18</v>
      </c>
      <c r="BG218" s="23">
        <f t="shared" si="1647"/>
        <v>78.47</v>
      </c>
      <c r="BH218" s="23">
        <f t="shared" si="1647"/>
        <v>81.22</v>
      </c>
      <c r="BI218" s="23">
        <f t="shared" si="1647"/>
        <v>83.28</v>
      </c>
      <c r="BJ218" s="23">
        <f t="shared" si="1647"/>
        <v>84.88</v>
      </c>
      <c r="BK218" s="23">
        <f t="shared" si="1647"/>
        <v>100.36</v>
      </c>
      <c r="BL218" s="23">
        <f t="shared" si="1647"/>
        <v>99.93</v>
      </c>
      <c r="BM218" s="23">
        <f t="shared" si="1647"/>
        <v>100.83</v>
      </c>
      <c r="BN218" s="23">
        <f t="shared" si="1647"/>
        <v>103.12</v>
      </c>
      <c r="BO218" s="23">
        <f t="shared" ref="BO218:CT218" si="1648">BO56</f>
        <v>100.14</v>
      </c>
      <c r="BP218" s="23">
        <f t="shared" si="1648"/>
        <v>102.84</v>
      </c>
      <c r="BQ218" s="23">
        <f t="shared" si="1648"/>
        <v>102.32</v>
      </c>
      <c r="BR218" s="23">
        <f t="shared" si="1648"/>
        <v>104.33</v>
      </c>
      <c r="BS218" s="23">
        <f t="shared" si="1648"/>
        <v>102.54</v>
      </c>
      <c r="BT218" s="23">
        <f t="shared" si="1648"/>
        <v>101.76</v>
      </c>
      <c r="BU218" s="23">
        <f t="shared" si="1648"/>
        <v>99.87</v>
      </c>
      <c r="BV218" s="23">
        <f t="shared" si="1648"/>
        <v>101.88</v>
      </c>
      <c r="BW218" s="23">
        <f t="shared" si="1648"/>
        <v>102.58</v>
      </c>
      <c r="BX218" s="23">
        <f t="shared" si="1648"/>
        <v>102.57</v>
      </c>
      <c r="BY218" s="23">
        <f t="shared" si="1648"/>
        <v>103.31</v>
      </c>
      <c r="BZ218" s="23">
        <f t="shared" si="1648"/>
        <v>107.6</v>
      </c>
      <c r="CA218" s="23">
        <f t="shared" si="1648"/>
        <v>109.05</v>
      </c>
      <c r="CB218" s="23">
        <f t="shared" si="1648"/>
        <v>111.21</v>
      </c>
      <c r="CC218" s="23">
        <f t="shared" si="1648"/>
        <v>114.31</v>
      </c>
      <c r="CD218" s="23">
        <f t="shared" si="1648"/>
        <v>119.73</v>
      </c>
      <c r="CE218" s="23">
        <f t="shared" si="1648"/>
        <v>117.29</v>
      </c>
      <c r="CF218" s="23">
        <f t="shared" si="1648"/>
        <v>124.93</v>
      </c>
      <c r="CG218" s="23">
        <f t="shared" si="1648"/>
        <v>133.94</v>
      </c>
      <c r="CH218" s="23">
        <f t="shared" si="1648"/>
        <v>142</v>
      </c>
      <c r="CI218" s="23">
        <f t="shared" si="1648"/>
        <v>142.75</v>
      </c>
      <c r="CJ218" s="23">
        <f t="shared" si="1648"/>
        <v>144.72</v>
      </c>
      <c r="CK218" s="23">
        <f t="shared" si="1648"/>
        <v>150.32</v>
      </c>
      <c r="CL218" s="23">
        <f t="shared" ref="CL218" si="1649">CL56</f>
        <v>167.37</v>
      </c>
      <c r="CM218" s="24">
        <f t="shared" si="1648"/>
        <v>188.18692442152309</v>
      </c>
      <c r="CN218" s="24">
        <f t="shared" si="1648"/>
        <v>187.37264276990743</v>
      </c>
      <c r="CO218" s="24">
        <f t="shared" si="1648"/>
        <v>186.57572451212886</v>
      </c>
      <c r="CP218" s="24">
        <f t="shared" si="1648"/>
        <v>185.7957993986</v>
      </c>
      <c r="CQ218" s="24">
        <f t="shared" si="1648"/>
        <v>185.03250507477728</v>
      </c>
      <c r="CR218" s="24">
        <f t="shared" si="1648"/>
        <v>184.28548691281071</v>
      </c>
      <c r="CS218" s="24">
        <f t="shared" si="1648"/>
        <v>183.55439784678279</v>
      </c>
      <c r="CT218" s="24">
        <f t="shared" si="1648"/>
        <v>182.83889821146133</v>
      </c>
      <c r="CU218" s="24">
        <f t="shared" ref="CU218:DB218" si="1650">CU56</f>
        <v>182.13865558449046</v>
      </c>
      <c r="CV218" s="24">
        <f t="shared" si="1650"/>
        <v>181.45334463194632</v>
      </c>
      <c r="CW218" s="24">
        <f t="shared" si="1650"/>
        <v>180.78264695718667</v>
      </c>
      <c r="CX218" s="24">
        <f t="shared" si="1650"/>
        <v>180.12625095292321</v>
      </c>
      <c r="CY218" s="24">
        <f t="shared" si="1650"/>
        <v>179.48385165644811</v>
      </c>
      <c r="CZ218" s="24">
        <f t="shared" si="1650"/>
        <v>178.8551506079481</v>
      </c>
      <c r="DA218" s="24">
        <f t="shared" si="1650"/>
        <v>178.2398557118392</v>
      </c>
      <c r="DB218" s="24">
        <f t="shared" si="1650"/>
        <v>177.63768110105897</v>
      </c>
      <c r="DE218" s="123"/>
      <c r="DF218" s="23">
        <v>150.3138718217235</v>
      </c>
    </row>
    <row r="219" spans="1:110" s="22" customFormat="1" x14ac:dyDescent="0.2">
      <c r="A219" s="22" t="s">
        <v>89</v>
      </c>
      <c r="C219" s="22">
        <f t="shared" ref="C219:W219" si="1651">C217+C218</f>
        <v>100.64999999999995</v>
      </c>
      <c r="D219" s="22">
        <f t="shared" si="1651"/>
        <v>103.71999999999994</v>
      </c>
      <c r="E219" s="22">
        <f t="shared" si="1651"/>
        <v>159.81999999999996</v>
      </c>
      <c r="F219" s="22">
        <f t="shared" si="1651"/>
        <v>240.22999999999985</v>
      </c>
      <c r="G219" s="22">
        <f t="shared" si="1651"/>
        <v>376.08999999999969</v>
      </c>
      <c r="H219" s="22">
        <f t="shared" si="1651"/>
        <v>530.97999999999979</v>
      </c>
      <c r="I219" s="22">
        <f t="shared" si="1651"/>
        <v>522.60000000000025</v>
      </c>
      <c r="J219" s="22">
        <f t="shared" si="1651"/>
        <v>200.99000000000004</v>
      </c>
      <c r="K219" s="22">
        <f t="shared" si="1651"/>
        <v>81.66000000000011</v>
      </c>
      <c r="L219" s="22">
        <f t="shared" si="1651"/>
        <v>140.62999999999971</v>
      </c>
      <c r="M219" s="22">
        <f t="shared" si="1651"/>
        <v>258.13</v>
      </c>
      <c r="N219" s="22">
        <f t="shared" si="1651"/>
        <v>-141.82000000000011</v>
      </c>
      <c r="O219" s="22">
        <f t="shared" si="1651"/>
        <v>-245.71999999999991</v>
      </c>
      <c r="P219" s="22">
        <f t="shared" si="1651"/>
        <v>-86.809999999999661</v>
      </c>
      <c r="Q219" s="22">
        <f t="shared" si="1651"/>
        <v>53.740000000000322</v>
      </c>
      <c r="R219" s="22">
        <f t="shared" si="1651"/>
        <v>236.16999999999985</v>
      </c>
      <c r="S219" s="22">
        <f t="shared" si="1651"/>
        <v>402.06999999999994</v>
      </c>
      <c r="T219" s="22">
        <f t="shared" si="1651"/>
        <v>614.66999999999962</v>
      </c>
      <c r="U219" s="22">
        <f t="shared" si="1651"/>
        <v>758.66000000000065</v>
      </c>
      <c r="V219" s="22">
        <f t="shared" si="1651"/>
        <v>-310.47999999999968</v>
      </c>
      <c r="W219" s="22">
        <f t="shared" si="1651"/>
        <v>158.32999999999993</v>
      </c>
      <c r="X219" s="22">
        <f t="shared" ref="X219:Y219" si="1652">X217+X218</f>
        <v>1418.6499999999994</v>
      </c>
      <c r="Y219" s="22">
        <f t="shared" si="1652"/>
        <v>1713.3699999999992</v>
      </c>
      <c r="Z219" s="22">
        <f t="shared" ref="Z219:AA219" si="1653">Z217+Z218</f>
        <v>2425.7500000000009</v>
      </c>
      <c r="AA219" s="22">
        <f t="shared" si="1653"/>
        <v>2689.5399999999995</v>
      </c>
      <c r="AB219" s="21">
        <f t="shared" ref="AA219:AD219" si="1654">AB217+AB218</f>
        <v>2850.996176611543</v>
      </c>
      <c r="AC219" s="21">
        <f t="shared" si="1654"/>
        <v>3319.5566291806058</v>
      </c>
      <c r="AD219" s="21">
        <f t="shared" si="1654"/>
        <v>3588.0671321899381</v>
      </c>
      <c r="AE219" s="21">
        <f t="shared" ref="AE219" si="1655">AE217+AE218</f>
        <v>3842.0032547253436</v>
      </c>
      <c r="AI219" s="22">
        <f t="shared" ref="AI219" si="1656">AI217+AI218</f>
        <v>38.06</v>
      </c>
      <c r="AJ219" s="22">
        <f t="shared" ref="AJ219:AL219" si="1657">AJ217+AJ218</f>
        <v>16.210000000000022</v>
      </c>
      <c r="AK219" s="22">
        <f t="shared" si="1657"/>
        <v>95.109999999999914</v>
      </c>
      <c r="AL219" s="22">
        <f t="shared" si="1657"/>
        <v>-318.15999999999991</v>
      </c>
      <c r="AM219" s="22">
        <f t="shared" ref="AM219" si="1658">AM217+AM218</f>
        <v>54.159999999999883</v>
      </c>
      <c r="AN219" s="22">
        <f t="shared" ref="AN219:CD219" si="1659">AN217+AN218</f>
        <v>-353.13</v>
      </c>
      <c r="AO219" s="22">
        <f t="shared" si="1659"/>
        <v>138.55999999999989</v>
      </c>
      <c r="AP219" s="22">
        <f t="shared" si="1659"/>
        <v>-85.30999999999996</v>
      </c>
      <c r="AQ219" s="22">
        <f t="shared" si="1659"/>
        <v>34.939999999999912</v>
      </c>
      <c r="AR219" s="22">
        <f t="shared" si="1659"/>
        <v>-22.829999999999927</v>
      </c>
      <c r="AS219" s="22">
        <f t="shared" si="1659"/>
        <v>136.66000000000008</v>
      </c>
      <c r="AT219" s="22">
        <f t="shared" si="1659"/>
        <v>-235.58</v>
      </c>
      <c r="AU219" s="22">
        <f t="shared" si="1659"/>
        <v>108.72999999999999</v>
      </c>
      <c r="AV219" s="22">
        <f t="shared" si="1659"/>
        <v>-82.740000000000009</v>
      </c>
      <c r="AW219" s="22">
        <f t="shared" si="1659"/>
        <v>85.520000000000095</v>
      </c>
      <c r="AX219" s="22">
        <f t="shared" si="1659"/>
        <v>33.81</v>
      </c>
      <c r="AY219" s="22">
        <f t="shared" si="1659"/>
        <v>-95.74000000000008</v>
      </c>
      <c r="AZ219" s="22">
        <f t="shared" si="1659"/>
        <v>40.209999999999965</v>
      </c>
      <c r="BA219" s="22">
        <f t="shared" si="1659"/>
        <v>162.11999999999998</v>
      </c>
      <c r="BB219" s="22">
        <f t="shared" si="1659"/>
        <v>129.57999999999996</v>
      </c>
      <c r="BC219" s="22">
        <f t="shared" si="1659"/>
        <v>46.419999999999916</v>
      </c>
      <c r="BD219" s="22">
        <f t="shared" si="1659"/>
        <v>12.80000000000004</v>
      </c>
      <c r="BE219" s="22">
        <f t="shared" si="1659"/>
        <v>182.04</v>
      </c>
      <c r="BF219" s="22">
        <f t="shared" si="1659"/>
        <v>160.80999999999995</v>
      </c>
      <c r="BG219" s="22">
        <f t="shared" si="1659"/>
        <v>93.730000000000075</v>
      </c>
      <c r="BH219" s="22">
        <f t="shared" si="1659"/>
        <v>76.009999999999906</v>
      </c>
      <c r="BI219" s="22">
        <f t="shared" si="1659"/>
        <v>245.06000000000009</v>
      </c>
      <c r="BJ219" s="22">
        <f t="shared" si="1659"/>
        <v>199.86999999999983</v>
      </c>
      <c r="BK219" s="22">
        <f t="shared" si="1659"/>
        <v>106.01999999999994</v>
      </c>
      <c r="BL219" s="22">
        <f t="shared" si="1659"/>
        <v>171.24000000000004</v>
      </c>
      <c r="BM219" s="22">
        <f t="shared" si="1659"/>
        <v>303.96000000000004</v>
      </c>
      <c r="BN219" s="22">
        <f t="shared" si="1659"/>
        <v>177.44000000000005</v>
      </c>
      <c r="BO219" s="22">
        <f t="shared" si="1659"/>
        <v>-179.77999999999997</v>
      </c>
      <c r="BP219" s="22">
        <f t="shared" si="1659"/>
        <v>-127.16999999999999</v>
      </c>
      <c r="BQ219" s="22">
        <f t="shared" si="1659"/>
        <v>-16.559999999999945</v>
      </c>
      <c r="BR219" s="22">
        <f t="shared" si="1659"/>
        <v>13.030000000000015</v>
      </c>
      <c r="BS219" s="22">
        <f t="shared" si="1659"/>
        <v>-174.79999999999995</v>
      </c>
      <c r="BT219" s="22">
        <f t="shared" si="1659"/>
        <v>-18.819999999999965</v>
      </c>
      <c r="BU219" s="22">
        <f t="shared" si="1659"/>
        <v>175.88</v>
      </c>
      <c r="BV219" s="22">
        <f t="shared" si="1659"/>
        <v>176.07000000000002</v>
      </c>
      <c r="BW219" s="22">
        <f t="shared" si="1659"/>
        <v>272.62999999999994</v>
      </c>
      <c r="BX219" s="22">
        <f t="shared" si="1659"/>
        <v>224.12999999999991</v>
      </c>
      <c r="BY219" s="22">
        <f t="shared" si="1659"/>
        <v>486.02</v>
      </c>
      <c r="BZ219" s="22">
        <f t="shared" si="1659"/>
        <v>435.87</v>
      </c>
      <c r="CA219" s="22">
        <f t="shared" si="1659"/>
        <v>331.48999999999984</v>
      </c>
      <c r="CB219" s="22">
        <f t="shared" si="1659"/>
        <v>278.13000000000022</v>
      </c>
      <c r="CC219" s="22">
        <f t="shared" si="1659"/>
        <v>566.25999999999988</v>
      </c>
      <c r="CD219" s="22">
        <f t="shared" si="1659"/>
        <v>537.4899999999999</v>
      </c>
      <c r="CE219" s="22">
        <f t="shared" ref="CE219:CF219" si="1660">CE217+CE218</f>
        <v>365.68</v>
      </c>
      <c r="CF219" s="22">
        <f t="shared" si="1660"/>
        <v>679.51</v>
      </c>
      <c r="CG219" s="22">
        <f t="shared" ref="CG219:CH219" si="1661">CG217+CG218</f>
        <v>716.26000000000022</v>
      </c>
      <c r="CH219" s="22">
        <f t="shared" si="1661"/>
        <v>664.3</v>
      </c>
      <c r="CI219" s="22">
        <f t="shared" ref="CI219:CJ219" si="1662">CI217+CI218</f>
        <v>439.11999999999972</v>
      </c>
      <c r="CJ219" s="22">
        <f t="shared" si="1662"/>
        <v>429.64</v>
      </c>
      <c r="CK219" s="22">
        <f t="shared" ref="CK219:DB219" si="1663">CK217+CK218</f>
        <v>1053.55</v>
      </c>
      <c r="CL219" s="22">
        <f t="shared" si="1663"/>
        <v>767.23000000000013</v>
      </c>
      <c r="CM219" s="21">
        <f t="shared" si="1663"/>
        <v>676.81670081506331</v>
      </c>
      <c r="CN219" s="21">
        <f t="shared" si="1663"/>
        <v>701.3052218778937</v>
      </c>
      <c r="CO219" s="21">
        <f t="shared" si="1663"/>
        <v>745.91532507135082</v>
      </c>
      <c r="CP219" s="21">
        <f t="shared" si="1663"/>
        <v>726.95892884723514</v>
      </c>
      <c r="CQ219" s="21">
        <f t="shared" si="1663"/>
        <v>783.73322306337434</v>
      </c>
      <c r="CR219" s="21">
        <f t="shared" si="1663"/>
        <v>814.01193592294044</v>
      </c>
      <c r="CS219" s="21">
        <f t="shared" si="1663"/>
        <v>846.30997585454429</v>
      </c>
      <c r="CT219" s="21">
        <f t="shared" si="1663"/>
        <v>875.50149433974877</v>
      </c>
      <c r="CU219" s="21">
        <f t="shared" si="1663"/>
        <v>867.31991454453669</v>
      </c>
      <c r="CV219" s="21">
        <f t="shared" si="1663"/>
        <v>888.92072121213937</v>
      </c>
      <c r="CW219" s="21">
        <f t="shared" si="1663"/>
        <v>908.11958956880721</v>
      </c>
      <c r="CX219" s="21">
        <f t="shared" si="1663"/>
        <v>923.70690686445744</v>
      </c>
      <c r="CY219" s="21">
        <f t="shared" si="1663"/>
        <v>935.5773437949706</v>
      </c>
      <c r="CZ219" s="21">
        <f t="shared" si="1663"/>
        <v>952.91657167997687</v>
      </c>
      <c r="DA219" s="21">
        <f t="shared" si="1663"/>
        <v>969.08539666102297</v>
      </c>
      <c r="DB219" s="21">
        <f t="shared" si="1663"/>
        <v>984.4239425893727</v>
      </c>
      <c r="DE219" s="126"/>
      <c r="DF219" s="22">
        <v>773.51593260424522</v>
      </c>
    </row>
    <row r="220" spans="1:110" s="23" customFormat="1" x14ac:dyDescent="0.2">
      <c r="A220" s="23" t="s">
        <v>65</v>
      </c>
      <c r="C220" s="23">
        <f t="shared" ref="C220:AA220" si="1664">B172-C172+B187+B188-C187-C188</f>
        <v>185.10000000000002</v>
      </c>
      <c r="D220" s="23">
        <f t="shared" si="1664"/>
        <v>-24.810000000000024</v>
      </c>
      <c r="E220" s="23">
        <f>D172-E172+D187+D188-E187-E188</f>
        <v>90.000000000000028</v>
      </c>
      <c r="F220" s="23">
        <f t="shared" si="1664"/>
        <v>24.589999999999971</v>
      </c>
      <c r="G220" s="23">
        <f t="shared" si="1664"/>
        <v>-171.86999999999995</v>
      </c>
      <c r="H220" s="23">
        <f t="shared" si="1664"/>
        <v>54.589999999999968</v>
      </c>
      <c r="I220" s="23">
        <f t="shared" si="1664"/>
        <v>-120.3900000000001</v>
      </c>
      <c r="J220" s="23">
        <f>I172-J172+I187+I188-J187-J188</f>
        <v>-508.68999999999994</v>
      </c>
      <c r="K220" s="23">
        <f>J172-K172+J187+J188-K187-K188</f>
        <v>121.4200000000001</v>
      </c>
      <c r="L220" s="23">
        <f t="shared" si="1664"/>
        <v>170.89</v>
      </c>
      <c r="M220" s="23">
        <f t="shared" si="1664"/>
        <v>-111.19000000000005</v>
      </c>
      <c r="N220" s="23">
        <f t="shared" si="1664"/>
        <v>-94.970000000000113</v>
      </c>
      <c r="O220" s="23">
        <f t="shared" si="1664"/>
        <v>103.06000000000009</v>
      </c>
      <c r="P220" s="23">
        <f t="shared" si="1664"/>
        <v>33.299999999999756</v>
      </c>
      <c r="Q220" s="23">
        <f t="shared" si="1664"/>
        <v>130.17000000000024</v>
      </c>
      <c r="R220" s="23">
        <f t="shared" si="1664"/>
        <v>21.579999999999984</v>
      </c>
      <c r="S220" s="23">
        <f t="shared" si="1664"/>
        <v>-88.689999999999941</v>
      </c>
      <c r="T220" s="23">
        <f t="shared" si="1664"/>
        <v>-215.58999999999986</v>
      </c>
      <c r="U220" s="23">
        <f t="shared" si="1664"/>
        <v>-193.83000000000013</v>
      </c>
      <c r="V220" s="23">
        <f t="shared" si="1664"/>
        <v>91.139999999999844</v>
      </c>
      <c r="W220" s="23">
        <f t="shared" si="1664"/>
        <v>-43.380000000000102</v>
      </c>
      <c r="X220" s="23">
        <f t="shared" si="1664"/>
        <v>-178.43999999999986</v>
      </c>
      <c r="Y220" s="23">
        <f t="shared" si="1664"/>
        <v>18.429999999999854</v>
      </c>
      <c r="Z220" s="23">
        <f t="shared" si="1664"/>
        <v>-146.81999999999996</v>
      </c>
      <c r="AA220" s="23">
        <f t="shared" si="1664"/>
        <v>-155.96999999999971</v>
      </c>
      <c r="AB220" s="24">
        <f t="shared" ref="AB220" si="1665">AA172-AB172+AA187+AA188-AB187-AB188</f>
        <v>-2218.862873079478</v>
      </c>
      <c r="AC220" s="24">
        <f t="shared" ref="AC220" si="1666">AB172-AC172+AB187+AB188-AC187-AC188</f>
        <v>-357.00645439498476</v>
      </c>
      <c r="AD220" s="24">
        <f t="shared" ref="AD220" si="1667">AC172-AD172+AC187+AC188-AD187-AD188</f>
        <v>-297.04034156052603</v>
      </c>
      <c r="AE220" s="24">
        <f t="shared" ref="AE220" si="1668">AD172-AE172+AD187+AD188-AE187-AE188</f>
        <v>-287.62435391936378</v>
      </c>
      <c r="AI220" s="23">
        <f>AH172-AI172+AH187+AH188-AI187-AJ188</f>
        <v>0</v>
      </c>
      <c r="AJ220" s="23">
        <f t="shared" ref="AJ220:AL220" si="1669">AI172-AJ172+AI187+AI188-AJ187-AK188</f>
        <v>-1747.0300000000002</v>
      </c>
      <c r="AK220" s="23">
        <f t="shared" si="1669"/>
        <v>51.305723150651374</v>
      </c>
      <c r="AL220" s="23">
        <f t="shared" si="1669"/>
        <v>619.41427684934877</v>
      </c>
      <c r="AM220" s="23">
        <f t="shared" ref="AM220" si="1670">AL172-AM172+AL187+AL188-AM187-AM188</f>
        <v>39.321440207767637</v>
      </c>
      <c r="AN220" s="23">
        <f t="shared" ref="AN220" si="1671">AM172-AN172+AM187+AM188-AN187-AN188</f>
        <v>-872.32144020776764</v>
      </c>
      <c r="AO220" s="23">
        <f t="shared" ref="AO220" si="1672">AN172-AO172+AN187+AN188-AO187-AO188</f>
        <v>-49.490811679614126</v>
      </c>
      <c r="AP220" s="23">
        <f t="shared" ref="AP220" si="1673">AO172-AP172+AO187+AO188-AP187-AP188</f>
        <v>985.55081167961418</v>
      </c>
      <c r="AQ220" s="23">
        <f t="shared" ref="AQ220" si="1674">AP172-AQ172+AP187+AP188-AQ187-AQ188</f>
        <v>54.728363011444799</v>
      </c>
      <c r="AR220" s="23">
        <f t="shared" ref="AR220" si="1675">AQ172-AR172+AQ187+AQ188-AR187-AR188</f>
        <v>-860.94836301144494</v>
      </c>
      <c r="AS220" s="23">
        <f t="shared" ref="AS220" si="1676">AR172-AS172+AR187+AR188-AS187-AS188</f>
        <v>-53.598686446104466</v>
      </c>
      <c r="AT220" s="23">
        <f t="shared" ref="AT220" si="1677">AS172-AT172+AS187+AS188-AT187-AT188</f>
        <v>893.11868644610456</v>
      </c>
      <c r="AU220" s="23">
        <f t="shared" ref="AU220" si="1678">AT172-AU172+AT187+AT188-AU187-AU188</f>
        <v>27.055699810349552</v>
      </c>
      <c r="AV220" s="23">
        <f t="shared" ref="AV220" si="1679">AU172-AV172+AU187+AU188-AV187-AV188</f>
        <v>-866.2356998103495</v>
      </c>
      <c r="AW220" s="23">
        <f t="shared" ref="AW220" si="1680">AV172-AW172+AV187+AV188-AW187-AW188</f>
        <v>-61.926468911077308</v>
      </c>
      <c r="AX220" s="23">
        <f t="shared" ref="AX220" si="1681">AW172-AX172+AW187+AW188-AX187-AX188</f>
        <v>1031.2764689110772</v>
      </c>
      <c r="AY220" s="23">
        <f t="shared" ref="AY220" si="1682">AX172-AY172+AX187+AX188-AY187-AY188</f>
        <v>73.920827384101926</v>
      </c>
      <c r="AZ220" s="23">
        <f t="shared" ref="AZ220" si="1683">AY172-AZ172+AY187+AY188-AZ187-AZ188</f>
        <v>-1413.7708273841019</v>
      </c>
      <c r="BA220" s="23">
        <f t="shared" ref="BA220" si="1684">AZ172-BA172+AZ187+AZ188-BA187-BA188</f>
        <v>-62.359056431525431</v>
      </c>
      <c r="BB220" s="23">
        <f t="shared" ref="BB220" si="1685">BA172-BB172+BA187+BA188-BB187-BB188</f>
        <v>1423.7990564315255</v>
      </c>
      <c r="BC220" s="23">
        <f t="shared" ref="BC220" si="1686">BB172-BC172+BB187+BB188-BC187-BC188</f>
        <v>47.255944574328623</v>
      </c>
      <c r="BD220" s="23">
        <f t="shared" ref="BD220" si="1687">BC172-BD172+BC187+BC188-BD187-BD188</f>
        <v>-198.13594457432845</v>
      </c>
      <c r="BE220" s="23">
        <f t="shared" ref="BE220" si="1688">BD172-BE172+BD187+BD188-BE187-BE188</f>
        <v>-167.58276574260003</v>
      </c>
      <c r="BF220" s="23">
        <f t="shared" ref="BF220" si="1689">BE172-BF172+BE187+BE188-BF187-BF188</f>
        <v>229.76276574259975</v>
      </c>
      <c r="BG220" s="23">
        <f t="shared" ref="BG220" si="1690">BF172-BG172+BF187+BF188-BG187-BG188</f>
        <v>59.330884158606523</v>
      </c>
      <c r="BH220" s="23">
        <f t="shared" ref="BH220" si="1691">BG172-BH172+BG187+BG188-BH187-BH188</f>
        <v>-265.0908841586064</v>
      </c>
      <c r="BI220" s="23">
        <f t="shared" ref="BI220" si="1692">BH172-BI172+BH187+BH188-BI187-BI188</f>
        <v>-152.18181207427457</v>
      </c>
      <c r="BJ220" s="23">
        <f t="shared" ref="BJ220" si="1693">BI172-BJ172+BI187+BI188-BJ187-BJ188</f>
        <v>142.35181207427436</v>
      </c>
      <c r="BK220" s="23">
        <f t="shared" ref="BK220" si="1694">BJ172-BK172+BJ187+BJ188-BK187-BK188</f>
        <v>72.430957952938115</v>
      </c>
      <c r="BL220" s="23">
        <f t="shared" ref="BL220" si="1695">BK172-BL172+BK187+BK188-BL187-BL188</f>
        <v>-1896.5009579529383</v>
      </c>
      <c r="BM220" s="23">
        <f t="shared" ref="BM220" si="1696">BL172-BM172+BL187+BL188-BM187-BM188</f>
        <v>-150.12723735408505</v>
      </c>
      <c r="BN220" s="23">
        <f t="shared" ref="BN220" si="1697">BM172-BN172+BM187+BM188-BN187-BN188</f>
        <v>197.08723735408483</v>
      </c>
      <c r="BO220" s="23">
        <f t="shared" ref="BO220" si="1698">BN172-BO172+BN187+BN188-BO187-BO188</f>
        <v>331.80108101751694</v>
      </c>
      <c r="BP220" s="23">
        <f t="shared" ref="BP220" si="1699">BO172-BP172+BO187+BO188-BP187-BP188</f>
        <v>-293.9010810175165</v>
      </c>
      <c r="BQ220" s="23">
        <f t="shared" ref="BQ220" si="1700">BP172-BQ172+BP187+BP188-BQ187-BQ188</f>
        <v>-377.28946117582836</v>
      </c>
      <c r="BR220" s="23">
        <f t="shared" ref="BR220" si="1701">BQ172-BR172+BQ187+BQ188-BR187-BR188</f>
        <v>484.06946117582839</v>
      </c>
      <c r="BS220" s="23">
        <f t="shared" ref="BS220" si="1702">BR172-BS172+BR187+BR188-BS187-BS188</f>
        <v>137.5262241878313</v>
      </c>
      <c r="BT220" s="23">
        <f t="shared" ref="BT220" si="1703">BS172-BT172+BS187+BS188-BT187-BT188</f>
        <v>-182.69622418783086</v>
      </c>
      <c r="BU220" s="23">
        <f t="shared" ref="BU220" si="1704">BT172-BU172+BT187+BT188-BU187-BU188</f>
        <v>-169.78236129988909</v>
      </c>
      <c r="BV220" s="23">
        <f t="shared" ref="BV220" si="1705">BU172-BV172+BU187+BU188-BV187-BV188</f>
        <v>187.89236129988848</v>
      </c>
      <c r="BW220" s="23">
        <f t="shared" ref="BW220" si="1706">BV172-BW172+BV187+BV188-BW187-BW188</f>
        <v>-160.91117592422688</v>
      </c>
      <c r="BX220" s="23">
        <f t="shared" ref="BX220" si="1707">BW172-BX172+BW187+BW188-BX187-BX188</f>
        <v>20.211175924227174</v>
      </c>
      <c r="BY220" s="23">
        <f t="shared" ref="BY220" si="1708">BX172-BY172+BX187+BX188-BY187-BY188</f>
        <v>-173.49837264017015</v>
      </c>
      <c r="BZ220" s="23">
        <f t="shared" ref="BZ220" si="1709">BY172-BZ172+BY187+BY188-BZ187-BZ188</f>
        <v>-229.75162735982977</v>
      </c>
      <c r="CA220" s="23">
        <f t="shared" ref="CA220" si="1710">BZ172-CA172+BZ187+BZ188-CA187-CA188</f>
        <v>54.37532197633891</v>
      </c>
      <c r="CB220" s="23">
        <f t="shared" ref="CB220" si="1711">CA172-CB172+CA187+CA188-CB187-CB188</f>
        <v>-112.23532197633905</v>
      </c>
      <c r="CC220" s="23">
        <f t="shared" ref="CC220" si="1712">CB172-CC172+CB187+CB188-CC187-CC188</f>
        <v>-223.17092269048226</v>
      </c>
      <c r="CD220" s="23">
        <f t="shared" ref="CD220" si="1713">CC172-CD172+CC187+CC188-CD187-CD188</f>
        <v>208.06092269048173</v>
      </c>
      <c r="CE220" s="23">
        <f t="shared" ref="CE220" si="1714">CD172-CE172+CD187+CD188-CE187-CE188</f>
        <v>110.50243998446467</v>
      </c>
      <c r="CF220" s="23">
        <f t="shared" ref="CF220" si="1715">CE172-CF172+CE187+CE188-CF187-CF188</f>
        <v>-614.71243998446369</v>
      </c>
      <c r="CG220" s="23">
        <f t="shared" ref="CG220" si="1716">CF172-CG172+CF187+CF188-CG187-CG188</f>
        <v>-285.57553265940896</v>
      </c>
      <c r="CH220" s="23">
        <f t="shared" ref="CH220:CL220" si="1717">CG172-CH172+CG187+CG188-CH187-CH188</f>
        <v>2613.2955326594088</v>
      </c>
      <c r="CI220" s="23">
        <f t="shared" si="1717"/>
        <v>254.16336153789075</v>
      </c>
      <c r="CJ220" s="23">
        <f t="shared" si="1717"/>
        <v>-3271.95336153789</v>
      </c>
      <c r="CK220" s="23">
        <f t="shared" ref="CK220" si="1718">CJ172-CK172+CJ187+CJ188-CK187-CK188</f>
        <v>-1829.0658067803734</v>
      </c>
      <c r="CL220" s="23">
        <f t="shared" si="1717"/>
        <v>2405.0958067803722</v>
      </c>
      <c r="CM220" s="24">
        <f t="shared" ref="CM220" si="1719">CL172-CM172+CL187+CL188-CM187-CM188</f>
        <v>99.635388440999122</v>
      </c>
      <c r="CN220" s="24">
        <f t="shared" ref="CN220" si="1720">CM172-CN172+CM187+CM188-CN187-CN188</f>
        <v>-19.787914200732303</v>
      </c>
      <c r="CO220" s="24">
        <f t="shared" ref="CO220" si="1721">CN172-CO172+CN187+CN188-CO187-CO188</f>
        <v>-66.619364103555199</v>
      </c>
      <c r="CP220" s="24">
        <f t="shared" ref="CP220" si="1722">CO172-CP172+CO187+CO188-CP187-CP188</f>
        <v>53.699016783811203</v>
      </c>
      <c r="CQ220" s="24">
        <f t="shared" ref="CQ220" si="1723">CP172-CQ172+CP187+CP188-CQ187-CQ188</f>
        <v>-183.42806838897377</v>
      </c>
      <c r="CR220" s="24">
        <f t="shared" ref="CR220" si="1724">CQ172-CR172+CQ187+CQ188-CR187-CR188</f>
        <v>-52.367898521293682</v>
      </c>
      <c r="CS220" s="24">
        <f t="shared" ref="CS220" si="1725">CR172-CS172+CR187+CR188-CS187-CS188</f>
        <v>-61.312291883384205</v>
      </c>
      <c r="CT220" s="24">
        <f t="shared" ref="CT220" si="1726">CS172-CT172+CS187+CS188-CT187-CT188</f>
        <v>-59.8981956013331</v>
      </c>
      <c r="CU220" s="24">
        <f t="shared" ref="CU220" si="1727">CT172-CU172+CT187+CT188-CU187-CU188</f>
        <v>-90.81713910066901</v>
      </c>
      <c r="CV220" s="24">
        <f t="shared" ref="CV220" si="1728">CU172-CV172+CU187+CU188-CV187-CV188</f>
        <v>-65.618491269321567</v>
      </c>
      <c r="CW220" s="24">
        <f t="shared" ref="CW220" si="1729">CV172-CW172+CV187+CV188-CW187-CW188</f>
        <v>-69.227587943508297</v>
      </c>
      <c r="CX220" s="24">
        <f t="shared" ref="CX220" si="1730">CW172-CX172+CW187+CW188-CX187-CX188</f>
        <v>-71.377123247027157</v>
      </c>
      <c r="CY220" s="24">
        <f t="shared" ref="CY220" si="1731">CX172-CY172+CX187+CX188-CY187-CY188</f>
        <v>-74.482076325813978</v>
      </c>
      <c r="CZ220" s="24">
        <f t="shared" ref="CZ220" si="1732">CY172-CZ172+CY187+CY188-CZ187-CZ188</f>
        <v>-70.06242699053837</v>
      </c>
      <c r="DA220" s="24">
        <f t="shared" ref="DA220" si="1733">CZ172-DA172+CZ187+CZ188-DA187-DA188</f>
        <v>-71.265035246209663</v>
      </c>
      <c r="DB220" s="24">
        <f t="shared" ref="DB220" si="1734">DA172-DB172+DA187+DA188-DB187-DB188</f>
        <v>-71.814815356801773</v>
      </c>
      <c r="DE220" s="123"/>
      <c r="DF220" s="23">
        <v>23.478643974659462</v>
      </c>
    </row>
    <row r="221" spans="1:110" s="23" customFormat="1" x14ac:dyDescent="0.2">
      <c r="A221" s="23" t="s">
        <v>73</v>
      </c>
      <c r="C221" s="23">
        <f t="shared" ref="C221:AA221" si="1735">B180-C180</f>
        <v>27.460000000000008</v>
      </c>
      <c r="D221" s="23">
        <f t="shared" si="1735"/>
        <v>-64.189999999999969</v>
      </c>
      <c r="E221" s="23">
        <f>D180-E180</f>
        <v>-55.81</v>
      </c>
      <c r="F221" s="23">
        <f t="shared" si="1735"/>
        <v>-122.70000000000005</v>
      </c>
      <c r="G221" s="23">
        <f t="shared" si="1735"/>
        <v>-211.66000000000003</v>
      </c>
      <c r="H221" s="23">
        <f t="shared" si="1735"/>
        <v>-5.1999999999999318</v>
      </c>
      <c r="I221" s="23">
        <f t="shared" si="1735"/>
        <v>-5.6700000000000728</v>
      </c>
      <c r="J221" s="23">
        <f>I180-J180</f>
        <v>-98.699999999999932</v>
      </c>
      <c r="K221" s="23">
        <f>J180-K180</f>
        <v>-571.56999999999994</v>
      </c>
      <c r="L221" s="23">
        <f t="shared" si="1735"/>
        <v>-53.820000000000391</v>
      </c>
      <c r="M221" s="23">
        <f t="shared" si="1735"/>
        <v>-175.66999999999939</v>
      </c>
      <c r="N221" s="23">
        <f t="shared" si="1735"/>
        <v>-104.22000000000025</v>
      </c>
      <c r="O221" s="23">
        <f t="shared" si="1735"/>
        <v>-66.360000000000127</v>
      </c>
      <c r="P221" s="23">
        <f t="shared" si="1735"/>
        <v>132.86000000000013</v>
      </c>
      <c r="Q221" s="23">
        <f t="shared" si="1735"/>
        <v>-114.08999999999992</v>
      </c>
      <c r="R221" s="23">
        <f t="shared" si="1735"/>
        <v>31.349999999999909</v>
      </c>
      <c r="S221" s="23">
        <f t="shared" si="1735"/>
        <v>46.220000000000027</v>
      </c>
      <c r="T221" s="23">
        <f t="shared" si="1735"/>
        <v>-100.83000000000015</v>
      </c>
      <c r="U221" s="23">
        <f t="shared" si="1735"/>
        <v>-1874.4800000000005</v>
      </c>
      <c r="V221" s="23">
        <f t="shared" si="1735"/>
        <v>88.820000000000164</v>
      </c>
      <c r="W221" s="23">
        <f t="shared" si="1735"/>
        <v>156.79000000000042</v>
      </c>
      <c r="X221" s="23">
        <f t="shared" si="1735"/>
        <v>-689.71</v>
      </c>
      <c r="Y221" s="23">
        <f t="shared" si="1735"/>
        <v>-271.18999999999915</v>
      </c>
      <c r="Z221" s="23">
        <f t="shared" si="1735"/>
        <v>-593.22000000000116</v>
      </c>
      <c r="AA221" s="23">
        <f t="shared" si="1735"/>
        <v>-229.59999999999945</v>
      </c>
      <c r="AB221" s="24">
        <f t="shared" ref="AB221" si="1736">AA180-AB180</f>
        <v>84.585018391168887</v>
      </c>
      <c r="AC221" s="24">
        <f t="shared" ref="AC221" si="1737">AB180-AC180</f>
        <v>-451.19817479429094</v>
      </c>
      <c r="AD221" s="24">
        <f t="shared" ref="AD221" si="1738">AC180-AD180</f>
        <v>-375.41074762782864</v>
      </c>
      <c r="AE221" s="24">
        <f t="shared" ref="AE221" si="1739">AD180-AE180</f>
        <v>-363.51046855646837</v>
      </c>
      <c r="AI221" s="23">
        <f t="shared" ref="AI221" si="1740">AH180-AI180</f>
        <v>0</v>
      </c>
      <c r="AJ221" s="23">
        <f t="shared" ref="AJ221" si="1741">AI180-AJ180</f>
        <v>-1332.8200000000002</v>
      </c>
      <c r="AK221" s="23">
        <f t="shared" ref="AK221" si="1742">AJ180-AK180</f>
        <v>0</v>
      </c>
      <c r="AL221" s="23">
        <f t="shared" ref="AL221" si="1743">AK180-AL180</f>
        <v>-468.26999999999975</v>
      </c>
      <c r="AM221" s="23">
        <f t="shared" ref="AM221" si="1744">AL180-AM180</f>
        <v>33.849404438672991</v>
      </c>
      <c r="AN221" s="23">
        <f t="shared" ref="AN221" si="1745">AM180-AN180</f>
        <v>470.20059556132696</v>
      </c>
      <c r="AO221" s="23">
        <f t="shared" ref="AO221" si="1746">AN180-AO180</f>
        <v>-45.954887266720107</v>
      </c>
      <c r="AP221" s="23">
        <f t="shared" ref="AP221" si="1747">AO180-AP180</f>
        <v>-1392.5451127332799</v>
      </c>
      <c r="AQ221" s="23">
        <f t="shared" ref="AQ221" si="1748">AP180-AQ180</f>
        <v>48.830071483417669</v>
      </c>
      <c r="AR221" s="23">
        <f t="shared" ref="AR221" si="1749">AQ180-AR180</f>
        <v>1130.6599285165823</v>
      </c>
      <c r="AS221" s="23">
        <f t="shared" ref="AS221" si="1750">AR180-AS180</f>
        <v>-43.759731483457927</v>
      </c>
      <c r="AT221" s="23">
        <f t="shared" ref="AT221" si="1751">AS180-AT180</f>
        <v>-439.41026851654215</v>
      </c>
      <c r="AU221" s="23">
        <f t="shared" ref="AU221" si="1752">AT180-AU180</f>
        <v>22.244140702610139</v>
      </c>
      <c r="AV221" s="23">
        <f t="shared" ref="AV221" si="1753">AU180-AV180</f>
        <v>190.10585929738977</v>
      </c>
      <c r="AW221" s="23">
        <f t="shared" ref="AW221" si="1754">AV180-AW180</f>
        <v>-54.212610888111158</v>
      </c>
      <c r="AX221" s="23">
        <f t="shared" ref="AX221" si="1755">AW180-AX180</f>
        <v>-842.29738911188883</v>
      </c>
      <c r="AY221" s="23">
        <f t="shared" ref="AY221" si="1756">AX180-AY180</f>
        <v>65.905205421466235</v>
      </c>
      <c r="AZ221" s="23">
        <f t="shared" ref="AZ221" si="1757">AY180-AZ180</f>
        <v>602.5547945785338</v>
      </c>
      <c r="BA221" s="23">
        <f t="shared" ref="BA221" si="1758">AZ180-BA180</f>
        <v>-46.465774792340653</v>
      </c>
      <c r="BB221" s="23">
        <f t="shared" ref="BB221" si="1759">BA180-BB180</f>
        <v>-152.10422520765951</v>
      </c>
      <c r="BC221" s="23">
        <f t="shared" ref="BC221" si="1760">BB180-BC180</f>
        <v>39.287452814050539</v>
      </c>
      <c r="BD221" s="23">
        <f t="shared" ref="BD221" si="1761">BC180-BD180</f>
        <v>275.4525471859497</v>
      </c>
      <c r="BE221" s="23">
        <f t="shared" ref="BE221" si="1762">BD180-BE180</f>
        <v>-140.26976551950884</v>
      </c>
      <c r="BF221" s="23">
        <f t="shared" ref="BF221" si="1763">BE180-BF180</f>
        <v>353.47976551950887</v>
      </c>
      <c r="BG221" s="23">
        <f t="shared" ref="BG221" si="1764">BF180-BG180</f>
        <v>48.685753764888887</v>
      </c>
      <c r="BH221" s="23">
        <f t="shared" ref="BH221" si="1765">BG180-BH180</f>
        <v>-166.065753764889</v>
      </c>
      <c r="BI221" s="23">
        <f t="shared" ref="BI221" si="1766">BH180-BI180</f>
        <v>-129.62767565550052</v>
      </c>
      <c r="BJ221" s="23">
        <f t="shared" ref="BJ221" si="1767">BI180-BJ180</f>
        <v>-363.38232434449924</v>
      </c>
      <c r="BK221" s="23">
        <f t="shared" ref="BK221" si="1768">BJ180-BK180</f>
        <v>58.63449916420177</v>
      </c>
      <c r="BL221" s="23">
        <f t="shared" ref="BL221" si="1769">BK180-BL180</f>
        <v>-2152.4044991642027</v>
      </c>
      <c r="BM221" s="23">
        <f t="shared" ref="BM221" si="1770">BL180-BM180</f>
        <v>-121.5666227269121</v>
      </c>
      <c r="BN221" s="23">
        <f t="shared" ref="BN221" si="1771">BM180-BN180</f>
        <v>633.61662272691274</v>
      </c>
      <c r="BO221" s="23">
        <f t="shared" ref="BO221" si="1772">BN180-BO180</f>
        <v>336.72235451278493</v>
      </c>
      <c r="BP221" s="23">
        <f t="shared" ref="BP221" si="1773">BO180-BP180</f>
        <v>-746.02235451278466</v>
      </c>
      <c r="BQ221" s="23">
        <f t="shared" ref="BQ221" si="1774">BP180-BQ180</f>
        <v>-385.3573604238909</v>
      </c>
      <c r="BR221" s="23">
        <f t="shared" ref="BR221" si="1775">BQ180-BR180</f>
        <v>1193.4973604238903</v>
      </c>
      <c r="BS221" s="23">
        <f t="shared" ref="BS221" si="1776">BR180-BS180</f>
        <v>139.76467545770902</v>
      </c>
      <c r="BT221" s="23">
        <f t="shared" ref="BT221" si="1777">BS180-BT180</f>
        <v>-111.80467545770853</v>
      </c>
      <c r="BU221" s="23">
        <f t="shared" ref="BU221" si="1778">BT180-BU180</f>
        <v>-181.41971456814508</v>
      </c>
      <c r="BV221" s="23">
        <f t="shared" ref="BV221" si="1779">BU180-BV180</f>
        <v>310.24971456814501</v>
      </c>
      <c r="BW221" s="23">
        <f t="shared" ref="BW221" si="1780">BV180-BW180</f>
        <v>-174.98870138060693</v>
      </c>
      <c r="BX221" s="23">
        <f t="shared" ref="BX221" si="1781">BW180-BX180</f>
        <v>-36.601298619392765</v>
      </c>
      <c r="BY221" s="23">
        <f t="shared" ref="BY221" si="1782">BX180-BY180</f>
        <v>-169.32535238234323</v>
      </c>
      <c r="BZ221" s="23">
        <f t="shared" ref="BZ221" si="1783">BY180-BZ180</f>
        <v>-308.79464761765712</v>
      </c>
      <c r="CA221" s="23">
        <f t="shared" ref="CA221" si="1784">BZ180-CA180</f>
        <v>46.636775991583818</v>
      </c>
      <c r="CB221" s="23">
        <f t="shared" ref="CB221" si="1785">CA180-CB180</f>
        <v>-142.10677599158362</v>
      </c>
      <c r="CC221" s="23">
        <f t="shared" ref="CC221" si="1786">CB180-CC180</f>
        <v>-168.2927055540049</v>
      </c>
      <c r="CD221" s="23">
        <f t="shared" ref="CD221" si="1787">CC180-CD180</f>
        <v>-7.4272944459953578</v>
      </c>
      <c r="CE221" s="23">
        <f t="shared" ref="CE221" si="1788">CD180-CE180</f>
        <v>96.798199114068666</v>
      </c>
      <c r="CF221" s="23">
        <f t="shared" ref="CF221" si="1789">CE180-CF180</f>
        <v>-501.0681991140691</v>
      </c>
      <c r="CG221" s="23">
        <f t="shared" ref="CG221" si="1790">CF180-CG180</f>
        <v>-224.67360529428515</v>
      </c>
      <c r="CH221" s="23">
        <f t="shared" ref="CH221:CL221" si="1791">CG180-CH180</f>
        <v>35.723605294285335</v>
      </c>
      <c r="CI221" s="23">
        <f t="shared" si="1791"/>
        <v>778.54999233033959</v>
      </c>
      <c r="CJ221" s="23">
        <f t="shared" si="1791"/>
        <v>-938.53999233033846</v>
      </c>
      <c r="CK221" s="23">
        <f t="shared" ref="CK221" si="1792">CJ180-CK180</f>
        <v>-1992.4324481476224</v>
      </c>
      <c r="CL221" s="23">
        <f t="shared" si="1791"/>
        <v>1922.8224481476218</v>
      </c>
      <c r="CM221" s="24">
        <f t="shared" ref="CM221" si="1793">CL180-CM180</f>
        <v>125.92294860798575</v>
      </c>
      <c r="CN221" s="24">
        <f t="shared" ref="CN221" si="1794">CM180-CN180</f>
        <v>-25.008709675815226</v>
      </c>
      <c r="CO221" s="24">
        <f t="shared" ref="CO221" si="1795">CN180-CO180</f>
        <v>-84.196056176127058</v>
      </c>
      <c r="CP221" s="24">
        <f t="shared" ref="CP221" si="1796">CO180-CP180</f>
        <v>67.866835635125426</v>
      </c>
      <c r="CQ221" s="24">
        <f t="shared" ref="CQ221" si="1797">CP180-CQ180</f>
        <v>-231.82328679016155</v>
      </c>
      <c r="CR221" s="24">
        <f t="shared" ref="CR221" si="1798">CQ180-CR180</f>
        <v>-66.184518346210098</v>
      </c>
      <c r="CS221" s="24">
        <f t="shared" ref="CS221" si="1799">CR180-CS180</f>
        <v>-77.488778843284308</v>
      </c>
      <c r="CT221" s="24">
        <f t="shared" ref="CT221" si="1800">CS180-CT180</f>
        <v>-75.701590814634983</v>
      </c>
      <c r="CU221" s="24">
        <f t="shared" ref="CU221" si="1801">CT180-CU180</f>
        <v>-114.77811366660899</v>
      </c>
      <c r="CV221" s="24">
        <f t="shared" ref="CV221" si="1802">CU180-CV180</f>
        <v>-82.931115471421435</v>
      </c>
      <c r="CW221" s="24">
        <f t="shared" ref="CW221" si="1803">CV180-CW180</f>
        <v>-87.492427492540628</v>
      </c>
      <c r="CX221" s="24">
        <f t="shared" ref="CX221" si="1804">CW180-CX180</f>
        <v>-90.20909099725759</v>
      </c>
      <c r="CY221" s="24">
        <f t="shared" ref="CY221" si="1805">CX180-CY180</f>
        <v>-94.133247394780483</v>
      </c>
      <c r="CZ221" s="24">
        <f t="shared" ref="CZ221" si="1806">CY180-CZ180</f>
        <v>-88.547528456765576</v>
      </c>
      <c r="DA221" s="24">
        <f t="shared" ref="DA221" si="1807">CZ180-DA180</f>
        <v>-90.06742996911089</v>
      </c>
      <c r="DB221" s="24">
        <f t="shared" ref="DB221" si="1808">DA180-DB180</f>
        <v>-90.762262735811419</v>
      </c>
      <c r="DE221" s="123"/>
      <c r="DF221" s="23">
        <v>25.575685642478675</v>
      </c>
    </row>
    <row r="222" spans="1:110" s="22" customFormat="1" x14ac:dyDescent="0.2">
      <c r="A222" s="22" t="s">
        <v>90</v>
      </c>
      <c r="C222" s="22">
        <f t="shared" ref="C222:W222" si="1809">C220-C221</f>
        <v>157.64000000000001</v>
      </c>
      <c r="D222" s="22">
        <f t="shared" si="1809"/>
        <v>39.379999999999946</v>
      </c>
      <c r="E222" s="22">
        <f t="shared" si="1809"/>
        <v>145.81000000000003</v>
      </c>
      <c r="F222" s="22">
        <f t="shared" si="1809"/>
        <v>147.29000000000002</v>
      </c>
      <c r="G222" s="22">
        <f t="shared" si="1809"/>
        <v>39.790000000000077</v>
      </c>
      <c r="H222" s="22">
        <f t="shared" si="1809"/>
        <v>59.7899999999999</v>
      </c>
      <c r="I222" s="22">
        <f t="shared" si="1809"/>
        <v>-114.72000000000003</v>
      </c>
      <c r="J222" s="22">
        <f>J220-J221</f>
        <v>-409.99</v>
      </c>
      <c r="K222" s="22">
        <f t="shared" si="1809"/>
        <v>692.99</v>
      </c>
      <c r="L222" s="22">
        <f t="shared" si="1809"/>
        <v>224.71000000000038</v>
      </c>
      <c r="M222" s="22">
        <f t="shared" si="1809"/>
        <v>64.479999999999336</v>
      </c>
      <c r="N222" s="22">
        <f t="shared" si="1809"/>
        <v>9.2500000000001421</v>
      </c>
      <c r="O222" s="22">
        <f t="shared" si="1809"/>
        <v>169.42000000000021</v>
      </c>
      <c r="P222" s="22">
        <f t="shared" si="1809"/>
        <v>-99.560000000000372</v>
      </c>
      <c r="Q222" s="22">
        <f t="shared" si="1809"/>
        <v>244.26000000000016</v>
      </c>
      <c r="R222" s="22">
        <f t="shared" si="1809"/>
        <v>-9.769999999999925</v>
      </c>
      <c r="S222" s="22">
        <f t="shared" si="1809"/>
        <v>-134.90999999999997</v>
      </c>
      <c r="T222" s="22">
        <f t="shared" si="1809"/>
        <v>-114.75999999999971</v>
      </c>
      <c r="U222" s="22">
        <f t="shared" si="1809"/>
        <v>1680.6500000000003</v>
      </c>
      <c r="V222" s="22">
        <f t="shared" si="1809"/>
        <v>2.3199999999996805</v>
      </c>
      <c r="W222" s="22">
        <f t="shared" si="1809"/>
        <v>-200.17000000000053</v>
      </c>
      <c r="X222" s="22">
        <f t="shared" ref="X222:Y222" si="1810">X220-X221</f>
        <v>511.27000000000021</v>
      </c>
      <c r="Y222" s="22">
        <f t="shared" si="1810"/>
        <v>289.61999999999898</v>
      </c>
      <c r="Z222" s="22">
        <f t="shared" ref="Z222:AA222" si="1811">Z220-Z221</f>
        <v>446.40000000000123</v>
      </c>
      <c r="AA222" s="22">
        <f t="shared" si="1811"/>
        <v>73.62999999999974</v>
      </c>
      <c r="AB222" s="21">
        <f t="shared" ref="AA222:AD222" si="1812">AB220-AB221</f>
        <v>-2303.4478914706469</v>
      </c>
      <c r="AC222" s="21">
        <f t="shared" si="1812"/>
        <v>94.191720399306178</v>
      </c>
      <c r="AD222" s="21">
        <f t="shared" si="1812"/>
        <v>78.370406067302611</v>
      </c>
      <c r="AE222" s="21">
        <f t="shared" ref="AE222" si="1813">AE220-AE221</f>
        <v>75.886114637104583</v>
      </c>
      <c r="AI222" s="22">
        <f t="shared" ref="AI222" si="1814">AI220-AI221</f>
        <v>0</v>
      </c>
      <c r="AJ222" s="22">
        <f t="shared" ref="AJ222:AL222" si="1815">AJ220-AJ221</f>
        <v>-414.21000000000004</v>
      </c>
      <c r="AK222" s="22">
        <f t="shared" si="1815"/>
        <v>51.305723150651374</v>
      </c>
      <c r="AL222" s="22">
        <f t="shared" si="1815"/>
        <v>1087.6842768493484</v>
      </c>
      <c r="AM222" s="22">
        <f t="shared" ref="AM222" si="1816">AM220-AM221</f>
        <v>5.4720357690946457</v>
      </c>
      <c r="AN222" s="22">
        <f t="shared" ref="AN222:CD222" si="1817">AN220-AN221</f>
        <v>-1342.5220357690946</v>
      </c>
      <c r="AO222" s="22">
        <f t="shared" si="1817"/>
        <v>-3.535924412894019</v>
      </c>
      <c r="AP222" s="22">
        <f t="shared" si="1817"/>
        <v>2378.095924412894</v>
      </c>
      <c r="AQ222" s="22">
        <f t="shared" si="1817"/>
        <v>5.89829152802713</v>
      </c>
      <c r="AR222" s="22">
        <f t="shared" si="1817"/>
        <v>-1991.6082915280272</v>
      </c>
      <c r="AS222" s="22">
        <f t="shared" si="1817"/>
        <v>-9.8389549626465396</v>
      </c>
      <c r="AT222" s="22">
        <f t="shared" si="1817"/>
        <v>1332.5289549626468</v>
      </c>
      <c r="AU222" s="22">
        <f t="shared" si="1817"/>
        <v>4.8115591077394129</v>
      </c>
      <c r="AV222" s="22">
        <f t="shared" si="1817"/>
        <v>-1056.3415591077392</v>
      </c>
      <c r="AW222" s="22">
        <f t="shared" si="1817"/>
        <v>-7.71385802296615</v>
      </c>
      <c r="AX222" s="22">
        <f t="shared" si="1817"/>
        <v>1873.5738580229661</v>
      </c>
      <c r="AY222" s="22">
        <f t="shared" si="1817"/>
        <v>8.0156219626356915</v>
      </c>
      <c r="AZ222" s="22">
        <f t="shared" si="1817"/>
        <v>-2016.3256219626358</v>
      </c>
      <c r="BA222" s="22">
        <f t="shared" si="1817"/>
        <v>-15.893281639184778</v>
      </c>
      <c r="BB222" s="22">
        <f t="shared" si="1817"/>
        <v>1575.903281639185</v>
      </c>
      <c r="BC222" s="22">
        <f t="shared" si="1817"/>
        <v>7.9684917602780843</v>
      </c>
      <c r="BD222" s="22">
        <f t="shared" si="1817"/>
        <v>-473.58849176027815</v>
      </c>
      <c r="BE222" s="22">
        <f t="shared" si="1817"/>
        <v>-27.313000223091194</v>
      </c>
      <c r="BF222" s="22">
        <f t="shared" si="1817"/>
        <v>-123.71699977690912</v>
      </c>
      <c r="BG222" s="22">
        <f t="shared" si="1817"/>
        <v>10.645130393717636</v>
      </c>
      <c r="BH222" s="22">
        <f t="shared" si="1817"/>
        <v>-99.025130393717404</v>
      </c>
      <c r="BI222" s="22">
        <f t="shared" si="1817"/>
        <v>-22.55413641877405</v>
      </c>
      <c r="BJ222" s="22">
        <f t="shared" si="1817"/>
        <v>505.73413641877357</v>
      </c>
      <c r="BK222" s="22">
        <f t="shared" si="1817"/>
        <v>13.796458788736345</v>
      </c>
      <c r="BL222" s="22">
        <f t="shared" si="1817"/>
        <v>255.90354121126438</v>
      </c>
      <c r="BM222" s="22">
        <f t="shared" si="1817"/>
        <v>-28.560614627172953</v>
      </c>
      <c r="BN222" s="22">
        <f t="shared" si="1817"/>
        <v>-436.5293853728279</v>
      </c>
      <c r="BO222" s="22">
        <f t="shared" si="1817"/>
        <v>-4.9212734952679966</v>
      </c>
      <c r="BP222" s="22">
        <f t="shared" si="1817"/>
        <v>452.12127349526816</v>
      </c>
      <c r="BQ222" s="22">
        <f t="shared" si="1817"/>
        <v>8.0678992480625311</v>
      </c>
      <c r="BR222" s="22">
        <f t="shared" si="1817"/>
        <v>-709.42789924806198</v>
      </c>
      <c r="BS222" s="22">
        <f t="shared" si="1817"/>
        <v>-2.2384512698777144</v>
      </c>
      <c r="BT222" s="22">
        <f t="shared" si="1817"/>
        <v>-70.891548730122338</v>
      </c>
      <c r="BU222" s="22">
        <f t="shared" si="1817"/>
        <v>11.637353268255993</v>
      </c>
      <c r="BV222" s="22">
        <f t="shared" si="1817"/>
        <v>-122.35735326825653</v>
      </c>
      <c r="BW222" s="22">
        <f t="shared" si="1817"/>
        <v>14.077525456380044</v>
      </c>
      <c r="BX222" s="22">
        <f t="shared" si="1817"/>
        <v>56.812474543619942</v>
      </c>
      <c r="BY222" s="22">
        <f t="shared" si="1817"/>
        <v>-4.17302025782692</v>
      </c>
      <c r="BZ222" s="22">
        <f t="shared" si="1817"/>
        <v>79.043020257827351</v>
      </c>
      <c r="CA222" s="22">
        <f t="shared" si="1817"/>
        <v>7.7385459847550919</v>
      </c>
      <c r="CB222" s="22">
        <f t="shared" si="1817"/>
        <v>29.871454015244566</v>
      </c>
      <c r="CC222" s="22">
        <f t="shared" si="1817"/>
        <v>-54.87821713647736</v>
      </c>
      <c r="CD222" s="22">
        <f t="shared" si="1817"/>
        <v>215.48821713647709</v>
      </c>
      <c r="CE222" s="22">
        <f t="shared" ref="CE222:CF222" si="1818">CE220-CE221</f>
        <v>13.704240870396006</v>
      </c>
      <c r="CF222" s="22">
        <f t="shared" si="1818"/>
        <v>-113.64424087039458</v>
      </c>
      <c r="CG222" s="22">
        <f t="shared" ref="CG222:CH222" si="1819">CG220-CG221</f>
        <v>-60.901927365123811</v>
      </c>
      <c r="CH222" s="22">
        <f t="shared" si="1819"/>
        <v>2577.5719273651234</v>
      </c>
      <c r="CI222" s="22">
        <f t="shared" ref="CI222:CJ222" si="1820">CI220-CI221</f>
        <v>-524.38663079244884</v>
      </c>
      <c r="CJ222" s="22">
        <f t="shared" si="1820"/>
        <v>-2333.4133692075516</v>
      </c>
      <c r="CK222" s="22">
        <f t="shared" ref="CK222:DB222" si="1821">CK220-CK221</f>
        <v>163.36664136724903</v>
      </c>
      <c r="CL222" s="22">
        <f t="shared" si="1821"/>
        <v>482.27335863275039</v>
      </c>
      <c r="CM222" s="21">
        <f t="shared" si="1821"/>
        <v>-26.287560166986623</v>
      </c>
      <c r="CN222" s="21">
        <f t="shared" si="1821"/>
        <v>5.2207954750829231</v>
      </c>
      <c r="CO222" s="21">
        <f t="shared" si="1821"/>
        <v>17.576692072571859</v>
      </c>
      <c r="CP222" s="21">
        <f t="shared" si="1821"/>
        <v>-14.167818851314223</v>
      </c>
      <c r="CQ222" s="21">
        <f t="shared" si="1821"/>
        <v>48.395218401187776</v>
      </c>
      <c r="CR222" s="21">
        <f t="shared" si="1821"/>
        <v>13.816619824916415</v>
      </c>
      <c r="CS222" s="21">
        <f t="shared" si="1821"/>
        <v>16.176486959900103</v>
      </c>
      <c r="CT222" s="21">
        <f t="shared" si="1821"/>
        <v>15.803395213301883</v>
      </c>
      <c r="CU222" s="21">
        <f t="shared" si="1821"/>
        <v>23.960974565939978</v>
      </c>
      <c r="CV222" s="21">
        <f t="shared" si="1821"/>
        <v>17.312624202099869</v>
      </c>
      <c r="CW222" s="21">
        <f t="shared" si="1821"/>
        <v>18.264839549032331</v>
      </c>
      <c r="CX222" s="21">
        <f t="shared" si="1821"/>
        <v>18.831967750230433</v>
      </c>
      <c r="CY222" s="21">
        <f t="shared" si="1821"/>
        <v>19.651171068966505</v>
      </c>
      <c r="CZ222" s="21">
        <f t="shared" si="1821"/>
        <v>18.485101466227206</v>
      </c>
      <c r="DA222" s="21">
        <f t="shared" si="1821"/>
        <v>18.802394722901226</v>
      </c>
      <c r="DB222" s="21">
        <f t="shared" si="1821"/>
        <v>18.947447379009645</v>
      </c>
      <c r="DE222" s="126"/>
      <c r="DF222" s="22">
        <v>-2.0970416678192123</v>
      </c>
    </row>
    <row r="223" spans="1:110" s="22" customFormat="1" x14ac:dyDescent="0.2">
      <c r="A223" s="22" t="s">
        <v>91</v>
      </c>
      <c r="C223" s="22">
        <f t="shared" ref="C223:W223" si="1822">C219+C222</f>
        <v>258.28999999999996</v>
      </c>
      <c r="D223" s="22">
        <f>D219+D222</f>
        <v>143.09999999999988</v>
      </c>
      <c r="E223" s="22">
        <f t="shared" si="1822"/>
        <v>305.63</v>
      </c>
      <c r="F223" s="22">
        <f t="shared" si="1822"/>
        <v>387.51999999999987</v>
      </c>
      <c r="G223" s="22">
        <f t="shared" si="1822"/>
        <v>415.87999999999977</v>
      </c>
      <c r="H223" s="22">
        <f t="shared" si="1822"/>
        <v>590.76999999999964</v>
      </c>
      <c r="I223" s="22">
        <f t="shared" si="1822"/>
        <v>407.88000000000022</v>
      </c>
      <c r="J223" s="22">
        <f>J219+J222</f>
        <v>-208.99999999999997</v>
      </c>
      <c r="K223" s="22">
        <f t="shared" si="1822"/>
        <v>774.65000000000009</v>
      </c>
      <c r="L223" s="22">
        <f t="shared" si="1822"/>
        <v>365.34000000000009</v>
      </c>
      <c r="M223" s="22">
        <f t="shared" si="1822"/>
        <v>322.60999999999933</v>
      </c>
      <c r="N223" s="22">
        <f t="shared" si="1822"/>
        <v>-132.56999999999996</v>
      </c>
      <c r="O223" s="22">
        <f t="shared" si="1822"/>
        <v>-76.299999999999699</v>
      </c>
      <c r="P223" s="22">
        <f t="shared" si="1822"/>
        <v>-186.37000000000003</v>
      </c>
      <c r="Q223" s="22">
        <f t="shared" si="1822"/>
        <v>298.00000000000045</v>
      </c>
      <c r="R223" s="22">
        <f t="shared" si="1822"/>
        <v>226.39999999999992</v>
      </c>
      <c r="S223" s="22">
        <f t="shared" si="1822"/>
        <v>267.15999999999997</v>
      </c>
      <c r="T223" s="22">
        <f t="shared" si="1822"/>
        <v>499.90999999999991</v>
      </c>
      <c r="U223" s="22">
        <f t="shared" si="1822"/>
        <v>2439.3100000000009</v>
      </c>
      <c r="V223" s="22">
        <f t="shared" si="1822"/>
        <v>-308.15999999999997</v>
      </c>
      <c r="W223" s="22">
        <f t="shared" si="1822"/>
        <v>-41.8400000000006</v>
      </c>
      <c r="X223" s="22">
        <f t="shared" ref="X223:Y223" si="1823">X219+X222</f>
        <v>1929.9199999999996</v>
      </c>
      <c r="Y223" s="22">
        <f t="shared" si="1823"/>
        <v>2002.9899999999982</v>
      </c>
      <c r="Z223" s="22">
        <f t="shared" ref="Z223:AA223" si="1824">Z219+Z222</f>
        <v>2872.1500000000024</v>
      </c>
      <c r="AA223" s="22">
        <f t="shared" si="1824"/>
        <v>2763.1699999999992</v>
      </c>
      <c r="AB223" s="21">
        <f t="shared" ref="AA223:AD223" si="1825">AB219+AB222</f>
        <v>547.54828514089604</v>
      </c>
      <c r="AC223" s="21">
        <f t="shared" si="1825"/>
        <v>3413.748349579912</v>
      </c>
      <c r="AD223" s="21">
        <f t="shared" si="1825"/>
        <v>3666.4375382572407</v>
      </c>
      <c r="AE223" s="21">
        <f t="shared" ref="AE223" si="1826">AE219+AE222</f>
        <v>3917.8893693624482</v>
      </c>
      <c r="AI223" s="22">
        <f t="shared" ref="AI223" si="1827">AI219+AI222</f>
        <v>38.06</v>
      </c>
      <c r="AJ223" s="22">
        <f t="shared" ref="AJ223:AL223" si="1828">AJ219+AJ222</f>
        <v>-398</v>
      </c>
      <c r="AK223" s="22">
        <f t="shared" si="1828"/>
        <v>146.41572315065127</v>
      </c>
      <c r="AL223" s="22">
        <f t="shared" si="1828"/>
        <v>769.52427684934855</v>
      </c>
      <c r="AM223" s="22">
        <f t="shared" ref="AM223" si="1829">AM219+AM222</f>
        <v>59.632035769094529</v>
      </c>
      <c r="AN223" s="22">
        <f t="shared" ref="AN223:CD223" si="1830">AN219+AN222</f>
        <v>-1695.6520357690947</v>
      </c>
      <c r="AO223" s="22">
        <f t="shared" si="1830"/>
        <v>135.02407558710587</v>
      </c>
      <c r="AP223" s="22">
        <f t="shared" si="1830"/>
        <v>2292.785924412894</v>
      </c>
      <c r="AQ223" s="22">
        <f t="shared" si="1830"/>
        <v>40.838291528027042</v>
      </c>
      <c r="AR223" s="22">
        <f t="shared" si="1830"/>
        <v>-2014.4382915280271</v>
      </c>
      <c r="AS223" s="22">
        <f t="shared" si="1830"/>
        <v>126.82104503735354</v>
      </c>
      <c r="AT223" s="22">
        <f t="shared" si="1830"/>
        <v>1096.9489549626469</v>
      </c>
      <c r="AU223" s="22">
        <f t="shared" si="1830"/>
        <v>113.5415591077394</v>
      </c>
      <c r="AV223" s="22">
        <f t="shared" si="1830"/>
        <v>-1139.0815591077392</v>
      </c>
      <c r="AW223" s="22">
        <f t="shared" si="1830"/>
        <v>77.806141977033946</v>
      </c>
      <c r="AX223" s="22">
        <f t="shared" si="1830"/>
        <v>1907.383858022966</v>
      </c>
      <c r="AY223" s="22">
        <f t="shared" si="1830"/>
        <v>-87.724378037364389</v>
      </c>
      <c r="AZ223" s="22">
        <f t="shared" si="1830"/>
        <v>-1976.1156219626357</v>
      </c>
      <c r="BA223" s="22">
        <f t="shared" si="1830"/>
        <v>146.2267183608152</v>
      </c>
      <c r="BB223" s="22">
        <f t="shared" si="1830"/>
        <v>1705.483281639185</v>
      </c>
      <c r="BC223" s="22">
        <f t="shared" si="1830"/>
        <v>54.388491760278001</v>
      </c>
      <c r="BD223" s="22">
        <f t="shared" si="1830"/>
        <v>-460.78849176027813</v>
      </c>
      <c r="BE223" s="22">
        <f t="shared" si="1830"/>
        <v>154.7269997769088</v>
      </c>
      <c r="BF223" s="22">
        <f t="shared" si="1830"/>
        <v>37.093000223090826</v>
      </c>
      <c r="BG223" s="22">
        <f t="shared" si="1830"/>
        <v>104.37513039371771</v>
      </c>
      <c r="BH223" s="22">
        <f t="shared" si="1830"/>
        <v>-23.015130393717499</v>
      </c>
      <c r="BI223" s="22">
        <f t="shared" si="1830"/>
        <v>222.50586358122604</v>
      </c>
      <c r="BJ223" s="22">
        <f t="shared" si="1830"/>
        <v>705.60413641877335</v>
      </c>
      <c r="BK223" s="22">
        <f t="shared" si="1830"/>
        <v>119.81645878873628</v>
      </c>
      <c r="BL223" s="22">
        <f t="shared" si="1830"/>
        <v>427.14354121126439</v>
      </c>
      <c r="BM223" s="22">
        <f t="shared" si="1830"/>
        <v>275.39938537282706</v>
      </c>
      <c r="BN223" s="22">
        <f t="shared" si="1830"/>
        <v>-259.08938537282785</v>
      </c>
      <c r="BO223" s="22">
        <f t="shared" si="1830"/>
        <v>-184.70127349526797</v>
      </c>
      <c r="BP223" s="22">
        <f t="shared" si="1830"/>
        <v>324.9512734952682</v>
      </c>
      <c r="BQ223" s="22">
        <f t="shared" si="1830"/>
        <v>-8.4921007519374143</v>
      </c>
      <c r="BR223" s="22">
        <f t="shared" si="1830"/>
        <v>-696.397899248062</v>
      </c>
      <c r="BS223" s="22">
        <f t="shared" si="1830"/>
        <v>-177.03845126987767</v>
      </c>
      <c r="BT223" s="22">
        <f t="shared" si="1830"/>
        <v>-89.711548730122303</v>
      </c>
      <c r="BU223" s="22">
        <f t="shared" si="1830"/>
        <v>187.51735326825599</v>
      </c>
      <c r="BV223" s="22">
        <f t="shared" si="1830"/>
        <v>53.71264673174349</v>
      </c>
      <c r="BW223" s="22">
        <f t="shared" si="1830"/>
        <v>286.70752545637998</v>
      </c>
      <c r="BX223" s="22">
        <f t="shared" si="1830"/>
        <v>280.94247454361982</v>
      </c>
      <c r="BY223" s="22">
        <f t="shared" si="1830"/>
        <v>481.84697974217306</v>
      </c>
      <c r="BZ223" s="22">
        <f t="shared" si="1830"/>
        <v>514.91302025782738</v>
      </c>
      <c r="CA223" s="22">
        <f t="shared" si="1830"/>
        <v>339.22854598475493</v>
      </c>
      <c r="CB223" s="22">
        <f t="shared" si="1830"/>
        <v>308.0014540152448</v>
      </c>
      <c r="CC223" s="22">
        <f t="shared" si="1830"/>
        <v>511.38178286352252</v>
      </c>
      <c r="CD223" s="22">
        <f t="shared" si="1830"/>
        <v>752.97821713647704</v>
      </c>
      <c r="CE223" s="22">
        <f t="shared" ref="CE223:CF223" si="1831">CE219+CE222</f>
        <v>379.38424087039601</v>
      </c>
      <c r="CF223" s="22">
        <f t="shared" si="1831"/>
        <v>565.86575912960541</v>
      </c>
      <c r="CG223" s="22">
        <f t="shared" ref="CG223:CH223" si="1832">CG219+CG222</f>
        <v>655.35807263487641</v>
      </c>
      <c r="CH223" s="22">
        <f t="shared" si="1832"/>
        <v>3241.8719273651232</v>
      </c>
      <c r="CI223" s="22">
        <f t="shared" ref="CI223:CJ223" si="1833">CI219+CI222</f>
        <v>-85.266630792449121</v>
      </c>
      <c r="CJ223" s="22">
        <f t="shared" si="1833"/>
        <v>-1903.7733692075517</v>
      </c>
      <c r="CK223" s="22">
        <f t="shared" ref="CK223:DB223" si="1834">CK219+CK222</f>
        <v>1216.916641367249</v>
      </c>
      <c r="CL223" s="22">
        <f t="shared" si="1834"/>
        <v>1249.5033586327504</v>
      </c>
      <c r="CM223" s="21">
        <f t="shared" si="1834"/>
        <v>650.52914064807669</v>
      </c>
      <c r="CN223" s="21">
        <f t="shared" si="1834"/>
        <v>706.52601735297662</v>
      </c>
      <c r="CO223" s="21">
        <f t="shared" si="1834"/>
        <v>763.49201714392268</v>
      </c>
      <c r="CP223" s="21">
        <f t="shared" si="1834"/>
        <v>712.79110999592092</v>
      </c>
      <c r="CQ223" s="21">
        <f t="shared" si="1834"/>
        <v>832.12844146456212</v>
      </c>
      <c r="CR223" s="21">
        <f t="shared" si="1834"/>
        <v>827.82855574785685</v>
      </c>
      <c r="CS223" s="21">
        <f t="shared" si="1834"/>
        <v>862.48646281444439</v>
      </c>
      <c r="CT223" s="21">
        <f t="shared" si="1834"/>
        <v>891.30488955305066</v>
      </c>
      <c r="CU223" s="21">
        <f t="shared" si="1834"/>
        <v>891.28088911047666</v>
      </c>
      <c r="CV223" s="21">
        <f t="shared" si="1834"/>
        <v>906.23334541423924</v>
      </c>
      <c r="CW223" s="21">
        <f t="shared" si="1834"/>
        <v>926.38442911783955</v>
      </c>
      <c r="CX223" s="21">
        <f t="shared" si="1834"/>
        <v>942.53887461468787</v>
      </c>
      <c r="CY223" s="21">
        <f t="shared" si="1834"/>
        <v>955.22851486393711</v>
      </c>
      <c r="CZ223" s="21">
        <f t="shared" si="1834"/>
        <v>971.40167314620408</v>
      </c>
      <c r="DA223" s="21">
        <f t="shared" si="1834"/>
        <v>987.8877913839242</v>
      </c>
      <c r="DB223" s="21">
        <f t="shared" si="1834"/>
        <v>1003.3713899683823</v>
      </c>
      <c r="DE223" s="126"/>
      <c r="DF223" s="22">
        <v>771.41889093642601</v>
      </c>
    </row>
    <row r="224" spans="1:110" s="23" customFormat="1" x14ac:dyDescent="0.2">
      <c r="AB224" s="24"/>
      <c r="AC224" s="24"/>
      <c r="AD224" s="24"/>
      <c r="AE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E224" s="123"/>
    </row>
    <row r="225" spans="1:110" s="22" customFormat="1" x14ac:dyDescent="0.2">
      <c r="A225" s="22" t="s">
        <v>92</v>
      </c>
      <c r="C225" s="22">
        <f t="shared" ref="C225:W225" si="1835">C226+C227</f>
        <v>-1272.4099999999999</v>
      </c>
      <c r="D225" s="22">
        <f>D226+D227</f>
        <v>-178.65000000000015</v>
      </c>
      <c r="E225" s="22">
        <f t="shared" si="1835"/>
        <v>-280.26999999999958</v>
      </c>
      <c r="F225" s="22">
        <f t="shared" si="1835"/>
        <v>-651.70000000000027</v>
      </c>
      <c r="G225" s="22">
        <f t="shared" si="1835"/>
        <v>-331.2999999999999</v>
      </c>
      <c r="H225" s="22">
        <f t="shared" si="1835"/>
        <v>-1213.6100000000004</v>
      </c>
      <c r="I225" s="22">
        <f t="shared" si="1835"/>
        <v>-1581.5999999999995</v>
      </c>
      <c r="J225" s="22">
        <f t="shared" si="1835"/>
        <v>-1561.3000000000009</v>
      </c>
      <c r="K225" s="22">
        <f t="shared" si="1835"/>
        <v>-75.869999999999436</v>
      </c>
      <c r="L225" s="22">
        <f t="shared" si="1835"/>
        <v>-329.22000000000116</v>
      </c>
      <c r="M225" s="22">
        <f t="shared" si="1835"/>
        <v>-1035.8900000000001</v>
      </c>
      <c r="N225" s="22">
        <f t="shared" si="1835"/>
        <v>-230.14999999999941</v>
      </c>
      <c r="O225" s="22">
        <f t="shared" si="1835"/>
        <v>-556.50999999999931</v>
      </c>
      <c r="P225" s="22">
        <f t="shared" si="1835"/>
        <v>151.46000000000049</v>
      </c>
      <c r="Q225" s="22">
        <f t="shared" si="1835"/>
        <v>-1035.5300000000009</v>
      </c>
      <c r="R225" s="22">
        <f t="shared" si="1835"/>
        <v>905.88000000000079</v>
      </c>
      <c r="S225" s="22">
        <f t="shared" si="1835"/>
        <v>-650.73000000000093</v>
      </c>
      <c r="T225" s="22">
        <f t="shared" si="1835"/>
        <v>-449.71000000000004</v>
      </c>
      <c r="U225" s="22">
        <f t="shared" si="1835"/>
        <v>-2035.1599999999999</v>
      </c>
      <c r="V225" s="22">
        <f t="shared" si="1835"/>
        <v>-753.58000000000027</v>
      </c>
      <c r="W225" s="22">
        <f t="shared" si="1835"/>
        <v>-442.02999999999793</v>
      </c>
      <c r="X225" s="22">
        <f t="shared" ref="X225:Y225" si="1836">X226+X227</f>
        <v>-1027.1399999999985</v>
      </c>
      <c r="Y225" s="22">
        <f t="shared" si="1836"/>
        <v>-1273.9200000000017</v>
      </c>
      <c r="Z225" s="22">
        <f t="shared" ref="Z225:AA225" si="1837">Z226+Z227</f>
        <v>-2344.8899999999994</v>
      </c>
      <c r="AA225" s="22">
        <f t="shared" si="1837"/>
        <v>-1778.4600000000005</v>
      </c>
      <c r="AB225" s="21">
        <f t="shared" ref="AA225:AD225" si="1838">AB226+AB227</f>
        <v>1685.7900000000027</v>
      </c>
      <c r="AC225" s="21">
        <f t="shared" si="1838"/>
        <v>-600.00000000000182</v>
      </c>
      <c r="AD225" s="21">
        <f t="shared" si="1838"/>
        <v>-600</v>
      </c>
      <c r="AE225" s="21">
        <f t="shared" ref="AE225" si="1839">AE226+AE227</f>
        <v>-600</v>
      </c>
      <c r="AI225" s="22">
        <f t="shared" ref="AI225" si="1840">AI226+AI227</f>
        <v>-71.42</v>
      </c>
      <c r="AJ225" s="22">
        <f t="shared" ref="AJ225:AL225" si="1841">AJ226+AJ227</f>
        <v>-5762.7999999999993</v>
      </c>
      <c r="AK225" s="22">
        <f t="shared" si="1841"/>
        <v>-30.490000000000009</v>
      </c>
      <c r="AL225" s="22">
        <f t="shared" si="1841"/>
        <v>-2221.7799999999997</v>
      </c>
      <c r="AM225" s="22">
        <f t="shared" ref="AM225" si="1842">AM226+AM227</f>
        <v>-73.25</v>
      </c>
      <c r="AN225" s="22">
        <f t="shared" ref="AN225:CD225" si="1843">AN226+AN227</f>
        <v>2575.0599999999986</v>
      </c>
      <c r="AO225" s="22">
        <f t="shared" si="1843"/>
        <v>-78.990000000000009</v>
      </c>
      <c r="AP225" s="22">
        <f t="shared" si="1843"/>
        <v>-2979.3300000000008</v>
      </c>
      <c r="AQ225" s="22">
        <f t="shared" si="1843"/>
        <v>-69.760000000000218</v>
      </c>
      <c r="AR225" s="22">
        <f t="shared" si="1843"/>
        <v>3122.9800000000005</v>
      </c>
      <c r="AS225" s="22">
        <f t="shared" si="1843"/>
        <v>-74.820000000000164</v>
      </c>
      <c r="AT225" s="22">
        <f t="shared" si="1843"/>
        <v>-2826.9399999999996</v>
      </c>
      <c r="AU225" s="22">
        <f t="shared" si="1843"/>
        <v>-73.949999999999818</v>
      </c>
      <c r="AV225" s="22">
        <f t="shared" si="1843"/>
        <v>2590.1799999999994</v>
      </c>
      <c r="AW225" s="22">
        <f t="shared" si="1843"/>
        <v>-72.210000000000036</v>
      </c>
      <c r="AX225" s="22">
        <f t="shared" si="1843"/>
        <v>-3495.64</v>
      </c>
      <c r="AY225" s="22">
        <f t="shared" si="1843"/>
        <v>-73.710000000000036</v>
      </c>
      <c r="AZ225" s="22">
        <f t="shared" si="1843"/>
        <v>4628.5300000000007</v>
      </c>
      <c r="BA225" s="22">
        <f t="shared" si="1843"/>
        <v>-69.139999999999873</v>
      </c>
      <c r="BB225" s="22">
        <f t="shared" si="1843"/>
        <v>-3579.8</v>
      </c>
      <c r="BC225" s="22">
        <f t="shared" si="1843"/>
        <v>-71.380000000000109</v>
      </c>
      <c r="BD225" s="22">
        <f t="shared" si="1843"/>
        <v>-244.73000000000025</v>
      </c>
      <c r="BE225" s="22">
        <f t="shared" si="1843"/>
        <v>-74.170000000000073</v>
      </c>
      <c r="BF225" s="22">
        <f t="shared" si="1843"/>
        <v>-260.45000000000141</v>
      </c>
      <c r="BG225" s="22">
        <f t="shared" si="1843"/>
        <v>-78.470000000000255</v>
      </c>
      <c r="BH225" s="22">
        <f t="shared" si="1843"/>
        <v>-267.72999999999911</v>
      </c>
      <c r="BI225" s="22">
        <f t="shared" si="1843"/>
        <v>-83.279999999999745</v>
      </c>
      <c r="BJ225" s="22">
        <f t="shared" si="1843"/>
        <v>-20.230000000000928</v>
      </c>
      <c r="BK225" s="22">
        <f t="shared" si="1843"/>
        <v>-100.35999999999967</v>
      </c>
      <c r="BL225" s="22">
        <f t="shared" si="1843"/>
        <v>6.3000000000006366</v>
      </c>
      <c r="BM225" s="22">
        <f t="shared" si="1843"/>
        <v>-100.82999999999993</v>
      </c>
      <c r="BN225" s="22">
        <f t="shared" si="1843"/>
        <v>-256.99000000000012</v>
      </c>
      <c r="BO225" s="22">
        <f t="shared" si="1843"/>
        <v>-100.14000000000033</v>
      </c>
      <c r="BP225" s="22">
        <f t="shared" si="1843"/>
        <v>-295.04999999999973</v>
      </c>
      <c r="BQ225" s="22">
        <f t="shared" si="1843"/>
        <v>-102.31999999999971</v>
      </c>
      <c r="BR225" s="22">
        <f t="shared" si="1843"/>
        <v>-309.61000000000047</v>
      </c>
      <c r="BS225" s="22">
        <f t="shared" si="1843"/>
        <v>-102.53999999999996</v>
      </c>
      <c r="BT225" s="22">
        <f t="shared" si="1843"/>
        <v>-69.230000000001155</v>
      </c>
      <c r="BU225" s="22">
        <f t="shared" si="1843"/>
        <v>-99.869999999999891</v>
      </c>
      <c r="BV225" s="22">
        <f t="shared" si="1843"/>
        <v>-186.70999999999935</v>
      </c>
      <c r="BW225" s="22">
        <f t="shared" si="1843"/>
        <v>-102.57999999999993</v>
      </c>
      <c r="BX225" s="22">
        <f t="shared" si="1843"/>
        <v>-29.199999999998909</v>
      </c>
      <c r="BY225" s="22">
        <f t="shared" si="1843"/>
        <v>-103.3100000000004</v>
      </c>
      <c r="BZ225" s="22">
        <f t="shared" si="1843"/>
        <v>-426.54000000000087</v>
      </c>
      <c r="CA225" s="22">
        <f t="shared" si="1843"/>
        <v>-109.05000000000018</v>
      </c>
      <c r="CB225" s="22">
        <f t="shared" si="1843"/>
        <v>-365.15000000000055</v>
      </c>
      <c r="CC225" s="22">
        <f t="shared" si="1843"/>
        <v>-114.3100000000004</v>
      </c>
      <c r="CD225" s="22">
        <f t="shared" si="1843"/>
        <v>-594.00999999999908</v>
      </c>
      <c r="CE225" s="22">
        <f t="shared" ref="CE225:CF225" si="1844">CE226+CE227</f>
        <v>-117.28999999999996</v>
      </c>
      <c r="CF225" s="22">
        <f t="shared" si="1844"/>
        <v>-985.17999999999984</v>
      </c>
      <c r="CG225" s="22">
        <f t="shared" ref="CG225:CH225" si="1845">CG226+CG227</f>
        <v>-133.94000000000051</v>
      </c>
      <c r="CH225" s="22">
        <f t="shared" si="1845"/>
        <v>-3078.8100000000009</v>
      </c>
      <c r="CI225" s="22">
        <f t="shared" ref="CI225:CJ225" si="1846">CI226+CI227</f>
        <v>0</v>
      </c>
      <c r="CJ225" s="22">
        <f t="shared" si="1846"/>
        <v>1810.4700000000005</v>
      </c>
      <c r="CK225" s="22">
        <f t="shared" ref="CK225:DB225" si="1847">CK226+CK227</f>
        <v>-150</v>
      </c>
      <c r="CL225" s="22">
        <f t="shared" si="1847"/>
        <v>-1153.1400000000001</v>
      </c>
      <c r="CM225" s="21">
        <f t="shared" si="1847"/>
        <v>-150</v>
      </c>
      <c r="CN225" s="21">
        <f t="shared" si="1847"/>
        <v>-150</v>
      </c>
      <c r="CO225" s="21">
        <f t="shared" si="1847"/>
        <v>-150.00000000000182</v>
      </c>
      <c r="CP225" s="21">
        <f t="shared" si="1847"/>
        <v>-149.99999999999818</v>
      </c>
      <c r="CQ225" s="21">
        <f t="shared" si="1847"/>
        <v>-150.00000000000182</v>
      </c>
      <c r="CR225" s="21">
        <f t="shared" si="1847"/>
        <v>-150</v>
      </c>
      <c r="CS225" s="21">
        <f t="shared" si="1847"/>
        <v>-150</v>
      </c>
      <c r="CT225" s="21">
        <f t="shared" si="1847"/>
        <v>-150.00000000000182</v>
      </c>
      <c r="CU225" s="21">
        <f t="shared" si="1847"/>
        <v>-150</v>
      </c>
      <c r="CV225" s="21">
        <f t="shared" si="1847"/>
        <v>-149.99999999999818</v>
      </c>
      <c r="CW225" s="21">
        <f t="shared" si="1847"/>
        <v>-150.00000000000182</v>
      </c>
      <c r="CX225" s="21">
        <f t="shared" si="1847"/>
        <v>-149.99999999999818</v>
      </c>
      <c r="CY225" s="21">
        <f t="shared" si="1847"/>
        <v>-150.00000000000182</v>
      </c>
      <c r="CZ225" s="21">
        <f t="shared" si="1847"/>
        <v>-149.99999999999818</v>
      </c>
      <c r="DA225" s="21">
        <f t="shared" si="1847"/>
        <v>-150</v>
      </c>
      <c r="DB225" s="21">
        <f t="shared" si="1847"/>
        <v>-150</v>
      </c>
      <c r="DE225" s="126"/>
      <c r="DF225" s="22">
        <v>-150</v>
      </c>
    </row>
    <row r="226" spans="1:110" s="23" customFormat="1" x14ac:dyDescent="0.2">
      <c r="A226" s="23" t="s">
        <v>93</v>
      </c>
      <c r="C226" s="23">
        <f t="shared" ref="C226:AA226" si="1848">B164-C164</f>
        <v>17.659999999999968</v>
      </c>
      <c r="D226" s="23">
        <f t="shared" si="1848"/>
        <v>14.390000000000043</v>
      </c>
      <c r="E226" s="23">
        <f>D164-E164</f>
        <v>-42.04000000000002</v>
      </c>
      <c r="F226" s="23">
        <f t="shared" si="1848"/>
        <v>-24.939999999999998</v>
      </c>
      <c r="G226" s="23">
        <f t="shared" si="1848"/>
        <v>-67.890000000000043</v>
      </c>
      <c r="H226" s="23">
        <f t="shared" si="1848"/>
        <v>23.760000000000048</v>
      </c>
      <c r="I226" s="23">
        <f t="shared" si="1848"/>
        <v>-1038.1399999999999</v>
      </c>
      <c r="J226" s="23">
        <f>I164-J164</f>
        <v>-442.62000000000012</v>
      </c>
      <c r="K226" s="23">
        <f>J164-K164</f>
        <v>99.809999999999945</v>
      </c>
      <c r="L226" s="23">
        <f t="shared" si="1848"/>
        <v>30.670000000000073</v>
      </c>
      <c r="M226" s="23">
        <f t="shared" si="1848"/>
        <v>10.319999999999936</v>
      </c>
      <c r="N226" s="23">
        <f t="shared" si="1848"/>
        <v>318.54000000000019</v>
      </c>
      <c r="O226" s="23">
        <f t="shared" si="1848"/>
        <v>203.32999999999993</v>
      </c>
      <c r="P226" s="23">
        <f t="shared" si="1848"/>
        <v>278.69000000000005</v>
      </c>
      <c r="Q226" s="23">
        <f t="shared" si="1848"/>
        <v>-304.04000000000019</v>
      </c>
      <c r="R226" s="23">
        <f t="shared" si="1848"/>
        <v>191.72000000000003</v>
      </c>
      <c r="S226" s="23">
        <f t="shared" si="1848"/>
        <v>-27.980000000000018</v>
      </c>
      <c r="T226" s="23">
        <f t="shared" si="1848"/>
        <v>56.960000000000036</v>
      </c>
      <c r="U226" s="23">
        <f t="shared" si="1848"/>
        <v>133.58000000000004</v>
      </c>
      <c r="V226" s="23">
        <f t="shared" si="1848"/>
        <v>-44.189999999999941</v>
      </c>
      <c r="W226" s="23">
        <f t="shared" si="1848"/>
        <v>-29.789999999999964</v>
      </c>
      <c r="X226" s="23">
        <f t="shared" si="1848"/>
        <v>-69.380000000000109</v>
      </c>
      <c r="Y226" s="23">
        <f t="shared" si="1848"/>
        <v>-403.33999999999992</v>
      </c>
      <c r="Z226" s="23">
        <f t="shared" si="1848"/>
        <v>157.15999999999985</v>
      </c>
      <c r="AA226" s="23">
        <f t="shared" si="1848"/>
        <v>273.32000000000016</v>
      </c>
      <c r="AB226" s="24">
        <f t="shared" ref="AB226" si="1849">AA164-AB164</f>
        <v>0</v>
      </c>
      <c r="AC226" s="24">
        <f t="shared" ref="AC226" si="1850">AB164-AC164</f>
        <v>0</v>
      </c>
      <c r="AD226" s="24">
        <f t="shared" ref="AD226" si="1851">AC164-AD164</f>
        <v>0</v>
      </c>
      <c r="AE226" s="24">
        <f t="shared" ref="AE226" si="1852">AD164-AE164</f>
        <v>0</v>
      </c>
      <c r="AI226" s="23">
        <f t="shared" ref="AI226" si="1853">AH164-AI164</f>
        <v>0</v>
      </c>
      <c r="AJ226" s="23">
        <f t="shared" ref="AJ226" si="1854">AI164-AJ164</f>
        <v>-3622.19</v>
      </c>
      <c r="AK226" s="23">
        <f t="shared" ref="AK226" si="1855">AJ164-AK164</f>
        <v>0</v>
      </c>
      <c r="AL226" s="23">
        <f t="shared" ref="AL226" si="1856">AK164-AL164</f>
        <v>2099.58</v>
      </c>
      <c r="AM226" s="23">
        <f t="shared" ref="AM226" si="1857">AL164-AM164</f>
        <v>0</v>
      </c>
      <c r="AN226" s="23">
        <f t="shared" ref="AN226" si="1858">AM164-AN164</f>
        <v>-1574.14</v>
      </c>
      <c r="AO226" s="23">
        <f t="shared" ref="AO226" si="1859">AN164-AO164</f>
        <v>0</v>
      </c>
      <c r="AP226" s="23">
        <f t="shared" ref="AP226" si="1860">AO164-AP164</f>
        <v>1777.47</v>
      </c>
      <c r="AQ226" s="23">
        <f t="shared" ref="AQ226" si="1861">AP164-AQ164</f>
        <v>0</v>
      </c>
      <c r="AR226" s="23">
        <f t="shared" ref="AR226" si="1862">AQ164-AR164</f>
        <v>-1442.36</v>
      </c>
      <c r="AS226" s="23">
        <f t="shared" ref="AS226" si="1863">AR164-AS164</f>
        <v>0</v>
      </c>
      <c r="AT226" s="23">
        <f t="shared" ref="AT226" si="1864">AS164-AT164</f>
        <v>1721.05</v>
      </c>
      <c r="AU226" s="23">
        <f t="shared" ref="AU226" si="1865">AT164-AU164</f>
        <v>0</v>
      </c>
      <c r="AV226" s="23">
        <f t="shared" ref="AV226" si="1866">AU164-AV164</f>
        <v>-1758.14</v>
      </c>
      <c r="AW226" s="23">
        <f t="shared" ref="AW226" si="1867">AV164-AW164</f>
        <v>0</v>
      </c>
      <c r="AX226" s="23">
        <f t="shared" ref="AX226" si="1868">AW164-AX164</f>
        <v>1454.1</v>
      </c>
      <c r="AY226" s="23">
        <f t="shared" ref="AY226" si="1869">AX164-AY164</f>
        <v>0</v>
      </c>
      <c r="AZ226" s="23">
        <f t="shared" ref="AZ226" si="1870">AY164-AZ164</f>
        <v>-108.48999999999978</v>
      </c>
      <c r="BA226" s="23">
        <f t="shared" ref="BA226" si="1871">AZ164-BA164</f>
        <v>0</v>
      </c>
      <c r="BB226" s="23">
        <f t="shared" ref="BB226" si="1872">BA164-BB164</f>
        <v>300.20999999999981</v>
      </c>
      <c r="BC226" s="23">
        <f t="shared" ref="BC226" si="1873">BB164-BC164</f>
        <v>0</v>
      </c>
      <c r="BD226" s="23">
        <f t="shared" ref="BD226" si="1874">BC164-BD164</f>
        <v>-10.709999999999809</v>
      </c>
      <c r="BE226" s="23">
        <f t="shared" ref="BE226" si="1875">BD164-BE164</f>
        <v>0</v>
      </c>
      <c r="BF226" s="23">
        <f t="shared" ref="BF226" si="1876">BE164-BF164</f>
        <v>-17.270000000000209</v>
      </c>
      <c r="BG226" s="23">
        <f t="shared" ref="BG226" si="1877">BF164-BG164</f>
        <v>0</v>
      </c>
      <c r="BH226" s="23">
        <f t="shared" ref="BH226" si="1878">BG164-BH164</f>
        <v>47.0300000000002</v>
      </c>
      <c r="BI226" s="23">
        <f t="shared" ref="BI226" si="1879">BH164-BI164</f>
        <v>0</v>
      </c>
      <c r="BJ226" s="23">
        <f t="shared" ref="BJ226" si="1880">BI164-BJ164</f>
        <v>9.9299999999998363</v>
      </c>
      <c r="BK226" s="23">
        <f t="shared" ref="BK226" si="1881">BJ164-BK164</f>
        <v>0</v>
      </c>
      <c r="BL226" s="23">
        <f t="shared" ref="BL226" si="1882">BK164-BL164</f>
        <v>77.900000000000091</v>
      </c>
      <c r="BM226" s="23">
        <f t="shared" ref="BM226" si="1883">BL164-BM164</f>
        <v>0</v>
      </c>
      <c r="BN226" s="23">
        <f t="shared" ref="BN226" si="1884">BM164-BN164</f>
        <v>55.67999999999995</v>
      </c>
      <c r="BO226" s="23">
        <f t="shared" ref="BO226" si="1885">BN164-BO164</f>
        <v>0</v>
      </c>
      <c r="BP226" s="23">
        <f t="shared" ref="BP226" si="1886">BO164-BP164</f>
        <v>75.269999999999982</v>
      </c>
      <c r="BQ226" s="23">
        <f t="shared" ref="BQ226" si="1887">BP164-BQ164</f>
        <v>0</v>
      </c>
      <c r="BR226" s="23">
        <f t="shared" ref="BR226" si="1888">BQ164-BR164</f>
        <v>-119.45999999999992</v>
      </c>
      <c r="BS226" s="23">
        <f t="shared" ref="BS226" si="1889">BR164-BS164</f>
        <v>0</v>
      </c>
      <c r="BT226" s="23">
        <f t="shared" ref="BT226" si="1890">BS164-BT164</f>
        <v>-6.2999999999999545</v>
      </c>
      <c r="BU226" s="23">
        <f t="shared" ref="BU226" si="1891">BT164-BU164</f>
        <v>0</v>
      </c>
      <c r="BV226" s="23">
        <f t="shared" ref="BV226" si="1892">BU164-BV164</f>
        <v>-23.490000000000009</v>
      </c>
      <c r="BW226" s="23">
        <f t="shared" ref="BW226" si="1893">BV164-BW164</f>
        <v>0</v>
      </c>
      <c r="BX226" s="23">
        <f t="shared" ref="BX226" si="1894">BW164-BX164</f>
        <v>-10.210000000000036</v>
      </c>
      <c r="BY226" s="23">
        <f t="shared" ref="BY226" si="1895">BX164-BY164</f>
        <v>0</v>
      </c>
      <c r="BZ226" s="23">
        <f t="shared" ref="BZ226" si="1896">BY164-BZ164</f>
        <v>-59.170000000000073</v>
      </c>
      <c r="CA226" s="23">
        <f t="shared" ref="CA226" si="1897">BZ164-CA164</f>
        <v>0</v>
      </c>
      <c r="CB226" s="23">
        <f t="shared" ref="CB226" si="1898">CA164-CB164</f>
        <v>-112.5</v>
      </c>
      <c r="CC226" s="23">
        <f t="shared" ref="CC226" si="1899">CB164-CC164</f>
        <v>0</v>
      </c>
      <c r="CD226" s="23">
        <f t="shared" ref="CD226" si="1900">CC164-CD164</f>
        <v>-290.83999999999992</v>
      </c>
      <c r="CE226" s="23">
        <f t="shared" ref="CE226" si="1901">CD164-CE164</f>
        <v>0</v>
      </c>
      <c r="CF226" s="23">
        <f t="shared" ref="CF226" si="1902">CE164-CF164</f>
        <v>96.849999999999909</v>
      </c>
      <c r="CG226" s="23">
        <f t="shared" ref="CG226" si="1903">CF164-CG164</f>
        <v>0</v>
      </c>
      <c r="CH226" s="23">
        <f t="shared" ref="CH226:CL226" si="1904">CG164-CH164</f>
        <v>60.309999999999945</v>
      </c>
      <c r="CI226" s="23">
        <f t="shared" si="1904"/>
        <v>0</v>
      </c>
      <c r="CJ226" s="23">
        <f t="shared" si="1904"/>
        <v>-8.0499999999999545</v>
      </c>
      <c r="CK226" s="23">
        <f t="shared" ref="CK226" si="1905">CJ164-CK164</f>
        <v>0</v>
      </c>
      <c r="CL226" s="23">
        <f t="shared" si="1904"/>
        <v>281.37000000000012</v>
      </c>
      <c r="CM226" s="24">
        <f t="shared" ref="CM226" si="1906">CL164-CM164</f>
        <v>0</v>
      </c>
      <c r="CN226" s="24">
        <f t="shared" ref="CN226" si="1907">CM164-CN164</f>
        <v>0</v>
      </c>
      <c r="CO226" s="24">
        <f t="shared" ref="CO226" si="1908">CN164-CO164</f>
        <v>0</v>
      </c>
      <c r="CP226" s="24">
        <f t="shared" ref="CP226" si="1909">CO164-CP164</f>
        <v>0</v>
      </c>
      <c r="CQ226" s="24">
        <f t="shared" ref="CQ226" si="1910">CP164-CQ164</f>
        <v>0</v>
      </c>
      <c r="CR226" s="24">
        <f t="shared" ref="CR226" si="1911">CQ164-CR164</f>
        <v>0</v>
      </c>
      <c r="CS226" s="24">
        <f t="shared" ref="CS226" si="1912">CR164-CS164</f>
        <v>0</v>
      </c>
      <c r="CT226" s="24">
        <f t="shared" ref="CT226" si="1913">CS164-CT164</f>
        <v>0</v>
      </c>
      <c r="CU226" s="24">
        <f t="shared" ref="CU226" si="1914">CT164-CU164</f>
        <v>0</v>
      </c>
      <c r="CV226" s="24">
        <f t="shared" ref="CV226" si="1915">CU164-CV164</f>
        <v>0</v>
      </c>
      <c r="CW226" s="24">
        <f t="shared" ref="CW226" si="1916">CV164-CW164</f>
        <v>0</v>
      </c>
      <c r="CX226" s="24">
        <f t="shared" ref="CX226" si="1917">CW164-CX164</f>
        <v>0</v>
      </c>
      <c r="CY226" s="24">
        <f t="shared" ref="CY226" si="1918">CX164-CY164</f>
        <v>0</v>
      </c>
      <c r="CZ226" s="24">
        <f t="shared" ref="CZ226" si="1919">CY164-CZ164</f>
        <v>0</v>
      </c>
      <c r="DA226" s="24">
        <f t="shared" ref="DA226" si="1920">CZ164-DA164</f>
        <v>0</v>
      </c>
      <c r="DB226" s="24">
        <f t="shared" ref="DB226" si="1921">DA164-DB164</f>
        <v>0</v>
      </c>
      <c r="DE226" s="123"/>
      <c r="DF226" s="23">
        <v>0</v>
      </c>
    </row>
    <row r="227" spans="1:110" s="23" customFormat="1" x14ac:dyDescent="0.2">
      <c r="A227" s="23" t="s">
        <v>94</v>
      </c>
      <c r="C227" s="23">
        <f t="shared" ref="C227:AE227" si="1922">B162-C56-C162</f>
        <v>-1290.07</v>
      </c>
      <c r="D227" s="23">
        <f t="shared" si="1922"/>
        <v>-193.04000000000019</v>
      </c>
      <c r="E227" s="23">
        <f t="shared" si="1922"/>
        <v>-238.22999999999956</v>
      </c>
      <c r="F227" s="23">
        <f t="shared" si="1922"/>
        <v>-626.76000000000022</v>
      </c>
      <c r="G227" s="23">
        <f t="shared" si="1922"/>
        <v>-263.40999999999985</v>
      </c>
      <c r="H227" s="23">
        <f t="shared" si="1922"/>
        <v>-1237.3700000000003</v>
      </c>
      <c r="I227" s="23">
        <f t="shared" si="1922"/>
        <v>-543.45999999999958</v>
      </c>
      <c r="J227" s="23">
        <f t="shared" si="1922"/>
        <v>-1118.6800000000007</v>
      </c>
      <c r="K227" s="23">
        <f t="shared" si="1922"/>
        <v>-175.67999999999938</v>
      </c>
      <c r="L227" s="23">
        <f t="shared" si="1922"/>
        <v>-359.89000000000124</v>
      </c>
      <c r="M227" s="23">
        <f t="shared" si="1922"/>
        <v>-1046.21</v>
      </c>
      <c r="N227" s="23">
        <f t="shared" si="1922"/>
        <v>-548.6899999999996</v>
      </c>
      <c r="O227" s="23">
        <f t="shared" si="1922"/>
        <v>-759.83999999999924</v>
      </c>
      <c r="P227" s="23">
        <f t="shared" si="1922"/>
        <v>-127.22999999999956</v>
      </c>
      <c r="Q227" s="23">
        <f t="shared" si="1922"/>
        <v>-731.49000000000069</v>
      </c>
      <c r="R227" s="23">
        <f t="shared" si="1922"/>
        <v>714.16000000000076</v>
      </c>
      <c r="S227" s="23">
        <f t="shared" si="1922"/>
        <v>-622.75000000000091</v>
      </c>
      <c r="T227" s="23">
        <f t="shared" si="1922"/>
        <v>-506.67000000000007</v>
      </c>
      <c r="U227" s="23">
        <f t="shared" si="1922"/>
        <v>-2168.7399999999998</v>
      </c>
      <c r="V227" s="23">
        <f t="shared" si="1922"/>
        <v>-709.39000000000033</v>
      </c>
      <c r="W227" s="23">
        <f t="shared" si="1922"/>
        <v>-412.23999999999796</v>
      </c>
      <c r="X227" s="23">
        <f t="shared" si="1922"/>
        <v>-957.7599999999984</v>
      </c>
      <c r="Y227" s="23">
        <f t="shared" si="1922"/>
        <v>-870.58000000000175</v>
      </c>
      <c r="Z227" s="23">
        <f t="shared" si="1922"/>
        <v>-2502.0499999999993</v>
      </c>
      <c r="AA227" s="23">
        <f t="shared" si="1922"/>
        <v>-2051.7800000000007</v>
      </c>
      <c r="AB227" s="24">
        <f t="shared" si="1922"/>
        <v>1685.7900000000027</v>
      </c>
      <c r="AC227" s="24">
        <f t="shared" si="1922"/>
        <v>-600.00000000000182</v>
      </c>
      <c r="AD227" s="24">
        <f t="shared" si="1922"/>
        <v>-600</v>
      </c>
      <c r="AE227" s="24">
        <f t="shared" si="1922"/>
        <v>-600</v>
      </c>
      <c r="AI227" s="23">
        <f t="shared" ref="AI227:BN227" si="1923">AH162-AI56-AI162</f>
        <v>-71.42</v>
      </c>
      <c r="AJ227" s="23">
        <f t="shared" si="1923"/>
        <v>-2140.6099999999997</v>
      </c>
      <c r="AK227" s="23">
        <f t="shared" si="1923"/>
        <v>-30.490000000000009</v>
      </c>
      <c r="AL227" s="23">
        <f t="shared" si="1923"/>
        <v>-4321.3599999999997</v>
      </c>
      <c r="AM227" s="23">
        <f t="shared" si="1923"/>
        <v>-73.25</v>
      </c>
      <c r="AN227" s="23">
        <f t="shared" si="1923"/>
        <v>4149.1999999999989</v>
      </c>
      <c r="AO227" s="23">
        <f t="shared" si="1923"/>
        <v>-78.990000000000009</v>
      </c>
      <c r="AP227" s="23">
        <f t="shared" si="1923"/>
        <v>-4756.8000000000011</v>
      </c>
      <c r="AQ227" s="23">
        <f t="shared" si="1923"/>
        <v>-69.760000000000218</v>
      </c>
      <c r="AR227" s="23">
        <f t="shared" si="1923"/>
        <v>4565.34</v>
      </c>
      <c r="AS227" s="23">
        <f t="shared" si="1923"/>
        <v>-74.820000000000164</v>
      </c>
      <c r="AT227" s="23">
        <f t="shared" si="1923"/>
        <v>-4547.99</v>
      </c>
      <c r="AU227" s="23">
        <f t="shared" si="1923"/>
        <v>-73.949999999999818</v>
      </c>
      <c r="AV227" s="23">
        <f t="shared" si="1923"/>
        <v>4348.32</v>
      </c>
      <c r="AW227" s="23">
        <f t="shared" si="1923"/>
        <v>-72.210000000000036</v>
      </c>
      <c r="AX227" s="23">
        <f t="shared" si="1923"/>
        <v>-4949.74</v>
      </c>
      <c r="AY227" s="23">
        <f t="shared" si="1923"/>
        <v>-73.710000000000036</v>
      </c>
      <c r="AZ227" s="23">
        <f t="shared" si="1923"/>
        <v>4737.0200000000004</v>
      </c>
      <c r="BA227" s="23">
        <f t="shared" si="1923"/>
        <v>-69.139999999999873</v>
      </c>
      <c r="BB227" s="23">
        <f t="shared" si="1923"/>
        <v>-3880.0099999999998</v>
      </c>
      <c r="BC227" s="23">
        <f t="shared" si="1923"/>
        <v>-71.380000000000109</v>
      </c>
      <c r="BD227" s="23">
        <f t="shared" si="1923"/>
        <v>-234.02000000000044</v>
      </c>
      <c r="BE227" s="23">
        <f t="shared" si="1923"/>
        <v>-74.170000000000073</v>
      </c>
      <c r="BF227" s="23">
        <f t="shared" si="1923"/>
        <v>-243.1800000000012</v>
      </c>
      <c r="BG227" s="23">
        <f t="shared" si="1923"/>
        <v>-78.470000000000255</v>
      </c>
      <c r="BH227" s="23">
        <f t="shared" si="1923"/>
        <v>-314.75999999999931</v>
      </c>
      <c r="BI227" s="23">
        <f t="shared" si="1923"/>
        <v>-83.279999999999745</v>
      </c>
      <c r="BJ227" s="23">
        <f t="shared" si="1923"/>
        <v>-30.160000000000764</v>
      </c>
      <c r="BK227" s="23">
        <f t="shared" si="1923"/>
        <v>-100.35999999999967</v>
      </c>
      <c r="BL227" s="23">
        <f t="shared" si="1923"/>
        <v>-71.599999999999454</v>
      </c>
      <c r="BM227" s="23">
        <f t="shared" si="1923"/>
        <v>-100.82999999999993</v>
      </c>
      <c r="BN227" s="23">
        <f t="shared" si="1923"/>
        <v>-312.67000000000007</v>
      </c>
      <c r="BO227" s="23">
        <f t="shared" ref="BO227:CT227" si="1924">BN162-BO56-BO162</f>
        <v>-100.14000000000033</v>
      </c>
      <c r="BP227" s="23">
        <f t="shared" si="1924"/>
        <v>-370.31999999999971</v>
      </c>
      <c r="BQ227" s="23">
        <f t="shared" si="1924"/>
        <v>-102.31999999999971</v>
      </c>
      <c r="BR227" s="23">
        <f t="shared" si="1924"/>
        <v>-190.15000000000055</v>
      </c>
      <c r="BS227" s="23">
        <f t="shared" si="1924"/>
        <v>-102.53999999999996</v>
      </c>
      <c r="BT227" s="23">
        <f t="shared" si="1924"/>
        <v>-62.930000000001201</v>
      </c>
      <c r="BU227" s="23">
        <f t="shared" si="1924"/>
        <v>-99.869999999999891</v>
      </c>
      <c r="BV227" s="23">
        <f t="shared" si="1924"/>
        <v>-163.21999999999935</v>
      </c>
      <c r="BW227" s="23">
        <f t="shared" si="1924"/>
        <v>-102.57999999999993</v>
      </c>
      <c r="BX227" s="23">
        <f t="shared" si="1924"/>
        <v>-18.989999999998872</v>
      </c>
      <c r="BY227" s="23">
        <f t="shared" si="1924"/>
        <v>-103.3100000000004</v>
      </c>
      <c r="BZ227" s="23">
        <f t="shared" si="1924"/>
        <v>-367.3700000000008</v>
      </c>
      <c r="CA227" s="23">
        <f t="shared" si="1924"/>
        <v>-109.05000000000018</v>
      </c>
      <c r="CB227" s="23">
        <f t="shared" si="1924"/>
        <v>-252.65000000000055</v>
      </c>
      <c r="CC227" s="23">
        <f t="shared" si="1924"/>
        <v>-114.3100000000004</v>
      </c>
      <c r="CD227" s="23">
        <f t="shared" si="1924"/>
        <v>-303.16999999999916</v>
      </c>
      <c r="CE227" s="23">
        <f t="shared" si="1924"/>
        <v>-117.28999999999996</v>
      </c>
      <c r="CF227" s="23">
        <f t="shared" si="1924"/>
        <v>-1082.0299999999997</v>
      </c>
      <c r="CG227" s="23">
        <f t="shared" si="1924"/>
        <v>-133.94000000000051</v>
      </c>
      <c r="CH227" s="23">
        <f t="shared" si="1924"/>
        <v>-3139.1200000000008</v>
      </c>
      <c r="CI227" s="23">
        <f t="shared" si="1924"/>
        <v>0</v>
      </c>
      <c r="CJ227" s="23">
        <f t="shared" si="1924"/>
        <v>1818.5200000000004</v>
      </c>
      <c r="CK227" s="23">
        <f t="shared" si="1924"/>
        <v>-150</v>
      </c>
      <c r="CL227" s="23">
        <f t="shared" si="1924"/>
        <v>-1434.5100000000002</v>
      </c>
      <c r="CM227" s="24">
        <f t="shared" si="1924"/>
        <v>-150</v>
      </c>
      <c r="CN227" s="24">
        <f t="shared" si="1924"/>
        <v>-150</v>
      </c>
      <c r="CO227" s="24">
        <f t="shared" si="1924"/>
        <v>-150.00000000000182</v>
      </c>
      <c r="CP227" s="24">
        <f t="shared" si="1924"/>
        <v>-149.99999999999818</v>
      </c>
      <c r="CQ227" s="24">
        <f t="shared" si="1924"/>
        <v>-150.00000000000182</v>
      </c>
      <c r="CR227" s="24">
        <f t="shared" si="1924"/>
        <v>-150</v>
      </c>
      <c r="CS227" s="24">
        <f t="shared" si="1924"/>
        <v>-150</v>
      </c>
      <c r="CT227" s="24">
        <f t="shared" si="1924"/>
        <v>-150.00000000000182</v>
      </c>
      <c r="CU227" s="24">
        <f t="shared" ref="CU227:DB227" si="1925">CT162-CU56-CU162</f>
        <v>-150</v>
      </c>
      <c r="CV227" s="24">
        <f t="shared" si="1925"/>
        <v>-149.99999999999818</v>
      </c>
      <c r="CW227" s="24">
        <f t="shared" si="1925"/>
        <v>-150.00000000000182</v>
      </c>
      <c r="CX227" s="24">
        <f t="shared" si="1925"/>
        <v>-149.99999999999818</v>
      </c>
      <c r="CY227" s="24">
        <f t="shared" si="1925"/>
        <v>-150.00000000000182</v>
      </c>
      <c r="CZ227" s="24">
        <f t="shared" si="1925"/>
        <v>-149.99999999999818</v>
      </c>
      <c r="DA227" s="24">
        <f t="shared" si="1925"/>
        <v>-150</v>
      </c>
      <c r="DB227" s="24">
        <f t="shared" si="1925"/>
        <v>-150</v>
      </c>
      <c r="DE227" s="123"/>
      <c r="DF227" s="23">
        <v>-150</v>
      </c>
    </row>
    <row r="228" spans="1:110" s="23" customFormat="1" x14ac:dyDescent="0.2">
      <c r="AB228" s="24"/>
      <c r="AC228" s="24"/>
      <c r="AD228" s="24"/>
      <c r="AE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E228" s="123"/>
    </row>
    <row r="229" spans="1:110" s="22" customFormat="1" x14ac:dyDescent="0.2">
      <c r="A229" s="22" t="s">
        <v>95</v>
      </c>
      <c r="C229" s="22">
        <f t="shared" ref="C229:W229" si="1926">C230+C231</f>
        <v>1100.3700000000001</v>
      </c>
      <c r="D229" s="22">
        <f t="shared" si="1926"/>
        <v>-19.909999999999883</v>
      </c>
      <c r="E229" s="22">
        <f t="shared" si="1926"/>
        <v>580.95000000000005</v>
      </c>
      <c r="F229" s="22">
        <f t="shared" si="1926"/>
        <v>74.44000000000014</v>
      </c>
      <c r="G229" s="22">
        <f t="shared" si="1926"/>
        <v>-109.14999999999952</v>
      </c>
      <c r="H229" s="22">
        <f t="shared" si="1926"/>
        <v>366.23999999999995</v>
      </c>
      <c r="I229" s="22">
        <f t="shared" si="1926"/>
        <v>1243.7</v>
      </c>
      <c r="J229" s="22">
        <f t="shared" si="1926"/>
        <v>2188.6600000000008</v>
      </c>
      <c r="K229" s="22">
        <f t="shared" si="1926"/>
        <v>-805.31000000000051</v>
      </c>
      <c r="L229" s="22">
        <f t="shared" si="1926"/>
        <v>236.95000000000027</v>
      </c>
      <c r="M229" s="22">
        <f t="shared" si="1926"/>
        <v>90.639999999999532</v>
      </c>
      <c r="N229" s="22">
        <f t="shared" si="1926"/>
        <v>391.00000000000034</v>
      </c>
      <c r="O229" s="22">
        <f t="shared" si="1926"/>
        <v>673.54000000000008</v>
      </c>
      <c r="P229" s="22">
        <f t="shared" si="1926"/>
        <v>793.31</v>
      </c>
      <c r="Q229" s="22">
        <f t="shared" si="1926"/>
        <v>40.80999999999915</v>
      </c>
      <c r="R229" s="22">
        <f t="shared" si="1926"/>
        <v>-1147.5800000000002</v>
      </c>
      <c r="S229" s="22">
        <f t="shared" si="1926"/>
        <v>646.5600000000004</v>
      </c>
      <c r="T229" s="22">
        <f t="shared" si="1926"/>
        <v>-198.89999999999986</v>
      </c>
      <c r="U229" s="22">
        <f t="shared" si="1926"/>
        <v>-104.48000000000002</v>
      </c>
      <c r="V229" s="22">
        <f t="shared" si="1926"/>
        <v>912.17999999999893</v>
      </c>
      <c r="W229" s="22">
        <f t="shared" si="1926"/>
        <v>1971.8899999999996</v>
      </c>
      <c r="X229" s="22">
        <f t="shared" ref="X229:Y229" si="1927">X230+X231</f>
        <v>-1182.2999999999993</v>
      </c>
      <c r="Y229" s="22">
        <f t="shared" si="1927"/>
        <v>-330.18000000000018</v>
      </c>
      <c r="Z229" s="22">
        <f t="shared" ref="Z229:AA229" si="1928">Z230+Z231</f>
        <v>343.52000000000129</v>
      </c>
      <c r="AA229" s="22">
        <f t="shared" si="1928"/>
        <v>265.91000000000065</v>
      </c>
      <c r="AB229" s="21">
        <f t="shared" ref="AA229:AD229" si="1929">AB230+AB231</f>
        <v>0</v>
      </c>
      <c r="AC229" s="21">
        <f t="shared" si="1929"/>
        <v>3.637978807091713E-12</v>
      </c>
      <c r="AD229" s="21">
        <f t="shared" si="1929"/>
        <v>-3.637978807091713E-12</v>
      </c>
      <c r="AE229" s="21">
        <f t="shared" ref="AE229" si="1930">AE230+AE231</f>
        <v>0</v>
      </c>
      <c r="AI229" s="22">
        <f t="shared" ref="AI229" si="1931">AI230+AI231</f>
        <v>33.36</v>
      </c>
      <c r="AJ229" s="22">
        <f t="shared" ref="AJ229:AL229" si="1932">AJ230+AJ231</f>
        <v>6260.8099999999995</v>
      </c>
      <c r="AK229" s="22">
        <f t="shared" si="1932"/>
        <v>0</v>
      </c>
      <c r="AL229" s="22">
        <f t="shared" si="1932"/>
        <v>1487.0700000000004</v>
      </c>
      <c r="AM229" s="22">
        <f t="shared" ref="AM229" si="1933">AM230+AM231</f>
        <v>0</v>
      </c>
      <c r="AN229" s="22">
        <f t="shared" ref="AN229:CD229" si="1934">AN230+AN231</f>
        <v>-1090.1500000000003</v>
      </c>
      <c r="AO229" s="22">
        <f t="shared" si="1934"/>
        <v>0</v>
      </c>
      <c r="AP229" s="22">
        <f t="shared" si="1934"/>
        <v>895.6000000000007</v>
      </c>
      <c r="AQ229" s="22">
        <f t="shared" si="1934"/>
        <v>0</v>
      </c>
      <c r="AR229" s="22">
        <f t="shared" si="1934"/>
        <v>-563.98999999999967</v>
      </c>
      <c r="AS229" s="22">
        <f t="shared" si="1934"/>
        <v>0</v>
      </c>
      <c r="AT229" s="22">
        <f t="shared" si="1934"/>
        <v>1920.7599999999998</v>
      </c>
      <c r="AU229" s="22">
        <f t="shared" si="1934"/>
        <v>0</v>
      </c>
      <c r="AV229" s="22">
        <f t="shared" si="1934"/>
        <v>-1841.5700000000006</v>
      </c>
      <c r="AW229" s="22">
        <f t="shared" si="1934"/>
        <v>0</v>
      </c>
      <c r="AX229" s="22">
        <f t="shared" si="1934"/>
        <v>1236.8200000000002</v>
      </c>
      <c r="AY229" s="22">
        <f t="shared" si="1934"/>
        <v>0</v>
      </c>
      <c r="AZ229" s="22">
        <f t="shared" si="1934"/>
        <v>-2702.47</v>
      </c>
      <c r="BA229" s="22">
        <f t="shared" si="1934"/>
        <v>0</v>
      </c>
      <c r="BB229" s="22">
        <f t="shared" si="1934"/>
        <v>1993.4200000000005</v>
      </c>
      <c r="BC229" s="22">
        <f t="shared" si="1934"/>
        <v>0</v>
      </c>
      <c r="BD229" s="22">
        <f t="shared" si="1934"/>
        <v>705.0799999999997</v>
      </c>
      <c r="BE229" s="22">
        <f t="shared" si="1934"/>
        <v>0</v>
      </c>
      <c r="BF229" s="22">
        <f t="shared" si="1934"/>
        <v>423.22000000000071</v>
      </c>
      <c r="BG229" s="22">
        <f t="shared" si="1934"/>
        <v>0</v>
      </c>
      <c r="BH229" s="22">
        <f t="shared" si="1934"/>
        <v>62.359999999999445</v>
      </c>
      <c r="BI229" s="22">
        <f t="shared" si="1934"/>
        <v>0</v>
      </c>
      <c r="BJ229" s="22">
        <f t="shared" si="1934"/>
        <v>-770.81999999999948</v>
      </c>
      <c r="BK229" s="22">
        <f t="shared" si="1934"/>
        <v>0</v>
      </c>
      <c r="BL229" s="22">
        <f t="shared" si="1934"/>
        <v>-593.27</v>
      </c>
      <c r="BM229" s="22">
        <f t="shared" si="1934"/>
        <v>0</v>
      </c>
      <c r="BN229" s="22">
        <f t="shared" si="1934"/>
        <v>781.55000000000041</v>
      </c>
      <c r="BO229" s="22">
        <f t="shared" si="1934"/>
        <v>-9.0949470177292824E-13</v>
      </c>
      <c r="BP229" s="22">
        <f t="shared" si="1934"/>
        <v>126.38999999999999</v>
      </c>
      <c r="BQ229" s="22">
        <f t="shared" si="1934"/>
        <v>0</v>
      </c>
      <c r="BR229" s="22">
        <f t="shared" si="1934"/>
        <v>1095.8100000000009</v>
      </c>
      <c r="BS229" s="22">
        <f t="shared" si="1934"/>
        <v>0</v>
      </c>
      <c r="BT229" s="22">
        <f t="shared" si="1934"/>
        <v>421.87999999999943</v>
      </c>
      <c r="BU229" s="22">
        <f t="shared" si="1934"/>
        <v>0</v>
      </c>
      <c r="BV229" s="22">
        <f t="shared" si="1934"/>
        <v>1550.0100000000016</v>
      </c>
      <c r="BW229" s="22">
        <f t="shared" si="1934"/>
        <v>0</v>
      </c>
      <c r="BX229" s="22">
        <f t="shared" si="1934"/>
        <v>-1359.5300000000002</v>
      </c>
      <c r="BY229" s="22">
        <f t="shared" si="1934"/>
        <v>0</v>
      </c>
      <c r="BZ229" s="22">
        <f t="shared" si="1934"/>
        <v>177.23000000000081</v>
      </c>
      <c r="CA229" s="22">
        <f t="shared" si="1934"/>
        <v>0</v>
      </c>
      <c r="CB229" s="22">
        <f t="shared" si="1934"/>
        <v>-582.9599999999989</v>
      </c>
      <c r="CC229" s="22">
        <f t="shared" si="1934"/>
        <v>0</v>
      </c>
      <c r="CD229" s="22">
        <f t="shared" si="1934"/>
        <v>252.77999999999781</v>
      </c>
      <c r="CE229" s="22">
        <f t="shared" ref="CE229:CF229" si="1935">CE230+CE231</f>
        <v>0</v>
      </c>
      <c r="CF229" s="22">
        <f t="shared" si="1935"/>
        <v>411.9400000000021</v>
      </c>
      <c r="CG229" s="22">
        <f t="shared" ref="CG229:CH229" si="1936">CG230+CG231</f>
        <v>0</v>
      </c>
      <c r="CH229" s="22">
        <f t="shared" si="1936"/>
        <v>-68.419999999998993</v>
      </c>
      <c r="CI229" s="22">
        <f t="shared" ref="CI229:CJ229" si="1937">CI230+CI231</f>
        <v>0</v>
      </c>
      <c r="CJ229" s="22">
        <f t="shared" si="1937"/>
        <v>-45.579999999999814</v>
      </c>
      <c r="CK229" s="22">
        <f t="shared" ref="CK229:DB229" si="1938">CK230+CK231</f>
        <v>0</v>
      </c>
      <c r="CL229" s="22">
        <f t="shared" si="1938"/>
        <v>311.49000000000046</v>
      </c>
      <c r="CM229" s="21">
        <f t="shared" si="1938"/>
        <v>0</v>
      </c>
      <c r="CN229" s="21">
        <f t="shared" si="1938"/>
        <v>0</v>
      </c>
      <c r="CO229" s="21">
        <f t="shared" si="1938"/>
        <v>0</v>
      </c>
      <c r="CP229" s="21">
        <f t="shared" si="1938"/>
        <v>0</v>
      </c>
      <c r="CQ229" s="21">
        <f t="shared" si="1938"/>
        <v>0</v>
      </c>
      <c r="CR229" s="21">
        <f t="shared" si="1938"/>
        <v>0</v>
      </c>
      <c r="CS229" s="21">
        <f t="shared" si="1938"/>
        <v>0</v>
      </c>
      <c r="CT229" s="21">
        <f t="shared" si="1938"/>
        <v>0</v>
      </c>
      <c r="CU229" s="21">
        <f t="shared" si="1938"/>
        <v>0</v>
      </c>
      <c r="CV229" s="21">
        <f t="shared" si="1938"/>
        <v>0</v>
      </c>
      <c r="CW229" s="21">
        <f t="shared" si="1938"/>
        <v>-3.637978807091713E-12</v>
      </c>
      <c r="CX229" s="21">
        <f t="shared" si="1938"/>
        <v>0</v>
      </c>
      <c r="CY229" s="21">
        <f t="shared" si="1938"/>
        <v>0</v>
      </c>
      <c r="CZ229" s="21">
        <f t="shared" si="1938"/>
        <v>0</v>
      </c>
      <c r="DA229" s="21">
        <f t="shared" si="1938"/>
        <v>0</v>
      </c>
      <c r="DB229" s="21">
        <f t="shared" si="1938"/>
        <v>0</v>
      </c>
      <c r="DE229" s="126"/>
      <c r="DF229" s="22">
        <v>0</v>
      </c>
    </row>
    <row r="230" spans="1:110" s="23" customFormat="1" x14ac:dyDescent="0.2">
      <c r="A230" s="23" t="s">
        <v>49</v>
      </c>
      <c r="C230" s="23">
        <f t="shared" ref="C230:AA230" si="1939">C152-B152</f>
        <v>924.25</v>
      </c>
      <c r="D230" s="23">
        <f t="shared" si="1939"/>
        <v>-12.809999999999945</v>
      </c>
      <c r="E230" s="23">
        <f>E152-D152</f>
        <v>648.13000000000011</v>
      </c>
      <c r="F230" s="23">
        <f t="shared" si="1939"/>
        <v>-98.350000000000136</v>
      </c>
      <c r="G230" s="23">
        <f t="shared" si="1939"/>
        <v>-482.20000000000005</v>
      </c>
      <c r="H230" s="23">
        <f t="shared" si="1939"/>
        <v>536.09000000000015</v>
      </c>
      <c r="I230" s="23">
        <f t="shared" si="1939"/>
        <v>1420.04</v>
      </c>
      <c r="J230" s="23">
        <f>J152-I152</f>
        <v>1180.2200000000003</v>
      </c>
      <c r="K230" s="23">
        <f>K152-J152</f>
        <v>-188.07999999999993</v>
      </c>
      <c r="L230" s="23">
        <f t="shared" si="1939"/>
        <v>-239.59000000000015</v>
      </c>
      <c r="M230" s="23">
        <f t="shared" si="1939"/>
        <v>-439.73</v>
      </c>
      <c r="N230" s="23">
        <f t="shared" si="1939"/>
        <v>14.359999999999673</v>
      </c>
      <c r="O230" s="23">
        <f t="shared" si="1939"/>
        <v>434.37000000000035</v>
      </c>
      <c r="P230" s="23">
        <f t="shared" si="1939"/>
        <v>822.47000000000025</v>
      </c>
      <c r="Q230" s="23">
        <f t="shared" si="1939"/>
        <v>-548.39000000000033</v>
      </c>
      <c r="R230" s="23">
        <f t="shared" si="1939"/>
        <v>-1143.1100000000006</v>
      </c>
      <c r="S230" s="23">
        <f t="shared" si="1939"/>
        <v>-955.54999999999973</v>
      </c>
      <c r="T230" s="23">
        <f t="shared" si="1939"/>
        <v>-101.44999999999982</v>
      </c>
      <c r="U230" s="23">
        <f t="shared" si="1939"/>
        <v>276.09000000000015</v>
      </c>
      <c r="V230" s="23">
        <f t="shared" si="1939"/>
        <v>1030.77</v>
      </c>
      <c r="W230" s="23">
        <f t="shared" si="1939"/>
        <v>-1648.0800000000002</v>
      </c>
      <c r="X230" s="23">
        <f t="shared" si="1939"/>
        <v>-1166.5</v>
      </c>
      <c r="Y230" s="23">
        <f t="shared" si="1939"/>
        <v>-557.77</v>
      </c>
      <c r="Z230" s="23">
        <f t="shared" si="1939"/>
        <v>-35.79000000000002</v>
      </c>
      <c r="AA230" s="23">
        <f t="shared" si="1939"/>
        <v>-173.42</v>
      </c>
      <c r="AB230" s="24">
        <f t="shared" ref="AB230" si="1940">AB152-AA152</f>
        <v>0</v>
      </c>
      <c r="AC230" s="24">
        <f t="shared" ref="AC230" si="1941">AC152-AB152</f>
        <v>0</v>
      </c>
      <c r="AD230" s="24">
        <f t="shared" ref="AD230" si="1942">AD152-AC152</f>
        <v>0</v>
      </c>
      <c r="AE230" s="24">
        <f t="shared" ref="AE230" si="1943">AE152-AD152</f>
        <v>0</v>
      </c>
      <c r="AI230" s="23">
        <f t="shared" ref="AI230" si="1944">AI152-AH152</f>
        <v>0</v>
      </c>
      <c r="AJ230" s="23">
        <f t="shared" ref="AJ230" si="1945">AJ152-AI152</f>
        <v>2534.7599999999998</v>
      </c>
      <c r="AK230" s="23">
        <f t="shared" ref="AK230" si="1946">AK152-AJ152</f>
        <v>0</v>
      </c>
      <c r="AL230" s="23">
        <f t="shared" ref="AL230" si="1947">AL152-AK152</f>
        <v>1144.0900000000001</v>
      </c>
      <c r="AM230" s="23">
        <f t="shared" ref="AM230" si="1948">AM152-AL152</f>
        <v>0</v>
      </c>
      <c r="AN230" s="23">
        <f t="shared" ref="AN230" si="1949">AN152-AM152</f>
        <v>-820.44</v>
      </c>
      <c r="AO230" s="23">
        <f t="shared" ref="AO230" si="1950">AO152-AN152</f>
        <v>0</v>
      </c>
      <c r="AP230" s="23">
        <f t="shared" ref="AP230" si="1951">AP152-AO152</f>
        <v>386.72000000000025</v>
      </c>
      <c r="AQ230" s="23">
        <f t="shared" ref="AQ230" si="1952">AQ152-AP152</f>
        <v>0</v>
      </c>
      <c r="AR230" s="23">
        <f t="shared" ref="AR230" si="1953">AR152-AQ152</f>
        <v>5.4600000000000364</v>
      </c>
      <c r="AS230" s="23">
        <f t="shared" ref="AS230" si="1954">AS152-AR152</f>
        <v>0</v>
      </c>
      <c r="AT230" s="23">
        <f t="shared" ref="AT230" si="1955">AT152-AS152</f>
        <v>1380.4700000000003</v>
      </c>
      <c r="AU230" s="23">
        <f t="shared" ref="AU230" si="1956">AU152-AT152</f>
        <v>0</v>
      </c>
      <c r="AV230" s="23">
        <f t="shared" ref="AV230" si="1957">AV152-AU152</f>
        <v>-1658.5900000000006</v>
      </c>
      <c r="AW230" s="23">
        <f t="shared" ref="AW230" si="1958">AW152-AV152</f>
        <v>0</v>
      </c>
      <c r="AX230" s="23">
        <f t="shared" ref="AX230" si="1959">AX152-AW152</f>
        <v>540.13000000000056</v>
      </c>
      <c r="AY230" s="23">
        <f t="shared" ref="AY230" si="1960">AY152-AX152</f>
        <v>0</v>
      </c>
      <c r="AZ230" s="23">
        <f t="shared" ref="AZ230" si="1961">AZ152-AY152</f>
        <v>-2153.7100000000005</v>
      </c>
      <c r="BA230" s="23">
        <f t="shared" ref="BA230" si="1962">BA152-AZ152</f>
        <v>0</v>
      </c>
      <c r="BB230" s="23">
        <f t="shared" ref="BB230" si="1963">BB152-BA152</f>
        <v>1449.13</v>
      </c>
      <c r="BC230" s="23">
        <f t="shared" ref="BC230" si="1964">BC152-BB152</f>
        <v>0</v>
      </c>
      <c r="BD230" s="23">
        <f t="shared" ref="BD230" si="1965">BD152-BC152</f>
        <v>607.15000000000009</v>
      </c>
      <c r="BE230" s="23">
        <f t="shared" ref="BE230" si="1966">BE152-BD152</f>
        <v>0</v>
      </c>
      <c r="BF230" s="23">
        <f t="shared" ref="BF230" si="1967">BF152-BE152</f>
        <v>-1080.96</v>
      </c>
      <c r="BG230" s="23">
        <f t="shared" ref="BG230" si="1968">BG152-BF152</f>
        <v>0</v>
      </c>
      <c r="BH230" s="23">
        <f t="shared" ref="BH230" si="1969">BH152-BG152</f>
        <v>63.619999999999891</v>
      </c>
      <c r="BI230" s="23">
        <f t="shared" ref="BI230" si="1970">BI152-BH152</f>
        <v>0</v>
      </c>
      <c r="BJ230" s="23">
        <f t="shared" ref="BJ230" si="1971">BJ152-BI152</f>
        <v>-674.62999999999988</v>
      </c>
      <c r="BK230" s="23">
        <f t="shared" ref="BK230" si="1972">BK152-BJ152</f>
        <v>0</v>
      </c>
      <c r="BL230" s="23">
        <f t="shared" ref="BL230" si="1973">BL152-BK152</f>
        <v>-175.26000000000022</v>
      </c>
      <c r="BM230" s="23">
        <f t="shared" ref="BM230" si="1974">BM152-BL152</f>
        <v>0</v>
      </c>
      <c r="BN230" s="23">
        <f t="shared" ref="BN230" si="1975">BN152-BM152</f>
        <v>744.11000000000035</v>
      </c>
      <c r="BO230" s="23">
        <f t="shared" ref="BO230" si="1976">BO152-BN152</f>
        <v>0</v>
      </c>
      <c r="BP230" s="23">
        <f t="shared" ref="BP230" si="1977">BP152-BO152</f>
        <v>409.61999999999989</v>
      </c>
      <c r="BQ230" s="23">
        <f t="shared" ref="BQ230" si="1978">BQ152-BP152</f>
        <v>0</v>
      </c>
      <c r="BR230" s="23">
        <f t="shared" ref="BR230" si="1979">BR152-BQ152</f>
        <v>931.17000000000007</v>
      </c>
      <c r="BS230" s="23">
        <f t="shared" ref="BS230" si="1980">BS152-BR152</f>
        <v>0</v>
      </c>
      <c r="BT230" s="23">
        <f t="shared" ref="BT230" si="1981">BT152-BS152</f>
        <v>447.80999999999949</v>
      </c>
      <c r="BU230" s="23">
        <f t="shared" ref="BU230" si="1982">BU152-BT152</f>
        <v>0</v>
      </c>
      <c r="BV230" s="23">
        <f t="shared" ref="BV230" si="1983">BV152-BU152</f>
        <v>-2095.8899999999994</v>
      </c>
      <c r="BW230" s="23">
        <f t="shared" ref="BW230" si="1984">BW152-BV152</f>
        <v>0</v>
      </c>
      <c r="BX230" s="23">
        <f t="shared" ref="BX230" si="1985">BX152-BW152</f>
        <v>-1216.1100000000001</v>
      </c>
      <c r="BY230" s="23">
        <f t="shared" ref="BY230" si="1986">BY152-BX152</f>
        <v>0</v>
      </c>
      <c r="BZ230" s="23">
        <f t="shared" ref="BZ230" si="1987">BZ152-BY152</f>
        <v>49.6099999999999</v>
      </c>
      <c r="CA230" s="23">
        <f t="shared" ref="CA230" si="1988">CA152-BZ152</f>
        <v>0</v>
      </c>
      <c r="CB230" s="23">
        <f t="shared" ref="CB230" si="1989">CB152-CA152</f>
        <v>-527.89</v>
      </c>
      <c r="CC230" s="23">
        <f t="shared" ref="CC230" si="1990">CC152-CB152</f>
        <v>0</v>
      </c>
      <c r="CD230" s="23">
        <f t="shared" ref="CD230" si="1991">CD152-CC152</f>
        <v>-29.879999999999995</v>
      </c>
      <c r="CE230" s="23">
        <f t="shared" ref="CE230" si="1992">CE152-CD152</f>
        <v>0</v>
      </c>
      <c r="CF230" s="23">
        <f t="shared" ref="CF230" si="1993">CF152-CE152</f>
        <v>21.789999999999964</v>
      </c>
      <c r="CG230" s="23">
        <f t="shared" ref="CG230" si="1994">CG152-CF152</f>
        <v>0</v>
      </c>
      <c r="CH230" s="23">
        <f t="shared" ref="CH230:CL230" si="1995">CH152-CG152</f>
        <v>-57.579999999999984</v>
      </c>
      <c r="CI230" s="23">
        <f t="shared" si="1995"/>
        <v>0</v>
      </c>
      <c r="CJ230" s="23">
        <f t="shared" si="1995"/>
        <v>53.850000000000023</v>
      </c>
      <c r="CK230" s="23">
        <f t="shared" ref="CK230" si="1996">CK152-CJ152</f>
        <v>0</v>
      </c>
      <c r="CL230" s="23">
        <f t="shared" si="1995"/>
        <v>-227.27</v>
      </c>
      <c r="CM230" s="24">
        <f t="shared" ref="CM230" si="1997">CM152-CL152</f>
        <v>0</v>
      </c>
      <c r="CN230" s="24">
        <f t="shared" ref="CN230" si="1998">CN152-CM152</f>
        <v>0</v>
      </c>
      <c r="CO230" s="24">
        <f t="shared" ref="CO230" si="1999">CO152-CN152</f>
        <v>0</v>
      </c>
      <c r="CP230" s="24">
        <f t="shared" ref="CP230" si="2000">CP152-CO152</f>
        <v>0</v>
      </c>
      <c r="CQ230" s="24">
        <f t="shared" ref="CQ230" si="2001">CQ152-CP152</f>
        <v>0</v>
      </c>
      <c r="CR230" s="24">
        <f t="shared" ref="CR230" si="2002">CR152-CQ152</f>
        <v>0</v>
      </c>
      <c r="CS230" s="24">
        <f t="shared" ref="CS230" si="2003">CS152-CR152</f>
        <v>0</v>
      </c>
      <c r="CT230" s="24">
        <f t="shared" ref="CT230" si="2004">CT152-CS152</f>
        <v>0</v>
      </c>
      <c r="CU230" s="24">
        <f t="shared" ref="CU230" si="2005">CU152-CT152</f>
        <v>0</v>
      </c>
      <c r="CV230" s="24">
        <f t="shared" ref="CV230" si="2006">CV152-CU152</f>
        <v>0</v>
      </c>
      <c r="CW230" s="24">
        <f t="shared" ref="CW230" si="2007">CW152-CV152</f>
        <v>0</v>
      </c>
      <c r="CX230" s="24">
        <f t="shared" ref="CX230" si="2008">CX152-CW152</f>
        <v>0</v>
      </c>
      <c r="CY230" s="24">
        <f t="shared" ref="CY230" si="2009">CY152-CX152</f>
        <v>0</v>
      </c>
      <c r="CZ230" s="24">
        <f t="shared" ref="CZ230" si="2010">CZ152-CY152</f>
        <v>0</v>
      </c>
      <c r="DA230" s="24">
        <f t="shared" ref="DA230" si="2011">DA152-CZ152</f>
        <v>0</v>
      </c>
      <c r="DB230" s="24">
        <f t="shared" ref="DB230" si="2012">DB152-DA152</f>
        <v>0</v>
      </c>
      <c r="DE230" s="123"/>
      <c r="DF230" s="23">
        <v>0</v>
      </c>
    </row>
    <row r="231" spans="1:110" s="23" customFormat="1" x14ac:dyDescent="0.2">
      <c r="A231" s="23" t="s">
        <v>27</v>
      </c>
      <c r="C231" s="23">
        <f t="shared" ref="C231:AE231" si="2013">C144-C72-B144+C146-B146</f>
        <v>176.12000000000006</v>
      </c>
      <c r="D231" s="23">
        <f t="shared" si="2013"/>
        <v>-7.0999999999999375</v>
      </c>
      <c r="E231" s="23">
        <f t="shared" si="2013"/>
        <v>-67.180000000000064</v>
      </c>
      <c r="F231" s="23">
        <f t="shared" si="2013"/>
        <v>172.79000000000028</v>
      </c>
      <c r="G231" s="23">
        <f t="shared" si="2013"/>
        <v>373.05000000000052</v>
      </c>
      <c r="H231" s="23">
        <f t="shared" si="2013"/>
        <v>-169.85000000000019</v>
      </c>
      <c r="I231" s="23">
        <f t="shared" si="2013"/>
        <v>-176.33999999999997</v>
      </c>
      <c r="J231" s="23">
        <f t="shared" si="2013"/>
        <v>1008.4400000000003</v>
      </c>
      <c r="K231" s="23">
        <f t="shared" si="2013"/>
        <v>-617.23000000000059</v>
      </c>
      <c r="L231" s="23">
        <f t="shared" si="2013"/>
        <v>476.54000000000042</v>
      </c>
      <c r="M231" s="23">
        <f t="shared" si="2013"/>
        <v>530.36999999999955</v>
      </c>
      <c r="N231" s="23">
        <f t="shared" si="2013"/>
        <v>376.64000000000067</v>
      </c>
      <c r="O231" s="23">
        <f t="shared" si="2013"/>
        <v>239.16999999999973</v>
      </c>
      <c r="P231" s="23">
        <f t="shared" si="2013"/>
        <v>-29.160000000000309</v>
      </c>
      <c r="Q231" s="23">
        <f t="shared" si="2013"/>
        <v>589.19999999999948</v>
      </c>
      <c r="R231" s="23">
        <f t="shared" si="2013"/>
        <v>-4.4699999999995725</v>
      </c>
      <c r="S231" s="23">
        <f t="shared" si="2013"/>
        <v>1602.1100000000001</v>
      </c>
      <c r="T231" s="23">
        <f t="shared" si="2013"/>
        <v>-97.450000000000045</v>
      </c>
      <c r="U231" s="23">
        <f t="shared" si="2013"/>
        <v>-380.57000000000016</v>
      </c>
      <c r="V231" s="23">
        <f t="shared" si="2013"/>
        <v>-118.59000000000106</v>
      </c>
      <c r="W231" s="23">
        <f t="shared" si="2013"/>
        <v>3619.97</v>
      </c>
      <c r="X231" s="23">
        <f t="shared" si="2013"/>
        <v>-15.799999999999159</v>
      </c>
      <c r="Y231" s="23">
        <f t="shared" si="2013"/>
        <v>227.5899999999998</v>
      </c>
      <c r="Z231" s="23">
        <f t="shared" si="2013"/>
        <v>379.31000000000131</v>
      </c>
      <c r="AA231" s="23">
        <f t="shared" si="2013"/>
        <v>439.33000000000061</v>
      </c>
      <c r="AB231" s="24">
        <f t="shared" si="2013"/>
        <v>0</v>
      </c>
      <c r="AC231" s="24">
        <f t="shared" si="2013"/>
        <v>3.637978807091713E-12</v>
      </c>
      <c r="AD231" s="24">
        <f t="shared" si="2013"/>
        <v>-3.637978807091713E-12</v>
      </c>
      <c r="AE231" s="24">
        <f t="shared" si="2013"/>
        <v>0</v>
      </c>
      <c r="AI231" s="23">
        <f t="shared" ref="AI231:BN231" si="2014">AI144-AI72-AH144+AI146-AH146</f>
        <v>33.36</v>
      </c>
      <c r="AJ231" s="23">
        <f t="shared" si="2014"/>
        <v>3726.0499999999997</v>
      </c>
      <c r="AK231" s="23">
        <f t="shared" si="2014"/>
        <v>0</v>
      </c>
      <c r="AL231" s="23">
        <f t="shared" si="2014"/>
        <v>342.98000000000025</v>
      </c>
      <c r="AM231" s="23">
        <f t="shared" si="2014"/>
        <v>0</v>
      </c>
      <c r="AN231" s="23">
        <f t="shared" si="2014"/>
        <v>-269.71000000000026</v>
      </c>
      <c r="AO231" s="23">
        <f t="shared" si="2014"/>
        <v>0</v>
      </c>
      <c r="AP231" s="23">
        <f t="shared" si="2014"/>
        <v>508.88000000000045</v>
      </c>
      <c r="AQ231" s="23">
        <f t="shared" si="2014"/>
        <v>0</v>
      </c>
      <c r="AR231" s="23">
        <f t="shared" si="2014"/>
        <v>-569.4499999999997</v>
      </c>
      <c r="AS231" s="23">
        <f t="shared" si="2014"/>
        <v>0</v>
      </c>
      <c r="AT231" s="23">
        <f t="shared" si="2014"/>
        <v>540.2899999999994</v>
      </c>
      <c r="AU231" s="23">
        <f t="shared" si="2014"/>
        <v>0</v>
      </c>
      <c r="AV231" s="23">
        <f t="shared" si="2014"/>
        <v>-182.9799999999999</v>
      </c>
      <c r="AW231" s="23">
        <f t="shared" si="2014"/>
        <v>0</v>
      </c>
      <c r="AX231" s="23">
        <f t="shared" si="2014"/>
        <v>696.68999999999971</v>
      </c>
      <c r="AY231" s="23">
        <f t="shared" si="2014"/>
        <v>0</v>
      </c>
      <c r="AZ231" s="23">
        <f t="shared" si="2014"/>
        <v>-548.75999999999942</v>
      </c>
      <c r="BA231" s="23">
        <f t="shared" si="2014"/>
        <v>0</v>
      </c>
      <c r="BB231" s="23">
        <f t="shared" si="2014"/>
        <v>544.2900000000003</v>
      </c>
      <c r="BC231" s="23">
        <f t="shared" si="2014"/>
        <v>0</v>
      </c>
      <c r="BD231" s="23">
        <f t="shared" si="2014"/>
        <v>97.929999999999609</v>
      </c>
      <c r="BE231" s="23">
        <f t="shared" si="2014"/>
        <v>0</v>
      </c>
      <c r="BF231" s="23">
        <f t="shared" si="2014"/>
        <v>1504.1800000000007</v>
      </c>
      <c r="BG231" s="23">
        <f t="shared" si="2014"/>
        <v>0</v>
      </c>
      <c r="BH231" s="23">
        <f t="shared" si="2014"/>
        <v>-1.2600000000004457</v>
      </c>
      <c r="BI231" s="23">
        <f t="shared" si="2014"/>
        <v>0</v>
      </c>
      <c r="BJ231" s="23">
        <f t="shared" si="2014"/>
        <v>-96.1899999999996</v>
      </c>
      <c r="BK231" s="23">
        <f t="shared" si="2014"/>
        <v>0</v>
      </c>
      <c r="BL231" s="23">
        <f t="shared" si="2014"/>
        <v>-418.00999999999976</v>
      </c>
      <c r="BM231" s="23">
        <f t="shared" si="2014"/>
        <v>0</v>
      </c>
      <c r="BN231" s="23">
        <f t="shared" si="2014"/>
        <v>37.440000000000055</v>
      </c>
      <c r="BO231" s="23">
        <f t="shared" ref="BO231:CT231" si="2015">BO144-BO72-BN144+BO146-BN146</f>
        <v>-9.0949470177292824E-13</v>
      </c>
      <c r="BP231" s="23">
        <f t="shared" si="2015"/>
        <v>-283.2299999999999</v>
      </c>
      <c r="BQ231" s="23">
        <f t="shared" si="2015"/>
        <v>0</v>
      </c>
      <c r="BR231" s="23">
        <f t="shared" si="2015"/>
        <v>164.64000000000067</v>
      </c>
      <c r="BS231" s="23">
        <f t="shared" si="2015"/>
        <v>0</v>
      </c>
      <c r="BT231" s="23">
        <f t="shared" si="2015"/>
        <v>-25.930000000000064</v>
      </c>
      <c r="BU231" s="23">
        <f t="shared" si="2015"/>
        <v>0</v>
      </c>
      <c r="BV231" s="23">
        <f t="shared" si="2015"/>
        <v>3645.900000000001</v>
      </c>
      <c r="BW231" s="23">
        <f t="shared" si="2015"/>
        <v>0</v>
      </c>
      <c r="BX231" s="23">
        <f t="shared" si="2015"/>
        <v>-143.42000000000007</v>
      </c>
      <c r="BY231" s="23">
        <f t="shared" si="2015"/>
        <v>0</v>
      </c>
      <c r="BZ231" s="23">
        <f t="shared" si="2015"/>
        <v>127.62000000000091</v>
      </c>
      <c r="CA231" s="23">
        <f t="shared" si="2015"/>
        <v>0</v>
      </c>
      <c r="CB231" s="23">
        <f t="shared" si="2015"/>
        <v>-55.069999999998913</v>
      </c>
      <c r="CC231" s="23">
        <f t="shared" si="2015"/>
        <v>0</v>
      </c>
      <c r="CD231" s="23">
        <f t="shared" si="2015"/>
        <v>282.65999999999781</v>
      </c>
      <c r="CE231" s="23">
        <f t="shared" si="2015"/>
        <v>0</v>
      </c>
      <c r="CF231" s="23">
        <f t="shared" si="2015"/>
        <v>390.15000000000214</v>
      </c>
      <c r="CG231" s="23">
        <f t="shared" si="2015"/>
        <v>0</v>
      </c>
      <c r="CH231" s="23">
        <f t="shared" si="2015"/>
        <v>-10.839999999999009</v>
      </c>
      <c r="CI231" s="23">
        <f t="shared" si="2015"/>
        <v>0</v>
      </c>
      <c r="CJ231" s="23">
        <f t="shared" si="2015"/>
        <v>-99.429999999999836</v>
      </c>
      <c r="CK231" s="23">
        <f t="shared" si="2015"/>
        <v>0</v>
      </c>
      <c r="CL231" s="23">
        <f t="shared" si="2015"/>
        <v>538.76000000000045</v>
      </c>
      <c r="CM231" s="24">
        <f t="shared" si="2015"/>
        <v>0</v>
      </c>
      <c r="CN231" s="24">
        <f t="shared" si="2015"/>
        <v>0</v>
      </c>
      <c r="CO231" s="24">
        <f t="shared" si="2015"/>
        <v>0</v>
      </c>
      <c r="CP231" s="24">
        <f t="shared" si="2015"/>
        <v>0</v>
      </c>
      <c r="CQ231" s="24">
        <f t="shared" si="2015"/>
        <v>0</v>
      </c>
      <c r="CR231" s="24">
        <f t="shared" si="2015"/>
        <v>0</v>
      </c>
      <c r="CS231" s="24">
        <f t="shared" si="2015"/>
        <v>0</v>
      </c>
      <c r="CT231" s="24">
        <f t="shared" si="2015"/>
        <v>0</v>
      </c>
      <c r="CU231" s="24">
        <f t="shared" ref="CU231:DB231" si="2016">CU144-CU72-CT144+CU146-CT146</f>
        <v>0</v>
      </c>
      <c r="CV231" s="24">
        <f t="shared" si="2016"/>
        <v>0</v>
      </c>
      <c r="CW231" s="24">
        <f t="shared" si="2016"/>
        <v>-3.637978807091713E-12</v>
      </c>
      <c r="CX231" s="24">
        <f t="shared" si="2016"/>
        <v>0</v>
      </c>
      <c r="CY231" s="24">
        <f t="shared" si="2016"/>
        <v>0</v>
      </c>
      <c r="CZ231" s="24">
        <f t="shared" si="2016"/>
        <v>0</v>
      </c>
      <c r="DA231" s="24">
        <f t="shared" si="2016"/>
        <v>0</v>
      </c>
      <c r="DB231" s="24">
        <f t="shared" si="2016"/>
        <v>0</v>
      </c>
      <c r="DE231" s="123"/>
      <c r="DF231" s="23">
        <v>0</v>
      </c>
    </row>
    <row r="232" spans="1:110" s="23" customFormat="1" x14ac:dyDescent="0.2">
      <c r="AB232" s="24"/>
      <c r="AC232" s="24"/>
      <c r="AD232" s="24"/>
      <c r="AE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E232" s="123"/>
    </row>
    <row r="233" spans="1:110" s="23" customFormat="1" x14ac:dyDescent="0.2">
      <c r="A233" s="23" t="s">
        <v>442</v>
      </c>
      <c r="C233" s="23">
        <f t="shared" ref="C233" si="2017">B185</f>
        <v>24.04</v>
      </c>
      <c r="D233" s="23">
        <f t="shared" ref="D233" si="2018">C185</f>
        <v>110.29</v>
      </c>
      <c r="E233" s="23">
        <f>D185</f>
        <v>54.83</v>
      </c>
      <c r="F233" s="23">
        <f t="shared" ref="F233" si="2019">E185</f>
        <v>661.14</v>
      </c>
      <c r="G233" s="23">
        <f t="shared" ref="G233" si="2020">F185</f>
        <v>471.4</v>
      </c>
      <c r="H233" s="23">
        <f t="shared" ref="H233" si="2021">G185</f>
        <v>446.83000000000004</v>
      </c>
      <c r="I233" s="23">
        <f t="shared" ref="I233" si="2022">H185</f>
        <v>190.23000000000002</v>
      </c>
      <c r="J233" s="23">
        <f>I185</f>
        <v>260.21000000000004</v>
      </c>
      <c r="K233" s="23">
        <f>J185</f>
        <v>678.57</v>
      </c>
      <c r="L233" s="23">
        <f t="shared" ref="L233" si="2023">K185</f>
        <v>572.04</v>
      </c>
      <c r="M233" s="23">
        <f t="shared" ref="M233" si="2024">L185</f>
        <v>845.11</v>
      </c>
      <c r="N233" s="23">
        <f t="shared" ref="N233" si="2025">M185</f>
        <v>222.47</v>
      </c>
      <c r="O233" s="23">
        <f t="shared" ref="O233" si="2026">N185</f>
        <v>250.75</v>
      </c>
      <c r="P233" s="23">
        <f t="shared" ref="P233" si="2027">O185</f>
        <v>291.48</v>
      </c>
      <c r="Q233" s="23">
        <f t="shared" ref="Q233" si="2028">P185</f>
        <v>1049.8799999999999</v>
      </c>
      <c r="R233" s="23">
        <f t="shared" ref="R233" si="2029">Q185</f>
        <v>353.16</v>
      </c>
      <c r="S233" s="23">
        <f t="shared" ref="S233" si="2030">R185</f>
        <v>337.86</v>
      </c>
      <c r="T233" s="23">
        <f t="shared" ref="T233" si="2031">S185</f>
        <v>600.84999999999991</v>
      </c>
      <c r="U233" s="23">
        <f t="shared" ref="U233" si="2032">T185</f>
        <v>452.15</v>
      </c>
      <c r="V233" s="23">
        <f t="shared" ref="V233" si="2033">U185</f>
        <v>751.81999999999994</v>
      </c>
      <c r="W233" s="23">
        <f t="shared" ref="W233:AA233" si="2034">V185</f>
        <v>602.26</v>
      </c>
      <c r="X233" s="23">
        <f t="shared" si="2034"/>
        <v>2090.2799999999997</v>
      </c>
      <c r="Y233" s="23">
        <f t="shared" si="2034"/>
        <v>1810.7600000000002</v>
      </c>
      <c r="Z233" s="23">
        <f t="shared" si="2034"/>
        <v>2209.65</v>
      </c>
      <c r="AA233" s="23">
        <f t="shared" si="2034"/>
        <v>3080.43</v>
      </c>
      <c r="AB233" s="24">
        <f t="shared" ref="AB233" si="2035">AA185</f>
        <v>4331.05</v>
      </c>
      <c r="AC233" s="24">
        <f t="shared" ref="AC233" si="2036">AB185</f>
        <v>6564.3882851408971</v>
      </c>
      <c r="AD233" s="24">
        <f t="shared" ref="AD233" si="2037">AC185</f>
        <v>9378.1366347208077</v>
      </c>
      <c r="AE233" s="24">
        <f t="shared" ref="AE233" si="2038">AD185</f>
        <v>12444.574172978047</v>
      </c>
      <c r="AI233" s="23">
        <f t="shared" ref="AI233" si="2039">AH185</f>
        <v>0</v>
      </c>
      <c r="AJ233" s="23">
        <f t="shared" ref="AJ233" si="2040">AI185</f>
        <v>0</v>
      </c>
      <c r="AK233" s="23">
        <f t="shared" ref="AK233" si="2041">AJ185</f>
        <v>100.01</v>
      </c>
      <c r="AL233" s="23">
        <f t="shared" ref="AL233" si="2042">AK185</f>
        <v>215.93572315065126</v>
      </c>
      <c r="AM233" s="23">
        <f t="shared" ref="AM233" si="2043">AL185</f>
        <v>250.75</v>
      </c>
      <c r="AN233" s="23">
        <f t="shared" ref="AN233" si="2044">AM185</f>
        <v>237.13203576909453</v>
      </c>
      <c r="AO233" s="23">
        <f t="shared" ref="AO233" si="2045">AN185</f>
        <v>26.39</v>
      </c>
      <c r="AP233" s="23">
        <f t="shared" ref="AP233" si="2046">AO185</f>
        <v>82.424075587105861</v>
      </c>
      <c r="AQ233" s="23">
        <f t="shared" ref="AQ233" si="2047">AP185</f>
        <v>291.48</v>
      </c>
      <c r="AR233" s="23">
        <f t="shared" ref="AR233" si="2048">AQ185</f>
        <v>262.55829152802687</v>
      </c>
      <c r="AS233" s="23">
        <f t="shared" ref="AS233" si="2049">AR185</f>
        <v>807.11</v>
      </c>
      <c r="AT233" s="23">
        <f t="shared" ref="AT233" si="2050">AS185</f>
        <v>859.11104503735339</v>
      </c>
      <c r="AU233" s="23">
        <f t="shared" ref="AU233" si="2051">AT185</f>
        <v>1049.8799999999999</v>
      </c>
      <c r="AV233" s="23">
        <f t="shared" ref="AV233" si="2052">AU185</f>
        <v>1089.4715591077395</v>
      </c>
      <c r="AW233" s="23">
        <f t="shared" ref="AW233" si="2053">AV185</f>
        <v>699</v>
      </c>
      <c r="AX233" s="23">
        <f t="shared" ref="AX233" si="2054">AW185</f>
        <v>704.59614197703388</v>
      </c>
      <c r="AY233" s="23">
        <f t="shared" ref="AY233" si="2055">AX185</f>
        <v>353.16</v>
      </c>
      <c r="AZ233" s="23">
        <f t="shared" ref="AZ233" si="2056">AY185</f>
        <v>191.72562196263561</v>
      </c>
      <c r="BA233" s="23">
        <f t="shared" ref="BA233" si="2057">AZ185</f>
        <v>141.67000000000002</v>
      </c>
      <c r="BB233" s="23">
        <f t="shared" ref="BB233" si="2058">BA185</f>
        <v>218.75671836081534</v>
      </c>
      <c r="BC233" s="23">
        <f t="shared" ref="BC233" si="2059">BB185</f>
        <v>337.86</v>
      </c>
      <c r="BD233" s="23">
        <f t="shared" ref="BD233" si="2060">BC185</f>
        <v>320.86849176027789</v>
      </c>
      <c r="BE233" s="23">
        <f t="shared" ref="BE233" si="2061">BD185</f>
        <v>320.43</v>
      </c>
      <c r="BF233" s="23">
        <f t="shared" ref="BF233" si="2062">BE185</f>
        <v>400.98699977690876</v>
      </c>
      <c r="BG233" s="23">
        <f t="shared" ref="BG233" si="2063">BF185</f>
        <v>600.84999999999991</v>
      </c>
      <c r="BH233" s="23">
        <f t="shared" ref="BH233" si="2064">BG185</f>
        <v>626.75513039371731</v>
      </c>
      <c r="BI233" s="23">
        <f t="shared" ref="BI233" si="2065">BH185</f>
        <v>398.37</v>
      </c>
      <c r="BJ233" s="23">
        <f t="shared" ref="BJ233" si="2066">BI185</f>
        <v>537.59586358122624</v>
      </c>
      <c r="BK233" s="23">
        <f t="shared" ref="BK233" si="2067">BJ185</f>
        <v>452.15</v>
      </c>
      <c r="BL233" s="23">
        <f t="shared" ref="BL233" si="2068">BK185</f>
        <v>471.60645878873657</v>
      </c>
      <c r="BM233" s="23">
        <f t="shared" ref="BM233" si="2069">BL185</f>
        <v>311.77999999999997</v>
      </c>
      <c r="BN233" s="23">
        <f t="shared" ref="BN233" si="2070">BM185</f>
        <v>486.3493853728271</v>
      </c>
      <c r="BO233" s="23">
        <f t="shared" ref="BO233" si="2071">BN185</f>
        <v>751.81999999999994</v>
      </c>
      <c r="BP233" s="23">
        <f t="shared" ref="BP233" si="2072">BO185</f>
        <v>466.97872650473073</v>
      </c>
      <c r="BQ233" s="23">
        <f t="shared" ref="BQ233" si="2073">BP185</f>
        <v>623.27</v>
      </c>
      <c r="BR233" s="23">
        <f t="shared" ref="BR233" si="2074">BQ185</f>
        <v>512.45789924806286</v>
      </c>
      <c r="BS233" s="23">
        <f t="shared" ref="BS233" si="2075">BR185</f>
        <v>602.26</v>
      </c>
      <c r="BT233" s="23">
        <f t="shared" ref="BT233" si="2076">BS185</f>
        <v>322.68154873012236</v>
      </c>
      <c r="BU233" s="23">
        <f t="shared" ref="BU233" si="2077">BT185</f>
        <v>585.62</v>
      </c>
      <c r="BV233" s="23">
        <f t="shared" ref="BV233" si="2078">BU185</f>
        <v>673.2673532682561</v>
      </c>
      <c r="BW233" s="23">
        <f t="shared" ref="BW233" si="2079">BV185</f>
        <v>2090.2799999999997</v>
      </c>
      <c r="BX233" s="23">
        <f t="shared" ref="BX233" si="2080">BW185</f>
        <v>2274.40752545638</v>
      </c>
      <c r="BY233" s="23">
        <f t="shared" ref="BY233" si="2081">BX185</f>
        <v>1166.6199999999999</v>
      </c>
      <c r="BZ233" s="23">
        <f t="shared" ref="BZ233" si="2082">BY185</f>
        <v>1545.1569797421726</v>
      </c>
      <c r="CA233" s="23">
        <f t="shared" ref="CA233" si="2083">BZ185</f>
        <v>1810.7600000000002</v>
      </c>
      <c r="CB233" s="23">
        <f t="shared" ref="CB233" si="2084">CA185</f>
        <v>2040.9385459847549</v>
      </c>
      <c r="CC233" s="23">
        <f t="shared" ref="CC233" si="2085">CB185</f>
        <v>1400.83</v>
      </c>
      <c r="CD233" s="23">
        <f t="shared" ref="CD233" si="2086">CC185</f>
        <v>1797.9017828635219</v>
      </c>
      <c r="CE233" s="23">
        <f t="shared" ref="CE233" si="2087">CD185</f>
        <v>2209.65</v>
      </c>
      <c r="CF233" s="23">
        <f t="shared" ref="CF233" si="2088">CE185</f>
        <v>2471.744240870396</v>
      </c>
      <c r="CG233" s="23">
        <f t="shared" ref="CG233" si="2089">CF185</f>
        <v>2464.37</v>
      </c>
      <c r="CH233" s="23">
        <f t="shared" ref="CH233:CL233" si="2090">CG185</f>
        <v>2985.7880726348758</v>
      </c>
      <c r="CI233" s="23">
        <f t="shared" si="2090"/>
        <v>3080.43</v>
      </c>
      <c r="CJ233" s="23">
        <f t="shared" si="2090"/>
        <v>2995.1633692075507</v>
      </c>
      <c r="CK233" s="23">
        <f t="shared" ref="CK233" si="2091">CJ185</f>
        <v>2856.2799999999997</v>
      </c>
      <c r="CL233" s="23">
        <f t="shared" si="2090"/>
        <v>3923.196641367249</v>
      </c>
      <c r="CM233" s="24">
        <f t="shared" ref="CM233" si="2092">CL185</f>
        <v>4331.05</v>
      </c>
      <c r="CN233" s="24">
        <f t="shared" ref="CN233" si="2093">CM185</f>
        <v>4831.5791406480766</v>
      </c>
      <c r="CO233" s="24">
        <f t="shared" ref="CO233" si="2094">CN185</f>
        <v>5388.1051580010535</v>
      </c>
      <c r="CP233" s="24">
        <f t="shared" ref="CP233" si="2095">CO185</f>
        <v>6001.5971751449742</v>
      </c>
      <c r="CQ233" s="24">
        <f t="shared" ref="CQ233" si="2096">CP185</f>
        <v>6564.3882851408971</v>
      </c>
      <c r="CR233" s="24">
        <f t="shared" ref="CR233" si="2097">CQ185</f>
        <v>7246.5167266054577</v>
      </c>
      <c r="CS233" s="24">
        <f t="shared" ref="CS233" si="2098">CR185</f>
        <v>7924.3452823533144</v>
      </c>
      <c r="CT233" s="24">
        <f t="shared" ref="CT233" si="2099">CS185</f>
        <v>8636.8317451677594</v>
      </c>
      <c r="CU233" s="24">
        <f t="shared" ref="CU233" si="2100">CT185</f>
        <v>9378.1366347208077</v>
      </c>
      <c r="CV233" s="24">
        <f t="shared" ref="CV233" si="2101">CU185</f>
        <v>10119.417523831284</v>
      </c>
      <c r="CW233" s="24">
        <f t="shared" ref="CW233" si="2102">CV185</f>
        <v>10875.650869245525</v>
      </c>
      <c r="CX233" s="24">
        <f t="shared" ref="CX233" si="2103">CW185</f>
        <v>11652.035298363358</v>
      </c>
      <c r="CY233" s="24">
        <f t="shared" ref="CY233" si="2104">CX185</f>
        <v>12444.574172978047</v>
      </c>
      <c r="CZ233" s="24">
        <f t="shared" ref="CZ233" si="2105">CY185</f>
        <v>13249.802687841982</v>
      </c>
      <c r="DA233" s="24">
        <f t="shared" ref="DA233" si="2106">CZ185</f>
        <v>14071.204360988188</v>
      </c>
      <c r="DB233" s="24">
        <f t="shared" ref="DB233" si="2107">DA185</f>
        <v>14909.092152372112</v>
      </c>
      <c r="DE233" s="123"/>
      <c r="DF233" s="23">
        <v>3923.196641367249</v>
      </c>
    </row>
    <row r="234" spans="1:110" s="23" customFormat="1" x14ac:dyDescent="0.2">
      <c r="A234" s="23" t="s">
        <v>443</v>
      </c>
      <c r="C234" s="23">
        <f t="shared" ref="C234:W234" si="2108">C233+C229+C225+C223</f>
        <v>110.29000000000019</v>
      </c>
      <c r="D234" s="23">
        <f t="shared" si="2108"/>
        <v>54.829999999999856</v>
      </c>
      <c r="E234" s="23">
        <f t="shared" si="2108"/>
        <v>661.14000000000055</v>
      </c>
      <c r="F234" s="23">
        <f t="shared" si="2108"/>
        <v>471.39999999999975</v>
      </c>
      <c r="G234" s="23">
        <f t="shared" si="2108"/>
        <v>446.83000000000033</v>
      </c>
      <c r="H234" s="23">
        <f t="shared" si="2108"/>
        <v>190.22999999999922</v>
      </c>
      <c r="I234" s="23">
        <f t="shared" si="2108"/>
        <v>260.21000000000083</v>
      </c>
      <c r="J234" s="23">
        <f>J233+J229+J225+J223</f>
        <v>678.56999999999994</v>
      </c>
      <c r="K234" s="23">
        <f>K233+K229+K225+K223</f>
        <v>572.04000000000019</v>
      </c>
      <c r="L234" s="23">
        <f>L233+L229+L225+L223</f>
        <v>845.10999999999922</v>
      </c>
      <c r="M234" s="23">
        <f>M233+M229+M225+M223</f>
        <v>222.46999999999878</v>
      </c>
      <c r="N234" s="23">
        <f t="shared" si="2108"/>
        <v>250.75000000000099</v>
      </c>
      <c r="O234" s="23">
        <f t="shared" si="2108"/>
        <v>291.48000000000104</v>
      </c>
      <c r="P234" s="23">
        <f t="shared" si="2108"/>
        <v>1049.8800000000003</v>
      </c>
      <c r="Q234" s="23">
        <f t="shared" si="2108"/>
        <v>353.15999999999872</v>
      </c>
      <c r="R234" s="23">
        <f t="shared" si="2108"/>
        <v>337.86000000000064</v>
      </c>
      <c r="S234" s="23">
        <f t="shared" si="2108"/>
        <v>600.84999999999945</v>
      </c>
      <c r="T234" s="23">
        <f t="shared" si="2108"/>
        <v>452.14999999999992</v>
      </c>
      <c r="U234" s="23">
        <f t="shared" si="2108"/>
        <v>751.82000000000107</v>
      </c>
      <c r="V234" s="23">
        <f t="shared" si="2108"/>
        <v>602.25999999999863</v>
      </c>
      <c r="W234" s="23">
        <f t="shared" si="2108"/>
        <v>2090.2800000000011</v>
      </c>
      <c r="X234" s="23">
        <f t="shared" ref="X234:Y234" si="2109">X233+X229+X225+X223</f>
        <v>1810.7600000000016</v>
      </c>
      <c r="Y234" s="23">
        <f t="shared" si="2109"/>
        <v>2209.6499999999965</v>
      </c>
      <c r="Z234" s="23">
        <f t="shared" ref="Z234:AA234" si="2110">Z233+Z229+Z225+Z223</f>
        <v>3080.4300000000044</v>
      </c>
      <c r="AA234" s="23">
        <f t="shared" si="2110"/>
        <v>4331.0499999999993</v>
      </c>
      <c r="AB234" s="24">
        <f t="shared" ref="AA234:AD234" si="2111">AB233+AB229+AB225+AB223</f>
        <v>6564.3882851408989</v>
      </c>
      <c r="AC234" s="24">
        <f t="shared" si="2111"/>
        <v>9378.1366347208113</v>
      </c>
      <c r="AD234" s="24">
        <f t="shared" si="2111"/>
        <v>12444.574172978046</v>
      </c>
      <c r="AE234" s="24">
        <f t="shared" ref="AE234" si="2112">AE233+AE229+AE225+AE223</f>
        <v>15762.463542340496</v>
      </c>
      <c r="AI234" s="23">
        <f t="shared" ref="AI234" si="2113">AI233+AI229+AI225+AI223</f>
        <v>0</v>
      </c>
      <c r="AJ234" s="23">
        <f t="shared" ref="AJ234:AL234" si="2114">AJ233+AJ229+AJ225+AJ223</f>
        <v>100.01000000000022</v>
      </c>
      <c r="AK234" s="23">
        <f t="shared" si="2114"/>
        <v>215.93572315065126</v>
      </c>
      <c r="AL234" s="23">
        <f t="shared" si="2114"/>
        <v>250.75000000000045</v>
      </c>
      <c r="AM234" s="23">
        <f t="shared" ref="AM234" si="2115">AM233+AM229+AM225+AM223</f>
        <v>237.13203576909453</v>
      </c>
      <c r="AN234" s="23">
        <f t="shared" ref="AN234:CD234" si="2116">AN233+AN229+AN225+AN223</f>
        <v>26.389999999998054</v>
      </c>
      <c r="AO234" s="23">
        <f t="shared" si="2116"/>
        <v>82.424075587105861</v>
      </c>
      <c r="AP234" s="23">
        <f t="shared" si="2116"/>
        <v>291.47999999999979</v>
      </c>
      <c r="AQ234" s="23">
        <f t="shared" si="2116"/>
        <v>262.55829152802687</v>
      </c>
      <c r="AR234" s="23">
        <f t="shared" si="2116"/>
        <v>807.11000000000058</v>
      </c>
      <c r="AS234" s="23">
        <f t="shared" si="2116"/>
        <v>859.11104503735339</v>
      </c>
      <c r="AT234" s="23">
        <f t="shared" si="2116"/>
        <v>1049.8800000000006</v>
      </c>
      <c r="AU234" s="23">
        <f t="shared" si="2116"/>
        <v>1089.4715591077395</v>
      </c>
      <c r="AV234" s="23">
        <f t="shared" si="2116"/>
        <v>698.99999999999909</v>
      </c>
      <c r="AW234" s="23">
        <f t="shared" si="2116"/>
        <v>704.59614197703388</v>
      </c>
      <c r="AX234" s="23">
        <f t="shared" si="2116"/>
        <v>353.16000000000008</v>
      </c>
      <c r="AY234" s="23">
        <f t="shared" si="2116"/>
        <v>191.72562196263561</v>
      </c>
      <c r="AZ234" s="23">
        <f t="shared" si="2116"/>
        <v>141.67000000000075</v>
      </c>
      <c r="BA234" s="23">
        <f t="shared" si="2116"/>
        <v>218.75671836081534</v>
      </c>
      <c r="BB234" s="23">
        <f t="shared" si="2116"/>
        <v>337.86000000000058</v>
      </c>
      <c r="BC234" s="23">
        <f t="shared" si="2116"/>
        <v>320.86849176027789</v>
      </c>
      <c r="BD234" s="23">
        <f t="shared" si="2116"/>
        <v>320.42999999999927</v>
      </c>
      <c r="BE234" s="23">
        <f t="shared" si="2116"/>
        <v>400.98699977690876</v>
      </c>
      <c r="BF234" s="23">
        <f t="shared" si="2116"/>
        <v>600.84999999999889</v>
      </c>
      <c r="BG234" s="23">
        <f t="shared" si="2116"/>
        <v>626.75513039371731</v>
      </c>
      <c r="BH234" s="23">
        <f t="shared" si="2116"/>
        <v>398.37000000000012</v>
      </c>
      <c r="BI234" s="23">
        <f t="shared" si="2116"/>
        <v>537.59586358122624</v>
      </c>
      <c r="BJ234" s="23">
        <f t="shared" si="2116"/>
        <v>452.14999999999918</v>
      </c>
      <c r="BK234" s="23">
        <f t="shared" si="2116"/>
        <v>471.60645878873657</v>
      </c>
      <c r="BL234" s="23">
        <f t="shared" si="2116"/>
        <v>311.78000000000162</v>
      </c>
      <c r="BM234" s="23">
        <f t="shared" si="2116"/>
        <v>486.3493853728271</v>
      </c>
      <c r="BN234" s="23">
        <f t="shared" si="2116"/>
        <v>751.81999999999948</v>
      </c>
      <c r="BO234" s="23">
        <f t="shared" si="2116"/>
        <v>466.97872650473073</v>
      </c>
      <c r="BP234" s="23">
        <f t="shared" si="2116"/>
        <v>623.26999999999919</v>
      </c>
      <c r="BQ234" s="23">
        <f t="shared" si="2116"/>
        <v>512.45789924806286</v>
      </c>
      <c r="BR234" s="23">
        <f t="shared" si="2116"/>
        <v>602.26000000000113</v>
      </c>
      <c r="BS234" s="23">
        <f t="shared" si="2116"/>
        <v>322.68154873012236</v>
      </c>
      <c r="BT234" s="23">
        <f t="shared" si="2116"/>
        <v>585.6199999999983</v>
      </c>
      <c r="BU234" s="23">
        <f t="shared" si="2116"/>
        <v>673.2673532682561</v>
      </c>
      <c r="BV234" s="23">
        <f t="shared" si="2116"/>
        <v>2090.280000000002</v>
      </c>
      <c r="BW234" s="23">
        <f t="shared" si="2116"/>
        <v>2274.40752545638</v>
      </c>
      <c r="BX234" s="23">
        <f t="shared" si="2116"/>
        <v>1166.6200000000008</v>
      </c>
      <c r="BY234" s="23">
        <f t="shared" si="2116"/>
        <v>1545.1569797421726</v>
      </c>
      <c r="BZ234" s="23">
        <f t="shared" si="2116"/>
        <v>1810.76</v>
      </c>
      <c r="CA234" s="23">
        <f t="shared" si="2116"/>
        <v>2040.9385459847549</v>
      </c>
      <c r="CB234" s="23">
        <f t="shared" si="2116"/>
        <v>1400.8300000000004</v>
      </c>
      <c r="CC234" s="23">
        <f t="shared" si="2116"/>
        <v>1797.9017828635219</v>
      </c>
      <c r="CD234" s="23">
        <f t="shared" si="2116"/>
        <v>2209.6499999999978</v>
      </c>
      <c r="CE234" s="23">
        <f t="shared" ref="CE234:CF234" si="2117">CE233+CE229+CE225+CE223</f>
        <v>2471.744240870396</v>
      </c>
      <c r="CF234" s="23">
        <f t="shared" si="2117"/>
        <v>2464.3700000000035</v>
      </c>
      <c r="CG234" s="23">
        <f t="shared" ref="CG234:CH234" si="2118">CG233+CG229+CG225+CG223</f>
        <v>2985.7880726348758</v>
      </c>
      <c r="CH234" s="23">
        <f t="shared" si="2118"/>
        <v>3080.4299999999989</v>
      </c>
      <c r="CI234" s="23">
        <f t="shared" ref="CI234:CJ234" si="2119">CI233+CI229+CI225+CI223</f>
        <v>2995.1633692075507</v>
      </c>
      <c r="CJ234" s="23">
        <f t="shared" si="2119"/>
        <v>2856.2799999999997</v>
      </c>
      <c r="CK234" s="23">
        <f t="shared" ref="CK234:DB234" si="2120">CK233+CK229+CK225+CK223</f>
        <v>3923.196641367249</v>
      </c>
      <c r="CL234" s="23">
        <f t="shared" si="2120"/>
        <v>4331.0499999999993</v>
      </c>
      <c r="CM234" s="24">
        <f t="shared" si="2120"/>
        <v>4831.5791406480766</v>
      </c>
      <c r="CN234" s="24">
        <f t="shared" si="2120"/>
        <v>5388.1051580010535</v>
      </c>
      <c r="CO234" s="24">
        <f t="shared" si="2120"/>
        <v>6001.5971751449742</v>
      </c>
      <c r="CP234" s="24">
        <f t="shared" si="2120"/>
        <v>6564.3882851408971</v>
      </c>
      <c r="CQ234" s="24">
        <f t="shared" si="2120"/>
        <v>7246.5167266054577</v>
      </c>
      <c r="CR234" s="24">
        <f t="shared" si="2120"/>
        <v>7924.3452823533144</v>
      </c>
      <c r="CS234" s="24">
        <f t="shared" si="2120"/>
        <v>8636.8317451677594</v>
      </c>
      <c r="CT234" s="24">
        <f t="shared" si="2120"/>
        <v>9378.1366347208077</v>
      </c>
      <c r="CU234" s="24">
        <f t="shared" si="2120"/>
        <v>10119.417523831284</v>
      </c>
      <c r="CV234" s="24">
        <f t="shared" si="2120"/>
        <v>10875.650869245525</v>
      </c>
      <c r="CW234" s="24">
        <f t="shared" si="2120"/>
        <v>11652.035298363358</v>
      </c>
      <c r="CX234" s="24">
        <f t="shared" si="2120"/>
        <v>12444.574172978047</v>
      </c>
      <c r="CY234" s="24">
        <f t="shared" si="2120"/>
        <v>13249.802687841982</v>
      </c>
      <c r="CZ234" s="24">
        <f t="shared" si="2120"/>
        <v>14071.204360988188</v>
      </c>
      <c r="DA234" s="24">
        <f t="shared" si="2120"/>
        <v>14909.092152372112</v>
      </c>
      <c r="DB234" s="24">
        <f t="shared" si="2120"/>
        <v>15762.463542340494</v>
      </c>
      <c r="DE234" s="123"/>
      <c r="DF234" s="23">
        <v>4544.6155323036746</v>
      </c>
    </row>
    <row r="235" spans="1:110" s="28" customFormat="1" x14ac:dyDescent="0.2">
      <c r="A235" s="28" t="s">
        <v>444</v>
      </c>
      <c r="C235" s="28">
        <f t="shared" ref="C235:W235" si="2121">C234-C185</f>
        <v>1.8474111129762605E-13</v>
      </c>
      <c r="D235" s="28">
        <f t="shared" si="2121"/>
        <v>-1.4210854715202004E-13</v>
      </c>
      <c r="E235" s="28">
        <f t="shared" si="2121"/>
        <v>0</v>
      </c>
      <c r="F235" s="28">
        <f t="shared" si="2121"/>
        <v>0</v>
      </c>
      <c r="G235" s="28">
        <f t="shared" si="2121"/>
        <v>0</v>
      </c>
      <c r="H235" s="28">
        <f t="shared" si="2121"/>
        <v>-7.9580786405131221E-13</v>
      </c>
      <c r="I235" s="28">
        <f t="shared" si="2121"/>
        <v>7.9580786405131221E-13</v>
      </c>
      <c r="J235" s="28">
        <f>J234-J185</f>
        <v>0</v>
      </c>
      <c r="K235" s="28">
        <f t="shared" si="2121"/>
        <v>0</v>
      </c>
      <c r="L235" s="28">
        <f t="shared" si="2121"/>
        <v>0</v>
      </c>
      <c r="M235" s="28">
        <f t="shared" si="2121"/>
        <v>-1.2221335055073723E-12</v>
      </c>
      <c r="N235" s="28">
        <f t="shared" si="2121"/>
        <v>9.9475983006414026E-13</v>
      </c>
      <c r="O235" s="28">
        <f t="shared" si="2121"/>
        <v>1.0231815394945443E-12</v>
      </c>
      <c r="P235" s="28">
        <f t="shared" si="2121"/>
        <v>0</v>
      </c>
      <c r="Q235" s="28">
        <f t="shared" si="2121"/>
        <v>-1.3073986337985843E-12</v>
      </c>
      <c r="R235" s="28">
        <f t="shared" si="2121"/>
        <v>6.2527760746888816E-13</v>
      </c>
      <c r="S235" s="28">
        <f t="shared" si="2121"/>
        <v>0</v>
      </c>
      <c r="T235" s="28">
        <f t="shared" si="2121"/>
        <v>0</v>
      </c>
      <c r="U235" s="28">
        <f t="shared" si="2121"/>
        <v>1.1368683772161603E-12</v>
      </c>
      <c r="V235" s="28">
        <f t="shared" si="2121"/>
        <v>-1.3642420526593924E-12</v>
      </c>
      <c r="W235" s="28">
        <f t="shared" si="2121"/>
        <v>0</v>
      </c>
      <c r="X235" s="28">
        <f t="shared" ref="X235:Y235" si="2122">X234-X185</f>
        <v>0</v>
      </c>
      <c r="Y235" s="28">
        <f t="shared" si="2122"/>
        <v>-3.637978807091713E-12</v>
      </c>
      <c r="Z235" s="28">
        <f t="shared" ref="Z235:AA235" si="2123">Z234-Z185</f>
        <v>4.5474735088646412E-12</v>
      </c>
      <c r="AA235" s="28">
        <f t="shared" si="2123"/>
        <v>0</v>
      </c>
      <c r="AB235" s="30">
        <f t="shared" ref="AA235:AD235" si="2124">AB234-AB185</f>
        <v>0</v>
      </c>
      <c r="AC235" s="30">
        <f t="shared" si="2124"/>
        <v>0</v>
      </c>
      <c r="AD235" s="30">
        <f t="shared" si="2124"/>
        <v>0</v>
      </c>
      <c r="AE235" s="30">
        <f t="shared" ref="AE235" si="2125">AE234-AE185</f>
        <v>0</v>
      </c>
      <c r="AI235" s="28">
        <f t="shared" ref="AI235" si="2126">AI234-AI185</f>
        <v>0</v>
      </c>
      <c r="AJ235" s="28">
        <f t="shared" ref="AJ235:AL235" si="2127">AJ234-AJ185</f>
        <v>2.1316282072803006E-13</v>
      </c>
      <c r="AK235" s="28">
        <f t="shared" si="2127"/>
        <v>0</v>
      </c>
      <c r="AL235" s="28">
        <f t="shared" si="2127"/>
        <v>4.5474735088646412E-13</v>
      </c>
      <c r="AM235" s="28">
        <f t="shared" ref="AM235" si="2128">AM234-AM185</f>
        <v>0</v>
      </c>
      <c r="AN235" s="28">
        <f t="shared" ref="AN235:CD235" si="2129">AN234-AN185</f>
        <v>-1.9468870959826745E-12</v>
      </c>
      <c r="AO235" s="28">
        <f t="shared" si="2129"/>
        <v>0</v>
      </c>
      <c r="AP235" s="28">
        <f t="shared" si="2129"/>
        <v>0</v>
      </c>
      <c r="AQ235" s="28">
        <f t="shared" si="2129"/>
        <v>0</v>
      </c>
      <c r="AR235" s="28">
        <f t="shared" si="2129"/>
        <v>0</v>
      </c>
      <c r="AS235" s="28">
        <f t="shared" si="2129"/>
        <v>0</v>
      </c>
      <c r="AT235" s="28">
        <f t="shared" si="2129"/>
        <v>0</v>
      </c>
      <c r="AU235" s="28">
        <f t="shared" si="2129"/>
        <v>0</v>
      </c>
      <c r="AV235" s="28">
        <f t="shared" si="2129"/>
        <v>-9.0949470177292824E-13</v>
      </c>
      <c r="AW235" s="28">
        <f t="shared" si="2129"/>
        <v>0</v>
      </c>
      <c r="AX235" s="28">
        <f t="shared" si="2129"/>
        <v>0</v>
      </c>
      <c r="AY235" s="28">
        <f t="shared" si="2129"/>
        <v>0</v>
      </c>
      <c r="AZ235" s="28">
        <f t="shared" si="2129"/>
        <v>7.3896444519050419E-13</v>
      </c>
      <c r="BA235" s="28">
        <f t="shared" si="2129"/>
        <v>0</v>
      </c>
      <c r="BB235" s="28">
        <f t="shared" si="2129"/>
        <v>5.6843418860808015E-13</v>
      </c>
      <c r="BC235" s="28">
        <f t="shared" si="2129"/>
        <v>0</v>
      </c>
      <c r="BD235" s="28">
        <f t="shared" si="2129"/>
        <v>-7.3896444519050419E-13</v>
      </c>
      <c r="BE235" s="28">
        <f t="shared" si="2129"/>
        <v>0</v>
      </c>
      <c r="BF235" s="28">
        <f t="shared" si="2129"/>
        <v>-1.0231815394945443E-12</v>
      </c>
      <c r="BG235" s="28">
        <f t="shared" si="2129"/>
        <v>0</v>
      </c>
      <c r="BH235" s="28">
        <f t="shared" si="2129"/>
        <v>0</v>
      </c>
      <c r="BI235" s="28">
        <f t="shared" si="2129"/>
        <v>0</v>
      </c>
      <c r="BJ235" s="28">
        <f t="shared" si="2129"/>
        <v>-7.9580786405131221E-13</v>
      </c>
      <c r="BK235" s="28">
        <f t="shared" si="2129"/>
        <v>0</v>
      </c>
      <c r="BL235" s="28">
        <f t="shared" si="2129"/>
        <v>1.6484591469634324E-12</v>
      </c>
      <c r="BM235" s="28">
        <f t="shared" si="2129"/>
        <v>0</v>
      </c>
      <c r="BN235" s="28">
        <f t="shared" si="2129"/>
        <v>0</v>
      </c>
      <c r="BO235" s="28">
        <f t="shared" si="2129"/>
        <v>0</v>
      </c>
      <c r="BP235" s="28">
        <f t="shared" si="2129"/>
        <v>0</v>
      </c>
      <c r="BQ235" s="28">
        <f t="shared" si="2129"/>
        <v>0</v>
      </c>
      <c r="BR235" s="28">
        <f t="shared" si="2129"/>
        <v>1.1368683772161603E-12</v>
      </c>
      <c r="BS235" s="28">
        <f t="shared" si="2129"/>
        <v>0</v>
      </c>
      <c r="BT235" s="28">
        <f t="shared" si="2129"/>
        <v>-1.7053025658242404E-12</v>
      </c>
      <c r="BU235" s="28">
        <f t="shared" si="2129"/>
        <v>0</v>
      </c>
      <c r="BV235" s="28">
        <f t="shared" si="2129"/>
        <v>0</v>
      </c>
      <c r="BW235" s="28">
        <f t="shared" si="2129"/>
        <v>0</v>
      </c>
      <c r="BX235" s="28">
        <f t="shared" si="2129"/>
        <v>0</v>
      </c>
      <c r="BY235" s="28">
        <f t="shared" si="2129"/>
        <v>0</v>
      </c>
      <c r="BZ235" s="28">
        <f t="shared" si="2129"/>
        <v>0</v>
      </c>
      <c r="CA235" s="28">
        <f t="shared" si="2129"/>
        <v>0</v>
      </c>
      <c r="CB235" s="28">
        <f t="shared" si="2129"/>
        <v>0</v>
      </c>
      <c r="CC235" s="28">
        <f t="shared" si="2129"/>
        <v>0</v>
      </c>
      <c r="CD235" s="28">
        <f t="shared" si="2129"/>
        <v>0</v>
      </c>
      <c r="CE235" s="28">
        <f t="shared" ref="CE235:CF235" si="2130">CE234-CE185</f>
        <v>0</v>
      </c>
      <c r="CF235" s="28">
        <f t="shared" si="2130"/>
        <v>3.637978807091713E-12</v>
      </c>
      <c r="CG235" s="28">
        <f t="shared" ref="CG235:CH235" si="2131">CG234-CG185</f>
        <v>0</v>
      </c>
      <c r="CH235" s="28">
        <f t="shared" si="2131"/>
        <v>0</v>
      </c>
      <c r="CI235" s="28">
        <f t="shared" ref="CI235:CJ235" si="2132">CI234-CI185</f>
        <v>0</v>
      </c>
      <c r="CJ235" s="28">
        <f t="shared" si="2132"/>
        <v>0</v>
      </c>
      <c r="CK235" s="28">
        <f t="shared" ref="CK235:DB235" si="2133">CK234-CK185</f>
        <v>0</v>
      </c>
      <c r="CL235" s="28">
        <f t="shared" si="2133"/>
        <v>0</v>
      </c>
      <c r="CM235" s="30">
        <f t="shared" si="2133"/>
        <v>0</v>
      </c>
      <c r="CN235" s="30">
        <f t="shared" si="2133"/>
        <v>0</v>
      </c>
      <c r="CO235" s="30">
        <f t="shared" si="2133"/>
        <v>0</v>
      </c>
      <c r="CP235" s="30">
        <f t="shared" si="2133"/>
        <v>0</v>
      </c>
      <c r="CQ235" s="30">
        <f t="shared" si="2133"/>
        <v>0</v>
      </c>
      <c r="CR235" s="30">
        <f t="shared" si="2133"/>
        <v>0</v>
      </c>
      <c r="CS235" s="30">
        <f t="shared" si="2133"/>
        <v>0</v>
      </c>
      <c r="CT235" s="30">
        <f t="shared" si="2133"/>
        <v>0</v>
      </c>
      <c r="CU235" s="30">
        <f t="shared" si="2133"/>
        <v>0</v>
      </c>
      <c r="CV235" s="30">
        <f t="shared" si="2133"/>
        <v>0</v>
      </c>
      <c r="CW235" s="30">
        <f t="shared" si="2133"/>
        <v>0</v>
      </c>
      <c r="CX235" s="30">
        <f t="shared" si="2133"/>
        <v>0</v>
      </c>
      <c r="CY235" s="30">
        <f t="shared" si="2133"/>
        <v>0</v>
      </c>
      <c r="CZ235" s="30">
        <f t="shared" si="2133"/>
        <v>0</v>
      </c>
      <c r="DA235" s="30">
        <f t="shared" si="2133"/>
        <v>0</v>
      </c>
      <c r="DB235" s="30">
        <f t="shared" si="2133"/>
        <v>0</v>
      </c>
      <c r="DE235" s="139"/>
      <c r="DF235" s="28">
        <v>0</v>
      </c>
    </row>
    <row r="236" spans="1:110" s="23" customFormat="1" x14ac:dyDescent="0.2">
      <c r="AB236" s="24"/>
      <c r="AC236" s="24"/>
      <c r="AD236" s="24"/>
      <c r="AE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E236" s="123"/>
    </row>
    <row r="237" spans="1:110" s="22" customFormat="1" x14ac:dyDescent="0.2">
      <c r="A237" s="22" t="s">
        <v>96</v>
      </c>
      <c r="C237" s="22">
        <f t="shared" ref="C237:W237" si="2134">C223+C225</f>
        <v>-1014.1199999999999</v>
      </c>
      <c r="D237" s="22">
        <f t="shared" si="2134"/>
        <v>-35.550000000000267</v>
      </c>
      <c r="E237" s="22">
        <f t="shared" si="2134"/>
        <v>25.360000000000412</v>
      </c>
      <c r="F237" s="22">
        <f t="shared" si="2134"/>
        <v>-264.1800000000004</v>
      </c>
      <c r="G237" s="22">
        <f t="shared" si="2134"/>
        <v>84.57999999999987</v>
      </c>
      <c r="H237" s="22">
        <f t="shared" si="2134"/>
        <v>-622.84000000000071</v>
      </c>
      <c r="I237" s="22">
        <f t="shared" si="2134"/>
        <v>-1173.7199999999993</v>
      </c>
      <c r="J237" s="22">
        <f>J223+J225</f>
        <v>-1770.3000000000009</v>
      </c>
      <c r="K237" s="22">
        <f t="shared" si="2134"/>
        <v>698.78000000000065</v>
      </c>
      <c r="L237" s="22">
        <f t="shared" si="2134"/>
        <v>36.119999999998925</v>
      </c>
      <c r="M237" s="22">
        <f t="shared" si="2134"/>
        <v>-713.28000000000077</v>
      </c>
      <c r="N237" s="22">
        <f t="shared" si="2134"/>
        <v>-362.71999999999935</v>
      </c>
      <c r="O237" s="22">
        <f t="shared" si="2134"/>
        <v>-632.80999999999904</v>
      </c>
      <c r="P237" s="22">
        <f t="shared" si="2134"/>
        <v>-34.909999999999542</v>
      </c>
      <c r="Q237" s="22">
        <f t="shared" si="2134"/>
        <v>-737.53000000000043</v>
      </c>
      <c r="R237" s="22">
        <f t="shared" si="2134"/>
        <v>1132.2800000000007</v>
      </c>
      <c r="S237" s="22">
        <f t="shared" si="2134"/>
        <v>-383.57000000000096</v>
      </c>
      <c r="T237" s="22">
        <f t="shared" si="2134"/>
        <v>50.199999999999875</v>
      </c>
      <c r="U237" s="22">
        <f t="shared" si="2134"/>
        <v>404.150000000001</v>
      </c>
      <c r="V237" s="22">
        <f t="shared" si="2134"/>
        <v>-1061.7400000000002</v>
      </c>
      <c r="W237" s="22">
        <f t="shared" si="2134"/>
        <v>-483.86999999999853</v>
      </c>
      <c r="X237" s="22">
        <f t="shared" ref="X237:Y237" si="2135">X223+X225</f>
        <v>902.78000000000111</v>
      </c>
      <c r="Y237" s="22">
        <f t="shared" si="2135"/>
        <v>729.06999999999653</v>
      </c>
      <c r="Z237" s="22">
        <f t="shared" ref="Z237:AA237" si="2136">Z223+Z225</f>
        <v>527.26000000000295</v>
      </c>
      <c r="AA237" s="22">
        <f t="shared" si="2136"/>
        <v>984.70999999999867</v>
      </c>
      <c r="AB237" s="21">
        <f t="shared" ref="AA237:AD237" si="2137">AB223+AB225</f>
        <v>2233.3382851408987</v>
      </c>
      <c r="AC237" s="21">
        <f t="shared" si="2137"/>
        <v>2813.7483495799102</v>
      </c>
      <c r="AD237" s="21">
        <f t="shared" si="2137"/>
        <v>3066.4375382572407</v>
      </c>
      <c r="AE237" s="21">
        <f t="shared" ref="AE237" si="2138">AE223+AE225</f>
        <v>3317.8893693624482</v>
      </c>
      <c r="AI237" s="22">
        <f t="shared" ref="AI237" si="2139">AI223+AI225</f>
        <v>-33.36</v>
      </c>
      <c r="AJ237" s="22">
        <f t="shared" ref="AJ237:AL237" si="2140">AJ223+AJ225</f>
        <v>-6160.7999999999993</v>
      </c>
      <c r="AK237" s="22">
        <f t="shared" si="2140"/>
        <v>115.92572315065127</v>
      </c>
      <c r="AL237" s="22">
        <f t="shared" si="2140"/>
        <v>-1452.2557231506512</v>
      </c>
      <c r="AM237" s="22">
        <f t="shared" ref="AM237" si="2141">AM223+AM225</f>
        <v>-13.617964230905471</v>
      </c>
      <c r="AN237" s="22">
        <f t="shared" ref="AN237:CD237" si="2142">AN223+AN225</f>
        <v>879.40796423090387</v>
      </c>
      <c r="AO237" s="22">
        <f t="shared" si="2142"/>
        <v>56.03407558710586</v>
      </c>
      <c r="AP237" s="22">
        <f t="shared" si="2142"/>
        <v>-686.54407558710682</v>
      </c>
      <c r="AQ237" s="22">
        <f t="shared" si="2142"/>
        <v>-28.921708471973176</v>
      </c>
      <c r="AR237" s="22">
        <f t="shared" si="2142"/>
        <v>1108.5417084719734</v>
      </c>
      <c r="AS237" s="22">
        <f t="shared" si="2142"/>
        <v>52.001045037353379</v>
      </c>
      <c r="AT237" s="22">
        <f t="shared" si="2142"/>
        <v>-1729.9910450373527</v>
      </c>
      <c r="AU237" s="22">
        <f t="shared" si="2142"/>
        <v>39.591559107739585</v>
      </c>
      <c r="AV237" s="22">
        <f t="shared" si="2142"/>
        <v>1451.0984408922602</v>
      </c>
      <c r="AW237" s="22">
        <f t="shared" si="2142"/>
        <v>5.5961419770339091</v>
      </c>
      <c r="AX237" s="22">
        <f t="shared" si="2142"/>
        <v>-1588.2561419770338</v>
      </c>
      <c r="AY237" s="22">
        <f t="shared" si="2142"/>
        <v>-161.43437803736441</v>
      </c>
      <c r="AZ237" s="22">
        <f t="shared" si="2142"/>
        <v>2652.4143780373652</v>
      </c>
      <c r="BA237" s="22">
        <f t="shared" si="2142"/>
        <v>77.086718360815325</v>
      </c>
      <c r="BB237" s="22">
        <f t="shared" si="2142"/>
        <v>-1874.3167183608152</v>
      </c>
      <c r="BC237" s="22">
        <f t="shared" si="2142"/>
        <v>-16.991508239722108</v>
      </c>
      <c r="BD237" s="22">
        <f t="shared" si="2142"/>
        <v>-705.51849176027838</v>
      </c>
      <c r="BE237" s="22">
        <f t="shared" si="2142"/>
        <v>80.556999776908725</v>
      </c>
      <c r="BF237" s="22">
        <f t="shared" si="2142"/>
        <v>-223.35699977691058</v>
      </c>
      <c r="BG237" s="22">
        <f t="shared" si="2142"/>
        <v>25.905130393717457</v>
      </c>
      <c r="BH237" s="22">
        <f t="shared" si="2142"/>
        <v>-290.74513039371664</v>
      </c>
      <c r="BI237" s="22">
        <f t="shared" si="2142"/>
        <v>139.22586358122629</v>
      </c>
      <c r="BJ237" s="22">
        <f t="shared" si="2142"/>
        <v>685.37413641877242</v>
      </c>
      <c r="BK237" s="22">
        <f t="shared" si="2142"/>
        <v>19.456458788736612</v>
      </c>
      <c r="BL237" s="22">
        <f t="shared" si="2142"/>
        <v>433.44354121126503</v>
      </c>
      <c r="BM237" s="22">
        <f t="shared" si="2142"/>
        <v>174.56938537282713</v>
      </c>
      <c r="BN237" s="22">
        <f t="shared" si="2142"/>
        <v>-516.07938537282803</v>
      </c>
      <c r="BO237" s="22">
        <f t="shared" si="2142"/>
        <v>-284.8412734952683</v>
      </c>
      <c r="BP237" s="22">
        <f t="shared" si="2142"/>
        <v>29.90127349526847</v>
      </c>
      <c r="BQ237" s="22">
        <f t="shared" si="2142"/>
        <v>-110.81210075193712</v>
      </c>
      <c r="BR237" s="22">
        <f t="shared" si="2142"/>
        <v>-1006.0078992480625</v>
      </c>
      <c r="BS237" s="22">
        <f t="shared" si="2142"/>
        <v>-279.57845126987763</v>
      </c>
      <c r="BT237" s="22">
        <f t="shared" si="2142"/>
        <v>-158.94154873012346</v>
      </c>
      <c r="BU237" s="22">
        <f t="shared" si="2142"/>
        <v>87.647353268256097</v>
      </c>
      <c r="BV237" s="22">
        <f t="shared" si="2142"/>
        <v>-132.99735326825586</v>
      </c>
      <c r="BW237" s="22">
        <f t="shared" si="2142"/>
        <v>184.12752545638006</v>
      </c>
      <c r="BX237" s="22">
        <f t="shared" si="2142"/>
        <v>251.74247454362092</v>
      </c>
      <c r="BY237" s="22">
        <f t="shared" si="2142"/>
        <v>378.53697974217266</v>
      </c>
      <c r="BZ237" s="22">
        <f t="shared" si="2142"/>
        <v>88.373020257826511</v>
      </c>
      <c r="CA237" s="22">
        <f t="shared" si="2142"/>
        <v>230.17854598475475</v>
      </c>
      <c r="CB237" s="22">
        <f t="shared" si="2142"/>
        <v>-57.148545984755742</v>
      </c>
      <c r="CC237" s="22">
        <f t="shared" si="2142"/>
        <v>397.07178286352212</v>
      </c>
      <c r="CD237" s="22">
        <f t="shared" si="2142"/>
        <v>158.96821713647796</v>
      </c>
      <c r="CE237" s="22">
        <f t="shared" ref="CE237:CF237" si="2143">CE223+CE225</f>
        <v>262.09424087039605</v>
      </c>
      <c r="CF237" s="22">
        <f t="shared" si="2143"/>
        <v>-419.31424087039443</v>
      </c>
      <c r="CG237" s="22">
        <f t="shared" ref="CG237:CH237" si="2144">CG223+CG225</f>
        <v>521.4180726348759</v>
      </c>
      <c r="CH237" s="22">
        <f t="shared" si="2144"/>
        <v>163.0619273651223</v>
      </c>
      <c r="CI237" s="22">
        <f t="shared" ref="CI237:CJ237" si="2145">CI223+CI225</f>
        <v>-85.266630792449121</v>
      </c>
      <c r="CJ237" s="22">
        <f t="shared" si="2145"/>
        <v>-93.303369207551214</v>
      </c>
      <c r="CK237" s="22">
        <f t="shared" ref="CK237:DB237" si="2146">CK223+CK225</f>
        <v>1066.916641367249</v>
      </c>
      <c r="CL237" s="22">
        <f t="shared" si="2146"/>
        <v>96.363358632750305</v>
      </c>
      <c r="CM237" s="21">
        <f t="shared" si="2146"/>
        <v>500.52914064807669</v>
      </c>
      <c r="CN237" s="21">
        <f t="shared" si="2146"/>
        <v>556.52601735297662</v>
      </c>
      <c r="CO237" s="21">
        <f t="shared" si="2146"/>
        <v>613.49201714392086</v>
      </c>
      <c r="CP237" s="21">
        <f t="shared" si="2146"/>
        <v>562.79110999592274</v>
      </c>
      <c r="CQ237" s="21">
        <f t="shared" si="2146"/>
        <v>682.1284414645603</v>
      </c>
      <c r="CR237" s="21">
        <f t="shared" si="2146"/>
        <v>677.82855574785685</v>
      </c>
      <c r="CS237" s="21">
        <f t="shared" si="2146"/>
        <v>712.48646281444439</v>
      </c>
      <c r="CT237" s="21">
        <f t="shared" si="2146"/>
        <v>741.30488955304884</v>
      </c>
      <c r="CU237" s="21">
        <f t="shared" si="2146"/>
        <v>741.28088911047666</v>
      </c>
      <c r="CV237" s="21">
        <f t="shared" si="2146"/>
        <v>756.23334541424106</v>
      </c>
      <c r="CW237" s="21">
        <f t="shared" si="2146"/>
        <v>776.38442911783773</v>
      </c>
      <c r="CX237" s="21">
        <f t="shared" si="2146"/>
        <v>792.53887461468969</v>
      </c>
      <c r="CY237" s="21">
        <f t="shared" si="2146"/>
        <v>805.22851486393529</v>
      </c>
      <c r="CZ237" s="21">
        <f t="shared" si="2146"/>
        <v>821.40167314620589</v>
      </c>
      <c r="DA237" s="21">
        <f t="shared" si="2146"/>
        <v>837.8877913839242</v>
      </c>
      <c r="DB237" s="21">
        <f t="shared" si="2146"/>
        <v>853.37138996838235</v>
      </c>
      <c r="DE237" s="126"/>
      <c r="DF237" s="22">
        <v>621.41889093642601</v>
      </c>
    </row>
    <row r="238" spans="1:110" x14ac:dyDescent="0.2">
      <c r="A238" s="152" t="s">
        <v>496</v>
      </c>
      <c r="AA238" s="2"/>
      <c r="CL238" s="2"/>
    </row>
    <row r="239" spans="1:110" x14ac:dyDescent="0.2">
      <c r="AA239" s="2"/>
      <c r="CL239" s="2"/>
    </row>
    <row r="240" spans="1:110" s="7" customFormat="1" hidden="1" outlineLevel="1" x14ac:dyDescent="0.2">
      <c r="A240" s="61" t="s">
        <v>97</v>
      </c>
      <c r="AB240" s="77"/>
      <c r="AC240" s="77"/>
      <c r="AD240" s="77"/>
      <c r="AE240" s="77"/>
      <c r="CM240" s="50"/>
      <c r="CN240" s="50"/>
      <c r="CO240" s="50"/>
      <c r="CP240" s="50"/>
      <c r="CQ240" s="50"/>
      <c r="CR240" s="50"/>
      <c r="CS240" s="50"/>
      <c r="CT240" s="50"/>
      <c r="CU240" s="50"/>
      <c r="CV240" s="50"/>
      <c r="CW240" s="50"/>
      <c r="CX240" s="50"/>
      <c r="CY240" s="50"/>
      <c r="CZ240" s="50"/>
      <c r="DA240" s="50"/>
      <c r="DB240" s="50"/>
      <c r="DE240" s="138"/>
    </row>
    <row r="241" spans="1:110" s="62" customFormat="1" hidden="1" outlineLevel="1" x14ac:dyDescent="0.2">
      <c r="A241" s="62" t="s">
        <v>98</v>
      </c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62" customFormat="1" hidden="1" outlineLevel="1" x14ac:dyDescent="0.2">
      <c r="A242" s="62" t="s">
        <v>99</v>
      </c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hidden="1" outlineLevel="1" x14ac:dyDescent="0.2">
      <c r="A243" s="62" t="s">
        <v>100</v>
      </c>
      <c r="AB243" s="63"/>
      <c r="AC243" s="63"/>
      <c r="AD243" s="63"/>
      <c r="AE243" s="63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62" customFormat="1" hidden="1" outlineLevel="1" x14ac:dyDescent="0.2">
      <c r="AB244" s="63"/>
      <c r="AC244" s="63"/>
      <c r="AD244" s="63"/>
      <c r="AE244" s="63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62" customFormat="1" hidden="1" outlineLevel="1" x14ac:dyDescent="0.2">
      <c r="AB245" s="63"/>
      <c r="AC245" s="63"/>
      <c r="AD245" s="63"/>
      <c r="AE245" s="63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0" s="62" customFormat="1" hidden="1" outlineLevel="1" x14ac:dyDescent="0.2">
      <c r="AB246" s="63"/>
      <c r="AC246" s="63"/>
      <c r="AD246" s="63"/>
      <c r="AE246" s="63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11" customFormat="1" collapsed="1" x14ac:dyDescent="0.2">
      <c r="AB247" s="63"/>
      <c r="AC247" s="63"/>
      <c r="AD247" s="63"/>
      <c r="AE247" s="63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83" customFormat="1" x14ac:dyDescent="0.2">
      <c r="A248" s="82" t="s">
        <v>101</v>
      </c>
      <c r="AB248" s="72"/>
      <c r="AC248" s="72"/>
      <c r="AD248" s="72"/>
      <c r="AE248" s="72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66" customFormat="1" x14ac:dyDescent="0.2">
      <c r="A249" s="66" t="s">
        <v>471</v>
      </c>
      <c r="AB249" s="50"/>
      <c r="AC249" s="50"/>
      <c r="AD249" s="50"/>
      <c r="AE249" s="50"/>
      <c r="AL249" s="66">
        <f t="shared" ref="AL249:BQ249" si="2147">SUM(AI34:AL34)</f>
        <v>3227.44</v>
      </c>
      <c r="AM249" s="66">
        <f t="shared" si="2147"/>
        <v>3283.5699999999997</v>
      </c>
      <c r="AN249" s="66">
        <f t="shared" si="2147"/>
        <v>3365.69</v>
      </c>
      <c r="AO249" s="66">
        <f t="shared" si="2147"/>
        <v>3988.75</v>
      </c>
      <c r="AP249" s="66">
        <f t="shared" si="2147"/>
        <v>4066.1899999999996</v>
      </c>
      <c r="AQ249" s="66">
        <f t="shared" si="2147"/>
        <v>4094.95</v>
      </c>
      <c r="AR249" s="66">
        <f t="shared" si="2147"/>
        <v>4136.03</v>
      </c>
      <c r="AS249" s="66">
        <f t="shared" si="2147"/>
        <v>4175.3</v>
      </c>
      <c r="AT249" s="66">
        <f t="shared" si="2147"/>
        <v>4188.6400000000003</v>
      </c>
      <c r="AU249" s="66">
        <f t="shared" si="2147"/>
        <v>4284.1000000000004</v>
      </c>
      <c r="AV249" s="66">
        <f t="shared" si="2147"/>
        <v>4241.47</v>
      </c>
      <c r="AW249" s="66">
        <f t="shared" si="2147"/>
        <v>4196.7800000000007</v>
      </c>
      <c r="AX249" s="66">
        <f t="shared" si="2147"/>
        <v>4317.93</v>
      </c>
      <c r="AY249" s="66">
        <f t="shared" si="2147"/>
        <v>4231.6400000000003</v>
      </c>
      <c r="AZ249" s="66">
        <f t="shared" si="2147"/>
        <v>4224.5400000000009</v>
      </c>
      <c r="BA249" s="66">
        <f t="shared" si="2147"/>
        <v>4194.4399999999996</v>
      </c>
      <c r="BB249" s="66">
        <f t="shared" si="2147"/>
        <v>4018.21</v>
      </c>
      <c r="BC249" s="66">
        <f t="shared" si="2147"/>
        <v>3982.74</v>
      </c>
      <c r="BD249" s="66">
        <f t="shared" si="2147"/>
        <v>3947.14</v>
      </c>
      <c r="BE249" s="66">
        <f t="shared" si="2147"/>
        <v>4012.3100000000004</v>
      </c>
      <c r="BF249" s="66">
        <f t="shared" si="2147"/>
        <v>4103.55</v>
      </c>
      <c r="BG249" s="66">
        <f t="shared" si="2147"/>
        <v>4172.09</v>
      </c>
      <c r="BH249" s="66">
        <f t="shared" si="2147"/>
        <v>4284.95</v>
      </c>
      <c r="BI249" s="66">
        <f t="shared" si="2147"/>
        <v>4411.1399999999994</v>
      </c>
      <c r="BJ249" s="66">
        <f t="shared" si="2147"/>
        <v>4512</v>
      </c>
      <c r="BK249" s="66">
        <f t="shared" si="2147"/>
        <v>4552.3</v>
      </c>
      <c r="BL249" s="66">
        <f t="shared" si="2147"/>
        <v>4595.21</v>
      </c>
      <c r="BM249" s="66">
        <f t="shared" si="2147"/>
        <v>4644.4799999999996</v>
      </c>
      <c r="BN249" s="66">
        <f t="shared" si="2147"/>
        <v>4463.1399999999994</v>
      </c>
      <c r="BO249" s="66">
        <f t="shared" si="2147"/>
        <v>3586.75</v>
      </c>
      <c r="BP249" s="66">
        <f t="shared" si="2147"/>
        <v>2835.98</v>
      </c>
      <c r="BQ249" s="66">
        <f t="shared" si="2147"/>
        <v>2023.1200000000003</v>
      </c>
      <c r="BR249" s="66">
        <f t="shared" ref="BR249:CW249" si="2148">SUM(BO34:BR34)</f>
        <v>1575.16</v>
      </c>
      <c r="BS249" s="66">
        <f t="shared" si="2148"/>
        <v>1776.1</v>
      </c>
      <c r="BT249" s="66">
        <f t="shared" si="2148"/>
        <v>2247.8000000000002</v>
      </c>
      <c r="BU249" s="66">
        <f t="shared" si="2148"/>
        <v>2799.16</v>
      </c>
      <c r="BV249" s="66">
        <f t="shared" si="2148"/>
        <v>3056.2200000000003</v>
      </c>
      <c r="BW249" s="66">
        <f t="shared" si="2148"/>
        <v>3977.74</v>
      </c>
      <c r="BX249" s="66">
        <f t="shared" si="2148"/>
        <v>4481.9799999999996</v>
      </c>
      <c r="BY249" s="66">
        <f t="shared" si="2148"/>
        <v>5056.5600000000004</v>
      </c>
      <c r="BZ249" s="66">
        <f t="shared" si="2148"/>
        <v>5809.91</v>
      </c>
      <c r="CA249" s="66">
        <f t="shared" si="2148"/>
        <v>6010.21</v>
      </c>
      <c r="CB249" s="66">
        <f t="shared" si="2148"/>
        <v>6210.8</v>
      </c>
      <c r="CC249" s="66">
        <f t="shared" si="2148"/>
        <v>6488.84</v>
      </c>
      <c r="CD249" s="66">
        <f t="shared" si="2148"/>
        <v>6768.75</v>
      </c>
      <c r="CE249" s="66">
        <f t="shared" si="2148"/>
        <v>6852.6100000000006</v>
      </c>
      <c r="CF249" s="66">
        <f t="shared" si="2148"/>
        <v>7245.53</v>
      </c>
      <c r="CG249" s="66">
        <f t="shared" si="2148"/>
        <v>7814.74</v>
      </c>
      <c r="CH249" s="66">
        <f t="shared" si="2148"/>
        <v>8334.5399999999991</v>
      </c>
      <c r="CI249" s="66">
        <f t="shared" si="2148"/>
        <v>8825.39</v>
      </c>
      <c r="CJ249" s="66">
        <f t="shared" si="2148"/>
        <v>9040.16</v>
      </c>
      <c r="CK249" s="66">
        <f t="shared" si="2148"/>
        <v>9349.07</v>
      </c>
      <c r="CL249" s="66">
        <f t="shared" si="2148"/>
        <v>9689.2200000000012</v>
      </c>
      <c r="CM249" s="50">
        <f t="shared" si="2148"/>
        <v>10345.759758099675</v>
      </c>
      <c r="CN249" s="50">
        <f t="shared" si="2148"/>
        <v>11015.929047691308</v>
      </c>
      <c r="CO249" s="50">
        <f t="shared" si="2148"/>
        <v>10930.274795942589</v>
      </c>
      <c r="CP249" s="50">
        <f t="shared" si="2148"/>
        <v>10884.819311307354</v>
      </c>
      <c r="CQ249" s="50">
        <f t="shared" si="2148"/>
        <v>11031.614520893776</v>
      </c>
      <c r="CR249" s="50">
        <f t="shared" si="2148"/>
        <v>11200.537364592714</v>
      </c>
      <c r="CS249" s="50">
        <f t="shared" si="2148"/>
        <v>11365.855757437992</v>
      </c>
      <c r="CT249" s="50">
        <f t="shared" si="2148"/>
        <v>11608.32696678337</v>
      </c>
      <c r="CU249" s="50">
        <f t="shared" si="2148"/>
        <v>11787.898797849473</v>
      </c>
      <c r="CV249" s="50">
        <f t="shared" si="2148"/>
        <v>11976.470150376896</v>
      </c>
      <c r="CW249" s="50">
        <f t="shared" si="2148"/>
        <v>12170.417404052314</v>
      </c>
      <c r="CX249" s="50">
        <f t="shared" ref="CX249:DB249" si="2149">SUM(CU34:CX34)</f>
        <v>12372.16090184034</v>
      </c>
      <c r="CY249" s="50">
        <f t="shared" si="2149"/>
        <v>12562.809971566936</v>
      </c>
      <c r="CZ249" s="50">
        <f t="shared" si="2149"/>
        <v>12756.477268149969</v>
      </c>
      <c r="DA249" s="50">
        <f t="shared" si="2149"/>
        <v>12951.528355713199</v>
      </c>
      <c r="DB249" s="50">
        <f t="shared" si="2149"/>
        <v>13146.876714471027</v>
      </c>
      <c r="DE249" s="138"/>
      <c r="DF249" s="66">
        <v>9755.6071346929893</v>
      </c>
    </row>
    <row r="250" spans="1:110" s="66" customFormat="1" x14ac:dyDescent="0.2">
      <c r="A250" s="66" t="s">
        <v>472</v>
      </c>
      <c r="AB250" s="50"/>
      <c r="AC250" s="50"/>
      <c r="AD250" s="50"/>
      <c r="AE250" s="50"/>
      <c r="AL250" s="66">
        <f t="shared" ref="AL250:BQ250" si="2150">SUM(AI52:AL52)</f>
        <v>479.05</v>
      </c>
      <c r="AM250" s="66">
        <f t="shared" si="2150"/>
        <v>483.92999999999989</v>
      </c>
      <c r="AN250" s="66">
        <f t="shared" si="2150"/>
        <v>483.82999999999987</v>
      </c>
      <c r="AO250" s="66">
        <f t="shared" si="2150"/>
        <v>577.91999999999985</v>
      </c>
      <c r="AP250" s="66">
        <f t="shared" si="2150"/>
        <v>559.56999999999982</v>
      </c>
      <c r="AQ250" s="66">
        <f t="shared" si="2150"/>
        <v>533.41999999999985</v>
      </c>
      <c r="AR250" s="66">
        <f t="shared" si="2150"/>
        <v>509.94999999999993</v>
      </c>
      <c r="AS250" s="66">
        <f t="shared" si="2150"/>
        <v>501.75000000000011</v>
      </c>
      <c r="AT250" s="66">
        <f t="shared" si="2150"/>
        <v>488.58000000000004</v>
      </c>
      <c r="AU250" s="66">
        <f t="shared" si="2150"/>
        <v>514.87000000000012</v>
      </c>
      <c r="AV250" s="66">
        <f t="shared" si="2150"/>
        <v>557.83000000000004</v>
      </c>
      <c r="AW250" s="66">
        <f t="shared" si="2150"/>
        <v>571.95000000000005</v>
      </c>
      <c r="AX250" s="66">
        <f t="shared" si="2150"/>
        <v>598.06000000000006</v>
      </c>
      <c r="AY250" s="66">
        <f t="shared" si="2150"/>
        <v>585.77</v>
      </c>
      <c r="AZ250" s="66">
        <f t="shared" si="2150"/>
        <v>598.67999999999995</v>
      </c>
      <c r="BA250" s="66">
        <f t="shared" si="2150"/>
        <v>614.29999999999984</v>
      </c>
      <c r="BB250" s="66">
        <f t="shared" si="2150"/>
        <v>609.61999999999978</v>
      </c>
      <c r="BC250" s="66">
        <f t="shared" si="2150"/>
        <v>605.97999999999979</v>
      </c>
      <c r="BD250" s="66">
        <f t="shared" si="2150"/>
        <v>589.89999999999986</v>
      </c>
      <c r="BE250" s="66">
        <f t="shared" si="2150"/>
        <v>603.36999999999989</v>
      </c>
      <c r="BF250" s="66">
        <f t="shared" si="2150"/>
        <v>670.34999999999991</v>
      </c>
      <c r="BG250" s="66">
        <f t="shared" si="2150"/>
        <v>690.42000000000007</v>
      </c>
      <c r="BH250" s="66">
        <f t="shared" si="2150"/>
        <v>735.06999999999994</v>
      </c>
      <c r="BI250" s="66">
        <f t="shared" si="2150"/>
        <v>790.1</v>
      </c>
      <c r="BJ250" s="66">
        <f t="shared" si="2150"/>
        <v>829.7299999999999</v>
      </c>
      <c r="BK250" s="66">
        <f t="shared" si="2150"/>
        <v>892.50999999999976</v>
      </c>
      <c r="BL250" s="66">
        <f t="shared" si="2150"/>
        <v>953.7399999999999</v>
      </c>
      <c r="BM250" s="66">
        <f t="shared" si="2150"/>
        <v>1043.9199999999998</v>
      </c>
      <c r="BN250" s="66">
        <f t="shared" si="2150"/>
        <v>967.53000000000009</v>
      </c>
      <c r="BO250" s="66">
        <f t="shared" si="2150"/>
        <v>528.10000000000014</v>
      </c>
      <c r="BP250" s="66">
        <f t="shared" si="2150"/>
        <v>217.30000000000013</v>
      </c>
      <c r="BQ250" s="66">
        <f t="shared" si="2150"/>
        <v>-225.15999999999985</v>
      </c>
      <c r="BR250" s="66">
        <f t="shared" ref="BR250:CW250" si="2151">SUM(BO52:BR52)</f>
        <v>-361.75999999999993</v>
      </c>
      <c r="BS250" s="66">
        <f t="shared" si="2151"/>
        <v>-244.58999999999992</v>
      </c>
      <c r="BT250" s="66">
        <f t="shared" si="2151"/>
        <v>-21.409999999999911</v>
      </c>
      <c r="BU250" s="66">
        <f t="shared" si="2151"/>
        <v>317.08000000000004</v>
      </c>
      <c r="BV250" s="66">
        <f t="shared" si="2151"/>
        <v>404.75000000000006</v>
      </c>
      <c r="BW250" s="66">
        <f t="shared" si="2151"/>
        <v>931.44999999999993</v>
      </c>
      <c r="BX250" s="66">
        <f t="shared" si="2151"/>
        <v>1152.5899999999997</v>
      </c>
      <c r="BY250" s="66">
        <f t="shared" si="2151"/>
        <v>1428.0499999999997</v>
      </c>
      <c r="BZ250" s="66">
        <f t="shared" si="2151"/>
        <v>1804.5599999999997</v>
      </c>
      <c r="CA250" s="66">
        <f t="shared" si="2151"/>
        <v>1836.8499999999997</v>
      </c>
      <c r="CB250" s="66">
        <f t="shared" si="2151"/>
        <v>1897.65</v>
      </c>
      <c r="CC250" s="66">
        <f t="shared" si="2151"/>
        <v>2032.82</v>
      </c>
      <c r="CD250" s="66">
        <f t="shared" si="2151"/>
        <v>2157.13</v>
      </c>
      <c r="CE250" s="66">
        <f t="shared" si="2151"/>
        <v>2196.56</v>
      </c>
      <c r="CF250" s="66">
        <f t="shared" si="2151"/>
        <v>2343.0499999999997</v>
      </c>
      <c r="CG250" s="66">
        <f t="shared" si="2151"/>
        <v>2572.3500000000004</v>
      </c>
      <c r="CH250" s="66">
        <f t="shared" si="2151"/>
        <v>2769.33</v>
      </c>
      <c r="CI250" s="66">
        <f t="shared" si="2151"/>
        <v>2895.76</v>
      </c>
      <c r="CJ250" s="66">
        <f t="shared" si="2151"/>
        <v>2964.6099999999997</v>
      </c>
      <c r="CK250" s="66">
        <f t="shared" si="2151"/>
        <v>3078.75</v>
      </c>
      <c r="CL250" s="66">
        <f t="shared" si="2151"/>
        <v>3194.6499999999996</v>
      </c>
      <c r="CM250" s="50">
        <f t="shared" si="2151"/>
        <v>3489.8578914481432</v>
      </c>
      <c r="CN250" s="50">
        <f t="shared" si="2151"/>
        <v>3822.9332920811735</v>
      </c>
      <c r="CO250" s="50">
        <f t="shared" si="2151"/>
        <v>3702.4573725544378</v>
      </c>
      <c r="CP250" s="50">
        <f t="shared" si="2151"/>
        <v>3650.7587788053661</v>
      </c>
      <c r="CQ250" s="50">
        <f t="shared" si="2151"/>
        <v>3781.752186509495</v>
      </c>
      <c r="CR250" s="50">
        <f t="shared" si="2151"/>
        <v>3913.8684238644455</v>
      </c>
      <c r="CS250" s="50">
        <f t="shared" si="2151"/>
        <v>4027.4770107535714</v>
      </c>
      <c r="CT250" s="50">
        <f t="shared" si="2151"/>
        <v>4204.172584751961</v>
      </c>
      <c r="CU250" s="50">
        <f t="shared" si="2151"/>
        <v>4296.8213538898008</v>
      </c>
      <c r="CV250" s="50">
        <f t="shared" si="2151"/>
        <v>4379.9781938066553</v>
      </c>
      <c r="CW250" s="50">
        <f t="shared" si="2151"/>
        <v>4450.532652859235</v>
      </c>
      <c r="CX250" s="50">
        <f t="shared" ref="CX250:DB250" si="2152">SUM(CU52:CX52)</f>
        <v>4509.9902252259626</v>
      </c>
      <c r="CY250" s="50">
        <f t="shared" si="2152"/>
        <v>4586.8592390260328</v>
      </c>
      <c r="CZ250" s="50">
        <f t="shared" si="2152"/>
        <v>4659.4741853172454</v>
      </c>
      <c r="DA250" s="50">
        <f t="shared" si="2152"/>
        <v>4729.2362527276282</v>
      </c>
      <c r="DB250" s="50">
        <f t="shared" si="2152"/>
        <v>4798.7868762363123</v>
      </c>
      <c r="DE250" s="138"/>
      <c r="DF250" s="66">
        <v>3301.0052489365198</v>
      </c>
    </row>
    <row r="251" spans="1:110" s="66" customFormat="1" x14ac:dyDescent="0.2">
      <c r="A251" s="66" t="s">
        <v>473</v>
      </c>
      <c r="AB251" s="50"/>
      <c r="AC251" s="50"/>
      <c r="AD251" s="50"/>
      <c r="AE251" s="50"/>
      <c r="AL251" s="66">
        <f t="shared" ref="AL251:BQ251" si="2153">SUM(AI65:AL65)</f>
        <v>45.810000000000016</v>
      </c>
      <c r="AM251" s="66">
        <f t="shared" si="2153"/>
        <v>56.019999999999897</v>
      </c>
      <c r="AN251" s="66">
        <f t="shared" si="2153"/>
        <v>56.859999999999872</v>
      </c>
      <c r="AO251" s="66">
        <f t="shared" si="2153"/>
        <v>68.179999999999836</v>
      </c>
      <c r="AP251" s="66">
        <f t="shared" si="2153"/>
        <v>31.729999999999812</v>
      </c>
      <c r="AQ251" s="66">
        <f t="shared" si="2153"/>
        <v>13.009999999999831</v>
      </c>
      <c r="AR251" s="66">
        <f t="shared" si="2153"/>
        <v>-21.000000000000099</v>
      </c>
      <c r="AS251" s="66">
        <f t="shared" si="2153"/>
        <v>-8.5399999999998926</v>
      </c>
      <c r="AT251" s="66">
        <f t="shared" si="2153"/>
        <v>5.8300000000000551</v>
      </c>
      <c r="AU251" s="66">
        <f t="shared" si="2153"/>
        <v>20.580000000000137</v>
      </c>
      <c r="AV251" s="66">
        <f t="shared" si="2153"/>
        <v>27.770000000000067</v>
      </c>
      <c r="AW251" s="66">
        <f t="shared" si="2153"/>
        <v>-17.039999999999921</v>
      </c>
      <c r="AX251" s="66">
        <f t="shared" si="2153"/>
        <v>-42.889999999999915</v>
      </c>
      <c r="AY251" s="66">
        <f t="shared" si="2153"/>
        <v>-93.259999999999991</v>
      </c>
      <c r="AZ251" s="66">
        <f t="shared" si="2153"/>
        <v>-108.92000000000002</v>
      </c>
      <c r="BA251" s="66">
        <f t="shared" si="2153"/>
        <v>-73.040000000000134</v>
      </c>
      <c r="BB251" s="66">
        <f t="shared" si="2153"/>
        <v>-72.380000000000194</v>
      </c>
      <c r="BC251" s="66">
        <f t="shared" si="2153"/>
        <v>-63.890000000000192</v>
      </c>
      <c r="BD251" s="66">
        <f t="shared" si="2153"/>
        <v>-24.820000000000114</v>
      </c>
      <c r="BE251" s="66">
        <f t="shared" si="2153"/>
        <v>-37.420000000000087</v>
      </c>
      <c r="BF251" s="66">
        <f t="shared" si="2153"/>
        <v>40.779999999999902</v>
      </c>
      <c r="BG251" s="66">
        <f t="shared" si="2153"/>
        <v>96.160000000000053</v>
      </c>
      <c r="BH251" s="66">
        <f t="shared" si="2153"/>
        <v>156.91999999999993</v>
      </c>
      <c r="BI251" s="66">
        <f t="shared" si="2153"/>
        <v>207.16000000000003</v>
      </c>
      <c r="BJ251" s="66">
        <f t="shared" si="2153"/>
        <v>238.00999999999991</v>
      </c>
      <c r="BK251" s="66">
        <f t="shared" si="2153"/>
        <v>235.82999999999979</v>
      </c>
      <c r="BL251" s="66">
        <f t="shared" si="2153"/>
        <v>308.95999999999992</v>
      </c>
      <c r="BM251" s="66">
        <f t="shared" si="2153"/>
        <v>385.2799999999998</v>
      </c>
      <c r="BN251" s="66">
        <f t="shared" si="2153"/>
        <v>309.82000000000005</v>
      </c>
      <c r="BO251" s="66">
        <f t="shared" si="2153"/>
        <v>-51.009999999999877</v>
      </c>
      <c r="BP251" s="66">
        <f t="shared" si="2153"/>
        <v>-371.55999999999983</v>
      </c>
      <c r="BQ251" s="66">
        <f t="shared" si="2153"/>
        <v>-712.18999999999983</v>
      </c>
      <c r="BR251" s="66">
        <f t="shared" ref="BR251:CW251" si="2154">SUM(BO65:BR65)</f>
        <v>-854.15999999999985</v>
      </c>
      <c r="BS251" s="66">
        <f t="shared" si="2154"/>
        <v>-791.54</v>
      </c>
      <c r="BT251" s="66">
        <f t="shared" si="2154"/>
        <v>-658.86999999999989</v>
      </c>
      <c r="BU251" s="66">
        <f t="shared" si="2154"/>
        <v>-416.65</v>
      </c>
      <c r="BV251" s="66">
        <f t="shared" si="2154"/>
        <v>-238.01999999999998</v>
      </c>
      <c r="BW251" s="66">
        <f t="shared" si="2154"/>
        <v>227.61999999999995</v>
      </c>
      <c r="BX251" s="66">
        <f t="shared" si="2154"/>
        <v>447.17999999999978</v>
      </c>
      <c r="BY251" s="66">
        <f t="shared" si="2154"/>
        <v>729.47999999999979</v>
      </c>
      <c r="BZ251" s="66">
        <f t="shared" si="2154"/>
        <v>968.13999999999987</v>
      </c>
      <c r="CA251" s="66">
        <f t="shared" si="2154"/>
        <v>1003.4799999999997</v>
      </c>
      <c r="CB251" s="66">
        <f t="shared" si="2154"/>
        <v>1051.3499999999999</v>
      </c>
      <c r="CC251" s="66">
        <f t="shared" si="2154"/>
        <v>1110.52</v>
      </c>
      <c r="CD251" s="66">
        <f t="shared" si="2154"/>
        <v>1201.5899999999999</v>
      </c>
      <c r="CE251" s="66">
        <f t="shared" si="2154"/>
        <v>1225.2</v>
      </c>
      <c r="CF251" s="66">
        <f t="shared" si="2154"/>
        <v>1331.1399999999996</v>
      </c>
      <c r="CG251" s="66">
        <f t="shared" si="2154"/>
        <v>1506.97</v>
      </c>
      <c r="CH251" s="66">
        <f t="shared" si="2154"/>
        <v>1656.45</v>
      </c>
      <c r="CI251" s="66">
        <f t="shared" si="2154"/>
        <v>1741.6599999999999</v>
      </c>
      <c r="CJ251" s="66">
        <f t="shared" si="2154"/>
        <v>1791.99</v>
      </c>
      <c r="CK251" s="66">
        <f t="shared" si="2154"/>
        <v>1836.9799999999996</v>
      </c>
      <c r="CL251" s="66">
        <f t="shared" si="2154"/>
        <v>1919.63</v>
      </c>
      <c r="CM251" s="50">
        <f t="shared" si="2154"/>
        <v>2114.1997763935406</v>
      </c>
      <c r="CN251" s="50">
        <f t="shared" si="2154"/>
        <v>2337.3123555015268</v>
      </c>
      <c r="CO251" s="50">
        <f t="shared" si="2154"/>
        <v>2263.2019560607487</v>
      </c>
      <c r="CP251" s="50">
        <f t="shared" si="2154"/>
        <v>2204.5050855093837</v>
      </c>
      <c r="CQ251" s="50">
        <f t="shared" si="2154"/>
        <v>2314.5760271044405</v>
      </c>
      <c r="CR251" s="50">
        <f t="shared" si="2154"/>
        <v>2430.3698970065839</v>
      </c>
      <c r="CS251" s="50">
        <f t="shared" si="2154"/>
        <v>2533.7858744551236</v>
      </c>
      <c r="CT251" s="50">
        <f t="shared" si="2154"/>
        <v>2685.285341134776</v>
      </c>
      <c r="CU251" s="50">
        <f t="shared" si="2154"/>
        <v>2771.765882106225</v>
      </c>
      <c r="CV251" s="50">
        <f t="shared" si="2154"/>
        <v>2849.506809676288</v>
      </c>
      <c r="CW251" s="50">
        <f t="shared" si="2154"/>
        <v>2914.0881742801471</v>
      </c>
      <c r="CX251" s="50">
        <f t="shared" ref="CX251:DB251" si="2155">SUM(CU65:CX65)</f>
        <v>2965.006234063394</v>
      </c>
      <c r="CY251" s="50">
        <f t="shared" si="2155"/>
        <v>3035.9184672418701</v>
      </c>
      <c r="CZ251" s="50">
        <f t="shared" si="2155"/>
        <v>3102.5125117337061</v>
      </c>
      <c r="DA251" s="50">
        <f t="shared" si="2155"/>
        <v>3166.0211100712695</v>
      </c>
      <c r="DB251" s="50">
        <f t="shared" si="2155"/>
        <v>3229.2267156480493</v>
      </c>
      <c r="DE251" s="138"/>
      <c r="DF251" s="66">
        <v>1948.7020607825216</v>
      </c>
    </row>
    <row r="252" spans="1:110" s="93" customFormat="1" x14ac:dyDescent="0.2">
      <c r="AB252" s="30"/>
      <c r="AC252" s="30"/>
      <c r="AD252" s="30"/>
      <c r="AE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11" customFormat="1" x14ac:dyDescent="0.2">
      <c r="AB253" s="63"/>
      <c r="AC253" s="63"/>
      <c r="AD253" s="63"/>
      <c r="AE253" s="63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62" customFormat="1" hidden="1" outlineLevel="1" x14ac:dyDescent="0.2">
      <c r="A254" s="61" t="s">
        <v>339</v>
      </c>
      <c r="AB254" s="63"/>
      <c r="AC254" s="63"/>
      <c r="AD254" s="63"/>
      <c r="AE254" s="63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64" customFormat="1" hidden="1" outlineLevel="1" x14ac:dyDescent="0.2">
      <c r="A255" s="64" t="s">
        <v>474</v>
      </c>
      <c r="B255" s="64">
        <f t="shared" ref="B255:Z255" si="2156">B32-B261</f>
        <v>687.5</v>
      </c>
      <c r="C255" s="64">
        <f t="shared" si="2156"/>
        <v>792.22</v>
      </c>
      <c r="D255" s="64">
        <f t="shared" si="2156"/>
        <v>866.61</v>
      </c>
      <c r="E255" s="64">
        <f t="shared" si="2156"/>
        <v>1002.34</v>
      </c>
      <c r="F255" s="64">
        <f t="shared" si="2156"/>
        <v>1313.53</v>
      </c>
      <c r="G255" s="64">
        <f t="shared" si="2156"/>
        <v>1837.31</v>
      </c>
      <c r="H255" s="64">
        <f t="shared" si="2156"/>
        <v>2506.25</v>
      </c>
      <c r="I255" s="64">
        <f t="shared" si="2156"/>
        <v>2920.03</v>
      </c>
      <c r="J255" s="64">
        <f t="shared" si="2156"/>
        <v>2686.13</v>
      </c>
      <c r="K255" s="64">
        <f t="shared" si="2156"/>
        <v>2521.02</v>
      </c>
      <c r="L255" s="64">
        <f t="shared" si="2156"/>
        <v>2862.47</v>
      </c>
      <c r="M255" s="64">
        <f t="shared" si="2156"/>
        <v>3443.52</v>
      </c>
      <c r="N255" s="64">
        <f t="shared" si="2156"/>
        <v>3743.36</v>
      </c>
      <c r="O255" s="64">
        <f t="shared" si="2156"/>
        <v>4066.19</v>
      </c>
      <c r="P255" s="64">
        <f t="shared" si="2156"/>
        <v>4188.6400000000003</v>
      </c>
      <c r="Q255" s="64">
        <f t="shared" si="2156"/>
        <v>4023.02</v>
      </c>
      <c r="R255" s="64">
        <f t="shared" si="2156"/>
        <v>4020.57</v>
      </c>
      <c r="S255" s="64">
        <f t="shared" si="2156"/>
        <v>4103.55</v>
      </c>
      <c r="T255" s="64">
        <f t="shared" si="2156"/>
        <v>4512</v>
      </c>
      <c r="U255" s="64">
        <f t="shared" si="2156"/>
        <v>4463.1400000000003</v>
      </c>
      <c r="V255" s="64">
        <f t="shared" si="2156"/>
        <v>1575.16</v>
      </c>
      <c r="W255" s="64">
        <f t="shared" si="2156"/>
        <v>3056.22</v>
      </c>
      <c r="X255" s="64">
        <f t="shared" si="2156"/>
        <v>5809.91</v>
      </c>
      <c r="Y255" s="64">
        <f t="shared" si="2156"/>
        <v>6768.75</v>
      </c>
      <c r="Z255" s="64">
        <f t="shared" si="2156"/>
        <v>8334.5400000000009</v>
      </c>
      <c r="AA255" s="64">
        <f t="shared" ref="AA255" si="2157">AA32-AA261</f>
        <v>9689.2199999999993</v>
      </c>
      <c r="AB255" s="30"/>
      <c r="AC255" s="30"/>
      <c r="AD255" s="30"/>
      <c r="AE255" s="30"/>
      <c r="AI255" s="64">
        <f t="shared" ref="AI255:BN255" si="2158">AI32-AI261</f>
        <v>852.57</v>
      </c>
      <c r="AJ255" s="64">
        <f t="shared" si="2158"/>
        <v>813.8</v>
      </c>
      <c r="AK255" s="64">
        <f t="shared" si="2158"/>
        <v>544.54999999999995</v>
      </c>
      <c r="AL255" s="64">
        <f t="shared" si="2158"/>
        <v>1016.52</v>
      </c>
      <c r="AM255" s="64">
        <f t="shared" si="2158"/>
        <v>908.7</v>
      </c>
      <c r="AN255" s="64">
        <f t="shared" si="2158"/>
        <v>895.92</v>
      </c>
      <c r="AO255" s="64">
        <f t="shared" si="2158"/>
        <v>1167.6099999999999</v>
      </c>
      <c r="AP255" s="64">
        <f t="shared" si="2158"/>
        <v>1093.96</v>
      </c>
      <c r="AQ255" s="64">
        <f t="shared" si="2158"/>
        <v>937.46</v>
      </c>
      <c r="AR255" s="64">
        <f t="shared" si="2158"/>
        <v>937</v>
      </c>
      <c r="AS255" s="64">
        <f t="shared" si="2158"/>
        <v>1206.8800000000001</v>
      </c>
      <c r="AT255" s="64">
        <f t="shared" si="2158"/>
        <v>1107.3</v>
      </c>
      <c r="AU255" s="64">
        <f t="shared" si="2158"/>
        <v>1032.92</v>
      </c>
      <c r="AV255" s="64">
        <f t="shared" si="2158"/>
        <v>894.37</v>
      </c>
      <c r="AW255" s="64">
        <f t="shared" si="2158"/>
        <v>1162.19</v>
      </c>
      <c r="AX255" s="64">
        <f t="shared" si="2158"/>
        <v>1228.45</v>
      </c>
      <c r="AY255" s="64">
        <f t="shared" si="2158"/>
        <v>946.63</v>
      </c>
      <c r="AZ255" s="64">
        <f t="shared" si="2158"/>
        <v>887.27</v>
      </c>
      <c r="BA255" s="64">
        <f t="shared" si="2158"/>
        <v>1132.0899999999999</v>
      </c>
      <c r="BB255" s="64">
        <f t="shared" si="2158"/>
        <v>1052.22</v>
      </c>
      <c r="BC255" s="64">
        <f t="shared" si="2158"/>
        <v>911.16</v>
      </c>
      <c r="BD255" s="64">
        <f t="shared" si="2158"/>
        <v>851.67</v>
      </c>
      <c r="BE255" s="64">
        <f t="shared" si="2158"/>
        <v>1197.26</v>
      </c>
      <c r="BF255" s="64">
        <f t="shared" si="2158"/>
        <v>1143.46</v>
      </c>
      <c r="BG255" s="64">
        <f t="shared" si="2158"/>
        <v>979.7</v>
      </c>
      <c r="BH255" s="64">
        <f t="shared" si="2158"/>
        <v>964.53</v>
      </c>
      <c r="BI255" s="64">
        <f t="shared" si="2158"/>
        <v>1323.45</v>
      </c>
      <c r="BJ255" s="64">
        <f t="shared" si="2158"/>
        <v>1244.32</v>
      </c>
      <c r="BK255" s="64">
        <f t="shared" si="2158"/>
        <v>1020</v>
      </c>
      <c r="BL255" s="64">
        <f t="shared" si="2158"/>
        <v>1007.44</v>
      </c>
      <c r="BM255" s="64">
        <f t="shared" si="2158"/>
        <v>1372.72</v>
      </c>
      <c r="BN255" s="64">
        <f t="shared" si="2158"/>
        <v>1062.98</v>
      </c>
      <c r="BO255" s="64">
        <f t="shared" ref="BO255:CT255" si="2159">BO32-BO261</f>
        <v>143.61000000000001</v>
      </c>
      <c r="BP255" s="64">
        <f t="shared" si="2159"/>
        <v>256.67</v>
      </c>
      <c r="BQ255" s="64">
        <f t="shared" si="2159"/>
        <v>559.86</v>
      </c>
      <c r="BR255" s="64">
        <f t="shared" si="2159"/>
        <v>615.02</v>
      </c>
      <c r="BS255" s="64">
        <f t="shared" si="2159"/>
        <v>344.55</v>
      </c>
      <c r="BT255" s="64">
        <f t="shared" si="2159"/>
        <v>728.37</v>
      </c>
      <c r="BU255" s="64">
        <f t="shared" si="2159"/>
        <v>1111.22</v>
      </c>
      <c r="BV255" s="64">
        <f t="shared" si="2159"/>
        <v>872.08</v>
      </c>
      <c r="BW255" s="64">
        <f t="shared" si="2159"/>
        <v>1266.07</v>
      </c>
      <c r="BX255" s="64">
        <f t="shared" si="2159"/>
        <v>1232.6099999999999</v>
      </c>
      <c r="BY255" s="64">
        <f t="shared" si="2159"/>
        <v>1685.8</v>
      </c>
      <c r="BZ255" s="64">
        <f t="shared" si="2159"/>
        <v>1625.43</v>
      </c>
      <c r="CA255" s="64">
        <f t="shared" si="2159"/>
        <v>1466.37</v>
      </c>
      <c r="CB255" s="64">
        <f t="shared" si="2159"/>
        <v>1433.2</v>
      </c>
      <c r="CC255" s="64">
        <f t="shared" si="2159"/>
        <v>1963.84</v>
      </c>
      <c r="CD255" s="64">
        <f t="shared" si="2159"/>
        <v>1905.34</v>
      </c>
      <c r="CE255" s="64">
        <f t="shared" si="2159"/>
        <v>1550.23</v>
      </c>
      <c r="CF255" s="64">
        <f t="shared" si="2159"/>
        <v>1826.12</v>
      </c>
      <c r="CG255" s="64">
        <f t="shared" si="2159"/>
        <v>2533.0500000000002</v>
      </c>
      <c r="CH255" s="64">
        <f t="shared" si="2159"/>
        <v>2425.14</v>
      </c>
      <c r="CI255" s="64">
        <f t="shared" si="2159"/>
        <v>2041.08</v>
      </c>
      <c r="CJ255" s="64">
        <f t="shared" si="2159"/>
        <v>2040.89</v>
      </c>
      <c r="CK255" s="64">
        <f t="shared" si="2159"/>
        <v>2841.96</v>
      </c>
      <c r="CL255" s="64">
        <f t="shared" ref="CL255" si="2160">CL32-CL261</f>
        <v>2765.29</v>
      </c>
      <c r="CM255" s="30">
        <f t="shared" si="2159"/>
        <v>2697.619758099675</v>
      </c>
      <c r="CN255" s="30">
        <f t="shared" si="2159"/>
        <v>2711.0592895916348</v>
      </c>
      <c r="CO255" s="30">
        <f t="shared" si="2159"/>
        <v>2756.30574825128</v>
      </c>
      <c r="CP255" s="30">
        <f t="shared" si="2159"/>
        <v>2719.8345153647647</v>
      </c>
      <c r="CQ255" s="30">
        <f t="shared" si="2159"/>
        <v>2844.4149676860957</v>
      </c>
      <c r="CR255" s="30">
        <f t="shared" si="2159"/>
        <v>2879.9821332905749</v>
      </c>
      <c r="CS255" s="30">
        <f t="shared" si="2159"/>
        <v>2921.6241410965549</v>
      </c>
      <c r="CT255" s="30">
        <f t="shared" si="2159"/>
        <v>2962.3057247101465</v>
      </c>
      <c r="CU255" s="30">
        <f t="shared" ref="CU255:DB255" si="2161">CU32-CU261</f>
        <v>3023.9867987521966</v>
      </c>
      <c r="CV255" s="30">
        <f t="shared" si="2161"/>
        <v>3068.5534858179958</v>
      </c>
      <c r="CW255" s="30">
        <f t="shared" si="2161"/>
        <v>3115.5713947719746</v>
      </c>
      <c r="CX255" s="30">
        <f t="shared" si="2161"/>
        <v>3164.0492224981731</v>
      </c>
      <c r="CY255" s="30">
        <f t="shared" si="2161"/>
        <v>3214.635868478792</v>
      </c>
      <c r="CZ255" s="30">
        <f t="shared" si="2161"/>
        <v>3262.2207824010288</v>
      </c>
      <c r="DA255" s="30">
        <f t="shared" si="2161"/>
        <v>3310.622482335204</v>
      </c>
      <c r="DB255" s="30">
        <f t="shared" si="2161"/>
        <v>3359.3975812560025</v>
      </c>
      <c r="DE255" s="139"/>
      <c r="DF255" s="64">
        <v>2831.6771346929895</v>
      </c>
    </row>
    <row r="256" spans="1:110" s="64" customFormat="1" hidden="1" outlineLevel="1" x14ac:dyDescent="0.2">
      <c r="A256" s="64" t="s">
        <v>475</v>
      </c>
      <c r="B256" s="64">
        <f t="shared" ref="B256:Z256" si="2162">B52-B262</f>
        <v>184.76000000000005</v>
      </c>
      <c r="C256" s="64">
        <f t="shared" si="2162"/>
        <v>135.93999999999994</v>
      </c>
      <c r="D256" s="64">
        <f t="shared" si="2162"/>
        <v>143.68999999999994</v>
      </c>
      <c r="E256" s="64">
        <f t="shared" si="2162"/>
        <v>175.66999999999996</v>
      </c>
      <c r="F256" s="64">
        <f t="shared" si="2162"/>
        <v>332.12999999999988</v>
      </c>
      <c r="G256" s="64">
        <f t="shared" si="2162"/>
        <v>508.35999999999967</v>
      </c>
      <c r="H256" s="64">
        <f t="shared" si="2162"/>
        <v>720.48999999999978</v>
      </c>
      <c r="I256" s="64">
        <f t="shared" si="2162"/>
        <v>892.0300000000002</v>
      </c>
      <c r="J256" s="64">
        <f t="shared" si="2162"/>
        <v>510.51</v>
      </c>
      <c r="K256" s="64">
        <f t="shared" si="2162"/>
        <v>398.15000000000009</v>
      </c>
      <c r="L256" s="64">
        <f t="shared" si="2162"/>
        <v>450.81999999999971</v>
      </c>
      <c r="M256" s="64">
        <f t="shared" si="2162"/>
        <v>545.25</v>
      </c>
      <c r="N256" s="64">
        <f t="shared" si="2162"/>
        <v>537.63999999999987</v>
      </c>
      <c r="O256" s="64">
        <f t="shared" si="2162"/>
        <v>559.57000000000016</v>
      </c>
      <c r="P256" s="64">
        <f t="shared" si="2162"/>
        <v>488.58000000000038</v>
      </c>
      <c r="Q256" s="64">
        <f t="shared" si="2162"/>
        <v>552.16000000000031</v>
      </c>
      <c r="R256" s="64">
        <f t="shared" si="2162"/>
        <v>609.61999999999989</v>
      </c>
      <c r="S256" s="64">
        <f t="shared" si="2162"/>
        <v>670.34999999999991</v>
      </c>
      <c r="T256" s="64">
        <f t="shared" si="2162"/>
        <v>829.72999999999956</v>
      </c>
      <c r="U256" s="64">
        <f t="shared" si="2162"/>
        <v>967.53000000000065</v>
      </c>
      <c r="V256" s="64">
        <f t="shared" si="2162"/>
        <v>-361.75999999999976</v>
      </c>
      <c r="W256" s="64">
        <f t="shared" si="2162"/>
        <v>404.75</v>
      </c>
      <c r="X256" s="64">
        <f t="shared" si="2162"/>
        <v>1804.4299999999994</v>
      </c>
      <c r="Y256" s="64">
        <f t="shared" si="2162"/>
        <v>2157.1299999999992</v>
      </c>
      <c r="Z256" s="64">
        <f t="shared" si="2162"/>
        <v>2769.3300000000008</v>
      </c>
      <c r="AA256" s="64">
        <f t="shared" ref="AA256" si="2163">AA52-AA262</f>
        <v>3194.6499999999996</v>
      </c>
      <c r="AB256" s="30"/>
      <c r="AC256" s="30"/>
      <c r="AD256" s="30"/>
      <c r="AE256" s="30"/>
      <c r="AI256" s="64">
        <f t="shared" ref="AI256:BN256" si="2164">AI52-AI262</f>
        <v>101.5</v>
      </c>
      <c r="AJ256" s="64">
        <f t="shared" si="2164"/>
        <v>38.360000000000014</v>
      </c>
      <c r="AK256" s="64">
        <f t="shared" si="2164"/>
        <v>151.40999999999991</v>
      </c>
      <c r="AL256" s="64">
        <f t="shared" si="2164"/>
        <v>187.78000000000009</v>
      </c>
      <c r="AM256" s="64">
        <f t="shared" si="2164"/>
        <v>106.37999999999988</v>
      </c>
      <c r="AN256" s="64">
        <f t="shared" si="2164"/>
        <v>38.259999999999991</v>
      </c>
      <c r="AO256" s="64">
        <f t="shared" si="2164"/>
        <v>245.49999999999989</v>
      </c>
      <c r="AP256" s="64">
        <f t="shared" si="2164"/>
        <v>169.43000000000006</v>
      </c>
      <c r="AQ256" s="64">
        <f t="shared" si="2164"/>
        <v>80.229999999999905</v>
      </c>
      <c r="AR256" s="64">
        <f t="shared" si="2164"/>
        <v>14.790000000000077</v>
      </c>
      <c r="AS256" s="64">
        <f t="shared" si="2164"/>
        <v>237.30000000000007</v>
      </c>
      <c r="AT256" s="64">
        <f t="shared" si="2164"/>
        <v>156.26</v>
      </c>
      <c r="AU256" s="64">
        <f t="shared" si="2164"/>
        <v>106.51999999999998</v>
      </c>
      <c r="AV256" s="64">
        <f t="shared" si="2164"/>
        <v>57.75</v>
      </c>
      <c r="AW256" s="64">
        <f t="shared" si="2164"/>
        <v>251.42000000000007</v>
      </c>
      <c r="AX256" s="64">
        <f t="shared" si="2164"/>
        <v>182.37</v>
      </c>
      <c r="AY256" s="64">
        <f t="shared" si="2164"/>
        <v>94.229999999999905</v>
      </c>
      <c r="AZ256" s="64">
        <f t="shared" si="2164"/>
        <v>70.659999999999968</v>
      </c>
      <c r="BA256" s="64">
        <f t="shared" si="2164"/>
        <v>267.03999999999996</v>
      </c>
      <c r="BB256" s="64">
        <f t="shared" si="2164"/>
        <v>177.68999999999994</v>
      </c>
      <c r="BC256" s="64">
        <f t="shared" si="2164"/>
        <v>90.589999999999918</v>
      </c>
      <c r="BD256" s="64">
        <f t="shared" si="2164"/>
        <v>54.580000000000041</v>
      </c>
      <c r="BE256" s="64">
        <f t="shared" si="2164"/>
        <v>280.51</v>
      </c>
      <c r="BF256" s="64">
        <f t="shared" si="2164"/>
        <v>244.66999999999996</v>
      </c>
      <c r="BG256" s="64">
        <f t="shared" si="2164"/>
        <v>110.66000000000008</v>
      </c>
      <c r="BH256" s="64">
        <f t="shared" si="2164"/>
        <v>99.229999999999905</v>
      </c>
      <c r="BI256" s="64">
        <f t="shared" si="2164"/>
        <v>335.54000000000008</v>
      </c>
      <c r="BJ256" s="64">
        <f t="shared" si="2164"/>
        <v>284.29999999999984</v>
      </c>
      <c r="BK256" s="64">
        <f t="shared" si="2164"/>
        <v>173.43999999999994</v>
      </c>
      <c r="BL256" s="64">
        <f t="shared" si="2164"/>
        <v>160.46000000000004</v>
      </c>
      <c r="BM256" s="64">
        <f t="shared" si="2164"/>
        <v>425.72</v>
      </c>
      <c r="BN256" s="64">
        <f t="shared" si="2164"/>
        <v>207.91000000000008</v>
      </c>
      <c r="BO256" s="64">
        <f t="shared" ref="BO256:CT256" si="2165">BO52-BO262</f>
        <v>-265.99</v>
      </c>
      <c r="BP256" s="64">
        <f t="shared" si="2165"/>
        <v>-150.33999999999997</v>
      </c>
      <c r="BQ256" s="64">
        <f t="shared" si="2165"/>
        <v>-16.739999999999952</v>
      </c>
      <c r="BR256" s="64">
        <f t="shared" si="2165"/>
        <v>71.31</v>
      </c>
      <c r="BS256" s="64">
        <f t="shared" si="2165"/>
        <v>-148.82</v>
      </c>
      <c r="BT256" s="64">
        <f t="shared" si="2165"/>
        <v>72.840000000000032</v>
      </c>
      <c r="BU256" s="64">
        <f t="shared" si="2165"/>
        <v>321.75</v>
      </c>
      <c r="BV256" s="64">
        <f t="shared" si="2165"/>
        <v>158.98000000000002</v>
      </c>
      <c r="BW256" s="64">
        <f t="shared" si="2165"/>
        <v>377.87999999999988</v>
      </c>
      <c r="BX256" s="64">
        <f t="shared" si="2165"/>
        <v>293.9799999999999</v>
      </c>
      <c r="BY256" s="64">
        <f t="shared" si="2165"/>
        <v>597.21</v>
      </c>
      <c r="BZ256" s="64">
        <f t="shared" si="2165"/>
        <v>535.49</v>
      </c>
      <c r="CA256" s="64">
        <f t="shared" si="2165"/>
        <v>410.16999999999985</v>
      </c>
      <c r="CB256" s="64">
        <f t="shared" si="2165"/>
        <v>354.7800000000002</v>
      </c>
      <c r="CC256" s="64">
        <f t="shared" si="2165"/>
        <v>732.37999999999988</v>
      </c>
      <c r="CD256" s="64">
        <f t="shared" si="2165"/>
        <v>659.8</v>
      </c>
      <c r="CE256" s="64">
        <f t="shared" si="2165"/>
        <v>449.6</v>
      </c>
      <c r="CF256" s="64">
        <f t="shared" si="2165"/>
        <v>501.27</v>
      </c>
      <c r="CG256" s="64">
        <f t="shared" si="2165"/>
        <v>961.68000000000029</v>
      </c>
      <c r="CH256" s="64">
        <f t="shared" si="2165"/>
        <v>856.78</v>
      </c>
      <c r="CI256" s="64">
        <f t="shared" si="2165"/>
        <v>576.02999999999975</v>
      </c>
      <c r="CJ256" s="64">
        <f t="shared" si="2165"/>
        <v>570.12000000000012</v>
      </c>
      <c r="CK256" s="64">
        <f t="shared" si="2165"/>
        <v>1075.82</v>
      </c>
      <c r="CL256" s="64">
        <f t="shared" ref="CL256" si="2166">CL52-CL262</f>
        <v>972.68000000000006</v>
      </c>
      <c r="CM256" s="30">
        <f t="shared" si="2165"/>
        <v>871.2378914481435</v>
      </c>
      <c r="CN256" s="30">
        <f t="shared" si="2165"/>
        <v>903.1954006330302</v>
      </c>
      <c r="CO256" s="30">
        <f t="shared" si="2165"/>
        <v>955.34408047326383</v>
      </c>
      <c r="CP256" s="30">
        <f t="shared" si="2165"/>
        <v>920.98140625092856</v>
      </c>
      <c r="CQ256" s="30">
        <f t="shared" si="2165"/>
        <v>1002.2312991522724</v>
      </c>
      <c r="CR256" s="30">
        <f t="shared" si="2165"/>
        <v>1035.3116379879807</v>
      </c>
      <c r="CS256" s="30">
        <f t="shared" si="2165"/>
        <v>1068.9526673623893</v>
      </c>
      <c r="CT256" s="30">
        <f t="shared" si="2165"/>
        <v>1097.6769802493188</v>
      </c>
      <c r="CU256" s="30">
        <f t="shared" ref="CU256:DB256" si="2167">CU52-CU262</f>
        <v>1094.8800682901119</v>
      </c>
      <c r="CV256" s="30">
        <f t="shared" si="2167"/>
        <v>1118.4684779048353</v>
      </c>
      <c r="CW256" s="30">
        <f t="shared" si="2167"/>
        <v>1139.5071264149685</v>
      </c>
      <c r="CX256" s="30">
        <f t="shared" si="2167"/>
        <v>1157.1345526160464</v>
      </c>
      <c r="CY256" s="30">
        <f t="shared" si="2167"/>
        <v>1171.7490820901821</v>
      </c>
      <c r="CZ256" s="30">
        <f t="shared" si="2167"/>
        <v>1191.0834241960483</v>
      </c>
      <c r="DA256" s="30">
        <f t="shared" si="2167"/>
        <v>1209.2691938253508</v>
      </c>
      <c r="DB256" s="30">
        <f t="shared" si="2167"/>
        <v>1226.6851761247306</v>
      </c>
      <c r="DE256" s="139"/>
      <c r="DF256" s="64">
        <v>1079.03524893652</v>
      </c>
    </row>
    <row r="257" spans="1:110" s="89" customFormat="1" hidden="1" outlineLevel="1" x14ac:dyDescent="0.2">
      <c r="A257" s="86" t="s">
        <v>476</v>
      </c>
      <c r="B257" s="86">
        <f>+B256/B255</f>
        <v>0.26874181818181825</v>
      </c>
      <c r="C257" s="86">
        <f t="shared" ref="C257" si="2168">+C256/C255</f>
        <v>0.17159374921107765</v>
      </c>
      <c r="D257" s="86">
        <f t="shared" ref="D257" si="2169">+D256/D255</f>
        <v>0.16580699507275468</v>
      </c>
      <c r="E257" s="86">
        <f t="shared" ref="E257" si="2170">+E256/E255</f>
        <v>0.17525989185306379</v>
      </c>
      <c r="F257" s="86">
        <f t="shared" ref="F257" si="2171">+F256/F255</f>
        <v>0.25285299917017495</v>
      </c>
      <c r="G257" s="86">
        <f t="shared" ref="G257" si="2172">+G256/G255</f>
        <v>0.27668711322531292</v>
      </c>
      <c r="H257" s="86">
        <f t="shared" ref="H257" si="2173">+H256/H255</f>
        <v>0.28747730673316702</v>
      </c>
      <c r="I257" s="86">
        <f t="shared" ref="I257" si="2174">+I256/I255</f>
        <v>0.30548658746656715</v>
      </c>
      <c r="J257" s="86">
        <f t="shared" ref="J257" si="2175">+J256/J255</f>
        <v>0.19005409269097176</v>
      </c>
      <c r="K257" s="86">
        <f t="shared" ref="K257" si="2176">+K256/K255</f>
        <v>0.15793210684564188</v>
      </c>
      <c r="L257" s="86">
        <f t="shared" ref="L257" si="2177">+L256/L255</f>
        <v>0.15749335364213415</v>
      </c>
      <c r="M257" s="86">
        <f t="shared" ref="M257" si="2178">+M256/M255</f>
        <v>0.15834088374686367</v>
      </c>
      <c r="N257" s="86">
        <f t="shared" ref="N257" si="2179">+N256/N255</f>
        <v>0.14362497862882539</v>
      </c>
      <c r="O257" s="86">
        <f t="shared" ref="O257" si="2180">+O256/O255</f>
        <v>0.1376153106470677</v>
      </c>
      <c r="P257" s="86">
        <f t="shared" ref="P257" si="2181">+P256/P255</f>
        <v>0.11664406585431079</v>
      </c>
      <c r="Q257" s="86">
        <f t="shared" ref="Q257" si="2182">+Q256/Q255</f>
        <v>0.13725012552758881</v>
      </c>
      <c r="R257" s="86">
        <f t="shared" ref="R257" si="2183">+R256/R255</f>
        <v>0.15162526706412272</v>
      </c>
      <c r="S257" s="86">
        <f t="shared" ref="S257" si="2184">+S256/S255</f>
        <v>0.1633585553971561</v>
      </c>
      <c r="T257" s="86">
        <f t="shared" ref="T257" si="2185">+T256/T255</f>
        <v>0.18389406028368785</v>
      </c>
      <c r="U257" s="86">
        <f t="shared" ref="U257" si="2186">+U256/U255</f>
        <v>0.21678235502359339</v>
      </c>
      <c r="V257" s="86">
        <f t="shared" ref="V257" si="2187">+V256/V255</f>
        <v>-0.22966555778460584</v>
      </c>
      <c r="W257" s="86">
        <f t="shared" ref="W257" si="2188">+W256/W255</f>
        <v>0.13243483780617887</v>
      </c>
      <c r="X257" s="86">
        <f t="shared" ref="X257:Y257" si="2189">+X256/X255</f>
        <v>0.31057796076014937</v>
      </c>
      <c r="Y257" s="86">
        <f t="shared" si="2189"/>
        <v>0.31868956602031384</v>
      </c>
      <c r="Z257" s="86">
        <f t="shared" ref="Z257:AA257" si="2190">+Z256/Z255</f>
        <v>0.3322714870886696</v>
      </c>
      <c r="AA257" s="86">
        <f t="shared" si="2190"/>
        <v>0.32971178278540481</v>
      </c>
      <c r="AB257" s="87"/>
      <c r="AC257" s="87"/>
      <c r="AD257" s="87"/>
      <c r="AE257" s="87"/>
      <c r="AF257" s="86"/>
      <c r="AG257" s="86"/>
      <c r="AH257" s="86"/>
      <c r="AI257" s="86">
        <f t="shared" ref="AI257" si="2191">+AI256/AI255</f>
        <v>0.11905180806268106</v>
      </c>
      <c r="AJ257" s="86">
        <f t="shared" ref="AJ257" si="2192">+AJ256/AJ255</f>
        <v>4.7136888670435015E-2</v>
      </c>
      <c r="AK257" s="86">
        <f t="shared" ref="AK257" si="2193">+AK256/AK255</f>
        <v>0.27804609310439798</v>
      </c>
      <c r="AL257" s="86">
        <f t="shared" ref="AL257" si="2194">+AL256/AL255</f>
        <v>0.18472828867115265</v>
      </c>
      <c r="AM257" s="86">
        <f t="shared" ref="AM257" si="2195">+AM256/AM255</f>
        <v>0.11706833938593582</v>
      </c>
      <c r="AN257" s="86">
        <f t="shared" ref="AN257" si="2196">+AN256/AN255</f>
        <v>4.2704705777301538E-2</v>
      </c>
      <c r="AO257" s="86">
        <f t="shared" ref="AO257" si="2197">+AO256/AO255</f>
        <v>0.21025856236243259</v>
      </c>
      <c r="AP257" s="86">
        <f t="shared" ref="AP257" si="2198">+AP256/AP255</f>
        <v>0.15487769205455415</v>
      </c>
      <c r="AQ257" s="86">
        <f t="shared" ref="AQ257" si="2199">+AQ256/AQ255</f>
        <v>8.5582318178908864E-2</v>
      </c>
      <c r="AR257" s="86">
        <f t="shared" ref="AR257" si="2200">+AR256/AR255</f>
        <v>1.5784418356456859E-2</v>
      </c>
      <c r="AS257" s="86">
        <f t="shared" ref="AS257" si="2201">+AS256/AS255</f>
        <v>0.1966226965398383</v>
      </c>
      <c r="AT257" s="86">
        <f t="shared" ref="AT257" si="2202">+AT256/AT255</f>
        <v>0.14111803485956831</v>
      </c>
      <c r="AU257" s="86">
        <f t="shared" ref="AU257" si="2203">+AU256/AU255</f>
        <v>0.10312512101614837</v>
      </c>
      <c r="AV257" s="86">
        <f t="shared" ref="AV257" si="2204">+AV256/AV255</f>
        <v>6.4570591589610565E-2</v>
      </c>
      <c r="AW257" s="86">
        <f t="shared" ref="AW257" si="2205">+AW256/AW255</f>
        <v>0.21633295760589927</v>
      </c>
      <c r="AX257" s="86">
        <f t="shared" ref="AX257" si="2206">+AX256/AX255</f>
        <v>0.14845537058895356</v>
      </c>
      <c r="AY257" s="86">
        <f t="shared" ref="AY257" si="2207">+AY256/AY255</f>
        <v>9.9542587917137534E-2</v>
      </c>
      <c r="AZ257" s="86">
        <f t="shared" ref="AZ257" si="2208">+AZ256/AZ255</f>
        <v>7.9637539869487267E-2</v>
      </c>
      <c r="BA257" s="86">
        <f t="shared" ref="BA257" si="2209">+BA256/BA255</f>
        <v>0.23588230617707071</v>
      </c>
      <c r="BB257" s="86">
        <f t="shared" ref="BB257" si="2210">+BB256/BB255</f>
        <v>0.16887152876774814</v>
      </c>
      <c r="BC257" s="86">
        <f t="shared" ref="BC257" si="2211">+BC256/BC255</f>
        <v>9.9422713903156323E-2</v>
      </c>
      <c r="BD257" s="86">
        <f t="shared" ref="BD257" si="2212">+BD256/BD255</f>
        <v>6.4085854849883217E-2</v>
      </c>
      <c r="BE257" s="86">
        <f t="shared" ref="BE257" si="2213">+BE256/BE255</f>
        <v>0.23429330304194576</v>
      </c>
      <c r="BF257" s="86">
        <f t="shared" ref="BF257" si="2214">+BF256/BF255</f>
        <v>0.21397337904255501</v>
      </c>
      <c r="BG257" s="86">
        <f t="shared" ref="BG257" si="2215">+BG256/BG255</f>
        <v>0.11295294477901406</v>
      </c>
      <c r="BH257" s="86">
        <f t="shared" ref="BH257" si="2216">+BH256/BH255</f>
        <v>0.1028791224741583</v>
      </c>
      <c r="BI257" s="86">
        <f t="shared" ref="BI257" si="2217">+BI256/BI255</f>
        <v>0.2535343231705014</v>
      </c>
      <c r="BJ257" s="86">
        <f t="shared" ref="BJ257" si="2218">+BJ256/BJ255</f>
        <v>0.22847820496335336</v>
      </c>
      <c r="BK257" s="86">
        <f t="shared" ref="BK257" si="2219">+BK256/BK255</f>
        <v>0.17003921568627445</v>
      </c>
      <c r="BL257" s="86">
        <f t="shared" ref="BL257" si="2220">+BL256/BL255</f>
        <v>0.15927499404431036</v>
      </c>
      <c r="BM257" s="86">
        <f t="shared" ref="BM257" si="2221">+BM256/BM255</f>
        <v>0.3101287953843464</v>
      </c>
      <c r="BN257" s="86">
        <f t="shared" ref="BN257" si="2222">+BN256/BN255</f>
        <v>0.1955916386009145</v>
      </c>
      <c r="BO257" s="86">
        <f t="shared" ref="BO257" si="2223">+BO256/BO255</f>
        <v>-1.8521690690063366</v>
      </c>
      <c r="BP257" s="86">
        <f t="shared" ref="BP257" si="2224">+BP256/BP255</f>
        <v>-0.58573265282269049</v>
      </c>
      <c r="BQ257" s="86">
        <f t="shared" ref="BQ257" si="2225">+BQ256/BQ255</f>
        <v>-2.9900332225913536E-2</v>
      </c>
      <c r="BR257" s="86">
        <f t="shared" ref="BR257" si="2226">+BR256/BR255</f>
        <v>0.1159474488634516</v>
      </c>
      <c r="BS257" s="86">
        <f t="shared" ref="BS257" si="2227">+BS256/BS255</f>
        <v>-0.43192570018865184</v>
      </c>
      <c r="BT257" s="86">
        <f t="shared" ref="BT257" si="2228">+BT256/BT255</f>
        <v>0.100004118785782</v>
      </c>
      <c r="BU257" s="86">
        <f t="shared" ref="BU257" si="2229">+BU256/BU255</f>
        <v>0.28954662443080575</v>
      </c>
      <c r="BV257" s="86">
        <f t="shared" ref="BV257" si="2230">+BV256/BV255</f>
        <v>0.18229978901018257</v>
      </c>
      <c r="BW257" s="86">
        <f t="shared" ref="BW257" si="2231">+BW256/BW255</f>
        <v>0.29846690941259163</v>
      </c>
      <c r="BX257" s="86">
        <f t="shared" ref="BX257" si="2232">+BX256/BX255</f>
        <v>0.23850204038584785</v>
      </c>
      <c r="BY257" s="86">
        <f t="shared" ref="BY257" si="2233">+BY256/BY255</f>
        <v>0.35425910546921346</v>
      </c>
      <c r="BZ257" s="86">
        <f t="shared" ref="BZ257" si="2234">+BZ256/BZ255</f>
        <v>0.32944513144214144</v>
      </c>
      <c r="CA257" s="86">
        <f t="shared" ref="CA257" si="2235">+CA256/CA255</f>
        <v>0.27971794294755065</v>
      </c>
      <c r="CB257" s="86">
        <f t="shared" ref="CB257:CC257" si="2236">+CB256/CB255</f>
        <v>0.24754395757744921</v>
      </c>
      <c r="CC257" s="86">
        <f t="shared" si="2236"/>
        <v>0.37293262180218345</v>
      </c>
      <c r="CD257" s="86">
        <f t="shared" ref="CD257" si="2237">+CD256/CD255</f>
        <v>0.34628990101504192</v>
      </c>
      <c r="CE257" s="86">
        <f t="shared" ref="CE257:CF257" si="2238">+CE256/CE255</f>
        <v>0.29002148068351147</v>
      </c>
      <c r="CF257" s="86">
        <f t="shared" si="2238"/>
        <v>0.27450003285654834</v>
      </c>
      <c r="CG257" s="86">
        <f t="shared" ref="CG257:CH257" si="2239">+CG256/CG255</f>
        <v>0.37965298750518156</v>
      </c>
      <c r="CH257" s="86">
        <f t="shared" si="2239"/>
        <v>0.35329094402797367</v>
      </c>
      <c r="CI257" s="86">
        <f t="shared" ref="CI257:CJ257" si="2240">+CI256/CI255</f>
        <v>0.28221823740372731</v>
      </c>
      <c r="CJ257" s="86">
        <f t="shared" si="2240"/>
        <v>0.27934871551137008</v>
      </c>
      <c r="CK257" s="86">
        <f t="shared" ref="CK257:DB257" si="2241">+CK256/CK255</f>
        <v>0.37854860729918788</v>
      </c>
      <c r="CL257" s="86">
        <f t="shared" si="2241"/>
        <v>0.35174610981126758</v>
      </c>
      <c r="CM257" s="47">
        <f t="shared" si="2241"/>
        <v>0.32296541750638819</v>
      </c>
      <c r="CN257" s="47">
        <f t="shared" si="2241"/>
        <v>0.33315221253205346</v>
      </c>
      <c r="CO257" s="47">
        <f t="shared" si="2241"/>
        <v>0.3466030867872244</v>
      </c>
      <c r="CP257" s="47">
        <f t="shared" si="2241"/>
        <v>0.33861670665923332</v>
      </c>
      <c r="CQ257" s="47">
        <f t="shared" si="2241"/>
        <v>0.35235059249022938</v>
      </c>
      <c r="CR257" s="47">
        <f t="shared" si="2241"/>
        <v>0.35948543778119446</v>
      </c>
      <c r="CS257" s="47">
        <f t="shared" si="2241"/>
        <v>0.36587617562647395</v>
      </c>
      <c r="CT257" s="47">
        <f t="shared" si="2241"/>
        <v>0.37054817505601095</v>
      </c>
      <c r="CU257" s="47">
        <f t="shared" si="2241"/>
        <v>0.36206509523847724</v>
      </c>
      <c r="CV257" s="47">
        <f t="shared" si="2241"/>
        <v>0.36449372092553928</v>
      </c>
      <c r="CW257" s="47">
        <f t="shared" si="2241"/>
        <v>0.3657457917116253</v>
      </c>
      <c r="CX257" s="47">
        <f t="shared" si="2241"/>
        <v>0.36571319573291328</v>
      </c>
      <c r="CY257" s="47">
        <f t="shared" si="2241"/>
        <v>0.36450445090213879</v>
      </c>
      <c r="CZ257" s="47">
        <f t="shared" si="2241"/>
        <v>0.36511428981805405</v>
      </c>
      <c r="DA257" s="47">
        <f t="shared" si="2241"/>
        <v>0.36526943204118284</v>
      </c>
      <c r="DB257" s="47">
        <f t="shared" si="2241"/>
        <v>0.36515034212357228</v>
      </c>
      <c r="DE257" s="130"/>
      <c r="DF257" s="89">
        <v>0.38105871453932866</v>
      </c>
    </row>
    <row r="258" spans="1:110" s="64" customFormat="1" hidden="1" outlineLevel="1" x14ac:dyDescent="0.2">
      <c r="A258" s="64" t="s">
        <v>477</v>
      </c>
      <c r="B258" s="64">
        <f t="shared" ref="B258:Z258" si="2242">B65-B264</f>
        <v>116.79000000000005</v>
      </c>
      <c r="C258" s="64">
        <f t="shared" si="2242"/>
        <v>-15.410000000000053</v>
      </c>
      <c r="D258" s="64">
        <f t="shared" si="2242"/>
        <v>0.2999999999999261</v>
      </c>
      <c r="E258" s="64">
        <f t="shared" si="2242"/>
        <v>28.279999999999962</v>
      </c>
      <c r="F258" s="64">
        <f t="shared" si="2242"/>
        <v>79.259999999999849</v>
      </c>
      <c r="G258" s="64">
        <f t="shared" si="2242"/>
        <v>223.71999999999966</v>
      </c>
      <c r="H258" s="64">
        <f t="shared" si="2242"/>
        <v>336.02999999999986</v>
      </c>
      <c r="I258" s="64">
        <f t="shared" si="2242"/>
        <v>367.70000000000027</v>
      </c>
      <c r="J258" s="64">
        <f t="shared" si="2242"/>
        <v>7.5000000000000284</v>
      </c>
      <c r="K258" s="64">
        <f t="shared" si="2242"/>
        <v>-169.7299999999999</v>
      </c>
      <c r="L258" s="64">
        <f t="shared" si="2242"/>
        <v>-80.800000000000267</v>
      </c>
      <c r="M258" s="64">
        <f t="shared" si="2242"/>
        <v>27.340000000000003</v>
      </c>
      <c r="N258" s="64">
        <f t="shared" si="2242"/>
        <v>39.679999999999879</v>
      </c>
      <c r="O258" s="64">
        <f t="shared" si="2242"/>
        <v>31.730000000000175</v>
      </c>
      <c r="P258" s="64">
        <f t="shared" si="2242"/>
        <v>5.8300000000003536</v>
      </c>
      <c r="Q258" s="64">
        <f t="shared" si="2242"/>
        <v>-99.119999999999663</v>
      </c>
      <c r="R258" s="64">
        <f t="shared" si="2242"/>
        <v>-72.380000000000152</v>
      </c>
      <c r="S258" s="64">
        <f t="shared" si="2242"/>
        <v>40.779999999999916</v>
      </c>
      <c r="T258" s="64">
        <f t="shared" si="2242"/>
        <v>238.00999999999954</v>
      </c>
      <c r="U258" s="64">
        <f t="shared" si="2242"/>
        <v>309.82000000000062</v>
      </c>
      <c r="V258" s="64">
        <f t="shared" si="2242"/>
        <v>-854.15999999999974</v>
      </c>
      <c r="W258" s="64">
        <f t="shared" si="2242"/>
        <v>-238.02000000000007</v>
      </c>
      <c r="X258" s="64">
        <f t="shared" si="2242"/>
        <v>968.13999999999942</v>
      </c>
      <c r="Y258" s="64">
        <f t="shared" si="2242"/>
        <v>1201.5899999999992</v>
      </c>
      <c r="Z258" s="64">
        <f t="shared" si="2242"/>
        <v>1656.450000000001</v>
      </c>
      <c r="AA258" s="64">
        <f t="shared" ref="AA258" si="2243">AA65-AA264</f>
        <v>1919.6299999999999</v>
      </c>
      <c r="AB258" s="30"/>
      <c r="AC258" s="30"/>
      <c r="AD258" s="30"/>
      <c r="AE258" s="30"/>
      <c r="AI258" s="64">
        <f t="shared" ref="AI258:BN258" si="2244">AI65-AI264</f>
        <v>-9.7299999999999986</v>
      </c>
      <c r="AJ258" s="64">
        <f t="shared" si="2244"/>
        <v>-50.959999999999987</v>
      </c>
      <c r="AK258" s="64">
        <f t="shared" si="2244"/>
        <v>66.119999999999919</v>
      </c>
      <c r="AL258" s="64">
        <f t="shared" si="2244"/>
        <v>40.380000000000081</v>
      </c>
      <c r="AM258" s="64">
        <f t="shared" si="2244"/>
        <v>0.47999999999988319</v>
      </c>
      <c r="AN258" s="64">
        <f t="shared" si="2244"/>
        <v>-50.120000000000005</v>
      </c>
      <c r="AO258" s="64">
        <f t="shared" si="2244"/>
        <v>77.439999999999884</v>
      </c>
      <c r="AP258" s="64">
        <f t="shared" si="2244"/>
        <v>3.9300000000000495</v>
      </c>
      <c r="AQ258" s="64">
        <f t="shared" si="2244"/>
        <v>-18.240000000000098</v>
      </c>
      <c r="AR258" s="64">
        <f t="shared" si="2244"/>
        <v>-84.129999999999939</v>
      </c>
      <c r="AS258" s="64">
        <f t="shared" si="2244"/>
        <v>89.900000000000091</v>
      </c>
      <c r="AT258" s="64">
        <f t="shared" si="2244"/>
        <v>18.299999999999997</v>
      </c>
      <c r="AU258" s="64">
        <f t="shared" si="2244"/>
        <v>-3.4900000000000126</v>
      </c>
      <c r="AV258" s="64">
        <f t="shared" si="2244"/>
        <v>-76.940000000000012</v>
      </c>
      <c r="AW258" s="64">
        <f t="shared" si="2244"/>
        <v>45.090000000000103</v>
      </c>
      <c r="AX258" s="64">
        <f t="shared" si="2244"/>
        <v>-7.5499999999999972</v>
      </c>
      <c r="AY258" s="64">
        <f t="shared" si="2244"/>
        <v>-53.860000000000078</v>
      </c>
      <c r="AZ258" s="64">
        <f t="shared" si="2244"/>
        <v>-92.600000000000037</v>
      </c>
      <c r="BA258" s="64">
        <f t="shared" si="2244"/>
        <v>80.96999999999997</v>
      </c>
      <c r="BB258" s="64">
        <f t="shared" si="2244"/>
        <v>-6.8900000000000432</v>
      </c>
      <c r="BC258" s="64">
        <f t="shared" si="2244"/>
        <v>-45.370000000000083</v>
      </c>
      <c r="BD258" s="64">
        <f t="shared" si="2244"/>
        <v>-53.529999999999959</v>
      </c>
      <c r="BE258" s="64">
        <f t="shared" si="2244"/>
        <v>68.36999999999999</v>
      </c>
      <c r="BF258" s="64">
        <f t="shared" si="2244"/>
        <v>71.309999999999945</v>
      </c>
      <c r="BG258" s="64">
        <f t="shared" si="2244"/>
        <v>10.010000000000083</v>
      </c>
      <c r="BH258" s="64">
        <f t="shared" si="2244"/>
        <v>7.2299999999999081</v>
      </c>
      <c r="BI258" s="64">
        <f t="shared" si="2244"/>
        <v>118.61000000000008</v>
      </c>
      <c r="BJ258" s="64">
        <f t="shared" si="2244"/>
        <v>102.15999999999983</v>
      </c>
      <c r="BK258" s="64">
        <f t="shared" si="2244"/>
        <v>7.829999999999945</v>
      </c>
      <c r="BL258" s="64">
        <f t="shared" si="2244"/>
        <v>80.360000000000028</v>
      </c>
      <c r="BM258" s="64">
        <f t="shared" si="2244"/>
        <v>194.93</v>
      </c>
      <c r="BN258" s="64">
        <f t="shared" si="2244"/>
        <v>26.700000000000063</v>
      </c>
      <c r="BO258" s="64">
        <f t="shared" ref="BO258:CT258" si="2245">BO65-BO264</f>
        <v>-352.99999999999994</v>
      </c>
      <c r="BP258" s="64">
        <f t="shared" si="2245"/>
        <v>-240.19</v>
      </c>
      <c r="BQ258" s="64">
        <f t="shared" si="2245"/>
        <v>-145.69999999999993</v>
      </c>
      <c r="BR258" s="64">
        <f t="shared" si="2245"/>
        <v>-115.27</v>
      </c>
      <c r="BS258" s="64">
        <f t="shared" si="2245"/>
        <v>-290.38</v>
      </c>
      <c r="BT258" s="64">
        <f t="shared" si="2245"/>
        <v>-107.51999999999997</v>
      </c>
      <c r="BU258" s="64">
        <f t="shared" si="2245"/>
        <v>96.519999999999982</v>
      </c>
      <c r="BV258" s="64">
        <f t="shared" si="2245"/>
        <v>63.360000000000028</v>
      </c>
      <c r="BW258" s="64">
        <f t="shared" si="2245"/>
        <v>175.25999999999991</v>
      </c>
      <c r="BX258" s="64">
        <f t="shared" si="2245"/>
        <v>112.03999999999992</v>
      </c>
      <c r="BY258" s="64">
        <f t="shared" si="2245"/>
        <v>378.82</v>
      </c>
      <c r="BZ258" s="64">
        <f t="shared" si="2245"/>
        <v>302.02</v>
      </c>
      <c r="CA258" s="64">
        <f t="shared" si="2245"/>
        <v>210.59999999999982</v>
      </c>
      <c r="CB258" s="64">
        <f t="shared" si="2245"/>
        <v>159.91000000000022</v>
      </c>
      <c r="CC258" s="64">
        <f t="shared" si="2245"/>
        <v>437.9899999999999</v>
      </c>
      <c r="CD258" s="64">
        <f t="shared" si="2245"/>
        <v>393.08999999999992</v>
      </c>
      <c r="CE258" s="64">
        <f t="shared" si="2245"/>
        <v>234.21</v>
      </c>
      <c r="CF258" s="64">
        <f t="shared" si="2245"/>
        <v>265.84999999999991</v>
      </c>
      <c r="CG258" s="64">
        <f t="shared" si="2245"/>
        <v>613.82000000000016</v>
      </c>
      <c r="CH258" s="64">
        <f t="shared" si="2245"/>
        <v>542.56999999999994</v>
      </c>
      <c r="CI258" s="64">
        <f t="shared" si="2245"/>
        <v>319.41999999999973</v>
      </c>
      <c r="CJ258" s="64">
        <f t="shared" si="2245"/>
        <v>316.18000000000006</v>
      </c>
      <c r="CK258" s="64">
        <f t="shared" si="2245"/>
        <v>658.81</v>
      </c>
      <c r="CL258" s="64">
        <f t="shared" ref="CL258" si="2246">CL65-CL264</f>
        <v>625.22000000000014</v>
      </c>
      <c r="CM258" s="30">
        <f t="shared" si="2245"/>
        <v>513.9897763935403</v>
      </c>
      <c r="CN258" s="30">
        <f t="shared" si="2245"/>
        <v>539.29257910798628</v>
      </c>
      <c r="CO258" s="30">
        <f t="shared" si="2245"/>
        <v>584.69960055922195</v>
      </c>
      <c r="CP258" s="30">
        <f t="shared" si="2245"/>
        <v>566.52312944863513</v>
      </c>
      <c r="CQ258" s="30">
        <f t="shared" si="2245"/>
        <v>624.06071798859705</v>
      </c>
      <c r="CR258" s="30">
        <f t="shared" si="2245"/>
        <v>655.08644901012974</v>
      </c>
      <c r="CS258" s="30">
        <f t="shared" si="2245"/>
        <v>688.11557800776154</v>
      </c>
      <c r="CT258" s="30">
        <f t="shared" si="2245"/>
        <v>718.02259612828743</v>
      </c>
      <c r="CU258" s="30">
        <f t="shared" ref="CU258:DB258" si="2247">CU65-CU264</f>
        <v>710.54125896004621</v>
      </c>
      <c r="CV258" s="30">
        <f t="shared" si="2247"/>
        <v>732.827376580193</v>
      </c>
      <c r="CW258" s="30">
        <f t="shared" si="2247"/>
        <v>752.69694261162056</v>
      </c>
      <c r="CX258" s="30">
        <f t="shared" si="2247"/>
        <v>768.94065591153424</v>
      </c>
      <c r="CY258" s="30">
        <f t="shared" si="2247"/>
        <v>781.45349213852251</v>
      </c>
      <c r="CZ258" s="30">
        <f t="shared" si="2247"/>
        <v>799.42142107202881</v>
      </c>
      <c r="DA258" s="30">
        <f t="shared" si="2247"/>
        <v>816.20554094918384</v>
      </c>
      <c r="DB258" s="30">
        <f t="shared" si="2247"/>
        <v>832.14626148831371</v>
      </c>
      <c r="DE258" s="139"/>
      <c r="DF258" s="64">
        <v>654.29206078252173</v>
      </c>
    </row>
    <row r="259" spans="1:110" s="64" customFormat="1" hidden="1" outlineLevel="1" x14ac:dyDescent="0.2">
      <c r="AB259" s="30"/>
      <c r="AC259" s="30"/>
      <c r="AD259" s="30"/>
      <c r="AE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9"/>
    </row>
    <row r="260" spans="1:110" s="64" customFormat="1" hidden="1" outlineLevel="1" x14ac:dyDescent="0.2">
      <c r="A260" s="65" t="s">
        <v>352</v>
      </c>
      <c r="AB260" s="30"/>
      <c r="AC260" s="30"/>
      <c r="AD260" s="30"/>
      <c r="AE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E260" s="139"/>
    </row>
    <row r="261" spans="1:110" s="64" customFormat="1" hidden="1" outlineLevel="1" x14ac:dyDescent="0.2">
      <c r="A261" s="64" t="s">
        <v>478</v>
      </c>
      <c r="AB261" s="30"/>
      <c r="AC261" s="30"/>
      <c r="AD261" s="30"/>
      <c r="AE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E261" s="139"/>
    </row>
    <row r="262" spans="1:110" s="64" customFormat="1" hidden="1" outlineLevel="1" x14ac:dyDescent="0.2">
      <c r="A262" s="64" t="s">
        <v>479</v>
      </c>
      <c r="AB262" s="30"/>
      <c r="AC262" s="30"/>
      <c r="AD262" s="30"/>
      <c r="AE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E262" s="139"/>
    </row>
    <row r="263" spans="1:110" s="89" customFormat="1" hidden="1" outlineLevel="1" x14ac:dyDescent="0.2">
      <c r="A263" s="86" t="s">
        <v>480</v>
      </c>
      <c r="B263" s="86" t="e">
        <f>+B262/B261</f>
        <v>#DIV/0!</v>
      </c>
      <c r="C263" s="86" t="e">
        <f t="shared" ref="C263:X263" si="2248">+C262/C261</f>
        <v>#DIV/0!</v>
      </c>
      <c r="D263" s="86" t="e">
        <f t="shared" si="2248"/>
        <v>#DIV/0!</v>
      </c>
      <c r="E263" s="86" t="e">
        <f t="shared" si="2248"/>
        <v>#DIV/0!</v>
      </c>
      <c r="F263" s="86" t="e">
        <f t="shared" si="2248"/>
        <v>#DIV/0!</v>
      </c>
      <c r="G263" s="86" t="e">
        <f t="shared" si="2248"/>
        <v>#DIV/0!</v>
      </c>
      <c r="H263" s="86" t="e">
        <f t="shared" si="2248"/>
        <v>#DIV/0!</v>
      </c>
      <c r="I263" s="86" t="e">
        <f t="shared" si="2248"/>
        <v>#DIV/0!</v>
      </c>
      <c r="J263" s="86" t="e">
        <f t="shared" si="2248"/>
        <v>#DIV/0!</v>
      </c>
      <c r="K263" s="86" t="e">
        <f t="shared" si="2248"/>
        <v>#DIV/0!</v>
      </c>
      <c r="L263" s="86" t="e">
        <f t="shared" si="2248"/>
        <v>#DIV/0!</v>
      </c>
      <c r="M263" s="86" t="e">
        <f t="shared" si="2248"/>
        <v>#DIV/0!</v>
      </c>
      <c r="N263" s="86" t="e">
        <f t="shared" si="2248"/>
        <v>#DIV/0!</v>
      </c>
      <c r="O263" s="86" t="e">
        <f t="shared" si="2248"/>
        <v>#DIV/0!</v>
      </c>
      <c r="P263" s="86" t="e">
        <f t="shared" si="2248"/>
        <v>#DIV/0!</v>
      </c>
      <c r="Q263" s="86" t="e">
        <f t="shared" si="2248"/>
        <v>#DIV/0!</v>
      </c>
      <c r="R263" s="86" t="e">
        <f t="shared" si="2248"/>
        <v>#DIV/0!</v>
      </c>
      <c r="S263" s="86" t="e">
        <f t="shared" si="2248"/>
        <v>#DIV/0!</v>
      </c>
      <c r="T263" s="86" t="e">
        <f t="shared" si="2248"/>
        <v>#DIV/0!</v>
      </c>
      <c r="U263" s="86" t="e">
        <f t="shared" si="2248"/>
        <v>#DIV/0!</v>
      </c>
      <c r="V263" s="86" t="e">
        <f t="shared" si="2248"/>
        <v>#DIV/0!</v>
      </c>
      <c r="W263" s="86" t="e">
        <f t="shared" si="2248"/>
        <v>#DIV/0!</v>
      </c>
      <c r="X263" s="86" t="e">
        <f t="shared" si="2248"/>
        <v>#DIV/0!</v>
      </c>
      <c r="Y263" s="86" t="e">
        <f t="shared" ref="Y263:Z263" si="2249">+Y262/Y261</f>
        <v>#DIV/0!</v>
      </c>
      <c r="Z263" s="86" t="e">
        <f t="shared" si="2249"/>
        <v>#DIV/0!</v>
      </c>
      <c r="AA263" s="86" t="e">
        <f t="shared" ref="AA263" si="2250">+AA262/AA261</f>
        <v>#DIV/0!</v>
      </c>
      <c r="AB263" s="87"/>
      <c r="AC263" s="87"/>
      <c r="AD263" s="87"/>
      <c r="AE263" s="87"/>
      <c r="AF263" s="86"/>
      <c r="AG263" s="86"/>
      <c r="AH263" s="86"/>
      <c r="AI263" s="86" t="e">
        <f t="shared" ref="AI263" si="2251">+AI262/AI261</f>
        <v>#DIV/0!</v>
      </c>
      <c r="AJ263" s="86" t="e">
        <f t="shared" ref="AJ263" si="2252">+AJ262/AJ261</f>
        <v>#DIV/0!</v>
      </c>
      <c r="AK263" s="86" t="e">
        <f t="shared" ref="AK263" si="2253">+AK262/AK261</f>
        <v>#DIV/0!</v>
      </c>
      <c r="AL263" s="86" t="e">
        <f t="shared" ref="AL263" si="2254">+AL262/AL261</f>
        <v>#DIV/0!</v>
      </c>
      <c r="AM263" s="86" t="e">
        <f t="shared" ref="AM263" si="2255">+AM262/AM261</f>
        <v>#DIV/0!</v>
      </c>
      <c r="AN263" s="86" t="e">
        <f t="shared" ref="AN263" si="2256">+AN262/AN261</f>
        <v>#DIV/0!</v>
      </c>
      <c r="AO263" s="86" t="e">
        <f t="shared" ref="AO263" si="2257">+AO262/AO261</f>
        <v>#DIV/0!</v>
      </c>
      <c r="AP263" s="86" t="e">
        <f t="shared" ref="AP263" si="2258">+AP262/AP261</f>
        <v>#DIV/0!</v>
      </c>
      <c r="AQ263" s="86" t="e">
        <f t="shared" ref="AQ263" si="2259">+AQ262/AQ261</f>
        <v>#DIV/0!</v>
      </c>
      <c r="AR263" s="86" t="e">
        <f t="shared" ref="AR263" si="2260">+AR262/AR261</f>
        <v>#DIV/0!</v>
      </c>
      <c r="AS263" s="86" t="e">
        <f t="shared" ref="AS263" si="2261">+AS262/AS261</f>
        <v>#DIV/0!</v>
      </c>
      <c r="AT263" s="86" t="e">
        <f t="shared" ref="AT263" si="2262">+AT262/AT261</f>
        <v>#DIV/0!</v>
      </c>
      <c r="AU263" s="86" t="e">
        <f t="shared" ref="AU263" si="2263">+AU262/AU261</f>
        <v>#DIV/0!</v>
      </c>
      <c r="AV263" s="86" t="e">
        <f t="shared" ref="AV263" si="2264">+AV262/AV261</f>
        <v>#DIV/0!</v>
      </c>
      <c r="AW263" s="86" t="e">
        <f t="shared" ref="AW263" si="2265">+AW262/AW261</f>
        <v>#DIV/0!</v>
      </c>
      <c r="AX263" s="86" t="e">
        <f t="shared" ref="AX263" si="2266">+AX262/AX261</f>
        <v>#DIV/0!</v>
      </c>
      <c r="AY263" s="86" t="e">
        <f t="shared" ref="AY263" si="2267">+AY262/AY261</f>
        <v>#DIV/0!</v>
      </c>
      <c r="AZ263" s="86" t="e">
        <f t="shared" ref="AZ263" si="2268">+AZ262/AZ261</f>
        <v>#DIV/0!</v>
      </c>
      <c r="BA263" s="86" t="e">
        <f t="shared" ref="BA263" si="2269">+BA262/BA261</f>
        <v>#DIV/0!</v>
      </c>
      <c r="BB263" s="86" t="e">
        <f t="shared" ref="BB263" si="2270">+BB262/BB261</f>
        <v>#DIV/0!</v>
      </c>
      <c r="BC263" s="86" t="e">
        <f t="shared" ref="BC263" si="2271">+BC262/BC261</f>
        <v>#DIV/0!</v>
      </c>
      <c r="BD263" s="86" t="e">
        <f t="shared" ref="BD263" si="2272">+BD262/BD261</f>
        <v>#DIV/0!</v>
      </c>
      <c r="BE263" s="86" t="e">
        <f t="shared" ref="BE263" si="2273">+BE262/BE261</f>
        <v>#DIV/0!</v>
      </c>
      <c r="BF263" s="86" t="e">
        <f t="shared" ref="BF263" si="2274">+BF262/BF261</f>
        <v>#DIV/0!</v>
      </c>
      <c r="BG263" s="86" t="e">
        <f t="shared" ref="BG263" si="2275">+BG262/BG261</f>
        <v>#DIV/0!</v>
      </c>
      <c r="BH263" s="86" t="e">
        <f t="shared" ref="BH263" si="2276">+BH262/BH261</f>
        <v>#DIV/0!</v>
      </c>
      <c r="BI263" s="86" t="e">
        <f t="shared" ref="BI263" si="2277">+BI262/BI261</f>
        <v>#DIV/0!</v>
      </c>
      <c r="BJ263" s="86" t="e">
        <f t="shared" ref="BJ263" si="2278">+BJ262/BJ261</f>
        <v>#DIV/0!</v>
      </c>
      <c r="BK263" s="86" t="e">
        <f t="shared" ref="BK263" si="2279">+BK262/BK261</f>
        <v>#DIV/0!</v>
      </c>
      <c r="BL263" s="86" t="e">
        <f t="shared" ref="BL263" si="2280">+BL262/BL261</f>
        <v>#DIV/0!</v>
      </c>
      <c r="BM263" s="86" t="e">
        <f t="shared" ref="BM263" si="2281">+BM262/BM261</f>
        <v>#DIV/0!</v>
      </c>
      <c r="BN263" s="86" t="e">
        <f t="shared" ref="BN263" si="2282">+BN262/BN261</f>
        <v>#DIV/0!</v>
      </c>
      <c r="BO263" s="86" t="e">
        <f t="shared" ref="BO263" si="2283">+BO262/BO261</f>
        <v>#DIV/0!</v>
      </c>
      <c r="BP263" s="86" t="e">
        <f t="shared" ref="BP263" si="2284">+BP262/BP261</f>
        <v>#DIV/0!</v>
      </c>
      <c r="BQ263" s="86" t="e">
        <f t="shared" ref="BQ263" si="2285">+BQ262/BQ261</f>
        <v>#DIV/0!</v>
      </c>
      <c r="BR263" s="86" t="e">
        <f t="shared" ref="BR263" si="2286">+BR262/BR261</f>
        <v>#DIV/0!</v>
      </c>
      <c r="BS263" s="86" t="e">
        <f t="shared" ref="BS263" si="2287">+BS262/BS261</f>
        <v>#DIV/0!</v>
      </c>
      <c r="BT263" s="86" t="e">
        <f t="shared" ref="BT263" si="2288">+BT262/BT261</f>
        <v>#DIV/0!</v>
      </c>
      <c r="BU263" s="86" t="e">
        <f t="shared" ref="BU263" si="2289">+BU262/BU261</f>
        <v>#DIV/0!</v>
      </c>
      <c r="BV263" s="86" t="e">
        <f t="shared" ref="BV263" si="2290">+BV262/BV261</f>
        <v>#DIV/0!</v>
      </c>
      <c r="BW263" s="86" t="e">
        <f t="shared" ref="BW263" si="2291">+BW262/BW261</f>
        <v>#DIV/0!</v>
      </c>
      <c r="BX263" s="86" t="e">
        <f t="shared" ref="BX263" si="2292">+BX262/BX261</f>
        <v>#DIV/0!</v>
      </c>
      <c r="BY263" s="86" t="e">
        <f t="shared" ref="BY263" si="2293">+BY262/BY261</f>
        <v>#DIV/0!</v>
      </c>
      <c r="BZ263" s="86" t="e">
        <f t="shared" ref="BZ263" si="2294">+BZ262/BZ261</f>
        <v>#DIV/0!</v>
      </c>
      <c r="CA263" s="86" t="e">
        <f t="shared" ref="CA263" si="2295">+CA262/CA261</f>
        <v>#DIV/0!</v>
      </c>
      <c r="CB263" s="86" t="e">
        <f t="shared" ref="CB263:CC263" si="2296">+CB262/CB261</f>
        <v>#DIV/0!</v>
      </c>
      <c r="CC263" s="86" t="e">
        <f t="shared" si="2296"/>
        <v>#DIV/0!</v>
      </c>
      <c r="CD263" s="86" t="e">
        <f t="shared" ref="CD263" si="2297">+CD262/CD261</f>
        <v>#DIV/0!</v>
      </c>
      <c r="CE263" s="86" t="e">
        <f t="shared" ref="CE263:CF263" si="2298">+CE262/CE261</f>
        <v>#DIV/0!</v>
      </c>
      <c r="CF263" s="86" t="e">
        <f t="shared" si="2298"/>
        <v>#DIV/0!</v>
      </c>
      <c r="CG263" s="86" t="e">
        <f t="shared" ref="CG263:CH263" si="2299">+CG262/CG261</f>
        <v>#DIV/0!</v>
      </c>
      <c r="CH263" s="86" t="e">
        <f t="shared" si="2299"/>
        <v>#DIV/0!</v>
      </c>
      <c r="CI263" s="86" t="e">
        <f t="shared" ref="CI263:CJ263" si="2300">+CI262/CI261</f>
        <v>#DIV/0!</v>
      </c>
      <c r="CJ263" s="86" t="e">
        <f t="shared" si="2300"/>
        <v>#DIV/0!</v>
      </c>
      <c r="CK263" s="86" t="e">
        <f t="shared" ref="CK263:DB263" si="2301">+CK262/CK261</f>
        <v>#DIV/0!</v>
      </c>
      <c r="CL263" s="86" t="e">
        <f t="shared" si="2301"/>
        <v>#DIV/0!</v>
      </c>
      <c r="CM263" s="47" t="e">
        <f t="shared" si="2301"/>
        <v>#DIV/0!</v>
      </c>
      <c r="CN263" s="47" t="e">
        <f t="shared" si="2301"/>
        <v>#DIV/0!</v>
      </c>
      <c r="CO263" s="47" t="e">
        <f t="shared" si="2301"/>
        <v>#DIV/0!</v>
      </c>
      <c r="CP263" s="47" t="e">
        <f t="shared" si="2301"/>
        <v>#DIV/0!</v>
      </c>
      <c r="CQ263" s="47" t="e">
        <f t="shared" si="2301"/>
        <v>#DIV/0!</v>
      </c>
      <c r="CR263" s="47" t="e">
        <f t="shared" si="2301"/>
        <v>#DIV/0!</v>
      </c>
      <c r="CS263" s="47" t="e">
        <f t="shared" si="2301"/>
        <v>#DIV/0!</v>
      </c>
      <c r="CT263" s="47" t="e">
        <f t="shared" si="2301"/>
        <v>#DIV/0!</v>
      </c>
      <c r="CU263" s="47" t="e">
        <f t="shared" si="2301"/>
        <v>#DIV/0!</v>
      </c>
      <c r="CV263" s="47" t="e">
        <f t="shared" si="2301"/>
        <v>#DIV/0!</v>
      </c>
      <c r="CW263" s="47" t="e">
        <f t="shared" si="2301"/>
        <v>#DIV/0!</v>
      </c>
      <c r="CX263" s="47" t="e">
        <f t="shared" si="2301"/>
        <v>#DIV/0!</v>
      </c>
      <c r="CY263" s="47" t="e">
        <f t="shared" si="2301"/>
        <v>#DIV/0!</v>
      </c>
      <c r="CZ263" s="47" t="e">
        <f t="shared" si="2301"/>
        <v>#DIV/0!</v>
      </c>
      <c r="DA263" s="47" t="e">
        <f t="shared" si="2301"/>
        <v>#DIV/0!</v>
      </c>
      <c r="DB263" s="47" t="e">
        <f t="shared" si="2301"/>
        <v>#DIV/0!</v>
      </c>
      <c r="DE263" s="130"/>
    </row>
    <row r="264" spans="1:110" s="64" customFormat="1" hidden="1" outlineLevel="1" x14ac:dyDescent="0.2">
      <c r="A264" s="64" t="s">
        <v>481</v>
      </c>
      <c r="AB264" s="30"/>
      <c r="AC264" s="30"/>
      <c r="AD264" s="30"/>
      <c r="AE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E264" s="139"/>
    </row>
    <row r="265" spans="1:110" s="62" customFormat="1" hidden="1" outlineLevel="1" x14ac:dyDescent="0.2">
      <c r="AB265" s="63"/>
      <c r="AC265" s="63"/>
      <c r="AD265" s="63"/>
      <c r="AE265" s="63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E265" s="139"/>
    </row>
    <row r="266" spans="1:110" s="11" customFormat="1" collapsed="1" x14ac:dyDescent="0.2">
      <c r="AB266" s="63"/>
      <c r="AC266" s="63"/>
      <c r="AD266" s="63"/>
      <c r="AE266" s="63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E266" s="139"/>
    </row>
    <row r="267" spans="1:110" s="62" customFormat="1" x14ac:dyDescent="0.2">
      <c r="A267" s="154" t="s">
        <v>497</v>
      </c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63"/>
      <c r="AC267" s="63"/>
      <c r="AD267" s="63"/>
      <c r="AE267" s="63"/>
      <c r="AL267" s="180"/>
      <c r="CF267" s="180"/>
      <c r="CG267" s="180"/>
      <c r="CH267" s="180"/>
      <c r="CI267" s="180"/>
      <c r="CJ267" s="180"/>
      <c r="CK267" s="180"/>
      <c r="CL267" s="18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E267" s="139"/>
    </row>
    <row r="268" spans="1:110" s="84" customFormat="1" x14ac:dyDescent="0.2">
      <c r="A268" s="84" t="s">
        <v>512</v>
      </c>
      <c r="B268" s="84">
        <f>B32/B189</f>
        <v>0.43498067104072685</v>
      </c>
      <c r="C268" s="84">
        <f>C32/C189</f>
        <v>0.29312169312169317</v>
      </c>
      <c r="D268" s="84">
        <f>D32/D189</f>
        <v>0.31968083929085239</v>
      </c>
      <c r="E268" s="84">
        <f t="shared" ref="E268:Y268" si="2302">E34/(E185+E172+E162)</f>
        <v>0.30300117289996498</v>
      </c>
      <c r="F268" s="84">
        <f t="shared" si="2302"/>
        <v>0.3605765799399373</v>
      </c>
      <c r="G268" s="84">
        <f t="shared" si="2302"/>
        <v>0.47228584281215857</v>
      </c>
      <c r="H268" s="84">
        <f t="shared" si="2302"/>
        <v>0.53006429508058039</v>
      </c>
      <c r="I268" s="84">
        <f t="shared" si="2302"/>
        <v>0.55095633338553529</v>
      </c>
      <c r="J268" s="84">
        <f t="shared" si="2302"/>
        <v>0.37462100398032988</v>
      </c>
      <c r="K268" s="84">
        <f t="shared" si="2302"/>
        <v>0.37571143921227901</v>
      </c>
      <c r="L268" s="84">
        <f t="shared" si="2302"/>
        <v>0.40745859892557906</v>
      </c>
      <c r="M268" s="84">
        <f t="shared" si="2302"/>
        <v>0.46606483047979963</v>
      </c>
      <c r="N268" s="84">
        <f t="shared" si="2302"/>
        <v>0.48185339318055731</v>
      </c>
      <c r="O268" s="84">
        <f t="shared" si="2302"/>
        <v>0.49616726864506061</v>
      </c>
      <c r="P268" s="84">
        <f t="shared" si="2302"/>
        <v>0.47365177439618067</v>
      </c>
      <c r="Q268" s="84">
        <f t="shared" si="2302"/>
        <v>0.47594214900476178</v>
      </c>
      <c r="R268" s="84">
        <f t="shared" si="2302"/>
        <v>0.53995213640319306</v>
      </c>
      <c r="S268" s="84">
        <f t="shared" si="2302"/>
        <v>0.50452387714529157</v>
      </c>
      <c r="T268" s="84">
        <f t="shared" si="2302"/>
        <v>0.53775807799160713</v>
      </c>
      <c r="U268" s="84">
        <f t="shared" si="2302"/>
        <v>0.42703711747984247</v>
      </c>
      <c r="V268" s="84">
        <f t="shared" si="2302"/>
        <v>0.15203968266991241</v>
      </c>
      <c r="W268" s="84">
        <f t="shared" si="2302"/>
        <v>0.25753310149157893</v>
      </c>
      <c r="X268" s="84">
        <f t="shared" si="2302"/>
        <v>0.46941712195177132</v>
      </c>
      <c r="Y268" s="84">
        <f t="shared" si="2302"/>
        <v>0.51292514532405498</v>
      </c>
      <c r="Z268" s="84">
        <f>Z34/(Z185+Z172+Z162)</f>
        <v>0.51333418329166691</v>
      </c>
      <c r="AA268" s="84">
        <f>AA34/(AA185+AA172+AA162)</f>
        <v>0.50691346463222264</v>
      </c>
      <c r="AB268" s="50">
        <f t="shared" ref="AA268:AE268" si="2303">AB34/(AB185+AB172+AB162)</f>
        <v>0.5150716818842076</v>
      </c>
      <c r="AC268" s="50">
        <f t="shared" si="2303"/>
        <v>0.480324551177577</v>
      </c>
      <c r="AD268" s="50">
        <f t="shared" si="2303"/>
        <v>0.45142914755728702</v>
      </c>
      <c r="AE268" s="50">
        <f t="shared" si="2303"/>
        <v>0.42549352537243412</v>
      </c>
      <c r="AL268" s="84">
        <f>SUM(AI34:AL34)/(AL185+AL172+AL162)</f>
        <v>0.4154435900142367</v>
      </c>
      <c r="AM268" s="84">
        <f t="shared" ref="AM268:CL268" si="2304">SUM(AJ34:AM34)/(AM185+AM172+AM162)</f>
        <v>0.42556880583376239</v>
      </c>
      <c r="AN268" s="84">
        <f t="shared" si="2304"/>
        <v>0.81526868072242464</v>
      </c>
      <c r="AO268" s="84">
        <f t="shared" si="2304"/>
        <v>0.94211056526802817</v>
      </c>
      <c r="AP268" s="84">
        <f t="shared" si="2304"/>
        <v>0.49616726864506044</v>
      </c>
      <c r="AQ268" s="84">
        <f t="shared" si="2304"/>
        <v>0.50482953764532557</v>
      </c>
      <c r="AR268" s="84">
        <f t="shared" si="2304"/>
        <v>0.85649646614937625</v>
      </c>
      <c r="AS268" s="84">
        <f t="shared" si="2304"/>
        <v>0.84612567704413122</v>
      </c>
      <c r="AT268" s="84">
        <f t="shared" si="2304"/>
        <v>0.47365177439618061</v>
      </c>
      <c r="AU268" s="84">
        <f t="shared" si="2304"/>
        <v>0.48376064164611915</v>
      </c>
      <c r="AV268" s="84">
        <f t="shared" si="2304"/>
        <v>0.87130874930411895</v>
      </c>
      <c r="AW268" s="84">
        <f t="shared" si="2304"/>
        <v>0.85033335964800405</v>
      </c>
      <c r="AX268" s="84">
        <f t="shared" si="2304"/>
        <v>0.51083138623524893</v>
      </c>
      <c r="AY268" s="84">
        <f t="shared" si="2304"/>
        <v>0.51496126275834353</v>
      </c>
      <c r="AZ268" s="84">
        <f t="shared" si="2304"/>
        <v>0.88577407261412555</v>
      </c>
      <c r="BA268" s="84">
        <f t="shared" si="2304"/>
        <v>0.85447955605040871</v>
      </c>
      <c r="BB268" s="84">
        <f t="shared" si="2304"/>
        <v>0.53709619641348638</v>
      </c>
      <c r="BC268" s="84">
        <f t="shared" si="2304"/>
        <v>0.53696636995363523</v>
      </c>
      <c r="BD268" s="84">
        <f t="shared" si="2304"/>
        <v>0.51010480879825282</v>
      </c>
      <c r="BE268" s="84">
        <f t="shared" si="2304"/>
        <v>0.5024154797379714</v>
      </c>
      <c r="BF268" s="84">
        <f t="shared" si="2304"/>
        <v>0.50452387714529157</v>
      </c>
      <c r="BG268" s="84">
        <f t="shared" si="2304"/>
        <v>0.51506748240787392</v>
      </c>
      <c r="BH268" s="84">
        <f t="shared" si="2304"/>
        <v>0.51482682513345401</v>
      </c>
      <c r="BI268" s="84">
        <f t="shared" si="2304"/>
        <v>0.51206003717034421</v>
      </c>
      <c r="BJ268" s="84">
        <f t="shared" si="2304"/>
        <v>0.53775807799160713</v>
      </c>
      <c r="BK268" s="84">
        <f t="shared" si="2304"/>
        <v>0.54600853220565138</v>
      </c>
      <c r="BL268" s="84">
        <f t="shared" si="2304"/>
        <v>0.46461550905680798</v>
      </c>
      <c r="BM268" s="84">
        <f t="shared" si="2304"/>
        <v>0.45467046520049592</v>
      </c>
      <c r="BN268" s="84">
        <f t="shared" si="2304"/>
        <v>0.42703711747984241</v>
      </c>
      <c r="BO268" s="84">
        <f t="shared" si="2304"/>
        <v>0.36470104117262164</v>
      </c>
      <c r="BP268" s="84">
        <f t="shared" si="2304"/>
        <v>0.27155169524714157</v>
      </c>
      <c r="BQ268" s="84">
        <f t="shared" si="2304"/>
        <v>0.18889855254363938</v>
      </c>
      <c r="BR268" s="84">
        <f t="shared" si="2304"/>
        <v>0.15203968266991244</v>
      </c>
      <c r="BS268" s="84">
        <f t="shared" si="2304"/>
        <v>0.17862664776858472</v>
      </c>
      <c r="BT268" s="84">
        <f t="shared" si="2304"/>
        <v>0.21831355257279386</v>
      </c>
      <c r="BU268" s="84">
        <f t="shared" si="2304"/>
        <v>0.26523197001464455</v>
      </c>
      <c r="BV268" s="84">
        <f t="shared" si="2304"/>
        <v>0.25753310149157893</v>
      </c>
      <c r="BW268" s="84">
        <f t="shared" si="2304"/>
        <v>0.32571511111966017</v>
      </c>
      <c r="BX268" s="84">
        <f t="shared" si="2304"/>
        <v>0.40557711745772052</v>
      </c>
      <c r="BY268" s="84">
        <f t="shared" si="2304"/>
        <v>0.43580119344520662</v>
      </c>
      <c r="BZ268" s="84">
        <f t="shared" si="2304"/>
        <v>0.46941712195177127</v>
      </c>
      <c r="CA268" s="84">
        <f t="shared" si="2304"/>
        <v>0.47879958959663482</v>
      </c>
      <c r="CB268" s="84">
        <f t="shared" si="2304"/>
        <v>0.50979400736766767</v>
      </c>
      <c r="CC268" s="84">
        <f t="shared" si="2304"/>
        <v>0.50681381442044604</v>
      </c>
      <c r="CD268" s="84">
        <f t="shared" si="2304"/>
        <v>0.51292514532405509</v>
      </c>
      <c r="CE268" s="84">
        <f t="shared" si="2304"/>
        <v>0.51338250005668873</v>
      </c>
      <c r="CF268" s="84">
        <f t="shared" si="2304"/>
        <v>0.48452865063458916</v>
      </c>
      <c r="CG268" s="84">
        <f t="shared" si="2304"/>
        <v>0.4958351127971305</v>
      </c>
      <c r="CH268" s="84">
        <f t="shared" si="2304"/>
        <v>0.5133341832916668</v>
      </c>
      <c r="CI268" s="84">
        <f t="shared" si="2304"/>
        <v>0.56020314929458348</v>
      </c>
      <c r="CJ268" s="84">
        <f t="shared" si="2304"/>
        <v>0.53299813218119729</v>
      </c>
      <c r="CK268" s="84">
        <f t="shared" ref="CK268" si="2305">SUM(CH34:CK34)/(CK185+CK172+CK162)</f>
        <v>0.47082881413561611</v>
      </c>
      <c r="CL268" s="84">
        <f t="shared" si="2304"/>
        <v>0.50691346463222275</v>
      </c>
      <c r="CM268" s="50">
        <f t="shared" ref="CM268:DB268" si="2306">SUM(CJ34:CM34)/(CM185+CM172+CM162)</f>
        <v>0.53118220509484282</v>
      </c>
      <c r="CN268" s="50">
        <f t="shared" si="2306"/>
        <v>0.55036171845539195</v>
      </c>
      <c r="CO268" s="50">
        <f t="shared" si="2306"/>
        <v>0.52907198827806934</v>
      </c>
      <c r="CP268" s="50">
        <f t="shared" si="2306"/>
        <v>0.5150716818842076</v>
      </c>
      <c r="CQ268" s="50">
        <f t="shared" si="2306"/>
        <v>0.50227824677555377</v>
      </c>
      <c r="CR268" s="50">
        <f t="shared" si="2306"/>
        <v>0.4943071280827131</v>
      </c>
      <c r="CS268" s="50">
        <f t="shared" si="2306"/>
        <v>0.48573466699535334</v>
      </c>
      <c r="CT268" s="50">
        <f t="shared" si="2306"/>
        <v>0.480324551177577</v>
      </c>
      <c r="CU268" s="50">
        <f t="shared" si="2306"/>
        <v>0.47212720640266598</v>
      </c>
      <c r="CV268" s="50">
        <f t="shared" si="2306"/>
        <v>0.46496061528158533</v>
      </c>
      <c r="CW268" s="50">
        <f t="shared" si="2306"/>
        <v>0.4580017743473927</v>
      </c>
      <c r="CX268" s="50">
        <f t="shared" si="2306"/>
        <v>0.45142914755728702</v>
      </c>
      <c r="CY268" s="50">
        <f t="shared" si="2306"/>
        <v>0.44459300425485171</v>
      </c>
      <c r="CZ268" s="50">
        <f t="shared" si="2306"/>
        <v>0.43807356891418464</v>
      </c>
      <c r="DA268" s="50">
        <f t="shared" si="2306"/>
        <v>0.43171186685548379</v>
      </c>
      <c r="DB268" s="50">
        <f t="shared" si="2306"/>
        <v>0.42549352537243412</v>
      </c>
      <c r="DE268" s="138"/>
      <c r="DF268" s="84">
        <v>0.47694770993427982</v>
      </c>
    </row>
    <row r="269" spans="1:110" s="84" customFormat="1" x14ac:dyDescent="0.2">
      <c r="A269" s="84" t="s">
        <v>513</v>
      </c>
      <c r="E269" s="181">
        <f>+E66</f>
        <v>2.8213979288464953E-2</v>
      </c>
      <c r="F269" s="181">
        <f t="shared" ref="F269:AE269" si="2307">+F66</f>
        <v>6.0341217939445503E-2</v>
      </c>
      <c r="G269" s="181">
        <f t="shared" si="2307"/>
        <v>0.12176497161611251</v>
      </c>
      <c r="H269" s="181">
        <f t="shared" si="2307"/>
        <v>0.13407680798004981</v>
      </c>
      <c r="I269" s="181">
        <f t="shared" si="2307"/>
        <v>0.12592336380105693</v>
      </c>
      <c r="J269" s="181">
        <f t="shared" si="2307"/>
        <v>2.7921210068016173E-3</v>
      </c>
      <c r="K269" s="181">
        <f t="shared" si="2307"/>
        <v>-6.7325923634084572E-2</v>
      </c>
      <c r="L269" s="181">
        <f t="shared" si="2307"/>
        <v>-2.8227370068507365E-2</v>
      </c>
      <c r="M269" s="181">
        <f t="shared" si="2307"/>
        <v>7.9395502276740082E-3</v>
      </c>
      <c r="N269" s="181">
        <f t="shared" si="2307"/>
        <v>1.0600102581637854E-2</v>
      </c>
      <c r="O269" s="181">
        <f t="shared" si="2307"/>
        <v>7.8033736741274203E-3</v>
      </c>
      <c r="P269" s="181">
        <f t="shared" si="2307"/>
        <v>1.3918598876963295E-3</v>
      </c>
      <c r="Q269" s="181">
        <f t="shared" si="2307"/>
        <v>-2.4638207118035622E-2</v>
      </c>
      <c r="R269" s="181">
        <f t="shared" si="2307"/>
        <v>-1.8002422542077404E-2</v>
      </c>
      <c r="S269" s="181">
        <f t="shared" si="2307"/>
        <v>9.937736837616189E-3</v>
      </c>
      <c r="T269" s="181">
        <f t="shared" si="2307"/>
        <v>5.2750443262411247E-2</v>
      </c>
      <c r="U269" s="181">
        <f t="shared" si="2307"/>
        <v>6.9417495305995461E-2</v>
      </c>
      <c r="V269" s="181">
        <f t="shared" si="2307"/>
        <v>-0.54226872190761555</v>
      </c>
      <c r="W269" s="181">
        <f t="shared" si="2307"/>
        <v>-7.7880519072579882E-2</v>
      </c>
      <c r="X269" s="181">
        <f t="shared" si="2307"/>
        <v>0.16663597198579658</v>
      </c>
      <c r="Y269" s="181">
        <f t="shared" si="2307"/>
        <v>0.1775202216066481</v>
      </c>
      <c r="Z269" s="181">
        <f t="shared" si="2307"/>
        <v>0.19874522169189909</v>
      </c>
      <c r="AA269" s="181">
        <f t="shared" ref="AA269" si="2308">+AA66</f>
        <v>0.19812017892049102</v>
      </c>
      <c r="AB269" s="182">
        <f t="shared" si="2307"/>
        <v>0.20253024165677261</v>
      </c>
      <c r="AC269" s="182">
        <f t="shared" si="2307"/>
        <v>0.23132406149642232</v>
      </c>
      <c r="AD269" s="182">
        <f t="shared" si="2307"/>
        <v>0.23965144469001787</v>
      </c>
      <c r="AE269" s="182">
        <f t="shared" si="2307"/>
        <v>0.24562691092201203</v>
      </c>
      <c r="AL269" s="181">
        <f t="shared" ref="AL269:CW269" si="2309">+AL66</f>
        <v>3.9723763428166768E-2</v>
      </c>
      <c r="AM269" s="181">
        <f t="shared" si="2309"/>
        <v>5.2822713766906922E-4</v>
      </c>
      <c r="AN269" s="181">
        <f t="shared" si="2309"/>
        <v>-5.5942494865613007E-2</v>
      </c>
      <c r="AO269" s="181">
        <f t="shared" si="2309"/>
        <v>6.6323515557420623E-2</v>
      </c>
      <c r="AP269" s="181">
        <f t="shared" si="2309"/>
        <v>3.5924531061465219E-3</v>
      </c>
      <c r="AQ269" s="181">
        <f t="shared" si="2309"/>
        <v>-1.9456830158086847E-2</v>
      </c>
      <c r="AR269" s="181">
        <f t="shared" si="2309"/>
        <v>-8.9786552828174965E-2</v>
      </c>
      <c r="AS269" s="181">
        <f t="shared" si="2309"/>
        <v>7.4489593000132637E-2</v>
      </c>
      <c r="AT269" s="181">
        <f t="shared" si="2309"/>
        <v>1.652668653481441E-2</v>
      </c>
      <c r="AU269" s="181">
        <f t="shared" si="2309"/>
        <v>-3.3787708631839953E-3</v>
      </c>
      <c r="AV269" s="181">
        <f t="shared" si="2309"/>
        <v>-8.6027035790556497E-2</v>
      </c>
      <c r="AW269" s="181">
        <f t="shared" si="2309"/>
        <v>3.8797442758929351E-2</v>
      </c>
      <c r="AX269" s="181">
        <f t="shared" si="2309"/>
        <v>-6.1459562863771392E-3</v>
      </c>
      <c r="AY269" s="181">
        <f t="shared" si="2309"/>
        <v>-5.6896569937568087E-2</v>
      </c>
      <c r="AZ269" s="181">
        <f t="shared" si="2309"/>
        <v>-0.10436507489264828</v>
      </c>
      <c r="BA269" s="181">
        <f t="shared" si="2309"/>
        <v>7.1522582126862688E-2</v>
      </c>
      <c r="BB269" s="181">
        <f t="shared" si="2309"/>
        <v>-6.5480602915740467E-3</v>
      </c>
      <c r="BC269" s="181">
        <f t="shared" si="2309"/>
        <v>-4.9793669607972345E-2</v>
      </c>
      <c r="BD269" s="181">
        <f t="shared" si="2309"/>
        <v>-6.2852982962884635E-2</v>
      </c>
      <c r="BE269" s="181">
        <f t="shared" si="2309"/>
        <v>5.7105390641965813E-2</v>
      </c>
      <c r="BF269" s="181">
        <f t="shared" si="2309"/>
        <v>6.2363353331117782E-2</v>
      </c>
      <c r="BG269" s="181">
        <f t="shared" si="2309"/>
        <v>1.0217413493926797E-2</v>
      </c>
      <c r="BH269" s="181">
        <f t="shared" si="2309"/>
        <v>7.4958788218094912E-3</v>
      </c>
      <c r="BI269" s="181">
        <f t="shared" si="2309"/>
        <v>8.9621821753749734E-2</v>
      </c>
      <c r="BJ269" s="181">
        <f t="shared" si="2309"/>
        <v>8.2101067249581966E-2</v>
      </c>
      <c r="BK269" s="181">
        <f t="shared" si="2309"/>
        <v>7.6764705882352404E-3</v>
      </c>
      <c r="BL269" s="181">
        <f t="shared" si="2309"/>
        <v>7.9766536964980567E-2</v>
      </c>
      <c r="BM269" s="181">
        <f t="shared" si="2309"/>
        <v>0.14200273908735941</v>
      </c>
      <c r="BN269" s="181">
        <f t="shared" si="2309"/>
        <v>2.5118064309770705E-2</v>
      </c>
      <c r="BO269" s="181">
        <f t="shared" si="2309"/>
        <v>-2.4580460970684488</v>
      </c>
      <c r="BP269" s="181">
        <f t="shared" si="2309"/>
        <v>-0.93579304164880972</v>
      </c>
      <c r="BQ269" s="181">
        <f t="shared" si="2309"/>
        <v>-0.26024363233665548</v>
      </c>
      <c r="BR269" s="181">
        <f t="shared" si="2309"/>
        <v>-0.18742479919352217</v>
      </c>
      <c r="BS269" s="181">
        <f t="shared" si="2309"/>
        <v>-0.84278043825279347</v>
      </c>
      <c r="BT269" s="181">
        <f t="shared" si="2309"/>
        <v>-0.14761728242514102</v>
      </c>
      <c r="BU269" s="181">
        <f t="shared" si="2309"/>
        <v>8.6859487770198501E-2</v>
      </c>
      <c r="BV269" s="181">
        <f t="shared" si="2309"/>
        <v>7.2653884964682169E-2</v>
      </c>
      <c r="BW269" s="181">
        <f t="shared" si="2309"/>
        <v>0.13842836494032709</v>
      </c>
      <c r="BX269" s="181">
        <f t="shared" si="2309"/>
        <v>9.0896552843153899E-2</v>
      </c>
      <c r="BY269" s="181">
        <f t="shared" si="2309"/>
        <v>0.22471230276426624</v>
      </c>
      <c r="BZ269" s="181">
        <f t="shared" si="2309"/>
        <v>0.18580929354078612</v>
      </c>
      <c r="CA269" s="181">
        <f t="shared" si="2309"/>
        <v>0.1436199594918062</v>
      </c>
      <c r="CB269" s="181">
        <f t="shared" si="2309"/>
        <v>0.11157549539492061</v>
      </c>
      <c r="CC269" s="181">
        <f t="shared" si="2309"/>
        <v>0.22302733420237897</v>
      </c>
      <c r="CD269" s="181">
        <f t="shared" si="2309"/>
        <v>0.20630963502576966</v>
      </c>
      <c r="CE269" s="181">
        <f t="shared" si="2309"/>
        <v>0.15108080736406856</v>
      </c>
      <c r="CF269" s="181">
        <f t="shared" si="2309"/>
        <v>0.14558188947057144</v>
      </c>
      <c r="CG269" s="181">
        <f t="shared" si="2309"/>
        <v>0.24232447049999017</v>
      </c>
      <c r="CH269" s="181">
        <f t="shared" si="2309"/>
        <v>0.22372728997088825</v>
      </c>
      <c r="CI269" s="181">
        <f t="shared" si="2309"/>
        <v>0.15649558077096426</v>
      </c>
      <c r="CJ269" s="181">
        <f t="shared" si="2309"/>
        <v>0.15492260729387672</v>
      </c>
      <c r="CK269" s="181">
        <f t="shared" si="2309"/>
        <v>0.23181536685949131</v>
      </c>
      <c r="CL269" s="181">
        <f t="shared" ref="CL269" si="2310">+CL66</f>
        <v>0.22609563553912976</v>
      </c>
      <c r="CM269" s="182">
        <f t="shared" si="2309"/>
        <v>0.19053455360054816</v>
      </c>
      <c r="CN269" s="182">
        <f t="shared" si="2309"/>
        <v>0.19892319624969163</v>
      </c>
      <c r="CO269" s="182">
        <f t="shared" si="2309"/>
        <v>0.2121316188997468</v>
      </c>
      <c r="CP269" s="182">
        <f t="shared" si="2309"/>
        <v>0.20829323484508289</v>
      </c>
      <c r="CQ269" s="182">
        <f t="shared" si="2309"/>
        <v>0.21939861977883784</v>
      </c>
      <c r="CR269" s="182">
        <f t="shared" si="2309"/>
        <v>0.2274619836830894</v>
      </c>
      <c r="CS269" s="182">
        <f t="shared" si="2309"/>
        <v>0.23552501785855842</v>
      </c>
      <c r="CT269" s="182">
        <f t="shared" si="2309"/>
        <v>0.24238639183622548</v>
      </c>
      <c r="CU269" s="182">
        <f t="shared" si="2309"/>
        <v>0.23496837329225131</v>
      </c>
      <c r="CV269" s="182">
        <f t="shared" si="2309"/>
        <v>0.23881851170824239</v>
      </c>
      <c r="CW269" s="182">
        <f t="shared" si="2309"/>
        <v>0.24159194164982686</v>
      </c>
      <c r="CX269" s="182">
        <f t="shared" ref="CX269:DB269" si="2311">+CX66</f>
        <v>0.24302423945997201</v>
      </c>
      <c r="CY269" s="182">
        <f t="shared" si="2311"/>
        <v>0.24309238250001752</v>
      </c>
      <c r="CZ269" s="182">
        <f t="shared" si="2311"/>
        <v>0.24505435848632115</v>
      </c>
      <c r="DA269" s="182">
        <f t="shared" si="2311"/>
        <v>0.24654141186568013</v>
      </c>
      <c r="DB269" s="182">
        <f t="shared" si="2311"/>
        <v>0.24770698953030534</v>
      </c>
      <c r="DE269" s="138"/>
      <c r="DF269" s="84">
        <v>0.23106167464019872</v>
      </c>
    </row>
    <row r="270" spans="1:110" s="84" customFormat="1" x14ac:dyDescent="0.2">
      <c r="A270" s="84" t="s">
        <v>514</v>
      </c>
      <c r="E270" s="84">
        <f>(E185+E172+E162+E164)/E144</f>
        <v>3.4937787243582554</v>
      </c>
      <c r="F270" s="84">
        <f t="shared" ref="F270:AE270" si="2312">(F185+F172+F162+F164)/F144</f>
        <v>3.1056000363589535</v>
      </c>
      <c r="G270" s="84">
        <f t="shared" si="2312"/>
        <v>2.2851346175742955</v>
      </c>
      <c r="H270" s="84">
        <f t="shared" si="2312"/>
        <v>2.4942001888754279</v>
      </c>
      <c r="I270" s="84">
        <f t="shared" si="2312"/>
        <v>3.0140981626995842</v>
      </c>
      <c r="J270" s="84">
        <f t="shared" si="2312"/>
        <v>2.7751713974692911</v>
      </c>
      <c r="K270" s="84">
        <f t="shared" si="2312"/>
        <v>3.3758835432096337</v>
      </c>
      <c r="L270" s="84">
        <f t="shared" si="2312"/>
        <v>3.0499235513408576</v>
      </c>
      <c r="M270" s="84">
        <f t="shared" si="2312"/>
        <v>2.9833694281927796</v>
      </c>
      <c r="N270" s="84">
        <f t="shared" si="2312"/>
        <v>3.1186326897773959</v>
      </c>
      <c r="O270" s="84">
        <f t="shared" si="2312"/>
        <v>3.6088087814721255</v>
      </c>
      <c r="P270" s="84">
        <f t="shared" si="2312"/>
        <v>4.4377654654681624</v>
      </c>
      <c r="Q270" s="84">
        <f t="shared" si="2312"/>
        <v>3.7970661757581632</v>
      </c>
      <c r="R270" s="84">
        <f t="shared" si="2312"/>
        <v>3.4154602035993311</v>
      </c>
      <c r="S270" s="84">
        <f t="shared" si="2312"/>
        <v>2.2277391117170118</v>
      </c>
      <c r="T270" s="84">
        <f t="shared" si="2312"/>
        <v>2.1882060717571297</v>
      </c>
      <c r="U270" s="84">
        <f t="shared" si="2312"/>
        <v>2.626178327721429</v>
      </c>
      <c r="V270" s="84">
        <f t="shared" si="2312"/>
        <v>3.1231786736248917</v>
      </c>
      <c r="W270" s="84">
        <f t="shared" si="2312"/>
        <v>1.8310906580763919</v>
      </c>
      <c r="X270" s="84">
        <f t="shared" si="2312"/>
        <v>1.6926381490260538</v>
      </c>
      <c r="Y270" s="84">
        <f t="shared" si="2312"/>
        <v>1.5579956961503281</v>
      </c>
      <c r="Z270" s="84">
        <f t="shared" si="2312"/>
        <v>1.5783924141026868</v>
      </c>
      <c r="AA270" s="84">
        <f t="shared" ref="AA270" si="2313">(AA185+AA172+AA162+AA164)/AA144</f>
        <v>1.5492086063058665</v>
      </c>
      <c r="AB270" s="50">
        <f t="shared" si="2312"/>
        <v>1.4674153090864868</v>
      </c>
      <c r="AC270" s="50">
        <f t="shared" si="2312"/>
        <v>1.4247679137265701</v>
      </c>
      <c r="AD270" s="50">
        <f t="shared" si="2312"/>
        <v>1.3839510505701802</v>
      </c>
      <c r="AE270" s="50">
        <f t="shared" si="2312"/>
        <v>1.3486629342926042</v>
      </c>
      <c r="AL270" s="84">
        <f t="shared" ref="AL270:CW270" si="2314">(AL185+AL172+AL162+AL164)/AL144</f>
        <v>3.1186293332617274</v>
      </c>
      <c r="AM270" s="84">
        <f t="shared" si="2314"/>
        <v>3.1208573083353861</v>
      </c>
      <c r="AN270" s="84">
        <f t="shared" si="2314"/>
        <v>2.4370159745271054</v>
      </c>
      <c r="AO270" s="84">
        <f t="shared" si="2314"/>
        <v>2.4239060696119488</v>
      </c>
      <c r="AP270" s="84">
        <f t="shared" si="2314"/>
        <v>3.6088087814721259</v>
      </c>
      <c r="AQ270" s="84">
        <f t="shared" si="2314"/>
        <v>3.6249557696363</v>
      </c>
      <c r="AR270" s="84">
        <f t="shared" si="2314"/>
        <v>2.8425568088197841</v>
      </c>
      <c r="AS270" s="84">
        <f t="shared" si="2314"/>
        <v>2.8168690913854979</v>
      </c>
      <c r="AT270" s="84">
        <f t="shared" si="2314"/>
        <v>4.4377654654681633</v>
      </c>
      <c r="AU270" s="84">
        <f t="shared" si="2314"/>
        <v>4.3750733241809865</v>
      </c>
      <c r="AV270" s="84">
        <f t="shared" si="2314"/>
        <v>2.8769034485346539</v>
      </c>
      <c r="AW270" s="84">
        <f t="shared" si="2314"/>
        <v>2.8878178376184507</v>
      </c>
      <c r="AX270" s="84">
        <f t="shared" si="2314"/>
        <v>3.7970661757581632</v>
      </c>
      <c r="AY270" s="84">
        <f t="shared" si="2314"/>
        <v>3.9663285194037394</v>
      </c>
      <c r="AZ270" s="84">
        <f t="shared" si="2314"/>
        <v>2.4134729133778858</v>
      </c>
      <c r="BA270" s="84">
        <f t="shared" si="2314"/>
        <v>2.3816672624531914</v>
      </c>
      <c r="BB270" s="84">
        <f t="shared" si="2314"/>
        <v>3.4294412735483717</v>
      </c>
      <c r="BC270" s="84">
        <f t="shared" si="2314"/>
        <v>3.4380067424815155</v>
      </c>
      <c r="BD270" s="84">
        <f t="shared" si="2314"/>
        <v>3.5377822290581178</v>
      </c>
      <c r="BE270" s="84">
        <f t="shared" si="2314"/>
        <v>3.4869130203961545</v>
      </c>
      <c r="BF270" s="84">
        <f t="shared" si="2314"/>
        <v>2.2277391117170118</v>
      </c>
      <c r="BG270" s="84">
        <f t="shared" si="2314"/>
        <v>2.2116725557948103</v>
      </c>
      <c r="BH270" s="84">
        <f t="shared" si="2314"/>
        <v>2.2515636271865187</v>
      </c>
      <c r="BI270" s="84">
        <f t="shared" si="2314"/>
        <v>2.2348623151699361</v>
      </c>
      <c r="BJ270" s="84">
        <f t="shared" si="2314"/>
        <v>2.1882060717571297</v>
      </c>
      <c r="BK270" s="84">
        <f t="shared" si="2314"/>
        <v>2.1731934741885679</v>
      </c>
      <c r="BL270" s="84">
        <f t="shared" si="2314"/>
        <v>2.6925423403328135</v>
      </c>
      <c r="BM270" s="84">
        <f t="shared" si="2314"/>
        <v>2.6404328917542217</v>
      </c>
      <c r="BN270" s="84">
        <f t="shared" si="2314"/>
        <v>2.626178327721429</v>
      </c>
      <c r="BO270" s="84">
        <f t="shared" si="2314"/>
        <v>2.655239078191272</v>
      </c>
      <c r="BP270" s="84">
        <f t="shared" si="2314"/>
        <v>3.0780022112143253</v>
      </c>
      <c r="BQ270" s="84">
        <f t="shared" si="2314"/>
        <v>3.2550729015019018</v>
      </c>
      <c r="BR270" s="84">
        <f t="shared" si="2314"/>
        <v>3.1231786736248917</v>
      </c>
      <c r="BS270" s="84">
        <f t="shared" si="2314"/>
        <v>3.2563926684293829</v>
      </c>
      <c r="BT270" s="84">
        <f t="shared" si="2314"/>
        <v>3.4877190391809414</v>
      </c>
      <c r="BU270" s="84">
        <f t="shared" si="2314"/>
        <v>3.4854128169760883</v>
      </c>
      <c r="BV270" s="84">
        <f t="shared" si="2314"/>
        <v>1.8310906580763922</v>
      </c>
      <c r="BW270" s="84">
        <f t="shared" si="2314"/>
        <v>1.8357450190645586</v>
      </c>
      <c r="BX270" s="84">
        <f t="shared" si="2314"/>
        <v>1.686900909574039</v>
      </c>
      <c r="BY270" s="84">
        <f t="shared" si="2314"/>
        <v>1.6745429217656969</v>
      </c>
      <c r="BZ270" s="84">
        <f t="shared" si="2314"/>
        <v>1.6926381490260538</v>
      </c>
      <c r="CA270" s="84">
        <f t="shared" si="2314"/>
        <v>1.6681747871883885</v>
      </c>
      <c r="CB270" s="84">
        <f t="shared" si="2314"/>
        <v>1.6211716616648273</v>
      </c>
      <c r="CC270" s="84">
        <f t="shared" si="2314"/>
        <v>1.6082994819518364</v>
      </c>
      <c r="CD270" s="84">
        <f t="shared" si="2314"/>
        <v>1.5579956961503278</v>
      </c>
      <c r="CE270" s="84">
        <f t="shared" si="2314"/>
        <v>1.5337403865296726</v>
      </c>
      <c r="CF270" s="84">
        <f t="shared" si="2314"/>
        <v>1.614154846510272</v>
      </c>
      <c r="CG270" s="84">
        <f t="shared" si="2314"/>
        <v>1.6017733622593315</v>
      </c>
      <c r="CH270" s="84">
        <f t="shared" si="2314"/>
        <v>1.5783924141026868</v>
      </c>
      <c r="CI270" s="84">
        <f t="shared" si="2314"/>
        <v>1.4954770332117484</v>
      </c>
      <c r="CJ270" s="84">
        <f t="shared" si="2314"/>
        <v>1.5859813318374369</v>
      </c>
      <c r="CK270" s="84">
        <f t="shared" si="2314"/>
        <v>1.7032904326861811</v>
      </c>
      <c r="CL270" s="84">
        <f t="shared" ref="CL270" si="2315">(CL185+CL172+CL162+CL164)/CL144</f>
        <v>1.5492086063058665</v>
      </c>
      <c r="CM270" s="50">
        <f t="shared" si="2314"/>
        <v>1.5200907447712313</v>
      </c>
      <c r="CN270" s="50">
        <f t="shared" si="2314"/>
        <v>1.5028523660229964</v>
      </c>
      <c r="CO270" s="50">
        <f t="shared" si="2314"/>
        <v>1.4893675845196506</v>
      </c>
      <c r="CP270" s="50">
        <f t="shared" si="2314"/>
        <v>1.4674153090864868</v>
      </c>
      <c r="CQ270" s="50">
        <f t="shared" si="2314"/>
        <v>1.4643672943429997</v>
      </c>
      <c r="CR270" s="50">
        <f t="shared" si="2314"/>
        <v>1.4505585262899323</v>
      </c>
      <c r="CS270" s="50">
        <f t="shared" si="2314"/>
        <v>1.4375868953421811</v>
      </c>
      <c r="CT270" s="50">
        <f t="shared" si="2314"/>
        <v>1.4247679137265701</v>
      </c>
      <c r="CU270" s="50">
        <f t="shared" si="2314"/>
        <v>1.4152009766518721</v>
      </c>
      <c r="CV270" s="50">
        <f t="shared" si="2314"/>
        <v>1.4041821760357467</v>
      </c>
      <c r="CW270" s="50">
        <f t="shared" si="2314"/>
        <v>1.3937847609234886</v>
      </c>
      <c r="CX270" s="50">
        <f t="shared" ref="CX270:DB270" si="2316">(CX185+CX172+CX162+CX164)/CX144</f>
        <v>1.3839510505701802</v>
      </c>
      <c r="CY270" s="50">
        <f t="shared" si="2316"/>
        <v>1.374766588392083</v>
      </c>
      <c r="CZ270" s="50">
        <f t="shared" si="2316"/>
        <v>1.3656604778927881</v>
      </c>
      <c r="DA270" s="50">
        <f t="shared" si="2316"/>
        <v>1.3569745787787364</v>
      </c>
      <c r="DB270" s="50">
        <f t="shared" si="2316"/>
        <v>1.3486629342926042</v>
      </c>
      <c r="DE270" s="138"/>
      <c r="DF270" s="84">
        <v>1.6678694935782272</v>
      </c>
    </row>
    <row r="271" spans="1:110" s="84" customFormat="1" x14ac:dyDescent="0.2">
      <c r="A271" s="154" t="s">
        <v>498</v>
      </c>
      <c r="AB271" s="50"/>
      <c r="AC271" s="50"/>
      <c r="AD271" s="50"/>
      <c r="AE271" s="50"/>
      <c r="CM271" s="50"/>
      <c r="CN271" s="50"/>
      <c r="CO271" s="50"/>
      <c r="CP271" s="50"/>
      <c r="CQ271" s="50"/>
      <c r="CR271" s="50"/>
      <c r="CS271" s="50"/>
      <c r="CT271" s="50"/>
      <c r="CU271" s="50"/>
      <c r="CV271" s="50"/>
      <c r="CW271" s="50"/>
      <c r="CX271" s="50"/>
      <c r="CY271" s="50"/>
      <c r="CZ271" s="50"/>
      <c r="DA271" s="50"/>
      <c r="DB271" s="50"/>
      <c r="DE271" s="138"/>
    </row>
    <row r="272" spans="1:110" s="88" customFormat="1" x14ac:dyDescent="0.2">
      <c r="A272" s="88" t="s">
        <v>102</v>
      </c>
      <c r="B272" s="88">
        <f t="shared" ref="B272:AE272" si="2317">B185/B144</f>
        <v>2.344862566083377E-2</v>
      </c>
      <c r="C272" s="88">
        <f t="shared" si="2317"/>
        <v>0.10747312928153108</v>
      </c>
      <c r="D272" s="88">
        <f t="shared" si="2317"/>
        <v>5.1329339075079569E-2</v>
      </c>
      <c r="F272" s="88">
        <f t="shared" si="2317"/>
        <v>0.35707522516039597</v>
      </c>
      <c r="G272" s="88">
        <f t="shared" si="2317"/>
        <v>0.23126170981398864</v>
      </c>
      <c r="H272" s="88">
        <f t="shared" si="2317"/>
        <v>9.0731749196325526E-2</v>
      </c>
      <c r="I272" s="88">
        <f t="shared" si="2317"/>
        <v>0.11467592735413758</v>
      </c>
      <c r="J272" s="88">
        <f t="shared" si="2317"/>
        <v>0.20575883367850353</v>
      </c>
      <c r="K272" s="88">
        <f t="shared" si="2317"/>
        <v>0.22475689055654871</v>
      </c>
      <c r="L272" s="88">
        <f t="shared" si="2317"/>
        <v>0.29037090484289368</v>
      </c>
      <c r="M272" s="88">
        <f t="shared" si="2317"/>
        <v>7.1910657141933607E-2</v>
      </c>
      <c r="N272" s="88">
        <f t="shared" si="2317"/>
        <v>8.4164630380494612E-2</v>
      </c>
      <c r="O272" s="88">
        <f t="shared" si="2317"/>
        <v>0.11055733824901573</v>
      </c>
      <c r="P272" s="88">
        <f t="shared" si="2317"/>
        <v>0.47138585321611692</v>
      </c>
      <c r="Q272" s="88">
        <f t="shared" si="2317"/>
        <v>0.1368704582889255</v>
      </c>
      <c r="R272" s="88">
        <f t="shared" si="2317"/>
        <v>0.13419444014155835</v>
      </c>
      <c r="S272" s="88">
        <f t="shared" si="2317"/>
        <v>0.1437062017172514</v>
      </c>
      <c r="T272" s="88">
        <f t="shared" si="2317"/>
        <v>0.10399034038638454</v>
      </c>
      <c r="U272" s="88">
        <f t="shared" si="2317"/>
        <v>0.17256203506694115</v>
      </c>
      <c r="V272" s="88">
        <f t="shared" si="2317"/>
        <v>0.16507329159860104</v>
      </c>
      <c r="W272" s="88">
        <f t="shared" si="2317"/>
        <v>0.29597932670183014</v>
      </c>
      <c r="X272" s="88">
        <f t="shared" si="2317"/>
        <v>0.22685656154628692</v>
      </c>
      <c r="Y272" s="88">
        <f t="shared" si="2317"/>
        <v>0.23366096873628611</v>
      </c>
      <c r="Z272" s="88">
        <f t="shared" si="2317"/>
        <v>0.2760066339865474</v>
      </c>
      <c r="AA272" s="88">
        <f t="shared" ref="AA272" si="2318">AA185/AA144</f>
        <v>0.33182299810991023</v>
      </c>
      <c r="AB272" s="42">
        <f t="shared" si="2317"/>
        <v>0.43313985374168895</v>
      </c>
      <c r="AC272" s="42">
        <f t="shared" si="2317"/>
        <v>0.52866738123297308</v>
      </c>
      <c r="AD272" s="42">
        <f t="shared" si="2317"/>
        <v>0.60402441953155961</v>
      </c>
      <c r="AE272" s="42">
        <f t="shared" si="2317"/>
        <v>0.6642265476221777</v>
      </c>
      <c r="AL272" s="88">
        <f t="shared" ref="AL272:CW272" si="2319">AL185/AL144</f>
        <v>8.4164630380494612E-2</v>
      </c>
      <c r="AM272" s="88">
        <f t="shared" si="2319"/>
        <v>8.010703224086782E-2</v>
      </c>
      <c r="AN272" s="88">
        <f t="shared" si="2319"/>
        <v>8.9013465015245971E-3</v>
      </c>
      <c r="AO272" s="88">
        <f t="shared" si="2319"/>
        <v>2.7254025105762303E-2</v>
      </c>
      <c r="AP272" s="88">
        <f t="shared" si="2319"/>
        <v>0.11055733824901573</v>
      </c>
      <c r="AQ272" s="88">
        <f t="shared" si="2319"/>
        <v>0.10092030085946821</v>
      </c>
      <c r="AR272" s="88">
        <f t="shared" si="2319"/>
        <v>0.3022476370227235</v>
      </c>
      <c r="AS272" s="88">
        <f t="shared" si="2319"/>
        <v>0.31443929618525485</v>
      </c>
      <c r="AT272" s="88">
        <f t="shared" si="2319"/>
        <v>0.47138585321611692</v>
      </c>
      <c r="AU272" s="88">
        <f t="shared" si="2319"/>
        <v>0.48164083072844366</v>
      </c>
      <c r="AV272" s="88">
        <f t="shared" si="2319"/>
        <v>0.26229877293707082</v>
      </c>
      <c r="AW272" s="88">
        <f t="shared" si="2319"/>
        <v>0.26308472523701798</v>
      </c>
      <c r="AX272" s="88">
        <f t="shared" si="2319"/>
        <v>0.1368704582889255</v>
      </c>
      <c r="AY272" s="88">
        <f t="shared" si="2319"/>
        <v>7.9527800714549374E-2</v>
      </c>
      <c r="AZ272" s="88">
        <f t="shared" si="2319"/>
        <v>5.4948976227692861E-2</v>
      </c>
      <c r="BA272" s="88">
        <f t="shared" si="2319"/>
        <v>8.1894855237109807E-2</v>
      </c>
      <c r="BB272" s="88">
        <f t="shared" si="2319"/>
        <v>0.13419444014155835</v>
      </c>
      <c r="BC272" s="88">
        <f t="shared" si="2319"/>
        <v>0.12872171946431338</v>
      </c>
      <c r="BD272" s="88">
        <f t="shared" si="2319"/>
        <v>0.12735033563448631</v>
      </c>
      <c r="BE272" s="88">
        <f t="shared" si="2319"/>
        <v>0.15281516759790734</v>
      </c>
      <c r="BF272" s="88">
        <f t="shared" si="2319"/>
        <v>0.1437062017172514</v>
      </c>
      <c r="BG272" s="88">
        <f t="shared" si="2319"/>
        <v>0.14935685460582915</v>
      </c>
      <c r="BH272" s="88">
        <f t="shared" si="2319"/>
        <v>9.4846160988721881E-2</v>
      </c>
      <c r="BI272" s="88">
        <f t="shared" si="2319"/>
        <v>0.12324668177792644</v>
      </c>
      <c r="BJ272" s="88">
        <f t="shared" si="2319"/>
        <v>0.10399034038638454</v>
      </c>
      <c r="BK272" s="88">
        <f t="shared" si="2319"/>
        <v>0.10832413619546234</v>
      </c>
      <c r="BL272" s="88">
        <f t="shared" si="2319"/>
        <v>7.6760395201059636E-2</v>
      </c>
      <c r="BM272" s="88">
        <f t="shared" si="2319"/>
        <v>0.11403642449525354</v>
      </c>
      <c r="BN272" s="88">
        <f t="shared" si="2319"/>
        <v>0.17256203506694115</v>
      </c>
      <c r="BO272" s="88">
        <f t="shared" si="2319"/>
        <v>0.11454288109434661</v>
      </c>
      <c r="BP272" s="88">
        <f t="shared" si="2319"/>
        <v>0.16889504319455434</v>
      </c>
      <c r="BQ272" s="88">
        <f t="shared" si="2319"/>
        <v>0.14348935970433524</v>
      </c>
      <c r="BR272" s="88">
        <f t="shared" si="2319"/>
        <v>0.16507329159860104</v>
      </c>
      <c r="BS272" s="88">
        <f t="shared" si="2319"/>
        <v>9.5719957500555411E-2</v>
      </c>
      <c r="BT272" s="88">
        <f t="shared" si="2319"/>
        <v>0.18015972632407956</v>
      </c>
      <c r="BU272" s="88">
        <f t="shared" si="2319"/>
        <v>0.20239085702938947</v>
      </c>
      <c r="BV272" s="88">
        <f t="shared" si="2319"/>
        <v>0.29597932670183014</v>
      </c>
      <c r="BW272" s="88">
        <f t="shared" si="2319"/>
        <v>0.31447914570141999</v>
      </c>
      <c r="BX272" s="88">
        <f t="shared" si="2319"/>
        <v>0.16230150890792683</v>
      </c>
      <c r="BY272" s="88">
        <f t="shared" si="2319"/>
        <v>0.20409724605579843</v>
      </c>
      <c r="BZ272" s="88">
        <f t="shared" si="2319"/>
        <v>0.22685656154628692</v>
      </c>
      <c r="CA272" s="88">
        <f t="shared" si="2319"/>
        <v>0.24876146287172188</v>
      </c>
      <c r="CB272" s="88">
        <f t="shared" si="2319"/>
        <v>0.16910843326951258</v>
      </c>
      <c r="CC272" s="88">
        <f t="shared" si="2319"/>
        <v>0.20581390600310245</v>
      </c>
      <c r="CD272" s="88">
        <f t="shared" si="2319"/>
        <v>0.23366096873628611</v>
      </c>
      <c r="CE272" s="88">
        <f t="shared" si="2319"/>
        <v>0.2546866618654221</v>
      </c>
      <c r="CF272" s="88">
        <f t="shared" si="2319"/>
        <v>0.24264255571374838</v>
      </c>
      <c r="CG272" s="88">
        <f t="shared" si="2319"/>
        <v>0.27803999298191362</v>
      </c>
      <c r="CH272" s="88">
        <f t="shared" si="2319"/>
        <v>0.2760066339865474</v>
      </c>
      <c r="CI272" s="88">
        <f t="shared" si="2319"/>
        <v>0.26142467096394112</v>
      </c>
      <c r="CJ272" s="88">
        <f t="shared" si="2319"/>
        <v>0.2468816527694104</v>
      </c>
      <c r="CK272" s="88">
        <f t="shared" si="2319"/>
        <v>0.31454370129284764</v>
      </c>
      <c r="CL272" s="88">
        <f t="shared" ref="CL272" si="2320">CL185/CL144</f>
        <v>0.33182299810991023</v>
      </c>
      <c r="CM272" s="42">
        <f t="shared" si="2319"/>
        <v>0.35681321656385362</v>
      </c>
      <c r="CN272" s="42">
        <f t="shared" si="2319"/>
        <v>0.38336262962534595</v>
      </c>
      <c r="CO272" s="42">
        <f t="shared" si="2319"/>
        <v>0.41066910802796808</v>
      </c>
      <c r="CP272" s="42">
        <f t="shared" si="2319"/>
        <v>0.43313985374168895</v>
      </c>
      <c r="CQ272" s="42">
        <f t="shared" si="2319"/>
        <v>0.45997785059238289</v>
      </c>
      <c r="CR272" s="42">
        <f t="shared" si="2319"/>
        <v>0.48367008058473288</v>
      </c>
      <c r="CS272" s="42">
        <f t="shared" si="2319"/>
        <v>0.50666192930429121</v>
      </c>
      <c r="CT272" s="42">
        <f t="shared" si="2319"/>
        <v>0.52866738123297308</v>
      </c>
      <c r="CU272" s="42">
        <f t="shared" si="2319"/>
        <v>0.54924054964287006</v>
      </c>
      <c r="CV272" s="42">
        <f t="shared" si="2319"/>
        <v>0.56845790670291774</v>
      </c>
      <c r="CW272" s="42">
        <f t="shared" si="2319"/>
        <v>0.58673277422092618</v>
      </c>
      <c r="CX272" s="42">
        <f t="shared" ref="CX272:DB272" si="2321">CX185/CX144</f>
        <v>0.60402441953155961</v>
      </c>
      <c r="CY272" s="42">
        <f t="shared" si="2321"/>
        <v>0.62034221831245251</v>
      </c>
      <c r="CZ272" s="42">
        <f t="shared" si="2321"/>
        <v>0.63575901238316346</v>
      </c>
      <c r="DA272" s="42">
        <f t="shared" si="2321"/>
        <v>0.65037705529222412</v>
      </c>
      <c r="DB272" s="42">
        <f t="shared" si="2321"/>
        <v>0.6642265476221777</v>
      </c>
      <c r="DE272" s="125"/>
      <c r="DF272" s="88">
        <v>0.34702683269039553</v>
      </c>
    </row>
    <row r="273" spans="1:110" s="89" customFormat="1" x14ac:dyDescent="0.2">
      <c r="A273" s="89" t="s">
        <v>103</v>
      </c>
      <c r="C273" s="89">
        <f t="shared" ref="C273:AE273" si="2322">C152/B152-1</f>
        <v>1.6643856584610401</v>
      </c>
      <c r="D273" s="89">
        <f t="shared" si="2322"/>
        <v>-8.6579793992808129E-3</v>
      </c>
      <c r="F273" s="89">
        <f t="shared" si="2322"/>
        <v>-4.6503820547738051E-2</v>
      </c>
      <c r="G273" s="89">
        <f t="shared" si="2322"/>
        <v>-0.23912364308986234</v>
      </c>
      <c r="H273" s="89">
        <f t="shared" si="2322"/>
        <v>0.34939680512015037</v>
      </c>
      <c r="I273" s="89">
        <f t="shared" si="2322"/>
        <v>0.68587049970537373</v>
      </c>
      <c r="J273" s="89">
        <f t="shared" si="2322"/>
        <v>0.33812735284174589</v>
      </c>
      <c r="K273" s="89">
        <f>K152/J152-1</f>
        <v>-4.0268226468094581E-2</v>
      </c>
      <c r="L273" s="89">
        <f t="shared" si="2322"/>
        <v>-5.3448891268460308E-2</v>
      </c>
      <c r="M273" s="89">
        <f t="shared" si="2322"/>
        <v>-0.10363633364050517</v>
      </c>
      <c r="N273" s="89">
        <f t="shared" si="2322"/>
        <v>3.7756883532107377E-3</v>
      </c>
      <c r="O273" s="89">
        <f t="shared" si="2322"/>
        <v>0.11377971731226633</v>
      </c>
      <c r="P273" s="89">
        <f t="shared" si="2322"/>
        <v>0.19343087151723548</v>
      </c>
      <c r="Q273" s="89">
        <f t="shared" si="2322"/>
        <v>-0.10806821585660009</v>
      </c>
      <c r="R273" s="89">
        <f t="shared" si="2322"/>
        <v>-0.25256015677991395</v>
      </c>
      <c r="S273" s="89">
        <f t="shared" si="2322"/>
        <v>-0.28245806951267816</v>
      </c>
      <c r="T273" s="89">
        <f t="shared" si="2322"/>
        <v>-4.1793172202699957E-2</v>
      </c>
      <c r="U273" s="89">
        <f t="shared" si="2322"/>
        <v>0.1186983551019356</v>
      </c>
      <c r="V273" s="89">
        <f t="shared" si="2322"/>
        <v>0.39613461590195498</v>
      </c>
      <c r="W273" s="89">
        <f t="shared" si="2322"/>
        <v>-0.45366159808854778</v>
      </c>
      <c r="X273" s="89">
        <f t="shared" si="2322"/>
        <v>-0.58772849110219871</v>
      </c>
      <c r="Y273" s="89">
        <f t="shared" si="2322"/>
        <v>-0.68165375308581622</v>
      </c>
      <c r="Z273" s="89">
        <f t="shared" si="2322"/>
        <v>-0.13739490959345857</v>
      </c>
      <c r="AA273" s="89">
        <f t="shared" si="2322"/>
        <v>-0.77178460169114371</v>
      </c>
      <c r="AB273" s="47">
        <f t="shared" si="2322"/>
        <v>0</v>
      </c>
      <c r="AC273" s="47">
        <f t="shared" si="2322"/>
        <v>0</v>
      </c>
      <c r="AD273" s="47">
        <f t="shared" si="2322"/>
        <v>0</v>
      </c>
      <c r="AE273" s="47">
        <f t="shared" si="2322"/>
        <v>0</v>
      </c>
      <c r="AL273" s="89">
        <f t="shared" ref="AL273:CW273" si="2323">AL152/AK152-1</f>
        <v>0.45136028657545491</v>
      </c>
      <c r="AM273" s="89">
        <f t="shared" si="2323"/>
        <v>0</v>
      </c>
      <c r="AN273" s="89">
        <f t="shared" si="2323"/>
        <v>-0.22301534446905968</v>
      </c>
      <c r="AO273" s="89">
        <f t="shared" si="2323"/>
        <v>0</v>
      </c>
      <c r="AP273" s="89">
        <f t="shared" si="2323"/>
        <v>0.13529199799888758</v>
      </c>
      <c r="AQ273" s="89">
        <f t="shared" si="2323"/>
        <v>0</v>
      </c>
      <c r="AR273" s="89">
        <f t="shared" si="2323"/>
        <v>1.6825211932958162E-3</v>
      </c>
      <c r="AS273" s="89">
        <f t="shared" si="2323"/>
        <v>0</v>
      </c>
      <c r="AT273" s="89">
        <f t="shared" si="2323"/>
        <v>0.42468290371901718</v>
      </c>
      <c r="AU273" s="89">
        <f t="shared" si="2323"/>
        <v>0</v>
      </c>
      <c r="AV273" s="89">
        <f t="shared" si="2323"/>
        <v>-0.35814478758642743</v>
      </c>
      <c r="AW273" s="89">
        <f t="shared" si="2323"/>
        <v>0</v>
      </c>
      <c r="AX273" s="89">
        <f t="shared" si="2323"/>
        <v>0.18171083307821467</v>
      </c>
      <c r="AY273" s="89">
        <f t="shared" si="2323"/>
        <v>0</v>
      </c>
      <c r="AZ273" s="89">
        <f t="shared" si="2323"/>
        <v>-0.61313841598815699</v>
      </c>
      <c r="BA273" s="89">
        <f t="shared" si="2323"/>
        <v>0</v>
      </c>
      <c r="BB273" s="89">
        <f t="shared" si="2323"/>
        <v>1.066407141122534</v>
      </c>
      <c r="BC273" s="89">
        <f t="shared" si="2323"/>
        <v>0</v>
      </c>
      <c r="BD273" s="89">
        <f t="shared" si="2323"/>
        <v>0.21621996994323411</v>
      </c>
      <c r="BE273" s="89">
        <f t="shared" si="2323"/>
        <v>0</v>
      </c>
      <c r="BF273" s="89">
        <f t="shared" si="2323"/>
        <v>-0.31651718655293881</v>
      </c>
      <c r="BG273" s="89">
        <f t="shared" si="2323"/>
        <v>0</v>
      </c>
      <c r="BH273" s="89">
        <f t="shared" si="2323"/>
        <v>2.7255474014763026E-2</v>
      </c>
      <c r="BI273" s="89">
        <f t="shared" si="2323"/>
        <v>0</v>
      </c>
      <c r="BJ273" s="89">
        <f t="shared" si="2323"/>
        <v>-0.28135022082466221</v>
      </c>
      <c r="BK273" s="89">
        <f t="shared" si="2323"/>
        <v>0</v>
      </c>
      <c r="BL273" s="89">
        <f t="shared" si="2323"/>
        <v>-0.10170612813370483</v>
      </c>
      <c r="BM273" s="89">
        <f t="shared" si="2323"/>
        <v>0</v>
      </c>
      <c r="BN273" s="89">
        <f t="shared" si="2323"/>
        <v>0.4807098466348827</v>
      </c>
      <c r="BO273" s="89">
        <f t="shared" si="2323"/>
        <v>0</v>
      </c>
      <c r="BP273" s="89">
        <f t="shared" si="2323"/>
        <v>0.17871337885299177</v>
      </c>
      <c r="BQ273" s="89">
        <f t="shared" si="2323"/>
        <v>0</v>
      </c>
      <c r="BR273" s="89">
        <f t="shared" si="2323"/>
        <v>0.34466459634226232</v>
      </c>
      <c r="BS273" s="89">
        <f t="shared" si="2323"/>
        <v>0</v>
      </c>
      <c r="BT273" s="89">
        <f t="shared" si="2323"/>
        <v>0.1232671959128393</v>
      </c>
      <c r="BU273" s="89">
        <f t="shared" si="2323"/>
        <v>0</v>
      </c>
      <c r="BV273" s="89">
        <f t="shared" si="2323"/>
        <v>-0.51361670322130037</v>
      </c>
      <c r="BW273" s="89">
        <f t="shared" si="2323"/>
        <v>0</v>
      </c>
      <c r="BX273" s="89">
        <f t="shared" si="2323"/>
        <v>-0.61272395654890266</v>
      </c>
      <c r="BY273" s="89">
        <f t="shared" si="2323"/>
        <v>0</v>
      </c>
      <c r="BZ273" s="89">
        <f t="shared" si="2323"/>
        <v>6.4541729005398896E-2</v>
      </c>
      <c r="CA273" s="89">
        <f t="shared" si="2323"/>
        <v>0</v>
      </c>
      <c r="CB273" s="89">
        <f t="shared" si="2323"/>
        <v>-0.64513724244127779</v>
      </c>
      <c r="CC273" s="89">
        <f t="shared" si="2323"/>
        <v>0</v>
      </c>
      <c r="CD273" s="89">
        <f t="shared" si="2323"/>
        <v>-0.10290319247856183</v>
      </c>
      <c r="CE273" s="89">
        <f t="shared" si="2323"/>
        <v>0</v>
      </c>
      <c r="CF273" s="89">
        <f t="shared" si="2323"/>
        <v>8.3650044147567826E-2</v>
      </c>
      <c r="CG273" s="89">
        <f t="shared" si="2323"/>
        <v>0</v>
      </c>
      <c r="CH273" s="89">
        <f t="shared" si="2323"/>
        <v>-0.20398186198101176</v>
      </c>
      <c r="CI273" s="89">
        <f t="shared" si="2323"/>
        <v>0</v>
      </c>
      <c r="CJ273" s="89">
        <f t="shared" si="2323"/>
        <v>0.2396528704939922</v>
      </c>
      <c r="CK273" s="89">
        <f t="shared" si="2323"/>
        <v>0</v>
      </c>
      <c r="CL273" s="89">
        <f t="shared" si="2323"/>
        <v>-0.81590378747083103</v>
      </c>
      <c r="CM273" s="47">
        <f t="shared" si="2323"/>
        <v>0</v>
      </c>
      <c r="CN273" s="47">
        <f t="shared" si="2323"/>
        <v>0</v>
      </c>
      <c r="CO273" s="47">
        <f t="shared" si="2323"/>
        <v>0</v>
      </c>
      <c r="CP273" s="47">
        <f t="shared" si="2323"/>
        <v>0</v>
      </c>
      <c r="CQ273" s="47">
        <f t="shared" si="2323"/>
        <v>0</v>
      </c>
      <c r="CR273" s="47">
        <f t="shared" si="2323"/>
        <v>0</v>
      </c>
      <c r="CS273" s="47">
        <f t="shared" si="2323"/>
        <v>0</v>
      </c>
      <c r="CT273" s="47">
        <f t="shared" si="2323"/>
        <v>0</v>
      </c>
      <c r="CU273" s="47">
        <f t="shared" si="2323"/>
        <v>0</v>
      </c>
      <c r="CV273" s="47">
        <f t="shared" si="2323"/>
        <v>0</v>
      </c>
      <c r="CW273" s="47">
        <f t="shared" si="2323"/>
        <v>0</v>
      </c>
      <c r="CX273" s="47">
        <f t="shared" ref="CX273:DB273" si="2324">CX152/CW152-1</f>
        <v>0</v>
      </c>
      <c r="CY273" s="47">
        <f t="shared" si="2324"/>
        <v>0</v>
      </c>
      <c r="CZ273" s="47">
        <f t="shared" si="2324"/>
        <v>0</v>
      </c>
      <c r="DA273" s="47">
        <f t="shared" si="2324"/>
        <v>0</v>
      </c>
      <c r="DB273" s="47">
        <f t="shared" si="2324"/>
        <v>0</v>
      </c>
      <c r="DE273" s="130"/>
      <c r="DF273" s="89">
        <v>0</v>
      </c>
    </row>
    <row r="274" spans="1:110" s="89" customFormat="1" x14ac:dyDescent="0.2">
      <c r="A274" s="89" t="s">
        <v>104</v>
      </c>
      <c r="C274" s="89">
        <f>C52/B52-1</f>
        <v>-0.26423468283178231</v>
      </c>
      <c r="D274" s="89">
        <f>D52/C52-1</f>
        <v>5.7010445784905217E-2</v>
      </c>
      <c r="F274" s="89">
        <f t="shared" ref="F274:AE274" si="2325">F52/E52-1</f>
        <v>0.89064723629532616</v>
      </c>
      <c r="G274" s="89">
        <f t="shared" si="2325"/>
        <v>0.530605485803751</v>
      </c>
      <c r="H274" s="89">
        <f t="shared" si="2325"/>
        <v>0.41728302777559256</v>
      </c>
      <c r="I274" s="89">
        <f t="shared" si="2325"/>
        <v>0.23808796791072817</v>
      </c>
      <c r="J274" s="89">
        <f t="shared" si="2325"/>
        <v>-0.42769862000156955</v>
      </c>
      <c r="K274" s="89">
        <f t="shared" si="2325"/>
        <v>-0.22009363185833752</v>
      </c>
      <c r="L274" s="89">
        <f t="shared" si="2325"/>
        <v>0.1322868265728987</v>
      </c>
      <c r="M274" s="89">
        <f t="shared" si="2325"/>
        <v>0.20946275675435944</v>
      </c>
      <c r="N274" s="89">
        <f t="shared" si="2325"/>
        <v>-1.3956900504356051E-2</v>
      </c>
      <c r="O274" s="89">
        <f t="shared" si="2325"/>
        <v>4.0789375790492244E-2</v>
      </c>
      <c r="P274" s="89">
        <f t="shared" si="2325"/>
        <v>-0.12686527154779526</v>
      </c>
      <c r="Q274" s="89">
        <f t="shared" si="2325"/>
        <v>0.13013221990257451</v>
      </c>
      <c r="R274" s="89">
        <f t="shared" si="2325"/>
        <v>0.1040640394088661</v>
      </c>
      <c r="S274" s="89">
        <f t="shared" si="2325"/>
        <v>9.9619435057904937E-2</v>
      </c>
      <c r="T274" s="89">
        <f t="shared" si="2325"/>
        <v>0.23775639591258257</v>
      </c>
      <c r="U274" s="89">
        <f t="shared" si="2325"/>
        <v>0.16607812179865888</v>
      </c>
      <c r="V274" s="89">
        <f t="shared" si="2325"/>
        <v>-1.3739005508873106</v>
      </c>
      <c r="W274" s="89">
        <f t="shared" si="2325"/>
        <v>-2.1188356921716061</v>
      </c>
      <c r="X274" s="89">
        <f t="shared" si="2325"/>
        <v>3.4581346510191464</v>
      </c>
      <c r="Y274" s="89">
        <f t="shared" si="2325"/>
        <v>0.19546338733007085</v>
      </c>
      <c r="Z274" s="89">
        <f t="shared" si="2325"/>
        <v>0.28380301604446734</v>
      </c>
      <c r="AA274" s="89">
        <f t="shared" si="2325"/>
        <v>0.15358227441294425</v>
      </c>
      <c r="AB274" s="47">
        <f t="shared" si="2325"/>
        <v>0.14277269147022875</v>
      </c>
      <c r="AC274" s="47">
        <f t="shared" si="2325"/>
        <v>0.15158870784875189</v>
      </c>
      <c r="AD274" s="47">
        <f t="shared" si="2325"/>
        <v>7.2741457280599109E-2</v>
      </c>
      <c r="AE274" s="47">
        <f t="shared" si="2325"/>
        <v>6.4034872934981335E-2</v>
      </c>
      <c r="AL274" s="89">
        <f t="shared" ref="AL274:CW274" si="2326">AL52/AK52-1</f>
        <v>0.24020870484116097</v>
      </c>
      <c r="AM274" s="89">
        <f t="shared" si="2326"/>
        <v>-0.43348599424858969</v>
      </c>
      <c r="AN274" s="89">
        <f t="shared" si="2326"/>
        <v>-0.64034592968603088</v>
      </c>
      <c r="AO274" s="89">
        <f t="shared" si="2326"/>
        <v>5.4166231050705687</v>
      </c>
      <c r="AP274" s="89">
        <f t="shared" si="2326"/>
        <v>-0.30985743380855335</v>
      </c>
      <c r="AQ274" s="89">
        <f t="shared" si="2326"/>
        <v>-0.52647110901257232</v>
      </c>
      <c r="AR274" s="89">
        <f t="shared" si="2326"/>
        <v>-0.81565499189829116</v>
      </c>
      <c r="AS274" s="89">
        <f t="shared" si="2326"/>
        <v>15.044624746450225</v>
      </c>
      <c r="AT274" s="89">
        <f t="shared" si="2326"/>
        <v>-0.34150863885377181</v>
      </c>
      <c r="AU274" s="89">
        <f t="shared" si="2326"/>
        <v>-0.31831562779982092</v>
      </c>
      <c r="AV274" s="89">
        <f t="shared" si="2326"/>
        <v>-0.45784829140067584</v>
      </c>
      <c r="AW274" s="89">
        <f t="shared" si="2326"/>
        <v>3.3535930735930748</v>
      </c>
      <c r="AX274" s="89">
        <f t="shared" si="2326"/>
        <v>-0.27464004454697344</v>
      </c>
      <c r="AY274" s="89">
        <f t="shared" si="2326"/>
        <v>-0.48330317486428742</v>
      </c>
      <c r="AZ274" s="89">
        <f t="shared" si="2326"/>
        <v>-0.25013265414411501</v>
      </c>
      <c r="BA274" s="89">
        <f t="shared" si="2326"/>
        <v>2.7792244551372782</v>
      </c>
      <c r="BB274" s="89">
        <f t="shared" si="2326"/>
        <v>-0.33459406830437399</v>
      </c>
      <c r="BC274" s="89">
        <f t="shared" si="2326"/>
        <v>-0.49017952614103244</v>
      </c>
      <c r="BD274" s="89">
        <f t="shared" si="2326"/>
        <v>-0.39750524340434823</v>
      </c>
      <c r="BE274" s="89">
        <f t="shared" si="2326"/>
        <v>4.1394283620373722</v>
      </c>
      <c r="BF274" s="89">
        <f t="shared" si="2326"/>
        <v>-0.12776728102384949</v>
      </c>
      <c r="BG274" s="89">
        <f t="shared" si="2326"/>
        <v>-0.54771733355131358</v>
      </c>
      <c r="BH274" s="89">
        <f t="shared" si="2326"/>
        <v>-0.10328935478041001</v>
      </c>
      <c r="BI274" s="89">
        <f t="shared" si="2326"/>
        <v>2.3814370654036119</v>
      </c>
      <c r="BJ274" s="89">
        <f t="shared" si="2326"/>
        <v>-0.15270906598319189</v>
      </c>
      <c r="BK274" s="89">
        <f t="shared" si="2326"/>
        <v>-0.38994020400984863</v>
      </c>
      <c r="BL274" s="89">
        <f t="shared" si="2326"/>
        <v>-7.4838560885608363E-2</v>
      </c>
      <c r="BM274" s="89">
        <f t="shared" si="2326"/>
        <v>1.6531222734637914</v>
      </c>
      <c r="BN274" s="89">
        <f t="shared" si="2326"/>
        <v>-0.51162736070656756</v>
      </c>
      <c r="BO274" s="89">
        <f t="shared" si="2326"/>
        <v>-2.2793516425376361</v>
      </c>
      <c r="BP274" s="89">
        <f t="shared" si="2326"/>
        <v>-0.43479078160833129</v>
      </c>
      <c r="BQ274" s="89">
        <f t="shared" si="2326"/>
        <v>-0.88865238792071333</v>
      </c>
      <c r="BR274" s="89">
        <f t="shared" si="2326"/>
        <v>-5.2598566308243848</v>
      </c>
      <c r="BS274" s="89">
        <f t="shared" si="2326"/>
        <v>-3.0869443275837889</v>
      </c>
      <c r="BT274" s="89">
        <f t="shared" si="2326"/>
        <v>-1.4894503426958745</v>
      </c>
      <c r="BU274" s="89">
        <f t="shared" si="2326"/>
        <v>3.4172158154859948</v>
      </c>
      <c r="BV274" s="89">
        <f t="shared" si="2326"/>
        <v>-0.50588966588966588</v>
      </c>
      <c r="BW274" s="89">
        <f t="shared" si="2326"/>
        <v>1.3769027550635289</v>
      </c>
      <c r="BX274" s="89">
        <f t="shared" si="2326"/>
        <v>-0.22202815708690593</v>
      </c>
      <c r="BY274" s="89">
        <f t="shared" si="2326"/>
        <v>1.031464725491531</v>
      </c>
      <c r="BZ274" s="89">
        <f t="shared" si="2326"/>
        <v>-0.10334723129217527</v>
      </c>
      <c r="CA274" s="89">
        <f t="shared" si="2326"/>
        <v>-0.23402864666006862</v>
      </c>
      <c r="CB274" s="89">
        <f t="shared" si="2326"/>
        <v>-0.13504156813028667</v>
      </c>
      <c r="CC274" s="89">
        <f t="shared" si="2326"/>
        <v>1.0643215513839546</v>
      </c>
      <c r="CD274" s="89">
        <f t="shared" si="2326"/>
        <v>-9.9101559299816899E-2</v>
      </c>
      <c r="CE274" s="89">
        <f t="shared" si="2326"/>
        <v>-0.31858138829948457</v>
      </c>
      <c r="CF274" s="89">
        <f t="shared" si="2326"/>
        <v>0.11492437722419924</v>
      </c>
      <c r="CG274" s="89">
        <f t="shared" si="2326"/>
        <v>0.9184870429110068</v>
      </c>
      <c r="CH274" s="89">
        <f t="shared" si="2326"/>
        <v>-0.10907994343232708</v>
      </c>
      <c r="CI274" s="89">
        <f t="shared" si="2326"/>
        <v>-0.32768038469618832</v>
      </c>
      <c r="CJ274" s="89">
        <f t="shared" si="2326"/>
        <v>-1.0259882297796397E-2</v>
      </c>
      <c r="CK274" s="89">
        <f t="shared" si="2326"/>
        <v>0.8870062442994453</v>
      </c>
      <c r="CL274" s="89">
        <f t="shared" si="2326"/>
        <v>-9.5871056496439788E-2</v>
      </c>
      <c r="CM274" s="47">
        <f t="shared" si="2326"/>
        <v>-0.10429134818425023</v>
      </c>
      <c r="CN274" s="47">
        <f t="shared" si="2326"/>
        <v>3.6680577714277351E-2</v>
      </c>
      <c r="CO274" s="47">
        <f t="shared" si="2326"/>
        <v>5.7737982062003201E-2</v>
      </c>
      <c r="CP274" s="47">
        <f t="shared" si="2326"/>
        <v>-3.5968898457310217E-2</v>
      </c>
      <c r="CQ274" s="47">
        <f t="shared" si="2326"/>
        <v>8.8220991596443366E-2</v>
      </c>
      <c r="CR274" s="47">
        <f t="shared" si="2326"/>
        <v>3.3006691033984792E-2</v>
      </c>
      <c r="CS274" s="47">
        <f t="shared" si="2326"/>
        <v>3.249362620880647E-2</v>
      </c>
      <c r="CT274" s="47">
        <f t="shared" si="2326"/>
        <v>2.6871454428198271E-2</v>
      </c>
      <c r="CU274" s="47">
        <f t="shared" si="2326"/>
        <v>-2.5480282537870824E-3</v>
      </c>
      <c r="CV274" s="47">
        <f t="shared" si="2326"/>
        <v>2.1544286262842993E-2</v>
      </c>
      <c r="CW274" s="47">
        <f t="shared" si="2326"/>
        <v>1.8810229278471757E-2</v>
      </c>
      <c r="CX274" s="47">
        <f t="shared" ref="CX274:DB274" si="2327">CX52/CW52-1</f>
        <v>1.5469342659168772E-2</v>
      </c>
      <c r="CY274" s="47">
        <f t="shared" si="2327"/>
        <v>1.2629930928166555E-2</v>
      </c>
      <c r="CZ274" s="47">
        <f t="shared" si="2327"/>
        <v>1.6500411565398831E-2</v>
      </c>
      <c r="DA274" s="47">
        <f t="shared" si="2327"/>
        <v>1.5268258511428323E-2</v>
      </c>
      <c r="DB274" s="47">
        <f t="shared" si="2327"/>
        <v>1.4402072250171871E-2</v>
      </c>
      <c r="DE274" s="130"/>
      <c r="DF274" s="89">
        <v>2.9886495292150705E-3</v>
      </c>
    </row>
    <row r="275" spans="1:110" s="103" customFormat="1" x14ac:dyDescent="0.2">
      <c r="A275" s="147" t="s">
        <v>105</v>
      </c>
      <c r="C275" s="103" t="str">
        <f>IF(C273&gt;C274,"RF",0)</f>
        <v>RF</v>
      </c>
      <c r="D275" s="103">
        <f t="shared" ref="D275:U275" si="2328">IF(D273&gt;D274,"RF",0)</f>
        <v>0</v>
      </c>
      <c r="F275" s="103">
        <f t="shared" si="2328"/>
        <v>0</v>
      </c>
      <c r="G275" s="103">
        <f t="shared" si="2328"/>
        <v>0</v>
      </c>
      <c r="H275" s="103">
        <f t="shared" si="2328"/>
        <v>0</v>
      </c>
      <c r="I275" s="103" t="str">
        <f t="shared" si="2328"/>
        <v>RF</v>
      </c>
      <c r="J275" s="103" t="str">
        <f t="shared" si="2328"/>
        <v>RF</v>
      </c>
      <c r="K275" s="103" t="str">
        <f t="shared" si="2328"/>
        <v>RF</v>
      </c>
      <c r="L275" s="103">
        <f t="shared" si="2328"/>
        <v>0</v>
      </c>
      <c r="M275" s="103">
        <f t="shared" si="2328"/>
        <v>0</v>
      </c>
      <c r="N275" s="103" t="str">
        <f t="shared" si="2328"/>
        <v>RF</v>
      </c>
      <c r="O275" s="103" t="str">
        <f t="shared" si="2328"/>
        <v>RF</v>
      </c>
      <c r="P275" s="103" t="str">
        <f t="shared" si="2328"/>
        <v>RF</v>
      </c>
      <c r="Q275" s="103">
        <f t="shared" si="2328"/>
        <v>0</v>
      </c>
      <c r="R275" s="103">
        <f t="shared" si="2328"/>
        <v>0</v>
      </c>
      <c r="S275" s="103">
        <f t="shared" si="2328"/>
        <v>0</v>
      </c>
      <c r="T275" s="103">
        <f t="shared" si="2328"/>
        <v>0</v>
      </c>
      <c r="U275" s="103">
        <f t="shared" si="2328"/>
        <v>0</v>
      </c>
      <c r="V275" s="103" t="str">
        <f>IF(V273&gt;V274,"RF",0)</f>
        <v>RF</v>
      </c>
      <c r="W275" s="103" t="str">
        <f t="shared" ref="W275:AE275" si="2329">IF(W273&gt;W274,"RF",0)</f>
        <v>RF</v>
      </c>
      <c r="X275" s="103">
        <f t="shared" si="2329"/>
        <v>0</v>
      </c>
      <c r="Y275" s="103">
        <f t="shared" si="2329"/>
        <v>0</v>
      </c>
      <c r="Z275" s="103">
        <f t="shared" si="2329"/>
        <v>0</v>
      </c>
      <c r="AA275" s="103">
        <f t="shared" ref="AA275" si="2330">IF(AA273&gt;AA274,"RF",0)</f>
        <v>0</v>
      </c>
      <c r="AB275" s="73">
        <f t="shared" si="2329"/>
        <v>0</v>
      </c>
      <c r="AC275" s="73">
        <f t="shared" si="2329"/>
        <v>0</v>
      </c>
      <c r="AD275" s="73">
        <f t="shared" si="2329"/>
        <v>0</v>
      </c>
      <c r="AE275" s="73">
        <f t="shared" si="2329"/>
        <v>0</v>
      </c>
      <c r="AL275" s="103" t="str">
        <f t="shared" ref="AL275:CW275" si="2331">IF(AL273&gt;AL274,"RF",0)</f>
        <v>RF</v>
      </c>
      <c r="AM275" s="103" t="str">
        <f t="shared" si="2331"/>
        <v>RF</v>
      </c>
      <c r="AN275" s="103" t="str">
        <f t="shared" si="2331"/>
        <v>RF</v>
      </c>
      <c r="AO275" s="103">
        <f t="shared" si="2331"/>
        <v>0</v>
      </c>
      <c r="AP275" s="103" t="str">
        <f t="shared" si="2331"/>
        <v>RF</v>
      </c>
      <c r="AQ275" s="103" t="str">
        <f t="shared" si="2331"/>
        <v>RF</v>
      </c>
      <c r="AR275" s="103" t="str">
        <f t="shared" si="2331"/>
        <v>RF</v>
      </c>
      <c r="AS275" s="103">
        <f t="shared" si="2331"/>
        <v>0</v>
      </c>
      <c r="AT275" s="103" t="str">
        <f t="shared" si="2331"/>
        <v>RF</v>
      </c>
      <c r="AU275" s="103" t="str">
        <f t="shared" si="2331"/>
        <v>RF</v>
      </c>
      <c r="AV275" s="103" t="str">
        <f t="shared" si="2331"/>
        <v>RF</v>
      </c>
      <c r="AW275" s="103">
        <f t="shared" si="2331"/>
        <v>0</v>
      </c>
      <c r="AX275" s="103" t="str">
        <f t="shared" si="2331"/>
        <v>RF</v>
      </c>
      <c r="AY275" s="103" t="str">
        <f t="shared" si="2331"/>
        <v>RF</v>
      </c>
      <c r="AZ275" s="103">
        <f t="shared" si="2331"/>
        <v>0</v>
      </c>
      <c r="BA275" s="103">
        <f t="shared" si="2331"/>
        <v>0</v>
      </c>
      <c r="BB275" s="103" t="str">
        <f t="shared" si="2331"/>
        <v>RF</v>
      </c>
      <c r="BC275" s="103" t="str">
        <f t="shared" si="2331"/>
        <v>RF</v>
      </c>
      <c r="BD275" s="103" t="str">
        <f t="shared" si="2331"/>
        <v>RF</v>
      </c>
      <c r="BE275" s="103">
        <f t="shared" si="2331"/>
        <v>0</v>
      </c>
      <c r="BF275" s="103">
        <f t="shared" si="2331"/>
        <v>0</v>
      </c>
      <c r="BG275" s="103" t="str">
        <f t="shared" si="2331"/>
        <v>RF</v>
      </c>
      <c r="BH275" s="103" t="str">
        <f t="shared" si="2331"/>
        <v>RF</v>
      </c>
      <c r="BI275" s="103">
        <f t="shared" si="2331"/>
        <v>0</v>
      </c>
      <c r="BJ275" s="103">
        <f t="shared" si="2331"/>
        <v>0</v>
      </c>
      <c r="BK275" s="103" t="str">
        <f t="shared" si="2331"/>
        <v>RF</v>
      </c>
      <c r="BL275" s="103">
        <f t="shared" si="2331"/>
        <v>0</v>
      </c>
      <c r="BM275" s="103">
        <f t="shared" si="2331"/>
        <v>0</v>
      </c>
      <c r="BN275" s="103" t="str">
        <f t="shared" si="2331"/>
        <v>RF</v>
      </c>
      <c r="BO275" s="103" t="str">
        <f t="shared" si="2331"/>
        <v>RF</v>
      </c>
      <c r="BP275" s="103" t="str">
        <f t="shared" si="2331"/>
        <v>RF</v>
      </c>
      <c r="BQ275" s="103" t="str">
        <f t="shared" si="2331"/>
        <v>RF</v>
      </c>
      <c r="BR275" s="103" t="str">
        <f t="shared" si="2331"/>
        <v>RF</v>
      </c>
      <c r="BS275" s="103" t="str">
        <f t="shared" si="2331"/>
        <v>RF</v>
      </c>
      <c r="BT275" s="103" t="str">
        <f t="shared" si="2331"/>
        <v>RF</v>
      </c>
      <c r="BU275" s="103">
        <f t="shared" si="2331"/>
        <v>0</v>
      </c>
      <c r="BV275" s="103">
        <f t="shared" si="2331"/>
        <v>0</v>
      </c>
      <c r="BW275" s="103">
        <f t="shared" si="2331"/>
        <v>0</v>
      </c>
      <c r="BX275" s="103">
        <f t="shared" si="2331"/>
        <v>0</v>
      </c>
      <c r="BY275" s="103">
        <f t="shared" si="2331"/>
        <v>0</v>
      </c>
      <c r="BZ275" s="103" t="str">
        <f t="shared" si="2331"/>
        <v>RF</v>
      </c>
      <c r="CA275" s="103" t="str">
        <f t="shared" si="2331"/>
        <v>RF</v>
      </c>
      <c r="CB275" s="103">
        <f t="shared" si="2331"/>
        <v>0</v>
      </c>
      <c r="CC275" s="103">
        <f t="shared" si="2331"/>
        <v>0</v>
      </c>
      <c r="CD275" s="103">
        <f t="shared" si="2331"/>
        <v>0</v>
      </c>
      <c r="CE275" s="103" t="str">
        <f t="shared" si="2331"/>
        <v>RF</v>
      </c>
      <c r="CF275" s="103">
        <f t="shared" si="2331"/>
        <v>0</v>
      </c>
      <c r="CG275" s="103">
        <f t="shared" si="2331"/>
        <v>0</v>
      </c>
      <c r="CH275" s="103">
        <f t="shared" si="2331"/>
        <v>0</v>
      </c>
      <c r="CI275" s="103" t="str">
        <f t="shared" si="2331"/>
        <v>RF</v>
      </c>
      <c r="CJ275" s="103" t="str">
        <f t="shared" si="2331"/>
        <v>RF</v>
      </c>
      <c r="CK275" s="103">
        <f t="shared" si="2331"/>
        <v>0</v>
      </c>
      <c r="CL275" s="103">
        <f t="shared" ref="CL275" si="2332">IF(CL273&gt;CL274,"RF",0)</f>
        <v>0</v>
      </c>
      <c r="CM275" s="73" t="str">
        <f t="shared" si="2331"/>
        <v>RF</v>
      </c>
      <c r="CN275" s="73">
        <f t="shared" si="2331"/>
        <v>0</v>
      </c>
      <c r="CO275" s="73">
        <f t="shared" si="2331"/>
        <v>0</v>
      </c>
      <c r="CP275" s="73" t="str">
        <f t="shared" si="2331"/>
        <v>RF</v>
      </c>
      <c r="CQ275" s="73">
        <f t="shared" si="2331"/>
        <v>0</v>
      </c>
      <c r="CR275" s="73">
        <f t="shared" si="2331"/>
        <v>0</v>
      </c>
      <c r="CS275" s="73">
        <f t="shared" si="2331"/>
        <v>0</v>
      </c>
      <c r="CT275" s="73">
        <f t="shared" si="2331"/>
        <v>0</v>
      </c>
      <c r="CU275" s="73" t="str">
        <f t="shared" si="2331"/>
        <v>RF</v>
      </c>
      <c r="CV275" s="73">
        <f t="shared" si="2331"/>
        <v>0</v>
      </c>
      <c r="CW275" s="73">
        <f t="shared" si="2331"/>
        <v>0</v>
      </c>
      <c r="CX275" s="73">
        <f t="shared" ref="CX275:DB275" si="2333">IF(CX273&gt;CX274,"RF",0)</f>
        <v>0</v>
      </c>
      <c r="CY275" s="73">
        <f t="shared" si="2333"/>
        <v>0</v>
      </c>
      <c r="CZ275" s="73">
        <f t="shared" si="2333"/>
        <v>0</v>
      </c>
      <c r="DA275" s="73">
        <f t="shared" si="2333"/>
        <v>0</v>
      </c>
      <c r="DB275" s="73">
        <f t="shared" si="2333"/>
        <v>0</v>
      </c>
      <c r="DE275" s="142"/>
      <c r="DF275" s="103">
        <v>0</v>
      </c>
    </row>
    <row r="276" spans="1:110" s="86" customFormat="1" x14ac:dyDescent="0.2">
      <c r="A276" s="86" t="s">
        <v>432</v>
      </c>
      <c r="B276" s="86">
        <f>B60/B32</f>
        <v>8.3970909090909082E-2</v>
      </c>
      <c r="C276" s="86">
        <f>C60/C32</f>
        <v>0.13271565979147207</v>
      </c>
      <c r="D276" s="86">
        <f>D60/D32</f>
        <v>0.11697303285214802</v>
      </c>
      <c r="F276" s="86">
        <f t="shared" ref="F276:AE276" si="2334">F60/F32</f>
        <v>0.10319520680913265</v>
      </c>
      <c r="G276" s="86">
        <f t="shared" si="2334"/>
        <v>7.9229961193266238E-2</v>
      </c>
      <c r="H276" s="86">
        <f t="shared" si="2334"/>
        <v>6.7866334164588524E-2</v>
      </c>
      <c r="I276" s="86">
        <f t="shared" si="2334"/>
        <v>7.5441005743091677E-2</v>
      </c>
      <c r="J276" s="86">
        <f t="shared" si="2334"/>
        <v>0.10045679099671273</v>
      </c>
      <c r="K276" s="86">
        <f t="shared" si="2334"/>
        <v>0.13446144814400521</v>
      </c>
      <c r="L276" s="86">
        <f t="shared" si="2334"/>
        <v>0.10261068238269748</v>
      </c>
      <c r="M276" s="86">
        <f t="shared" si="2334"/>
        <v>7.2190665365672341E-2</v>
      </c>
      <c r="N276" s="86">
        <f t="shared" si="2334"/>
        <v>5.4728906650709522E-2</v>
      </c>
      <c r="O276" s="86">
        <f t="shared" si="2334"/>
        <v>4.8893435869942131E-2</v>
      </c>
      <c r="P276" s="86">
        <f t="shared" si="2334"/>
        <v>4.9226001757133576E-2</v>
      </c>
      <c r="Q276" s="86">
        <f t="shared" si="2334"/>
        <v>9.3360211980054786E-2</v>
      </c>
      <c r="R276" s="86">
        <f t="shared" si="2334"/>
        <v>8.2523124830558847E-2</v>
      </c>
      <c r="S276" s="86">
        <f t="shared" si="2334"/>
        <v>6.7885123856173304E-2</v>
      </c>
      <c r="T276" s="86">
        <f t="shared" si="2334"/>
        <v>4.2936613475177306E-2</v>
      </c>
      <c r="U276" s="86">
        <f t="shared" si="2334"/>
        <v>7.6430495122268169E-2</v>
      </c>
      <c r="V276" s="86">
        <f t="shared" si="2334"/>
        <v>0.25573275095863274</v>
      </c>
      <c r="W276" s="86">
        <f t="shared" si="2334"/>
        <v>0.13993102590782078</v>
      </c>
      <c r="X276" s="86">
        <f t="shared" si="2334"/>
        <v>4.0628856557158373E-2</v>
      </c>
      <c r="Y276" s="86">
        <f t="shared" si="2334"/>
        <v>3.2534810710987995E-2</v>
      </c>
      <c r="Z276" s="86">
        <f t="shared" si="2334"/>
        <v>2.5001979713337504E-2</v>
      </c>
      <c r="AA276" s="86">
        <f t="shared" ref="AA276" si="2335">AA60/AA32</f>
        <v>2.2844976169392378E-2</v>
      </c>
      <c r="AB276" s="87">
        <f t="shared" si="2334"/>
        <v>-1.2596694840802017E-2</v>
      </c>
      <c r="AC276" s="87">
        <f t="shared" si="2334"/>
        <v>-1.0394938779925355E-2</v>
      </c>
      <c r="AD276" s="87">
        <f t="shared" si="2334"/>
        <v>-1.3520716601718392E-2</v>
      </c>
      <c r="AE276" s="87">
        <f t="shared" si="2334"/>
        <v>-1.6572621636962524E-2</v>
      </c>
      <c r="AL276" s="86">
        <f t="shared" ref="AL276:CW276" si="2336">AL60/AL32</f>
        <v>4.5390154645260299E-2</v>
      </c>
      <c r="AM276" s="86">
        <f t="shared" si="2336"/>
        <v>4.3325630020908987E-2</v>
      </c>
      <c r="AN276" s="86">
        <f t="shared" si="2336"/>
        <v>5.1410840253594076E-2</v>
      </c>
      <c r="AO276" s="86">
        <f t="shared" si="2336"/>
        <v>3.6664639734157817E-2</v>
      </c>
      <c r="AP276" s="86">
        <f t="shared" si="2336"/>
        <v>3.6811217960437313E-2</v>
      </c>
      <c r="AQ276" s="86">
        <f t="shared" si="2336"/>
        <v>4.7511360484714014E-2</v>
      </c>
      <c r="AR276" s="86">
        <f t="shared" si="2336"/>
        <v>4.9082177161152617E-2</v>
      </c>
      <c r="AS276" s="86">
        <f t="shared" si="2336"/>
        <v>3.6432785363913561E-2</v>
      </c>
      <c r="AT276" s="86">
        <f t="shared" si="2336"/>
        <v>3.7090219452722839E-2</v>
      </c>
      <c r="AU276" s="86">
        <f t="shared" si="2336"/>
        <v>4.2888122991131934E-2</v>
      </c>
      <c r="AV276" s="86">
        <f t="shared" si="2336"/>
        <v>0.11472880351532364</v>
      </c>
      <c r="AW276" s="86">
        <f t="shared" si="2336"/>
        <v>8.408263709032085E-2</v>
      </c>
      <c r="AX276" s="86">
        <f t="shared" si="2336"/>
        <v>5.9839635312792544E-2</v>
      </c>
      <c r="AY276" s="86">
        <f t="shared" si="2336"/>
        <v>9.4619862036909877E-2</v>
      </c>
      <c r="AZ276" s="86">
        <f t="shared" si="2336"/>
        <v>9.2745162126522937E-2</v>
      </c>
      <c r="BA276" s="86">
        <f t="shared" si="2336"/>
        <v>6.5374661025183523E-2</v>
      </c>
      <c r="BB276" s="86">
        <f t="shared" si="2336"/>
        <v>7.4090969569101509E-2</v>
      </c>
      <c r="BC276" s="86">
        <f t="shared" si="2336"/>
        <v>7.6287369946002909E-2</v>
      </c>
      <c r="BD276" s="86">
        <f t="shared" si="2336"/>
        <v>8.4058379419258644E-2</v>
      </c>
      <c r="BE276" s="86">
        <f t="shared" si="2336"/>
        <v>6.3453218181514462E-2</v>
      </c>
      <c r="BF276" s="86">
        <f t="shared" si="2336"/>
        <v>4.5449775243559018E-2</v>
      </c>
      <c r="BG276" s="86">
        <f t="shared" si="2336"/>
        <v>4.7912626314177802E-2</v>
      </c>
      <c r="BH276" s="86">
        <f t="shared" si="2336"/>
        <v>4.8386260665816513E-2</v>
      </c>
      <c r="BI276" s="86">
        <f t="shared" si="2336"/>
        <v>3.7122671804752733E-2</v>
      </c>
      <c r="BJ276" s="86">
        <f t="shared" si="2336"/>
        <v>3.8085058505850589E-2</v>
      </c>
      <c r="BK276" s="86">
        <f t="shared" si="2336"/>
        <v>8.3029411764705879E-2</v>
      </c>
      <c r="BL276" s="86">
        <f t="shared" si="2336"/>
        <v>8.6178829508457067E-2</v>
      </c>
      <c r="BM276" s="86">
        <f t="shared" si="2336"/>
        <v>6.1811585756745724E-2</v>
      </c>
      <c r="BN276" s="86">
        <f t="shared" si="2336"/>
        <v>7.9738094790118355E-2</v>
      </c>
      <c r="BO276" s="86">
        <f t="shared" si="2336"/>
        <v>0.61200473504630593</v>
      </c>
      <c r="BP276" s="86">
        <f t="shared" si="2336"/>
        <v>0.3770210776483422</v>
      </c>
      <c r="BQ276" s="86">
        <f t="shared" si="2336"/>
        <v>0.20013932054442182</v>
      </c>
      <c r="BR276" s="86">
        <f t="shared" si="2336"/>
        <v>0.17253097460245195</v>
      </c>
      <c r="BS276" s="86">
        <f t="shared" si="2336"/>
        <v>0.3185023944275141</v>
      </c>
      <c r="BT276" s="86">
        <f t="shared" si="2336"/>
        <v>0.15630792042505867</v>
      </c>
      <c r="BU276" s="86">
        <f t="shared" si="2336"/>
        <v>0.11238998578139342</v>
      </c>
      <c r="BV276" s="86">
        <f t="shared" si="2336"/>
        <v>9.079442253004312E-2</v>
      </c>
      <c r="BW276" s="86">
        <f t="shared" si="2336"/>
        <v>4.9246882083929015E-2</v>
      </c>
      <c r="BX276" s="86">
        <f t="shared" si="2336"/>
        <v>4.8677197166987131E-2</v>
      </c>
      <c r="BY276" s="86">
        <f t="shared" si="2336"/>
        <v>3.3645746826432552E-2</v>
      </c>
      <c r="BZ276" s="86">
        <f t="shared" si="2336"/>
        <v>3.5055339202549475E-2</v>
      </c>
      <c r="CA276" s="86">
        <f t="shared" si="2336"/>
        <v>3.8537340507511751E-2</v>
      </c>
      <c r="CB276" s="86">
        <f t="shared" si="2336"/>
        <v>4.1201507116941108E-2</v>
      </c>
      <c r="CC276" s="86">
        <f t="shared" si="2336"/>
        <v>2.706941502362718E-2</v>
      </c>
      <c r="CD276" s="86">
        <f t="shared" si="2336"/>
        <v>2.7029296608479327E-2</v>
      </c>
      <c r="CE276" s="86">
        <f t="shared" si="2336"/>
        <v>3.2162969365836035E-2</v>
      </c>
      <c r="CF276" s="86">
        <f t="shared" si="2336"/>
        <v>2.8601625303923073E-2</v>
      </c>
      <c r="CG276" s="86">
        <f t="shared" si="2336"/>
        <v>2.0682576340774955E-2</v>
      </c>
      <c r="CH276" s="86">
        <f t="shared" si="2336"/>
        <v>2.2225521000849437E-2</v>
      </c>
      <c r="CI276" s="86">
        <f t="shared" si="2336"/>
        <v>2.6726046994728282E-2</v>
      </c>
      <c r="CJ276" s="86">
        <f t="shared" si="2336"/>
        <v>2.7463508567340717E-2</v>
      </c>
      <c r="CK276" s="86">
        <f t="shared" si="2336"/>
        <v>1.9641374262832693E-2</v>
      </c>
      <c r="CL276" s="86">
        <f t="shared" ref="CL276" si="2337">CL60/CL32</f>
        <v>1.9864101052692484E-2</v>
      </c>
      <c r="CM276" s="87">
        <f t="shared" si="2336"/>
        <v>-1.0690859698415512E-2</v>
      </c>
      <c r="CN276" s="87">
        <f t="shared" si="2336"/>
        <v>-1.188198481425454E-2</v>
      </c>
      <c r="CO276" s="87">
        <f t="shared" si="2336"/>
        <v>-1.3047536424722686E-2</v>
      </c>
      <c r="CP276" s="87">
        <f t="shared" si="2336"/>
        <v>-1.4742480737090042E-2</v>
      </c>
      <c r="CQ276" s="87">
        <f t="shared" si="2336"/>
        <v>-9.1591534415799373E-3</v>
      </c>
      <c r="CR276" s="87">
        <f t="shared" si="2336"/>
        <v>-9.9934463390360159E-3</v>
      </c>
      <c r="CS276" s="87">
        <f t="shared" si="2336"/>
        <v>-1.0779025503805382E-2</v>
      </c>
      <c r="CT276" s="87">
        <f t="shared" si="2336"/>
        <v>-1.1593066405740862E-2</v>
      </c>
      <c r="CU276" s="87">
        <f t="shared" si="2336"/>
        <v>-1.2337165808487519E-2</v>
      </c>
      <c r="CV276" s="87">
        <f t="shared" si="2336"/>
        <v>-1.3124278355079583E-2</v>
      </c>
      <c r="CW276" s="87">
        <f t="shared" si="2336"/>
        <v>-1.3897124472781016E-2</v>
      </c>
      <c r="CX276" s="87">
        <f t="shared" ref="CX276:DB276" si="2338">CX60/CX32</f>
        <v>-1.4665707746738515E-2</v>
      </c>
      <c r="CY276" s="87">
        <f t="shared" si="2338"/>
        <v>-1.5421086157223421E-2</v>
      </c>
      <c r="CZ276" s="87">
        <f t="shared" si="2338"/>
        <v>-1.6183481828140066E-2</v>
      </c>
      <c r="DA276" s="87">
        <f t="shared" si="2338"/>
        <v>-1.6939321152799027E-2</v>
      </c>
      <c r="DB276" s="87">
        <f t="shared" si="2338"/>
        <v>-1.7691043460020726E-2</v>
      </c>
      <c r="DE276" s="141"/>
      <c r="DF276" s="86">
        <v>-1.2233207803260956E-3</v>
      </c>
    </row>
    <row r="277" spans="1:110" s="86" customFormat="1" x14ac:dyDescent="0.2">
      <c r="A277" s="86" t="s">
        <v>433</v>
      </c>
      <c r="B277" s="86">
        <f>B56/B32</f>
        <v>6.5687272727272719E-2</v>
      </c>
      <c r="C277" s="86">
        <f>C56/C32</f>
        <v>9.9530433465451512E-2</v>
      </c>
      <c r="D277" s="86">
        <f>D56/D32</f>
        <v>8.7294169234142238E-2</v>
      </c>
      <c r="F277" s="86">
        <f t="shared" ref="F277:AE277" si="2339">F56/F32</f>
        <v>8.5060866519988135E-2</v>
      </c>
      <c r="G277" s="86">
        <f t="shared" si="2339"/>
        <v>6.9313289537421552E-2</v>
      </c>
      <c r="H277" s="86">
        <f t="shared" si="2339"/>
        <v>6.410773067331671E-2</v>
      </c>
      <c r="I277" s="86">
        <f t="shared" si="2339"/>
        <v>5.7403519826851095E-2</v>
      </c>
      <c r="J277" s="86">
        <f t="shared" si="2339"/>
        <v>7.018647645497425E-2</v>
      </c>
      <c r="K277" s="86">
        <f t="shared" si="2339"/>
        <v>8.6687134572514299E-2</v>
      </c>
      <c r="L277" s="86">
        <f t="shared" si="2339"/>
        <v>7.9613061446932198E-2</v>
      </c>
      <c r="M277" s="86">
        <f t="shared" si="2339"/>
        <v>7.4072460737849635E-2</v>
      </c>
      <c r="N277" s="86">
        <f t="shared" si="2339"/>
        <v>7.7048427081552406E-2</v>
      </c>
      <c r="O277" s="86">
        <f t="shared" si="2339"/>
        <v>7.5778554371536994E-2</v>
      </c>
      <c r="P277" s="86">
        <f t="shared" si="2339"/>
        <v>6.9542858779938113E-2</v>
      </c>
      <c r="Q277" s="86">
        <f t="shared" si="2339"/>
        <v>7.0797560041958529E-2</v>
      </c>
      <c r="R277" s="86">
        <f t="shared" si="2339"/>
        <v>7.4459591550451801E-2</v>
      </c>
      <c r="S277" s="86">
        <f t="shared" si="2339"/>
        <v>7.3399861095880384E-2</v>
      </c>
      <c r="T277" s="86">
        <f t="shared" si="2339"/>
        <v>7.2661790780141844E-2</v>
      </c>
      <c r="U277" s="86">
        <f t="shared" si="2339"/>
        <v>9.057300465591489E-2</v>
      </c>
      <c r="V277" s="86">
        <f t="shared" si="2339"/>
        <v>0.26005612128291727</v>
      </c>
      <c r="W277" s="86">
        <f t="shared" si="2339"/>
        <v>0.1328601998547225</v>
      </c>
      <c r="X277" s="86">
        <f t="shared" si="2339"/>
        <v>7.1612124800556287E-2</v>
      </c>
      <c r="Y277" s="86">
        <f t="shared" si="2339"/>
        <v>6.7117266851338869E-2</v>
      </c>
      <c r="Z277" s="86">
        <f t="shared" si="2339"/>
        <v>6.217019775536501E-2</v>
      </c>
      <c r="AA277" s="86">
        <f t="shared" ref="AA277" si="2340">AA56/AA32</f>
        <v>6.2457039885563545E-2</v>
      </c>
      <c r="AB277" s="87">
        <f t="shared" si="2339"/>
        <v>6.8713229839763579E-2</v>
      </c>
      <c r="AC277" s="87">
        <f t="shared" si="2339"/>
        <v>6.3377891590324087E-2</v>
      </c>
      <c r="AD277" s="87">
        <f t="shared" si="2339"/>
        <v>5.8558961839784859E-2</v>
      </c>
      <c r="AE277" s="87">
        <f t="shared" si="2339"/>
        <v>5.4325947872557609E-2</v>
      </c>
      <c r="AL277" s="86">
        <f t="shared" ref="AL277:CW277" si="2341">AL56/AL32</f>
        <v>6.9846141738480305E-2</v>
      </c>
      <c r="AM277" s="86">
        <f t="shared" si="2341"/>
        <v>8.0609662154726522E-2</v>
      </c>
      <c r="AN277" s="86">
        <f t="shared" si="2341"/>
        <v>8.9684346816680055E-2</v>
      </c>
      <c r="AO277" s="86">
        <f t="shared" si="2341"/>
        <v>6.7651013608996155E-2</v>
      </c>
      <c r="AP277" s="86">
        <f t="shared" si="2341"/>
        <v>6.9051884895242971E-2</v>
      </c>
      <c r="AQ277" s="86">
        <f t="shared" si="2341"/>
        <v>7.4413841657244045E-2</v>
      </c>
      <c r="AR277" s="86">
        <f t="shared" si="2341"/>
        <v>7.9893276414087513E-2</v>
      </c>
      <c r="AS277" s="86">
        <f t="shared" si="2341"/>
        <v>6.1994564496884515E-2</v>
      </c>
      <c r="AT277" s="86">
        <f t="shared" si="2341"/>
        <v>6.4887564345705764E-2</v>
      </c>
      <c r="AU277" s="86">
        <f t="shared" si="2341"/>
        <v>7.1593153390388409E-2</v>
      </c>
      <c r="AV277" s="86">
        <f t="shared" si="2341"/>
        <v>7.7395261468966983E-2</v>
      </c>
      <c r="AW277" s="86">
        <f t="shared" si="2341"/>
        <v>6.21326977516585E-2</v>
      </c>
      <c r="AX277" s="86">
        <f t="shared" si="2341"/>
        <v>6.9624323334283034E-2</v>
      </c>
      <c r="AY277" s="86">
        <f t="shared" si="2341"/>
        <v>7.7865691981027427E-2</v>
      </c>
      <c r="AZ277" s="86">
        <f t="shared" si="2341"/>
        <v>7.5478715610806185E-2</v>
      </c>
      <c r="BA277" s="86">
        <f t="shared" si="2341"/>
        <v>6.1072882898002813E-2</v>
      </c>
      <c r="BB277" s="86">
        <f t="shared" si="2341"/>
        <v>8.5105776358556193E-2</v>
      </c>
      <c r="BC277" s="86">
        <f t="shared" si="2341"/>
        <v>7.833969884542781E-2</v>
      </c>
      <c r="BD277" s="86">
        <f t="shared" si="2341"/>
        <v>8.2743316073126918E-2</v>
      </c>
      <c r="BE277" s="86">
        <f t="shared" si="2341"/>
        <v>6.1949785343200309E-2</v>
      </c>
      <c r="BF277" s="86">
        <f t="shared" si="2341"/>
        <v>7.4493204834449836E-2</v>
      </c>
      <c r="BG277" s="86">
        <f t="shared" si="2341"/>
        <v>8.0095947739103807E-2</v>
      </c>
      <c r="BH277" s="86">
        <f t="shared" si="2341"/>
        <v>8.4206815754823597E-2</v>
      </c>
      <c r="BI277" s="86">
        <f t="shared" si="2341"/>
        <v>6.2926442253201861E-2</v>
      </c>
      <c r="BJ277" s="86">
        <f t="shared" si="2341"/>
        <v>6.821396425356821E-2</v>
      </c>
      <c r="BK277" s="86">
        <f t="shared" si="2341"/>
        <v>9.8392156862745092E-2</v>
      </c>
      <c r="BL277" s="86">
        <f t="shared" si="2341"/>
        <v>9.9192011434924163E-2</v>
      </c>
      <c r="BM277" s="86">
        <f t="shared" si="2341"/>
        <v>7.3452707034209447E-2</v>
      </c>
      <c r="BN277" s="86">
        <f t="shared" si="2341"/>
        <v>9.7010291821106709E-2</v>
      </c>
      <c r="BO277" s="86">
        <f t="shared" si="2341"/>
        <v>0.69730520158763309</v>
      </c>
      <c r="BP277" s="86">
        <f t="shared" si="2341"/>
        <v>0.40067012116725753</v>
      </c>
      <c r="BQ277" s="86">
        <f t="shared" si="2341"/>
        <v>0.18275997570821276</v>
      </c>
      <c r="BR277" s="86">
        <f t="shared" si="2341"/>
        <v>0.16963675978016976</v>
      </c>
      <c r="BS277" s="86">
        <f t="shared" si="2341"/>
        <v>0.29760557248585112</v>
      </c>
      <c r="BT277" s="86">
        <f t="shared" si="2341"/>
        <v>0.13970921372379422</v>
      </c>
      <c r="BU277" s="86">
        <f t="shared" si="2341"/>
        <v>8.9874192329151739E-2</v>
      </c>
      <c r="BV277" s="86">
        <f t="shared" si="2341"/>
        <v>0.1168241445738923</v>
      </c>
      <c r="BW277" s="86">
        <f t="shared" si="2341"/>
        <v>8.1022376329902779E-2</v>
      </c>
      <c r="BX277" s="86">
        <f t="shared" si="2341"/>
        <v>8.3213668556964493E-2</v>
      </c>
      <c r="BY277" s="86">
        <f t="shared" si="2341"/>
        <v>6.1282477162178196E-2</v>
      </c>
      <c r="BZ277" s="86">
        <f t="shared" si="2341"/>
        <v>6.6197867641178021E-2</v>
      </c>
      <c r="CA277" s="86">
        <f t="shared" si="2341"/>
        <v>7.4367315206939594E-2</v>
      </c>
      <c r="CB277" s="86">
        <f t="shared" si="2341"/>
        <v>7.7595590287468597E-2</v>
      </c>
      <c r="CC277" s="86">
        <f t="shared" si="2341"/>
        <v>5.8207389604041065E-2</v>
      </c>
      <c r="CD277" s="86">
        <f t="shared" si="2341"/>
        <v>6.2839178309383112E-2</v>
      </c>
      <c r="CE277" s="86">
        <f t="shared" si="2341"/>
        <v>7.5659740812653614E-2</v>
      </c>
      <c r="CF277" s="86">
        <f t="shared" si="2341"/>
        <v>6.8412809672967825E-2</v>
      </c>
      <c r="CG277" s="86">
        <f t="shared" si="2341"/>
        <v>5.2876966502832551E-2</v>
      </c>
      <c r="CH277" s="86">
        <f t="shared" si="2341"/>
        <v>5.8553320633035623E-2</v>
      </c>
      <c r="CI277" s="86">
        <f t="shared" si="2341"/>
        <v>6.9938463950457608E-2</v>
      </c>
      <c r="CJ277" s="86">
        <f t="shared" si="2341"/>
        <v>7.0910240140330927E-2</v>
      </c>
      <c r="CK277" s="86">
        <f t="shared" si="2341"/>
        <v>5.289307379414207E-2</v>
      </c>
      <c r="CL277" s="86">
        <f t="shared" ref="CL277" si="2342">CL56/CL32</f>
        <v>6.0525297527564921E-2</v>
      </c>
      <c r="CM277" s="87">
        <f t="shared" si="2341"/>
        <v>6.9760359612019762E-2</v>
      </c>
      <c r="CN277" s="87">
        <f t="shared" si="2341"/>
        <v>6.9114181120742385E-2</v>
      </c>
      <c r="CO277" s="87">
        <f t="shared" si="2341"/>
        <v>6.7690503722419249E-2</v>
      </c>
      <c r="CP277" s="87">
        <f t="shared" si="2341"/>
        <v>6.8311435254244643E-2</v>
      </c>
      <c r="CQ277" s="87">
        <f t="shared" si="2341"/>
        <v>6.50511641855476E-2</v>
      </c>
      <c r="CR277" s="87">
        <f t="shared" si="2341"/>
        <v>6.398841325527671E-2</v>
      </c>
      <c r="CS277" s="87">
        <f t="shared" si="2341"/>
        <v>6.2826150449965298E-2</v>
      </c>
      <c r="CT277" s="87">
        <f t="shared" si="2341"/>
        <v>6.1721819151313834E-2</v>
      </c>
      <c r="CU277" s="87">
        <f t="shared" si="2341"/>
        <v>6.0231299838890598E-2</v>
      </c>
      <c r="CV277" s="87">
        <f t="shared" si="2341"/>
        <v>5.9133186196875312E-2</v>
      </c>
      <c r="CW277" s="87">
        <f t="shared" si="2341"/>
        <v>5.802551893387696E-2</v>
      </c>
      <c r="CX277" s="87">
        <f t="shared" ref="CX277:DB277" si="2343">CX56/CX32</f>
        <v>5.6929029318546646E-2</v>
      </c>
      <c r="CY277" s="87">
        <f t="shared" si="2343"/>
        <v>5.5833338206788014E-2</v>
      </c>
      <c r="CZ277" s="87">
        <f t="shared" si="2343"/>
        <v>5.4826194343691487E-2</v>
      </c>
      <c r="DA277" s="87">
        <f t="shared" si="2343"/>
        <v>5.3838774025999687E-2</v>
      </c>
      <c r="DB277" s="87">
        <f t="shared" si="2343"/>
        <v>5.28778380064929E-2</v>
      </c>
      <c r="DE277" s="141"/>
      <c r="DF277" s="86">
        <v>5.3082983925008993E-2</v>
      </c>
    </row>
    <row r="278" spans="1:110" s="85" customFormat="1" x14ac:dyDescent="0.2">
      <c r="AB278" s="58"/>
      <c r="AC278" s="58"/>
      <c r="AD278" s="58"/>
      <c r="AE278" s="58"/>
      <c r="CM278" s="72"/>
      <c r="CN278" s="72"/>
      <c r="CO278" s="72"/>
      <c r="CP278" s="72"/>
      <c r="CQ278" s="72"/>
      <c r="CR278" s="72"/>
      <c r="CS278" s="72"/>
      <c r="CT278" s="72"/>
      <c r="CU278" s="72"/>
      <c r="CV278" s="72"/>
      <c r="CW278" s="72"/>
      <c r="CX278" s="72"/>
      <c r="CY278" s="72"/>
      <c r="CZ278" s="72"/>
      <c r="DA278" s="72"/>
      <c r="DB278" s="72"/>
      <c r="DE278" s="143"/>
    </row>
  </sheetData>
  <sortState xmlns:xlrd2="http://schemas.microsoft.com/office/spreadsheetml/2017/richdata2" ref="A44:DE49">
    <sortCondition ref="A44:A4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100850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The Indian Hotels Company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852.57</v>
      </c>
      <c r="D6">
        <f>_xll.EQNXTDZ($A$1,$B6,D$1,$B$1)</f>
        <v>813.8</v>
      </c>
      <c r="E6">
        <f>_xll.EQNXTDZ($A$1,$B6,E$1,$B$1)</f>
        <v>544.54999999999995</v>
      </c>
      <c r="F6">
        <f>_xll.EQNXTDZ($A$1,$B6,F$1,$B$1)</f>
        <v>1016.52</v>
      </c>
      <c r="G6">
        <f>_xll.EQNXTDZ($A$1,$B6,G$1,$B$1)</f>
        <v>908.7</v>
      </c>
      <c r="H6">
        <f>_xll.EQNXTDZ($A$1,$B6,H$1,$B$1)</f>
        <v>895.92</v>
      </c>
      <c r="I6">
        <f>_xll.EQNXTDZ($A$1,$B6,I$1,$B$1)</f>
        <v>1167.6099999999999</v>
      </c>
      <c r="J6">
        <f>_xll.EQNXTDZ($A$1,$B6,J$1,$B$1)</f>
        <v>1093.96</v>
      </c>
      <c r="K6">
        <f>_xll.EQNXTDZ($A$1,$B6,K$1,$B$1)</f>
        <v>937.46</v>
      </c>
      <c r="L6">
        <f>_xll.EQNXTDZ($A$1,$B6,L$1,$B$1)</f>
        <v>937</v>
      </c>
      <c r="M6">
        <f>_xll.EQNXTDZ($A$1,$B6,M$1,$B$1)</f>
        <v>1206.8800000000001</v>
      </c>
      <c r="N6">
        <f>_xll.EQNXTDZ($A$1,$B6,N$1,$B$1)</f>
        <v>1107.3</v>
      </c>
      <c r="O6">
        <f>_xll.EQNXTDZ($A$1,$B6,O$1,$B$1)</f>
        <v>1032.92</v>
      </c>
      <c r="P6">
        <f>_xll.EQNXTDZ($A$1,$B6,P$1,$B$1)</f>
        <v>894.37</v>
      </c>
      <c r="Q6">
        <f>_xll.EQNXTDZ($A$1,$B6,Q$1,$B$1)</f>
        <v>1162.19</v>
      </c>
      <c r="R6">
        <f>_xll.EQNXTDZ($A$1,$B6,R$1,$B$1)</f>
        <v>1228.45</v>
      </c>
      <c r="S6">
        <f>_xll.EQNXTDZ($A$1,$B6,S$1,$B$1)</f>
        <v>946.63</v>
      </c>
      <c r="T6">
        <f>_xll.EQNXTDZ($A$1,$B6,T$1,$B$1)</f>
        <v>887.27</v>
      </c>
      <c r="U6">
        <f>_xll.EQNXTDZ($A$1,$B6,U$1,$B$1)</f>
        <v>1132.0899999999999</v>
      </c>
      <c r="V6">
        <f>_xll.EQNXTDZ($A$1,$B6,V$1,$B$1)</f>
        <v>1052.22</v>
      </c>
      <c r="W6">
        <f>_xll.EQNXTDZ($A$1,$B6,W$1,$B$1)</f>
        <v>911.16</v>
      </c>
      <c r="X6">
        <f>_xll.EQNXTDZ($A$1,$B6,X$1,$B$1)</f>
        <v>851.67</v>
      </c>
      <c r="Y6">
        <f>_xll.EQNXTDZ($A$1,$B6,Y$1,$B$1)</f>
        <v>1197.26</v>
      </c>
      <c r="Z6">
        <f>_xll.EQNXTDZ($A$1,$B6,Z$1,$B$1)</f>
        <v>1143.46</v>
      </c>
      <c r="AA6">
        <f>_xll.EQNXTDZ($A$1,$B6,AA$1,$B$1)</f>
        <v>979.7</v>
      </c>
      <c r="AB6">
        <f>_xll.EQNXTDZ($A$1,$B6,AB$1,$B$1)</f>
        <v>964.53</v>
      </c>
      <c r="AC6">
        <f>_xll.EQNXTDZ($A$1,$B6,AC$1,$B$1)</f>
        <v>1323.45</v>
      </c>
      <c r="AD6">
        <f>_xll.EQNXTDZ($A$1,$B6,AD$1,$B$1)</f>
        <v>1244.32</v>
      </c>
      <c r="AE6">
        <f>_xll.EQNXTDZ($A$1,$B6,AE$1,$B$1)</f>
        <v>1020</v>
      </c>
      <c r="AF6">
        <f>_xll.EQNXTDZ($A$1,$B6,AF$1,$B$1)</f>
        <v>1007.44</v>
      </c>
      <c r="AG6">
        <f>_xll.EQNXTDZ($A$1,$B6,AG$1,$B$1)</f>
        <v>1372.72</v>
      </c>
      <c r="AH6">
        <f>_xll.EQNXTDZ($A$1,$B6,AH$1,$B$1)</f>
        <v>1062.98</v>
      </c>
      <c r="AI6">
        <f>_xll.EQNXTDZ($A$1,$B6,AI$1,$B$1)</f>
        <v>143.61000000000001</v>
      </c>
      <c r="AJ6">
        <f>_xll.EQNXTDZ($A$1,$B6,AJ$1,$B$1)</f>
        <v>256.67</v>
      </c>
      <c r="AK6">
        <f>_xll.EQNXTDZ($A$1,$B6,AK$1,$B$1)</f>
        <v>559.86</v>
      </c>
      <c r="AL6">
        <f>_xll.EQNXTDZ($A$1,$B6,AL$1,$B$1)</f>
        <v>615.02</v>
      </c>
      <c r="AM6">
        <f>_xll.EQNXTDZ($A$1,$B6,AM$1,$B$1)</f>
        <v>344.55</v>
      </c>
      <c r="AN6">
        <f>_xll.EQNXTDZ($A$1,$B6,AN$1,$B$1)</f>
        <v>728.37</v>
      </c>
      <c r="AO6">
        <f>_xll.EQNXTDZ($A$1,$B6,AO$1,$B$1)</f>
        <v>1111.22</v>
      </c>
      <c r="AP6">
        <f>_xll.EQNXTDZ($A$1,$B6,AP$1,$B$1)</f>
        <v>872.08</v>
      </c>
      <c r="AQ6">
        <f>_xll.EQNXTDZ($A$1,$B6,AQ$1,$B$1)</f>
        <v>1266.07</v>
      </c>
      <c r="AR6">
        <f>_xll.EQNXTDZ($A$1,$B6,AR$1,$B$1)</f>
        <v>1232.6099999999999</v>
      </c>
      <c r="AS6">
        <f>_xll.EQNXTDZ($A$1,$B6,AS$1,$B$1)</f>
        <v>1685.8</v>
      </c>
      <c r="AT6">
        <f>_xll.EQNXTDZ($A$1,$B6,AT$1,$B$1)</f>
        <v>1625.43</v>
      </c>
      <c r="AU6">
        <f>_xll.EQNXTDZ($A$1,$B6,AU$1,$B$1)</f>
        <v>1466.37</v>
      </c>
      <c r="AV6">
        <f>_xll.EQNXTDZ($A$1,$B6,AV$1,$B$1)</f>
        <v>1433.2</v>
      </c>
      <c r="AW6">
        <f>_xll.EQNXTDZ($A$1,$B6,AW$1,$B$1)</f>
        <v>1963.84</v>
      </c>
      <c r="AX6">
        <f>_xll.EQNXTDZ($A$1,$B6,AX$1,$B$1)</f>
        <v>1905.34</v>
      </c>
      <c r="AY6">
        <f>_xll.EQNXTDZ($A$1,$B6,AY$1,$B$1)</f>
        <v>1550.23</v>
      </c>
      <c r="AZ6">
        <f>_xll.EQNXTDZ($A$1,$B6,AZ$1,$B$1)</f>
        <v>1826.12</v>
      </c>
      <c r="BA6">
        <f>_xll.EQNXTDZ($A$1,$B6,BA$1,$B$1)</f>
        <v>2533.0500000000002</v>
      </c>
      <c r="BB6">
        <f>_xll.EQNXTDZ($A$1,$B6,BB$1,$B$1)</f>
        <v>2425.14</v>
      </c>
      <c r="BC6">
        <f>_xll.EQNXTDZ($A$1,$B6,BC$1,$B$1)</f>
        <v>2041.08</v>
      </c>
      <c r="BD6">
        <f>_xll.EQNXTDZ($A$1,$B6,BD$1,$B$1)</f>
        <v>2040.89</v>
      </c>
      <c r="BE6">
        <f>_xll.EQNXTDZ($A$1,$B6,BE$1,$B$1)</f>
        <v>2841.96</v>
      </c>
      <c r="BF6">
        <f>_xll.EQNXTDZ($A$1,$B6,BF$1,$B$1)</f>
        <v>2765.29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852.57</v>
      </c>
      <c r="D9">
        <f>_xll.EQNXTDZ($A$1,$B9,D$1,$B$1)</f>
        <v>813.8</v>
      </c>
      <c r="E9">
        <f>_xll.EQNXTDZ($A$1,$B9,E$1,$B$1)</f>
        <v>544.54999999999995</v>
      </c>
      <c r="F9">
        <f>_xll.EQNXTDZ($A$1,$B9,F$1,$B$1)</f>
        <v>1016.52</v>
      </c>
      <c r="G9">
        <f>_xll.EQNXTDZ($A$1,$B9,G$1,$B$1)</f>
        <v>908.7</v>
      </c>
      <c r="H9">
        <f>_xll.EQNXTDZ($A$1,$B9,H$1,$B$1)</f>
        <v>895.92</v>
      </c>
      <c r="I9">
        <f>_xll.EQNXTDZ($A$1,$B9,I$1,$B$1)</f>
        <v>1167.6099999999999</v>
      </c>
      <c r="J9">
        <f>_xll.EQNXTDZ($A$1,$B9,J$1,$B$1)</f>
        <v>1093.96</v>
      </c>
      <c r="K9">
        <f>_xll.EQNXTDZ($A$1,$B9,K$1,$B$1)</f>
        <v>937.46</v>
      </c>
      <c r="L9">
        <f>_xll.EQNXTDZ($A$1,$B9,L$1,$B$1)</f>
        <v>937</v>
      </c>
      <c r="M9">
        <f>_xll.EQNXTDZ($A$1,$B9,M$1,$B$1)</f>
        <v>1206.8800000000001</v>
      </c>
      <c r="N9">
        <f>_xll.EQNXTDZ($A$1,$B9,N$1,$B$1)</f>
        <v>1107.3</v>
      </c>
      <c r="O9">
        <f>_xll.EQNXTDZ($A$1,$B9,O$1,$B$1)</f>
        <v>1032.92</v>
      </c>
      <c r="P9">
        <f>_xll.EQNXTDZ($A$1,$B9,P$1,$B$1)</f>
        <v>894.37</v>
      </c>
      <c r="Q9">
        <f>_xll.EQNXTDZ($A$1,$B9,Q$1,$B$1)</f>
        <v>1162.19</v>
      </c>
      <c r="R9">
        <f>_xll.EQNXTDZ($A$1,$B9,R$1,$B$1)</f>
        <v>1228.45</v>
      </c>
      <c r="S9">
        <f>_xll.EQNXTDZ($A$1,$B9,S$1,$B$1)</f>
        <v>946.63</v>
      </c>
      <c r="T9">
        <f>_xll.EQNXTDZ($A$1,$B9,T$1,$B$1)</f>
        <v>887.27</v>
      </c>
      <c r="U9">
        <f>_xll.EQNXTDZ($A$1,$B9,U$1,$B$1)</f>
        <v>1132.0899999999999</v>
      </c>
      <c r="V9">
        <f>_xll.EQNXTDZ($A$1,$B9,V$1,$B$1)</f>
        <v>1052.22</v>
      </c>
      <c r="W9">
        <f>_xll.EQNXTDZ($A$1,$B9,W$1,$B$1)</f>
        <v>911.16</v>
      </c>
      <c r="X9">
        <f>_xll.EQNXTDZ($A$1,$B9,X$1,$B$1)</f>
        <v>851.67</v>
      </c>
      <c r="Y9">
        <f>_xll.EQNXTDZ($A$1,$B9,Y$1,$B$1)</f>
        <v>1197.26</v>
      </c>
      <c r="Z9">
        <f>_xll.EQNXTDZ($A$1,$B9,Z$1,$B$1)</f>
        <v>1143.46</v>
      </c>
      <c r="AA9">
        <f>_xll.EQNXTDZ($A$1,$B9,AA$1,$B$1)</f>
        <v>979.7</v>
      </c>
      <c r="AB9">
        <f>_xll.EQNXTDZ($A$1,$B9,AB$1,$B$1)</f>
        <v>964.53</v>
      </c>
      <c r="AC9">
        <f>_xll.EQNXTDZ($A$1,$B9,AC$1,$B$1)</f>
        <v>1323.45</v>
      </c>
      <c r="AD9">
        <f>_xll.EQNXTDZ($A$1,$B9,AD$1,$B$1)</f>
        <v>1244.32</v>
      </c>
      <c r="AE9">
        <f>_xll.EQNXTDZ($A$1,$B9,AE$1,$B$1)</f>
        <v>1020</v>
      </c>
      <c r="AF9">
        <f>_xll.EQNXTDZ($A$1,$B9,AF$1,$B$1)</f>
        <v>1007.44</v>
      </c>
      <c r="AG9">
        <f>_xll.EQNXTDZ($A$1,$B9,AG$1,$B$1)</f>
        <v>1372.72</v>
      </c>
      <c r="AH9">
        <f>_xll.EQNXTDZ($A$1,$B9,AH$1,$B$1)</f>
        <v>1062.98</v>
      </c>
      <c r="AI9">
        <f>_xll.EQNXTDZ($A$1,$B9,AI$1,$B$1)</f>
        <v>143.61000000000001</v>
      </c>
      <c r="AJ9">
        <f>_xll.EQNXTDZ($A$1,$B9,AJ$1,$B$1)</f>
        <v>256.67</v>
      </c>
      <c r="AK9">
        <f>_xll.EQNXTDZ($A$1,$B9,AK$1,$B$1)</f>
        <v>559.86</v>
      </c>
      <c r="AL9">
        <f>_xll.EQNXTDZ($A$1,$B9,AL$1,$B$1)</f>
        <v>615.02</v>
      </c>
      <c r="AM9">
        <f>_xll.EQNXTDZ($A$1,$B9,AM$1,$B$1)</f>
        <v>344.55</v>
      </c>
      <c r="AN9">
        <f>_xll.EQNXTDZ($A$1,$B9,AN$1,$B$1)</f>
        <v>728.37</v>
      </c>
      <c r="AO9">
        <f>_xll.EQNXTDZ($A$1,$B9,AO$1,$B$1)</f>
        <v>1111.22</v>
      </c>
      <c r="AP9">
        <f>_xll.EQNXTDZ($A$1,$B9,AP$1,$B$1)</f>
        <v>872.08</v>
      </c>
      <c r="AQ9">
        <f>_xll.EQNXTDZ($A$1,$B9,AQ$1,$B$1)</f>
        <v>1266.07</v>
      </c>
      <c r="AR9">
        <f>_xll.EQNXTDZ($A$1,$B9,AR$1,$B$1)</f>
        <v>1232.6099999999999</v>
      </c>
      <c r="AS9">
        <f>_xll.EQNXTDZ($A$1,$B9,AS$1,$B$1)</f>
        <v>1685.8</v>
      </c>
      <c r="AT9">
        <f>_xll.EQNXTDZ($A$1,$B9,AT$1,$B$1)</f>
        <v>1625.43</v>
      </c>
      <c r="AU9">
        <f>_xll.EQNXTDZ($A$1,$B9,AU$1,$B$1)</f>
        <v>1466.37</v>
      </c>
      <c r="AV9">
        <f>_xll.EQNXTDZ($A$1,$B9,AV$1,$B$1)</f>
        <v>1433.2</v>
      </c>
      <c r="AW9">
        <f>_xll.EQNXTDZ($A$1,$B9,AW$1,$B$1)</f>
        <v>1963.84</v>
      </c>
      <c r="AX9">
        <f>_xll.EQNXTDZ($A$1,$B9,AX$1,$B$1)</f>
        <v>1905.34</v>
      </c>
      <c r="AY9">
        <f>_xll.EQNXTDZ($A$1,$B9,AY$1,$B$1)</f>
        <v>1550.23</v>
      </c>
      <c r="AZ9">
        <f>_xll.EQNXTDZ($A$1,$B9,AZ$1,$B$1)</f>
        <v>1826.12</v>
      </c>
      <c r="BA9">
        <f>_xll.EQNXTDZ($A$1,$B9,BA$1,$B$1)</f>
        <v>2533.0500000000002</v>
      </c>
      <c r="BB9">
        <f>_xll.EQNXTDZ($A$1,$B9,BB$1,$B$1)</f>
        <v>2425.14</v>
      </c>
      <c r="BC9">
        <f>_xll.EQNXTDZ($A$1,$B9,BC$1,$B$1)</f>
        <v>2041.08</v>
      </c>
      <c r="BD9">
        <f>_xll.EQNXTDZ($A$1,$B9,BD$1,$B$1)</f>
        <v>2040.89</v>
      </c>
      <c r="BE9">
        <f>_xll.EQNXTDZ($A$1,$B9,BE$1,$B$1)</f>
        <v>2841.96</v>
      </c>
      <c r="BF9">
        <f>_xll.EQNXTDZ($A$1,$B9,BF$1,$B$1)</f>
        <v>2765.29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89.92</v>
      </c>
      <c r="D11">
        <f>_xll.EQNXTDZ($A$1,$B11,D$1,$B$1)</f>
        <v>84.65</v>
      </c>
      <c r="E11">
        <f>_xll.EQNXTDZ($A$1,$B11,E$1,$B$1)</f>
        <v>47.01</v>
      </c>
      <c r="F11">
        <f>_xll.EQNXTDZ($A$1,$B11,F$1,$B$1)</f>
        <v>101.64</v>
      </c>
      <c r="G11">
        <f>_xll.EQNXTDZ($A$1,$B11,G$1,$B$1)</f>
        <v>95.18</v>
      </c>
      <c r="H11">
        <f>_xll.EQNXTDZ($A$1,$B11,H$1,$B$1)</f>
        <v>97.94</v>
      </c>
      <c r="I11">
        <f>_xll.EQNXTDZ($A$1,$B11,I$1,$B$1)</f>
        <v>122.93</v>
      </c>
      <c r="J11">
        <f>_xll.EQNXTDZ($A$1,$B11,J$1,$B$1)</f>
        <v>111.02</v>
      </c>
      <c r="K11">
        <f>_xll.EQNXTDZ($A$1,$B11,K$1,$B$1)</f>
        <v>101.19</v>
      </c>
      <c r="L11">
        <f>_xll.EQNXTDZ($A$1,$B11,L$1,$B$1)</f>
        <v>100.87</v>
      </c>
      <c r="M11">
        <f>_xll.EQNXTDZ($A$1,$B11,M$1,$B$1)</f>
        <v>127.06</v>
      </c>
      <c r="N11">
        <f>_xll.EQNXTDZ($A$1,$B11,N$1,$B$1)</f>
        <v>113.97</v>
      </c>
      <c r="O11">
        <f>_xll.EQNXTDZ($A$1,$B11,O$1,$B$1)</f>
        <v>117.19</v>
      </c>
      <c r="P11">
        <f>_xll.EQNXTDZ($A$1,$B11,P$1,$B$1)</f>
        <v>82.88</v>
      </c>
      <c r="Q11">
        <f>_xll.EQNXTDZ($A$1,$B11,Q$1,$B$1)</f>
        <v>106.46</v>
      </c>
      <c r="R11">
        <f>_xll.EQNXTDZ($A$1,$B11,R$1,$B$1)</f>
        <v>129.5</v>
      </c>
      <c r="S11">
        <f>_xll.EQNXTDZ($A$1,$B11,S$1,$B$1)</f>
        <v>85.74</v>
      </c>
      <c r="T11">
        <f>_xll.EQNXTDZ($A$1,$B11,T$1,$B$1)</f>
        <v>82.49</v>
      </c>
      <c r="U11">
        <f>_xll.EQNXTDZ($A$1,$B11,U$1,$B$1)</f>
        <v>101.29</v>
      </c>
      <c r="V11">
        <f>_xll.EQNXTDZ($A$1,$B11,V$1,$B$1)</f>
        <v>94.43</v>
      </c>
      <c r="W11">
        <f>_xll.EQNXTDZ($A$1,$B11,W$1,$B$1)</f>
        <v>83.87</v>
      </c>
      <c r="X11">
        <f>_xll.EQNXTDZ($A$1,$B11,X$1,$B$1)</f>
        <v>82.93</v>
      </c>
      <c r="Y11">
        <f>_xll.EQNXTDZ($A$1,$B11,Y$1,$B$1)</f>
        <v>111.44</v>
      </c>
      <c r="Z11">
        <f>_xll.EQNXTDZ($A$1,$B11,Z$1,$B$1)</f>
        <v>98.2</v>
      </c>
      <c r="AA11">
        <f>_xll.EQNXTDZ($A$1,$B11,AA$1,$B$1)</f>
        <v>90.13</v>
      </c>
      <c r="AB11">
        <f>_xll.EQNXTDZ($A$1,$B11,AB$1,$B$1)</f>
        <v>87.45</v>
      </c>
      <c r="AC11">
        <f>_xll.EQNXTDZ($A$1,$B11,AC$1,$B$1)</f>
        <v>118.78</v>
      </c>
      <c r="AD11">
        <f>_xll.EQNXTDZ($A$1,$B11,AD$1,$B$1)</f>
        <v>107.69</v>
      </c>
      <c r="AE11">
        <f>_xll.EQNXTDZ($A$1,$B11,AE$1,$B$1)</f>
        <v>84.93</v>
      </c>
      <c r="AF11">
        <f>_xll.EQNXTDZ($A$1,$B11,AF$1,$B$1)</f>
        <v>84.78</v>
      </c>
      <c r="AG11">
        <f>_xll.EQNXTDZ($A$1,$B11,AG$1,$B$1)</f>
        <v>117.18</v>
      </c>
      <c r="AH11">
        <f>_xll.EQNXTDZ($A$1,$B11,AH$1,$B$1)</f>
        <v>83.67</v>
      </c>
      <c r="AI11">
        <f>_xll.EQNXTDZ($A$1,$B11,AI$1,$B$1)</f>
        <v>9.17</v>
      </c>
      <c r="AJ11">
        <f>_xll.EQNXTDZ($A$1,$B11,AJ$1,$B$1)</f>
        <v>21.82</v>
      </c>
      <c r="AK11">
        <f>_xll.EQNXTDZ($A$1,$B11,AK$1,$B$1)</f>
        <v>55.96</v>
      </c>
      <c r="AL11">
        <f>_xll.EQNXTDZ($A$1,$B11,AL$1,$B$1)</f>
        <v>56.87</v>
      </c>
      <c r="AM11">
        <f>_xll.EQNXTDZ($A$1,$B11,AM$1,$B$1)</f>
        <v>28.07</v>
      </c>
      <c r="AN11">
        <f>_xll.EQNXTDZ($A$1,$B11,AN$1,$B$1)</f>
        <v>62.78</v>
      </c>
      <c r="AO11">
        <f>_xll.EQNXTDZ($A$1,$B11,AO$1,$B$1)</f>
        <v>97.36</v>
      </c>
      <c r="AP11">
        <f>_xll.EQNXTDZ($A$1,$B11,AP$1,$B$1)</f>
        <v>69.02</v>
      </c>
      <c r="AQ11">
        <f>_xll.EQNXTDZ($A$1,$B11,AQ$1,$B$1)</f>
        <v>103.93</v>
      </c>
      <c r="AR11">
        <f>_xll.EQNXTDZ($A$1,$B11,AR$1,$B$1)</f>
        <v>102.95</v>
      </c>
      <c r="AS11">
        <f>_xll.EQNXTDZ($A$1,$B11,AS$1,$B$1)</f>
        <v>140.47</v>
      </c>
      <c r="AT11">
        <f>_xll.EQNXTDZ($A$1,$B11,AT$1,$B$1)</f>
        <v>125.54</v>
      </c>
      <c r="AU11">
        <f>_xll.EQNXTDZ($A$1,$B11,AU$1,$B$1)</f>
        <v>115.45</v>
      </c>
      <c r="AV11">
        <f>_xll.EQNXTDZ($A$1,$B11,AV$1,$B$1)</f>
        <v>112.35</v>
      </c>
      <c r="AW11">
        <f>_xll.EQNXTDZ($A$1,$B11,AW$1,$B$1)</f>
        <v>153.19</v>
      </c>
      <c r="AX11">
        <f>_xll.EQNXTDZ($A$1,$B11,AX$1,$B$1)</f>
        <v>139.84</v>
      </c>
      <c r="AY11">
        <f>_xll.EQNXTDZ($A$1,$B11,AY$1,$B$1)</f>
        <v>114.3</v>
      </c>
      <c r="AZ11">
        <f>_xll.EQNXTDZ($A$1,$B11,AZ$1,$B$1)</f>
        <v>174.02</v>
      </c>
      <c r="BA11">
        <f>_xll.EQNXTDZ($A$1,$B11,BA$1,$B$1)</f>
        <v>250.5</v>
      </c>
      <c r="BB11">
        <f>_xll.EQNXTDZ($A$1,$B11,BB$1,$B$1)</f>
        <v>234.93</v>
      </c>
      <c r="BC11">
        <f>_xll.EQNXTDZ($A$1,$B11,BC$1,$B$1)</f>
        <v>208.15</v>
      </c>
      <c r="BD11">
        <f>_xll.EQNXTDZ($A$1,$B11,BD$1,$B$1)</f>
        <v>208.22</v>
      </c>
      <c r="BE11">
        <f>_xll.EQNXTDZ($A$1,$B11,BE$1,$B$1)</f>
        <v>276.89999999999998</v>
      </c>
      <c r="BF11">
        <f>_xll.EQNXTDZ($A$1,$B11,BF$1,$B$1)</f>
        <v>257.62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238.08</v>
      </c>
      <c r="D14">
        <f>_xll.EQNXTDZ($A$1,$B14,D$1,$B$1)</f>
        <v>253.26</v>
      </c>
      <c r="E14">
        <f>_xll.EQNXTDZ($A$1,$B14,E$1,$B$1)</f>
        <v>153.61000000000001</v>
      </c>
      <c r="F14">
        <f>_xll.EQNXTDZ($A$1,$B14,F$1,$B$1)</f>
        <v>284.92</v>
      </c>
      <c r="G14">
        <f>_xll.EQNXTDZ($A$1,$B14,G$1,$B$1)</f>
        <v>258.67</v>
      </c>
      <c r="H14">
        <f>_xll.EQNXTDZ($A$1,$B14,H$1,$B$1)</f>
        <v>296.62</v>
      </c>
      <c r="I14">
        <f>_xll.EQNXTDZ($A$1,$B14,I$1,$B$1)</f>
        <v>307.99</v>
      </c>
      <c r="J14">
        <f>_xll.EQNXTDZ($A$1,$B14,J$1,$B$1)</f>
        <v>324.77999999999997</v>
      </c>
      <c r="K14">
        <f>_xll.EQNXTDZ($A$1,$B14,K$1,$B$1)</f>
        <v>278.17</v>
      </c>
      <c r="L14">
        <f>_xll.EQNXTDZ($A$1,$B14,L$1,$B$1)</f>
        <v>331.51</v>
      </c>
      <c r="M14">
        <f>_xll.EQNXTDZ($A$1,$B14,M$1,$B$1)</f>
        <v>322.37</v>
      </c>
      <c r="N14">
        <f>_xll.EQNXTDZ($A$1,$B14,N$1,$B$1)</f>
        <v>332.42</v>
      </c>
      <c r="O14">
        <f>_xll.EQNXTDZ($A$1,$B14,O$1,$B$1)</f>
        <v>293.45999999999998</v>
      </c>
      <c r="P14">
        <f>_xll.EQNXTDZ($A$1,$B14,P$1,$B$1)</f>
        <v>272.37</v>
      </c>
      <c r="Q14">
        <f>_xll.EQNXTDZ($A$1,$B14,Q$1,$B$1)</f>
        <v>303.89999999999998</v>
      </c>
      <c r="R14">
        <f>_xll.EQNXTDZ($A$1,$B14,R$1,$B$1)</f>
        <v>363.48</v>
      </c>
      <c r="S14">
        <f>_xll.EQNXTDZ($A$1,$B14,S$1,$B$1)</f>
        <v>403.62</v>
      </c>
      <c r="T14">
        <f>_xll.EQNXTDZ($A$1,$B14,T$1,$B$1)</f>
        <v>400.17</v>
      </c>
      <c r="U14">
        <f>_xll.EQNXTDZ($A$1,$B14,U$1,$B$1)</f>
        <v>423.84</v>
      </c>
      <c r="V14">
        <f>_xll.EQNXTDZ($A$1,$B14,V$1,$B$1)</f>
        <v>452.36</v>
      </c>
      <c r="W14">
        <f>_xll.EQNXTDZ($A$1,$B14,W$1,$B$1)</f>
        <v>397.11</v>
      </c>
      <c r="X14">
        <f>_xll.EQNXTDZ($A$1,$B14,X$1,$B$1)</f>
        <v>387.71</v>
      </c>
      <c r="Y14">
        <f>_xll.EQNXTDZ($A$1,$B14,Y$1,$B$1)</f>
        <v>459.14</v>
      </c>
      <c r="Z14">
        <f>_xll.EQNXTDZ($A$1,$B14,Z$1,$B$1)</f>
        <v>466.18</v>
      </c>
      <c r="AA14">
        <f>_xll.EQNXTDZ($A$1,$B14,AA$1,$B$1)</f>
        <v>420.07</v>
      </c>
      <c r="AB14">
        <f>_xll.EQNXTDZ($A$1,$B14,AB$1,$B$1)</f>
        <v>429.12</v>
      </c>
      <c r="AC14">
        <f>_xll.EQNXTDZ($A$1,$B14,AC$1,$B$1)</f>
        <v>484.64</v>
      </c>
      <c r="AD14">
        <f>_xll.EQNXTDZ($A$1,$B14,AD$1,$B$1)</f>
        <v>473.6</v>
      </c>
      <c r="AE14">
        <f>_xll.EQNXTDZ($A$1,$B14,AE$1,$B$1)</f>
        <v>391.01</v>
      </c>
      <c r="AF14">
        <f>_xll.EQNXTDZ($A$1,$B14,AF$1,$B$1)</f>
        <v>397.02</v>
      </c>
      <c r="AG14">
        <f>_xll.EQNXTDZ($A$1,$B14,AG$1,$B$1)</f>
        <v>439.53</v>
      </c>
      <c r="AH14">
        <f>_xll.EQNXTDZ($A$1,$B14,AH$1,$B$1)</f>
        <v>402.89</v>
      </c>
      <c r="AI14">
        <f>_xll.EQNXTDZ($A$1,$B14,AI$1,$B$1)</f>
        <v>160.65</v>
      </c>
      <c r="AJ14">
        <f>_xll.EQNXTDZ($A$1,$B14,AJ$1,$B$1)</f>
        <v>180.87</v>
      </c>
      <c r="AK14">
        <f>_xll.EQNXTDZ($A$1,$B14,AK$1,$B$1)</f>
        <v>278.68</v>
      </c>
      <c r="AL14">
        <f>_xll.EQNXTDZ($A$1,$B14,AL$1,$B$1)</f>
        <v>278.89</v>
      </c>
      <c r="AM14">
        <f>_xll.EQNXTDZ($A$1,$B14,AM$1,$B$1)</f>
        <v>216.69</v>
      </c>
      <c r="AN14">
        <f>_xll.EQNXTDZ($A$1,$B14,AN$1,$B$1)</f>
        <v>313.95</v>
      </c>
      <c r="AO14">
        <f>_xll.EQNXTDZ($A$1,$B14,AO$1,$B$1)</f>
        <v>379.5</v>
      </c>
      <c r="AP14">
        <f>_xll.EQNXTDZ($A$1,$B14,AP$1,$B$1)</f>
        <v>333.86</v>
      </c>
      <c r="AQ14">
        <f>_xll.EQNXTDZ($A$1,$B14,AQ$1,$B$1)</f>
        <v>424.66</v>
      </c>
      <c r="AR14">
        <f>_xll.EQNXTDZ($A$1,$B14,AR$1,$B$1)</f>
        <v>459.28</v>
      </c>
      <c r="AS14">
        <f>_xll.EQNXTDZ($A$1,$B14,AS$1,$B$1)</f>
        <v>523.67999999999995</v>
      </c>
      <c r="AT14">
        <f>_xll.EQNXTDZ($A$1,$B14,AT$1,$B$1)</f>
        <v>542.59</v>
      </c>
      <c r="AU14">
        <f>_xll.EQNXTDZ($A$1,$B14,AU$1,$B$1)</f>
        <v>512.08000000000004</v>
      </c>
      <c r="AV14">
        <f>_xll.EQNXTDZ($A$1,$B14,AV$1,$B$1)</f>
        <v>525.53</v>
      </c>
      <c r="AW14">
        <f>_xll.EQNXTDZ($A$1,$B14,AW$1,$B$1)</f>
        <v>609.63</v>
      </c>
      <c r="AX14">
        <f>_xll.EQNXTDZ($A$1,$B14,AX$1,$B$1)</f>
        <v>638.34</v>
      </c>
      <c r="AY14">
        <f>_xll.EQNXTDZ($A$1,$B14,AY$1,$B$1)</f>
        <v>525.86</v>
      </c>
      <c r="AZ14">
        <f>_xll.EQNXTDZ($A$1,$B14,AZ$1,$B$1)</f>
        <v>628.30999999999995</v>
      </c>
      <c r="BA14">
        <f>_xll.EQNXTDZ($A$1,$B14,BA$1,$B$1)</f>
        <v>741.42</v>
      </c>
      <c r="BB14">
        <f>_xll.EQNXTDZ($A$1,$B14,BB$1,$B$1)</f>
        <v>745.19</v>
      </c>
      <c r="BC14">
        <f>_xll.EQNXTDZ($A$1,$B14,BC$1,$B$1)</f>
        <v>659.27</v>
      </c>
      <c r="BD14">
        <f>_xll.EQNXTDZ($A$1,$B14,BD$1,$B$1)</f>
        <v>671.49</v>
      </c>
      <c r="BE14">
        <f>_xll.EQNXTDZ($A$1,$B14,BE$1,$B$1)</f>
        <v>847.74</v>
      </c>
      <c r="BF14">
        <f>_xll.EQNXTDZ($A$1,$B14,BF$1,$B$1)</f>
        <v>878.53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69.08</v>
      </c>
      <c r="D15">
        <f>_xll.EQNXTDZ($A$1,$B15,D$1,$B$1)</f>
        <v>74.209999999999994</v>
      </c>
      <c r="E15">
        <f>_xll.EQNXTDZ($A$1,$B15,E$1,$B$1)</f>
        <v>39.42</v>
      </c>
      <c r="F15">
        <f>_xll.EQNXTDZ($A$1,$B15,F$1,$B$1)</f>
        <v>73.28</v>
      </c>
      <c r="G15">
        <f>_xll.EQNXTDZ($A$1,$B15,G$1,$B$1)</f>
        <v>73.959999999999994</v>
      </c>
      <c r="H15">
        <f>_xll.EQNXTDZ($A$1,$B15,H$1,$B$1)</f>
        <v>79.319999999999993</v>
      </c>
      <c r="I15">
        <f>_xll.EQNXTDZ($A$1,$B15,I$1,$B$1)</f>
        <v>79.13</v>
      </c>
      <c r="J15">
        <f>_xll.EQNXTDZ($A$1,$B15,J$1,$B$1)</f>
        <v>78.739999999999995</v>
      </c>
      <c r="K15">
        <f>_xll.EQNXTDZ($A$1,$B15,K$1,$B$1)</f>
        <v>81.650000000000006</v>
      </c>
      <c r="L15">
        <f>_xll.EQNXTDZ($A$1,$B15,L$1,$B$1)</f>
        <v>84.03</v>
      </c>
      <c r="M15">
        <f>_xll.EQNXTDZ($A$1,$B15,M$1,$B$1)</f>
        <v>78.709999999999994</v>
      </c>
      <c r="N15">
        <f>_xll.EQNXTDZ($A$1,$B15,N$1,$B$1)</f>
        <v>76.040000000000006</v>
      </c>
      <c r="O15">
        <f>_xll.EQNXTDZ($A$1,$B15,O$1,$B$1)</f>
        <v>83.94</v>
      </c>
      <c r="P15">
        <f>_xll.EQNXTDZ($A$1,$B15,P$1,$B$1)</f>
        <v>73.27</v>
      </c>
      <c r="Q15">
        <f>_xll.EQNXTDZ($A$1,$B15,Q$1,$B$1)</f>
        <v>66.989999999999995</v>
      </c>
      <c r="R15">
        <f>_xll.EQNXTDZ($A$1,$B15,R$1,$B$1)</f>
        <v>75.010000000000005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311.61</v>
      </c>
      <c r="D16">
        <f>_xll.EQNXTDZ($A$1,$B16,D$1,$B$1)</f>
        <v>317.44</v>
      </c>
      <c r="E16">
        <f>_xll.EQNXTDZ($A$1,$B16,E$1,$B$1)</f>
        <v>112.27</v>
      </c>
      <c r="F16">
        <f>_xll.EQNXTDZ($A$1,$B16,F$1,$B$1)</f>
        <v>325.52999999999997</v>
      </c>
      <c r="G16">
        <f>_xll.EQNXTDZ($A$1,$B16,G$1,$B$1)</f>
        <v>329.04</v>
      </c>
      <c r="H16">
        <f>_xll.EQNXTDZ($A$1,$B16,H$1,$B$1)</f>
        <v>336.06</v>
      </c>
      <c r="I16">
        <f>_xll.EQNXTDZ($A$1,$B16,I$1,$B$1)</f>
        <v>354.38</v>
      </c>
      <c r="J16">
        <f>_xll.EQNXTDZ($A$1,$B16,J$1,$B$1)</f>
        <v>352.71</v>
      </c>
      <c r="K16">
        <f>_xll.EQNXTDZ($A$1,$B16,K$1,$B$1)</f>
        <v>351.97</v>
      </c>
      <c r="L16">
        <f>_xll.EQNXTDZ($A$1,$B16,L$1,$B$1)</f>
        <v>358.04</v>
      </c>
      <c r="M16">
        <f>_xll.EQNXTDZ($A$1,$B16,M$1,$B$1)</f>
        <v>383.35</v>
      </c>
      <c r="N16">
        <f>_xll.EQNXTDZ($A$1,$B16,N$1,$B$1)</f>
        <v>369.1</v>
      </c>
      <c r="O16">
        <f>_xll.EQNXTDZ($A$1,$B16,O$1,$B$1)</f>
        <v>381.48</v>
      </c>
      <c r="P16">
        <f>_xll.EQNXTDZ($A$1,$B16,P$1,$B$1)</f>
        <v>353.67</v>
      </c>
      <c r="Q16">
        <f>_xll.EQNXTDZ($A$1,$B16,Q$1,$B$1)</f>
        <v>365.51</v>
      </c>
      <c r="R16">
        <f>_xll.EQNXTDZ($A$1,$B16,R$1,$B$1)</f>
        <v>413.3</v>
      </c>
      <c r="S16">
        <f>_xll.EQNXTDZ($A$1,$B16,S$1,$B$1)</f>
        <v>363.04</v>
      </c>
      <c r="T16">
        <f>_xll.EQNXTDZ($A$1,$B16,T$1,$B$1)</f>
        <v>333.95</v>
      </c>
      <c r="U16">
        <f>_xll.EQNXTDZ($A$1,$B16,U$1,$B$1)</f>
        <v>339.92</v>
      </c>
      <c r="V16">
        <f>_xll.EQNXTDZ($A$1,$B16,V$1,$B$1)</f>
        <v>327.74</v>
      </c>
      <c r="W16">
        <f>_xll.EQNXTDZ($A$1,$B16,W$1,$B$1)</f>
        <v>339.59</v>
      </c>
      <c r="X16">
        <f>_xll.EQNXTDZ($A$1,$B16,X$1,$B$1)</f>
        <v>326.45</v>
      </c>
      <c r="Y16">
        <f>_xll.EQNXTDZ($A$1,$B16,Y$1,$B$1)</f>
        <v>346.17</v>
      </c>
      <c r="Z16">
        <f>_xll.EQNXTDZ($A$1,$B16,Z$1,$B$1)</f>
        <v>334.41</v>
      </c>
      <c r="AA16">
        <f>_xll.EQNXTDZ($A$1,$B16,AA$1,$B$1)</f>
        <v>358.84</v>
      </c>
      <c r="AB16">
        <f>_xll.EQNXTDZ($A$1,$B16,AB$1,$B$1)</f>
        <v>348.73</v>
      </c>
      <c r="AC16">
        <f>_xll.EQNXTDZ($A$1,$B16,AC$1,$B$1)</f>
        <v>384.49</v>
      </c>
      <c r="AD16">
        <f>_xll.EQNXTDZ($A$1,$B16,AD$1,$B$1)</f>
        <v>378.73</v>
      </c>
      <c r="AE16">
        <f>_xll.EQNXTDZ($A$1,$B16,AE$1,$B$1)</f>
        <v>370.62</v>
      </c>
      <c r="AF16">
        <f>_xll.EQNXTDZ($A$1,$B16,AF$1,$B$1)</f>
        <v>365.18</v>
      </c>
      <c r="AG16">
        <f>_xll.EQNXTDZ($A$1,$B16,AG$1,$B$1)</f>
        <v>390.29</v>
      </c>
      <c r="AH16">
        <f>_xll.EQNXTDZ($A$1,$B16,AH$1,$B$1)</f>
        <v>368.51</v>
      </c>
      <c r="AI16">
        <f>_xll.EQNXTDZ($A$1,$B16,AI$1,$B$1)</f>
        <v>239.78</v>
      </c>
      <c r="AJ16">
        <f>_xll.EQNXTDZ($A$1,$B16,AJ$1,$B$1)</f>
        <v>204.32</v>
      </c>
      <c r="AK16">
        <f>_xll.EQNXTDZ($A$1,$B16,AK$1,$B$1)</f>
        <v>241.96</v>
      </c>
      <c r="AL16">
        <f>_xll.EQNXTDZ($A$1,$B16,AL$1,$B$1)</f>
        <v>207.95</v>
      </c>
      <c r="AM16">
        <f>_xll.EQNXTDZ($A$1,$B16,AM$1,$B$1)</f>
        <v>248.61</v>
      </c>
      <c r="AN16">
        <f>_xll.EQNXTDZ($A$1,$B16,AN$1,$B$1)</f>
        <v>278.8</v>
      </c>
      <c r="AO16">
        <f>_xll.EQNXTDZ($A$1,$B16,AO$1,$B$1)</f>
        <v>312.61</v>
      </c>
      <c r="AP16">
        <f>_xll.EQNXTDZ($A$1,$B16,AP$1,$B$1)</f>
        <v>310.22000000000003</v>
      </c>
      <c r="AQ16">
        <f>_xll.EQNXTDZ($A$1,$B16,AQ$1,$B$1)</f>
        <v>359.6</v>
      </c>
      <c r="AR16">
        <f>_xll.EQNXTDZ($A$1,$B16,AR$1,$B$1)</f>
        <v>376.4</v>
      </c>
      <c r="AS16">
        <f>_xll.EQNXTDZ($A$1,$B16,AS$1,$B$1)</f>
        <v>424.44</v>
      </c>
      <c r="AT16">
        <f>_xll.EQNXTDZ($A$1,$B16,AT$1,$B$1)</f>
        <v>421.81</v>
      </c>
      <c r="AU16">
        <f>_xll.EQNXTDZ($A$1,$B16,AU$1,$B$1)</f>
        <v>428.67</v>
      </c>
      <c r="AV16">
        <f>_xll.EQNXTDZ($A$1,$B16,AV$1,$B$1)</f>
        <v>440.54</v>
      </c>
      <c r="AW16">
        <f>_xll.EQNXTDZ($A$1,$B16,AW$1,$B$1)</f>
        <v>468.64</v>
      </c>
      <c r="AX16">
        <f>_xll.EQNXTDZ($A$1,$B16,AX$1,$B$1)</f>
        <v>467.36</v>
      </c>
      <c r="AY16">
        <f>_xll.EQNXTDZ($A$1,$B16,AY$1,$B$1)</f>
        <v>460.47</v>
      </c>
      <c r="AZ16">
        <f>_xll.EQNXTDZ($A$1,$B16,AZ$1,$B$1)</f>
        <v>522.52</v>
      </c>
      <c r="BA16">
        <f>_xll.EQNXTDZ($A$1,$B16,BA$1,$B$1)</f>
        <v>579.45000000000005</v>
      </c>
      <c r="BB16">
        <f>_xll.EQNXTDZ($A$1,$B16,BB$1,$B$1)</f>
        <v>588.24</v>
      </c>
      <c r="BC16">
        <f>_xll.EQNXTDZ($A$1,$B16,BC$1,$B$1)</f>
        <v>597.63</v>
      </c>
      <c r="BD16">
        <f>_xll.EQNXTDZ($A$1,$B16,BD$1,$B$1)</f>
        <v>591.05999999999995</v>
      </c>
      <c r="BE16">
        <f>_xll.EQNXTDZ($A$1,$B16,BE$1,$B$1)</f>
        <v>641.5</v>
      </c>
      <c r="BF16">
        <f>_xll.EQNXTDZ($A$1,$B16,BF$1,$B$1)</f>
        <v>656.46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42.38</v>
      </c>
      <c r="D17">
        <f>_xll.EQNXTDZ($A$1,$B17,D$1,$B$1)</f>
        <v>45.88</v>
      </c>
      <c r="E17">
        <f>_xll.EQNXTDZ($A$1,$B17,E$1,$B$1)</f>
        <v>40.83</v>
      </c>
      <c r="F17">
        <f>_xll.EQNXTDZ($A$1,$B17,F$1,$B$1)</f>
        <v>43.37</v>
      </c>
      <c r="G17">
        <f>_xll.EQNXTDZ($A$1,$B17,G$1,$B$1)</f>
        <v>45.47</v>
      </c>
      <c r="H17">
        <f>_xll.EQNXTDZ($A$1,$B17,H$1,$B$1)</f>
        <v>47.72</v>
      </c>
      <c r="I17">
        <f>_xll.EQNXTDZ($A$1,$B17,I$1,$B$1)</f>
        <v>57.68</v>
      </c>
      <c r="J17">
        <f>_xll.EQNXTDZ($A$1,$B17,J$1,$B$1)</f>
        <v>57.28</v>
      </c>
      <c r="K17">
        <f>_xll.EQNXTDZ($A$1,$B17,K$1,$B$1)</f>
        <v>44.25</v>
      </c>
      <c r="L17">
        <f>_xll.EQNXTDZ($A$1,$B17,L$1,$B$1)</f>
        <v>47.76</v>
      </c>
      <c r="M17">
        <f>_xll.EQNXTDZ($A$1,$B17,M$1,$B$1)</f>
        <v>58.09</v>
      </c>
      <c r="N17">
        <f>_xll.EQNXTDZ($A$1,$B17,N$1,$B$1)</f>
        <v>59.51</v>
      </c>
      <c r="O17">
        <f>_xll.EQNXTDZ($A$1,$B17,O$1,$B$1)</f>
        <v>50.33</v>
      </c>
      <c r="P17">
        <f>_xll.EQNXTDZ($A$1,$B17,P$1,$B$1)</f>
        <v>54.43</v>
      </c>
      <c r="Q17">
        <f>_xll.EQNXTDZ($A$1,$B17,Q$1,$B$1)</f>
        <v>67.91</v>
      </c>
      <c r="R17">
        <f>_xll.EQNXTDZ($A$1,$B17,R$1,$B$1)</f>
        <v>64.790000000000006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101.5</v>
      </c>
      <c r="D22">
        <f>_xll.EQNXTDZ($A$1,$B22,D$1,$B$1)</f>
        <v>38.36</v>
      </c>
      <c r="E22">
        <f>_xll.EQNXTDZ($A$1,$B22,E$1,$B$1)</f>
        <v>151.41</v>
      </c>
      <c r="F22">
        <f>_xll.EQNXTDZ($A$1,$B22,F$1,$B$1)</f>
        <v>187.78</v>
      </c>
      <c r="G22">
        <f>_xll.EQNXTDZ($A$1,$B22,G$1,$B$1)</f>
        <v>106.38</v>
      </c>
      <c r="H22">
        <f>_xll.EQNXTDZ($A$1,$B22,H$1,$B$1)</f>
        <v>38.26</v>
      </c>
      <c r="I22">
        <f>_xll.EQNXTDZ($A$1,$B22,I$1,$B$1)</f>
        <v>245.5</v>
      </c>
      <c r="J22">
        <f>_xll.EQNXTDZ($A$1,$B22,J$1,$B$1)</f>
        <v>169.43</v>
      </c>
      <c r="K22">
        <f>_xll.EQNXTDZ($A$1,$B22,K$1,$B$1)</f>
        <v>80.230000000000103</v>
      </c>
      <c r="L22">
        <f>_xll.EQNXTDZ($A$1,$B22,L$1,$B$1)</f>
        <v>14.79</v>
      </c>
      <c r="M22">
        <f>_xll.EQNXTDZ($A$1,$B22,M$1,$B$1)</f>
        <v>237.3</v>
      </c>
      <c r="N22">
        <f>_xll.EQNXTDZ($A$1,$B22,N$1,$B$1)</f>
        <v>156.26</v>
      </c>
      <c r="O22">
        <f>_xll.EQNXTDZ($A$1,$B22,O$1,$B$1)</f>
        <v>106.52</v>
      </c>
      <c r="P22">
        <f>_xll.EQNXTDZ($A$1,$B22,P$1,$B$1)</f>
        <v>57.75</v>
      </c>
      <c r="Q22">
        <f>_xll.EQNXTDZ($A$1,$B22,Q$1,$B$1)</f>
        <v>251.42</v>
      </c>
      <c r="R22">
        <f>_xll.EQNXTDZ($A$1,$B22,R$1,$B$1)</f>
        <v>182.37</v>
      </c>
      <c r="S22">
        <f>_xll.EQNXTDZ($A$1,$B22,S$1,$B$1)</f>
        <v>94.229999999999905</v>
      </c>
      <c r="T22">
        <f>_xll.EQNXTDZ($A$1,$B22,T$1,$B$1)</f>
        <v>70.66</v>
      </c>
      <c r="U22">
        <f>_xll.EQNXTDZ($A$1,$B22,U$1,$B$1)</f>
        <v>267.04000000000002</v>
      </c>
      <c r="V22">
        <f>_xll.EQNXTDZ($A$1,$B22,V$1,$B$1)</f>
        <v>177.69</v>
      </c>
      <c r="W22">
        <f>_xll.EQNXTDZ($A$1,$B22,W$1,$B$1)</f>
        <v>90.59</v>
      </c>
      <c r="X22">
        <f>_xll.EQNXTDZ($A$1,$B22,X$1,$B$1)</f>
        <v>54.580000000000098</v>
      </c>
      <c r="Y22">
        <f>_xll.EQNXTDZ($A$1,$B22,Y$1,$B$1)</f>
        <v>280.51</v>
      </c>
      <c r="Z22">
        <f>_xll.EQNXTDZ($A$1,$B22,Z$1,$B$1)</f>
        <v>244.67</v>
      </c>
      <c r="AA22">
        <f>_xll.EQNXTDZ($A$1,$B22,AA$1,$B$1)</f>
        <v>110.66</v>
      </c>
      <c r="AB22">
        <f>_xll.EQNXTDZ($A$1,$B22,AB$1,$B$1)</f>
        <v>99.229999999999905</v>
      </c>
      <c r="AC22">
        <f>_xll.EQNXTDZ($A$1,$B22,AC$1,$B$1)</f>
        <v>335.54</v>
      </c>
      <c r="AD22">
        <f>_xll.EQNXTDZ($A$1,$B22,AD$1,$B$1)</f>
        <v>284.3</v>
      </c>
      <c r="AE22">
        <f>_xll.EQNXTDZ($A$1,$B22,AE$1,$B$1)</f>
        <v>173.44</v>
      </c>
      <c r="AF22">
        <f>_xll.EQNXTDZ($A$1,$B22,AF$1,$B$1)</f>
        <v>160.46</v>
      </c>
      <c r="AG22">
        <f>_xll.EQNXTDZ($A$1,$B22,AG$1,$B$1)</f>
        <v>425.72</v>
      </c>
      <c r="AH22">
        <f>_xll.EQNXTDZ($A$1,$B22,AH$1,$B$1)</f>
        <v>207.91</v>
      </c>
      <c r="AI22">
        <f>_xll.EQNXTDZ($A$1,$B22,AI$1,$B$1)</f>
        <v>-265.99</v>
      </c>
      <c r="AJ22">
        <f>_xll.EQNXTDZ($A$1,$B22,AJ$1,$B$1)</f>
        <v>-150.34</v>
      </c>
      <c r="AK22">
        <f>_xll.EQNXTDZ($A$1,$B22,AK$1,$B$1)</f>
        <v>-16.739999999999998</v>
      </c>
      <c r="AL22">
        <f>_xll.EQNXTDZ($A$1,$B22,AL$1,$B$1)</f>
        <v>71.309999999999903</v>
      </c>
      <c r="AM22">
        <f>_xll.EQNXTDZ($A$1,$B22,AM$1,$B$1)</f>
        <v>-148.82</v>
      </c>
      <c r="AN22">
        <f>_xll.EQNXTDZ($A$1,$B22,AN$1,$B$1)</f>
        <v>72.84</v>
      </c>
      <c r="AO22">
        <f>_xll.EQNXTDZ($A$1,$B22,AO$1,$B$1)</f>
        <v>321.75</v>
      </c>
      <c r="AP22">
        <f>_xll.EQNXTDZ($A$1,$B22,AP$1,$B$1)</f>
        <v>158.97999999999999</v>
      </c>
      <c r="AQ22">
        <f>_xll.EQNXTDZ($A$1,$B22,AQ$1,$B$1)</f>
        <v>377.88</v>
      </c>
      <c r="AR22">
        <f>_xll.EQNXTDZ($A$1,$B22,AR$1,$B$1)</f>
        <v>293.98</v>
      </c>
      <c r="AS22">
        <f>_xll.EQNXTDZ($A$1,$B22,AS$1,$B$1)</f>
        <v>597.21</v>
      </c>
      <c r="AT22">
        <f>_xll.EQNXTDZ($A$1,$B22,AT$1,$B$1)</f>
        <v>535.49</v>
      </c>
      <c r="AU22">
        <f>_xll.EQNXTDZ($A$1,$B22,AU$1,$B$1)</f>
        <v>410.17</v>
      </c>
      <c r="AV22">
        <f>_xll.EQNXTDZ($A$1,$B22,AV$1,$B$1)</f>
        <v>354.78</v>
      </c>
      <c r="AW22">
        <f>_xll.EQNXTDZ($A$1,$B22,AW$1,$B$1)</f>
        <v>732.38</v>
      </c>
      <c r="AX22">
        <f>_xll.EQNXTDZ($A$1,$B22,AX$1,$B$1)</f>
        <v>659.8</v>
      </c>
      <c r="AY22">
        <f>_xll.EQNXTDZ($A$1,$B22,AY$1,$B$1)</f>
        <v>449.6</v>
      </c>
      <c r="AZ22">
        <f>_xll.EQNXTDZ($A$1,$B22,AZ$1,$B$1)</f>
        <v>501.27</v>
      </c>
      <c r="BA22">
        <f>_xll.EQNXTDZ($A$1,$B22,BA$1,$B$1)</f>
        <v>961.68</v>
      </c>
      <c r="BB22">
        <f>_xll.EQNXTDZ($A$1,$B22,BB$1,$B$1)</f>
        <v>856.78</v>
      </c>
      <c r="BC22">
        <f>_xll.EQNXTDZ($A$1,$B22,BC$1,$B$1)</f>
        <v>576.03</v>
      </c>
      <c r="BD22">
        <f>_xll.EQNXTDZ($A$1,$B22,BD$1,$B$1)</f>
        <v>570.12</v>
      </c>
      <c r="BE22">
        <f>_xll.EQNXTDZ($A$1,$B22,BE$1,$B$1)</f>
        <v>1075.82</v>
      </c>
      <c r="BF22">
        <f>_xll.EQNXTDZ($A$1,$B22,BF$1,$B$1)</f>
        <v>972.68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13.7</v>
      </c>
      <c r="D23">
        <f>_xll.EQNXTDZ($A$1,$B23,D$1,$B$1)</f>
        <v>21.34</v>
      </c>
      <c r="E23">
        <f>_xll.EQNXTDZ($A$1,$B23,E$1,$B$1)</f>
        <v>6.1</v>
      </c>
      <c r="F23">
        <f>_xll.EQNXTDZ($A$1,$B23,F$1,$B$1)</f>
        <v>12.04</v>
      </c>
      <c r="G23">
        <f>_xll.EQNXTDZ($A$1,$B23,G$1,$B$1)</f>
        <v>18.899999999999999</v>
      </c>
      <c r="H23">
        <f>_xll.EQNXTDZ($A$1,$B23,H$1,$B$1)</f>
        <v>28.48</v>
      </c>
      <c r="I23">
        <f>_xll.EQNXTDZ($A$1,$B23,I$1,$B$1)</f>
        <v>1.36</v>
      </c>
      <c r="J23">
        <f>_xll.EQNXTDZ($A$1,$B23,J$1,$B$1)</f>
        <v>11.01</v>
      </c>
      <c r="K23">
        <f>_xll.EQNXTDZ($A$1,$B23,K$1,$B$1)</f>
        <v>16.920000000000002</v>
      </c>
      <c r="L23">
        <f>_xll.EQNXTDZ($A$1,$B23,L$1,$B$1)</f>
        <v>21.3</v>
      </c>
      <c r="M23">
        <f>_xll.EQNXTDZ($A$1,$B23,M$1,$B$1)</f>
        <v>28.42</v>
      </c>
      <c r="N23">
        <f>_xll.EQNXTDZ($A$1,$B23,N$1,$B$1)</f>
        <v>32.07</v>
      </c>
      <c r="O23">
        <f>_xll.EQNXTDZ($A$1,$B23,O$1,$B$1)</f>
        <v>29.26</v>
      </c>
      <c r="P23">
        <f>_xll.EQNXTDZ($A$1,$B23,P$1,$B$1)</f>
        <v>33.369999999999997</v>
      </c>
      <c r="Q23">
        <f>_xll.EQNXTDZ($A$1,$B23,Q$1,$B$1)</f>
        <v>22.9</v>
      </c>
      <c r="R23">
        <f>_xll.EQNXTDZ($A$1,$B23,R$1,$B$1)</f>
        <v>24.48</v>
      </c>
      <c r="S23">
        <f>_xll.EQNXTDZ($A$1,$B23,S$1,$B$1)</f>
        <v>13.35</v>
      </c>
      <c r="T23">
        <f>_xll.EQNXTDZ($A$1,$B23,T$1,$B$1)</f>
        <v>11.13</v>
      </c>
      <c r="U23">
        <f>_xll.EQNXTDZ($A$1,$B23,U$1,$B$1)</f>
        <v>13.45</v>
      </c>
      <c r="V23">
        <f>_xll.EQNXTDZ($A$1,$B23,V$1,$B$1)</f>
        <v>17.010000000000002</v>
      </c>
      <c r="W23">
        <f>_xll.EQNXTDZ($A$1,$B23,W$1,$B$1)</f>
        <v>8.8000000000000007</v>
      </c>
      <c r="X23">
        <f>_xll.EQNXTDZ($A$1,$B23,X$1,$B$1)</f>
        <v>12.51</v>
      </c>
      <c r="Y23">
        <f>_xll.EQNXTDZ($A$1,$B23,Y$1,$B$1)</f>
        <v>19.86</v>
      </c>
      <c r="Z23">
        <f>_xll.EQNXTDZ($A$1,$B23,Z$1,$B$1)</f>
        <v>20.56</v>
      </c>
      <c r="AA23">
        <f>_xll.EQNXTDZ($A$1,$B23,AA$1,$B$1)</f>
        <v>15.01</v>
      </c>
      <c r="AB23">
        <f>_xll.EQNXTDZ($A$1,$B23,AB$1,$B$1)</f>
        <v>16.62</v>
      </c>
      <c r="AC23">
        <f>_xll.EQNXTDZ($A$1,$B23,AC$1,$B$1)</f>
        <v>14.52</v>
      </c>
      <c r="AD23">
        <f>_xll.EQNXTDZ($A$1,$B23,AD$1,$B$1)</f>
        <v>37.229999999999997</v>
      </c>
      <c r="AE23">
        <f>_xll.EQNXTDZ($A$1,$B23,AE$1,$B$1)</f>
        <v>37.06</v>
      </c>
      <c r="AF23">
        <f>_xll.EQNXTDZ($A$1,$B23,AF$1,$B$1)</f>
        <v>21.13</v>
      </c>
      <c r="AG23">
        <f>_xll.EQNXTDZ($A$1,$B23,AG$1,$B$1)</f>
        <v>36.19</v>
      </c>
      <c r="AH23">
        <f>_xll.EQNXTDZ($A$1,$B23,AH$1,$B$1)</f>
        <v>38.04</v>
      </c>
      <c r="AI23">
        <f>_xll.EQNXTDZ($A$1,$B23,AI$1,$B$1)</f>
        <v>31.73</v>
      </c>
      <c r="AJ23">
        <f>_xll.EQNXTDZ($A$1,$B23,AJ$1,$B$1)</f>
        <v>66.87</v>
      </c>
      <c r="AK23">
        <f>_xll.EQNXTDZ($A$1,$B23,AK$1,$B$1)</f>
        <v>54.67</v>
      </c>
      <c r="AL23">
        <f>_xll.EQNXTDZ($A$1,$B23,AL$1,$B$1)</f>
        <v>11.45</v>
      </c>
      <c r="AM23">
        <f>_xll.EQNXTDZ($A$1,$B23,AM$1,$B$1)</f>
        <v>25.75</v>
      </c>
      <c r="AN23">
        <f>_xll.EQNXTDZ($A$1,$B23,AN$1,$B$1)</f>
        <v>23.91</v>
      </c>
      <c r="AO23">
        <f>_xll.EQNXTDZ($A$1,$B23,AO$1,$B$1)</f>
        <v>22.7</v>
      </c>
      <c r="AP23">
        <f>_xll.EQNXTDZ($A$1,$B23,AP$1,$B$1)</f>
        <v>82.8</v>
      </c>
      <c r="AQ23">
        <f>_xll.EQNXTDZ($A$1,$B23,AQ$1,$B$1)</f>
        <v>27.12</v>
      </c>
      <c r="AR23">
        <f>_xll.EQNXTDZ($A$1,$B23,AR$1,$B$1)</f>
        <v>24.96</v>
      </c>
      <c r="AS23">
        <f>_xll.EQNXTDZ($A$1,$B23,AS$1,$B$1)</f>
        <v>57.71</v>
      </c>
      <c r="AT23">
        <f>_xll.EQNXTDZ($A$1,$B23,AT$1,$B$1)</f>
        <v>29.11</v>
      </c>
      <c r="AU23">
        <f>_xll.EQNXTDZ($A$1,$B23,AU$1,$B$1)</f>
        <v>49.33</v>
      </c>
      <c r="AV23">
        <f>_xll.EQNXTDZ($A$1,$B23,AV$1,$B$1)</f>
        <v>47.67</v>
      </c>
      <c r="AW23">
        <f>_xll.EQNXTDZ($A$1,$B23,AW$1,$B$1)</f>
        <v>39.799999999999997</v>
      </c>
      <c r="AX23">
        <f>_xll.EQNXTDZ($A$1,$B23,AX$1,$B$1)</f>
        <v>46.12</v>
      </c>
      <c r="AY23">
        <f>_xll.EQNXTDZ($A$1,$B23,AY$1,$B$1)</f>
        <v>46.04</v>
      </c>
      <c r="AZ23">
        <f>_xll.EQNXTDZ($A$1,$B23,AZ$1,$B$1)</f>
        <v>64.099999999999994</v>
      </c>
      <c r="BA23">
        <f>_xll.EQNXTDZ($A$1,$B23,BA$1,$B$1)</f>
        <v>58.68</v>
      </c>
      <c r="BB23">
        <f>_xll.EQNXTDZ($A$1,$B23,BB$1,$B$1)</f>
        <v>61.64</v>
      </c>
      <c r="BC23">
        <f>_xll.EQNXTDZ($A$1,$B23,BC$1,$B$1)</f>
        <v>61.09</v>
      </c>
      <c r="BD23">
        <f>_xll.EQNXTDZ($A$1,$B23,BD$1,$B$1)</f>
        <v>83.36</v>
      </c>
      <c r="BE23">
        <f>_xll.EQNXTDZ($A$1,$B23,BE$1,$B$1)</f>
        <v>58.27</v>
      </c>
      <c r="BF23">
        <f>_xll.EQNXTDZ($A$1,$B23,BF$1,$B$1)</f>
        <v>79.489999999999995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115.2</v>
      </c>
      <c r="D24">
        <f>_xll.EQNXTDZ($A$1,$B24,D$1,$B$1)</f>
        <v>59.7</v>
      </c>
      <c r="E24">
        <f>_xll.EQNXTDZ($A$1,$B24,E$1,$B$1)</f>
        <v>157.51</v>
      </c>
      <c r="F24">
        <f>_xll.EQNXTDZ($A$1,$B24,F$1,$B$1)</f>
        <v>199.82</v>
      </c>
      <c r="G24">
        <f>_xll.EQNXTDZ($A$1,$B24,G$1,$B$1)</f>
        <v>125.28</v>
      </c>
      <c r="H24">
        <f>_xll.EQNXTDZ($A$1,$B24,H$1,$B$1)</f>
        <v>66.739999999999995</v>
      </c>
      <c r="I24">
        <f>_xll.EQNXTDZ($A$1,$B24,I$1,$B$1)</f>
        <v>246.86</v>
      </c>
      <c r="J24">
        <f>_xll.EQNXTDZ($A$1,$B24,J$1,$B$1)</f>
        <v>180.44</v>
      </c>
      <c r="K24">
        <f>_xll.EQNXTDZ($A$1,$B24,K$1,$B$1)</f>
        <v>97.15</v>
      </c>
      <c r="L24">
        <f>_xll.EQNXTDZ($A$1,$B24,L$1,$B$1)</f>
        <v>36.090000000000003</v>
      </c>
      <c r="M24">
        <f>_xll.EQNXTDZ($A$1,$B24,M$1,$B$1)</f>
        <v>265.72000000000003</v>
      </c>
      <c r="N24">
        <f>_xll.EQNXTDZ($A$1,$B24,N$1,$B$1)</f>
        <v>188.33</v>
      </c>
      <c r="O24">
        <f>_xll.EQNXTDZ($A$1,$B24,O$1,$B$1)</f>
        <v>135.78</v>
      </c>
      <c r="P24">
        <f>_xll.EQNXTDZ($A$1,$B24,P$1,$B$1)</f>
        <v>91.12</v>
      </c>
      <c r="Q24">
        <f>_xll.EQNXTDZ($A$1,$B24,Q$1,$B$1)</f>
        <v>274.32</v>
      </c>
      <c r="R24">
        <f>_xll.EQNXTDZ($A$1,$B24,R$1,$B$1)</f>
        <v>206.85</v>
      </c>
      <c r="S24">
        <f>_xll.EQNXTDZ($A$1,$B24,S$1,$B$1)</f>
        <v>107.58</v>
      </c>
      <c r="T24">
        <f>_xll.EQNXTDZ($A$1,$B24,T$1,$B$1)</f>
        <v>81.790000000000006</v>
      </c>
      <c r="U24">
        <f>_xll.EQNXTDZ($A$1,$B24,U$1,$B$1)</f>
        <v>280.49</v>
      </c>
      <c r="V24">
        <f>_xll.EQNXTDZ($A$1,$B24,V$1,$B$1)</f>
        <v>194.7</v>
      </c>
      <c r="W24">
        <f>_xll.EQNXTDZ($A$1,$B24,W$1,$B$1)</f>
        <v>99.39</v>
      </c>
      <c r="X24">
        <f>_xll.EQNXTDZ($A$1,$B24,X$1,$B$1)</f>
        <v>67.09</v>
      </c>
      <c r="Y24">
        <f>_xll.EQNXTDZ($A$1,$B24,Y$1,$B$1)</f>
        <v>300.37</v>
      </c>
      <c r="Z24">
        <f>_xll.EQNXTDZ($A$1,$B24,Z$1,$B$1)</f>
        <v>265.23</v>
      </c>
      <c r="AA24">
        <f>_xll.EQNXTDZ($A$1,$B24,AA$1,$B$1)</f>
        <v>125.67</v>
      </c>
      <c r="AB24">
        <f>_xll.EQNXTDZ($A$1,$B24,AB$1,$B$1)</f>
        <v>115.85</v>
      </c>
      <c r="AC24">
        <f>_xll.EQNXTDZ($A$1,$B24,AC$1,$B$1)</f>
        <v>350.06</v>
      </c>
      <c r="AD24">
        <f>_xll.EQNXTDZ($A$1,$B24,AD$1,$B$1)</f>
        <v>321.52999999999997</v>
      </c>
      <c r="AE24">
        <f>_xll.EQNXTDZ($A$1,$B24,AE$1,$B$1)</f>
        <v>210.5</v>
      </c>
      <c r="AF24">
        <f>_xll.EQNXTDZ($A$1,$B24,AF$1,$B$1)</f>
        <v>181.59</v>
      </c>
      <c r="AG24">
        <f>_xll.EQNXTDZ($A$1,$B24,AG$1,$B$1)</f>
        <v>461.91</v>
      </c>
      <c r="AH24">
        <f>_xll.EQNXTDZ($A$1,$B24,AH$1,$B$1)</f>
        <v>245.95</v>
      </c>
      <c r="AI24">
        <f>_xll.EQNXTDZ($A$1,$B24,AI$1,$B$1)</f>
        <v>-234.26</v>
      </c>
      <c r="AJ24">
        <f>_xll.EQNXTDZ($A$1,$B24,AJ$1,$B$1)</f>
        <v>-83.47</v>
      </c>
      <c r="AK24">
        <f>_xll.EQNXTDZ($A$1,$B24,AK$1,$B$1)</f>
        <v>37.93</v>
      </c>
      <c r="AL24">
        <f>_xll.EQNXTDZ($A$1,$B24,AL$1,$B$1)</f>
        <v>82.759999999999906</v>
      </c>
      <c r="AM24">
        <f>_xll.EQNXTDZ($A$1,$B24,AM$1,$B$1)</f>
        <v>-123.07</v>
      </c>
      <c r="AN24">
        <f>_xll.EQNXTDZ($A$1,$B24,AN$1,$B$1)</f>
        <v>96.75</v>
      </c>
      <c r="AO24">
        <f>_xll.EQNXTDZ($A$1,$B24,AO$1,$B$1)</f>
        <v>344.45</v>
      </c>
      <c r="AP24">
        <f>_xll.EQNXTDZ($A$1,$B24,AP$1,$B$1)</f>
        <v>241.78</v>
      </c>
      <c r="AQ24">
        <f>_xll.EQNXTDZ($A$1,$B24,AQ$1,$B$1)</f>
        <v>405</v>
      </c>
      <c r="AR24">
        <f>_xll.EQNXTDZ($A$1,$B24,AR$1,$B$1)</f>
        <v>318.94</v>
      </c>
      <c r="AS24">
        <f>_xll.EQNXTDZ($A$1,$B24,AS$1,$B$1)</f>
        <v>654.91999999999996</v>
      </c>
      <c r="AT24">
        <f>_xll.EQNXTDZ($A$1,$B24,AT$1,$B$1)</f>
        <v>564.6</v>
      </c>
      <c r="AU24">
        <f>_xll.EQNXTDZ($A$1,$B24,AU$1,$B$1)</f>
        <v>459.5</v>
      </c>
      <c r="AV24">
        <f>_xll.EQNXTDZ($A$1,$B24,AV$1,$B$1)</f>
        <v>402.45</v>
      </c>
      <c r="AW24">
        <f>_xll.EQNXTDZ($A$1,$B24,AW$1,$B$1)</f>
        <v>772.18</v>
      </c>
      <c r="AX24">
        <f>_xll.EQNXTDZ($A$1,$B24,AX$1,$B$1)</f>
        <v>705.92</v>
      </c>
      <c r="AY24">
        <f>_xll.EQNXTDZ($A$1,$B24,AY$1,$B$1)</f>
        <v>495.64</v>
      </c>
      <c r="AZ24">
        <f>_xll.EQNXTDZ($A$1,$B24,AZ$1,$B$1)</f>
        <v>565.37</v>
      </c>
      <c r="BA24">
        <f>_xll.EQNXTDZ($A$1,$B24,BA$1,$B$1)</f>
        <v>1020.36</v>
      </c>
      <c r="BB24">
        <f>_xll.EQNXTDZ($A$1,$B24,BB$1,$B$1)</f>
        <v>918.42</v>
      </c>
      <c r="BC24">
        <f>_xll.EQNXTDZ($A$1,$B24,BC$1,$B$1)</f>
        <v>637.12</v>
      </c>
      <c r="BD24">
        <f>_xll.EQNXTDZ($A$1,$B24,BD$1,$B$1)</f>
        <v>653.48</v>
      </c>
      <c r="BE24">
        <f>_xll.EQNXTDZ($A$1,$B24,BE$1,$B$1)</f>
        <v>1134.0899999999999</v>
      </c>
      <c r="BF24">
        <f>_xll.EQNXTDZ($A$1,$B24,BF$1,$B$1)</f>
        <v>1052.17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43.79</v>
      </c>
      <c r="D25">
        <f>_xll.EQNXTDZ($A$1,$B25,D$1,$B$1)</f>
        <v>37.97</v>
      </c>
      <c r="E25">
        <f>_xll.EQNXTDZ($A$1,$B25,E$1,$B$1)</f>
        <v>25.21</v>
      </c>
      <c r="F25">
        <f>_xll.EQNXTDZ($A$1,$B25,F$1,$B$1)</f>
        <v>46.14</v>
      </c>
      <c r="G25">
        <f>_xll.EQNXTDZ($A$1,$B25,G$1,$B$1)</f>
        <v>39.369999999999997</v>
      </c>
      <c r="H25">
        <f>_xll.EQNXTDZ($A$1,$B25,H$1,$B$1)</f>
        <v>46.06</v>
      </c>
      <c r="I25">
        <f>_xll.EQNXTDZ($A$1,$B25,I$1,$B$1)</f>
        <v>42.81</v>
      </c>
      <c r="J25">
        <f>_xll.EQNXTDZ($A$1,$B25,J$1,$B$1)</f>
        <v>40.270000000000003</v>
      </c>
      <c r="K25">
        <f>_xll.EQNXTDZ($A$1,$B25,K$1,$B$1)</f>
        <v>44.54</v>
      </c>
      <c r="L25">
        <f>_xll.EQNXTDZ($A$1,$B25,L$1,$B$1)</f>
        <v>45.99</v>
      </c>
      <c r="M25">
        <f>_xll.EQNXTDZ($A$1,$B25,M$1,$B$1)</f>
        <v>43.97</v>
      </c>
      <c r="N25">
        <f>_xll.EQNXTDZ($A$1,$B25,N$1,$B$1)</f>
        <v>41.07</v>
      </c>
      <c r="O25">
        <f>_xll.EQNXTDZ($A$1,$B25,O$1,$B$1)</f>
        <v>44.3</v>
      </c>
      <c r="P25">
        <f>_xll.EQNXTDZ($A$1,$B25,P$1,$B$1)</f>
        <v>102.61</v>
      </c>
      <c r="Q25">
        <f>_xll.EQNXTDZ($A$1,$B25,Q$1,$B$1)</f>
        <v>97.72</v>
      </c>
      <c r="R25">
        <f>_xll.EQNXTDZ($A$1,$B25,R$1,$B$1)</f>
        <v>73.510000000000005</v>
      </c>
      <c r="S25">
        <f>_xll.EQNXTDZ($A$1,$B25,S$1,$B$1)</f>
        <v>89.57</v>
      </c>
      <c r="T25">
        <f>_xll.EQNXTDZ($A$1,$B25,T$1,$B$1)</f>
        <v>82.29</v>
      </c>
      <c r="U25">
        <f>_xll.EQNXTDZ($A$1,$B25,U$1,$B$1)</f>
        <v>74.010000000000005</v>
      </c>
      <c r="V25">
        <f>_xll.EQNXTDZ($A$1,$B25,V$1,$B$1)</f>
        <v>77.959999999999994</v>
      </c>
      <c r="W25">
        <f>_xll.EQNXTDZ($A$1,$B25,W$1,$B$1)</f>
        <v>69.510000000000005</v>
      </c>
      <c r="X25">
        <f>_xll.EQNXTDZ($A$1,$B25,X$1,$B$1)</f>
        <v>71.59</v>
      </c>
      <c r="Y25">
        <f>_xll.EQNXTDZ($A$1,$B25,Y$1,$B$1)</f>
        <v>75.97</v>
      </c>
      <c r="Z25">
        <f>_xll.EQNXTDZ($A$1,$B25,Z$1,$B$1)</f>
        <v>51.97</v>
      </c>
      <c r="AA25">
        <f>_xll.EQNXTDZ($A$1,$B25,AA$1,$B$1)</f>
        <v>46.94</v>
      </c>
      <c r="AB25">
        <f>_xll.EQNXTDZ($A$1,$B25,AB$1,$B$1)</f>
        <v>46.67</v>
      </c>
      <c r="AC25">
        <f>_xll.EQNXTDZ($A$1,$B25,AC$1,$B$1)</f>
        <v>49.13</v>
      </c>
      <c r="AD25">
        <f>_xll.EQNXTDZ($A$1,$B25,AD$1,$B$1)</f>
        <v>47.39</v>
      </c>
      <c r="AE25">
        <f>_xll.EQNXTDZ($A$1,$B25,AE$1,$B$1)</f>
        <v>84.69</v>
      </c>
      <c r="AF25">
        <f>_xll.EQNXTDZ($A$1,$B25,AF$1,$B$1)</f>
        <v>86.82</v>
      </c>
      <c r="AG25">
        <f>_xll.EQNXTDZ($A$1,$B25,AG$1,$B$1)</f>
        <v>84.85</v>
      </c>
      <c r="AH25">
        <f>_xll.EQNXTDZ($A$1,$B25,AH$1,$B$1)</f>
        <v>84.76</v>
      </c>
      <c r="AI25">
        <f>_xll.EQNXTDZ($A$1,$B25,AI$1,$B$1)</f>
        <v>87.89</v>
      </c>
      <c r="AJ25">
        <f>_xll.EQNXTDZ($A$1,$B25,AJ$1,$B$1)</f>
        <v>96.77</v>
      </c>
      <c r="AK25">
        <f>_xll.EQNXTDZ($A$1,$B25,AK$1,$B$1)</f>
        <v>112.05</v>
      </c>
      <c r="AL25">
        <f>_xll.EQNXTDZ($A$1,$B25,AL$1,$B$1)</f>
        <v>106.11</v>
      </c>
      <c r="AM25">
        <f>_xll.EQNXTDZ($A$1,$B25,AM$1,$B$1)</f>
        <v>109.74</v>
      </c>
      <c r="AN25">
        <f>_xll.EQNXTDZ($A$1,$B25,AN$1,$B$1)</f>
        <v>113.85</v>
      </c>
      <c r="AO25">
        <f>_xll.EQNXTDZ($A$1,$B25,AO$1,$B$1)</f>
        <v>124.89</v>
      </c>
      <c r="AP25">
        <f>_xll.EQNXTDZ($A$1,$B25,AP$1,$B$1)</f>
        <v>79.180000000000007</v>
      </c>
      <c r="AQ25">
        <f>_xll.EQNXTDZ($A$1,$B25,AQ$1,$B$1)</f>
        <v>62.35</v>
      </c>
      <c r="AR25">
        <f>_xll.EQNXTDZ($A$1,$B25,AR$1,$B$1)</f>
        <v>60</v>
      </c>
      <c r="AS25">
        <f>_xll.EQNXTDZ($A$1,$B25,AS$1,$B$1)</f>
        <v>56.72</v>
      </c>
      <c r="AT25">
        <f>_xll.EQNXTDZ($A$1,$B25,AT$1,$B$1)</f>
        <v>56.98</v>
      </c>
      <c r="AU25">
        <f>_xll.EQNXTDZ($A$1,$B25,AU$1,$B$1)</f>
        <v>56.51</v>
      </c>
      <c r="AV25">
        <f>_xll.EQNXTDZ($A$1,$B25,AV$1,$B$1)</f>
        <v>59.05</v>
      </c>
      <c r="AW25">
        <f>_xll.EQNXTDZ($A$1,$B25,AW$1,$B$1)</f>
        <v>53.16</v>
      </c>
      <c r="AX25">
        <f>_xll.EQNXTDZ($A$1,$B25,AX$1,$B$1)</f>
        <v>51.5</v>
      </c>
      <c r="AY25">
        <f>_xll.EQNXTDZ($A$1,$B25,AY$1,$B$1)</f>
        <v>49.86</v>
      </c>
      <c r="AZ25">
        <f>_xll.EQNXTDZ($A$1,$B25,AZ$1,$B$1)</f>
        <v>52.23</v>
      </c>
      <c r="BA25">
        <f>_xll.EQNXTDZ($A$1,$B25,BA$1,$B$1)</f>
        <v>52.39</v>
      </c>
      <c r="BB25">
        <f>_xll.EQNXTDZ($A$1,$B25,BB$1,$B$1)</f>
        <v>53.9</v>
      </c>
      <c r="BC25">
        <f>_xll.EQNXTDZ($A$1,$B25,BC$1,$B$1)</f>
        <v>54.55</v>
      </c>
      <c r="BD25">
        <f>_xll.EQNXTDZ($A$1,$B25,BD$1,$B$1)</f>
        <v>56.05</v>
      </c>
      <c r="BE25">
        <f>_xll.EQNXTDZ($A$1,$B25,BE$1,$B$1)</f>
        <v>55.82</v>
      </c>
      <c r="BF25">
        <f>_xll.EQNXTDZ($A$1,$B25,BF$1,$B$1)</f>
        <v>54.93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-9.0500000000000007</v>
      </c>
      <c r="D26">
        <f>_xll.EQNXTDZ($A$1,$B26,D$1,$B$1)</f>
        <v>10.33</v>
      </c>
      <c r="E26">
        <f>_xll.EQNXTDZ($A$1,$B26,E$1,$B$1)</f>
        <v>-1.5</v>
      </c>
      <c r="F26">
        <f>_xll.EQNXTDZ($A$1,$B26,F$1,$B$1)</f>
        <v>-429.9</v>
      </c>
      <c r="G26">
        <f>_xll.EQNXTDZ($A$1,$B26,G$1,$B$1)</f>
        <v>-8.09</v>
      </c>
      <c r="H26">
        <f>_xll.EQNXTDZ($A$1,$B26,H$1,$B$1)</f>
        <v>-374.11</v>
      </c>
      <c r="I26">
        <f>_xll.EQNXTDZ($A$1,$B26,I$1,$B$1)</f>
        <v>-9.08</v>
      </c>
      <c r="J26">
        <f>_xll.EQNXTDZ($A$1,$B26,J$1,$B$1)</f>
        <v>-163.56</v>
      </c>
      <c r="K26">
        <f>_xll.EQNXTDZ($A$1,$B26,K$1,$B$1)</f>
        <v>-6.09</v>
      </c>
      <c r="L26">
        <f>_xll.EQNXTDZ($A$1,$B26,L$1,$B$1)</f>
        <v>-6.88</v>
      </c>
      <c r="M26">
        <f>_xll.EQNXTDZ($A$1,$B26,M$1,$B$1)</f>
        <v>-17.27</v>
      </c>
      <c r="N26">
        <f>_xll.EQNXTDZ($A$1,$B26,N$1,$B$1)</f>
        <v>-322.67</v>
      </c>
      <c r="O26">
        <f>_xll.EQNXTDZ($A$1,$B26,O$1,$B$1)</f>
        <v>48.78</v>
      </c>
      <c r="P26">
        <f>_xll.EQNXTDZ($A$1,$B26,P$1,$B$1)</f>
        <v>-39.85</v>
      </c>
      <c r="Q26">
        <f>_xll.EQNXTDZ($A$1,$B26,Q$1,$B$1)</f>
        <v>-12.09</v>
      </c>
      <c r="R26">
        <f>_xll.EQNXTDZ($A$1,$B26,R$1,$B$1)</f>
        <v>-46.45</v>
      </c>
      <c r="S26">
        <f>_xll.EQNXTDZ($A$1,$B26,S$1,$B$1)</f>
        <v>-112.71</v>
      </c>
      <c r="T26">
        <f>_xll.EQNXTDZ($A$1,$B26,T$1,$B$1)</f>
        <v>54.22</v>
      </c>
      <c r="U26">
        <f>_xll.EQNXTDZ($A$1,$B26,U$1,$B$1)</f>
        <v>8.8699999999999992</v>
      </c>
      <c r="V26">
        <f>_xll.EQNXTDZ($A$1,$B26,V$1,$B$1)</f>
        <v>38.840000000000003</v>
      </c>
      <c r="W26">
        <f>_xll.EQNXTDZ($A$1,$B26,W$1,$B$1)</f>
        <v>15.66</v>
      </c>
      <c r="X26">
        <f>_xll.EQNXTDZ($A$1,$B26,X$1,$B$1)</f>
        <v>2.4300000000000002</v>
      </c>
      <c r="Y26">
        <f>_xll.EQNXTDZ($A$1,$B26,Y$1,$B$1)</f>
        <v>18.739999999999998</v>
      </c>
      <c r="Z26">
        <f>_xll.EQNXTDZ($A$1,$B26,Z$1,$B$1)</f>
        <v>-14.38</v>
      </c>
      <c r="AA26">
        <f>_xll.EQNXTDZ($A$1,$B26,AA$1,$B$1)</f>
        <v>-3.91</v>
      </c>
      <c r="AB26">
        <f>_xll.EQNXTDZ($A$1,$B26,AB$1,$B$1)</f>
        <v>-45.27</v>
      </c>
      <c r="AC26">
        <f>_xll.EQNXTDZ($A$1,$B26,AC$1,$B$1)</f>
        <v>41</v>
      </c>
      <c r="AD26">
        <f>_xll.EQNXTDZ($A$1,$B26,AD$1,$B$1)</f>
        <v>14.76</v>
      </c>
      <c r="AE26">
        <f>_xll.EQNXTDZ($A$1,$B26,AE$1,$B$1)</f>
        <v>2.29</v>
      </c>
      <c r="AF26">
        <f>_xll.EQNXTDZ($A$1,$B26,AF$1,$B$1)</f>
        <v>-0.25</v>
      </c>
      <c r="AG26">
        <f>_xll.EQNXTDZ($A$1,$B26,AG$1,$B$1)</f>
        <v>-1.2</v>
      </c>
      <c r="AH26">
        <f>_xll.EQNXTDZ($A$1,$B26,AH$1,$B$1)</f>
        <v>40.11</v>
      </c>
      <c r="AI26">
        <f>_xll.EQNXTDZ($A$1,$B26,AI$1,$B$1)</f>
        <v>86.07</v>
      </c>
      <c r="AJ26">
        <f>_xll.EQNXTDZ($A$1,$B26,AJ$1,$B$1)</f>
        <v>20.49</v>
      </c>
      <c r="AK26">
        <f>_xll.EQNXTDZ($A$1,$B26,AK$1,$B$1)</f>
        <v>28.04</v>
      </c>
      <c r="AL26">
        <f>_xll.EQNXTDZ($A$1,$B26,AL$1,$B$1)</f>
        <v>25.35</v>
      </c>
      <c r="AM26">
        <f>_xll.EQNXTDZ($A$1,$B26,AM$1,$B$1)</f>
        <v>20.329999999999998</v>
      </c>
      <c r="AN26">
        <f>_xll.EQNXTDZ($A$1,$B26,AN$1,$B$1)</f>
        <v>-10.83</v>
      </c>
      <c r="AO26">
        <f>_xll.EQNXTDZ($A$1,$B26,AO$1,$B$1)</f>
        <v>-10.24</v>
      </c>
      <c r="AP26">
        <f>_xll.EQNXTDZ($A$1,$B26,AP$1,$B$1)</f>
        <v>16.36</v>
      </c>
      <c r="AQ26">
        <f>_xll.EQNXTDZ($A$1,$B26,AQ$1,$B$1)</f>
        <v>-9.1300000000000008</v>
      </c>
      <c r="AR26">
        <f>_xll.EQNXTDZ($A$1,$B26,AR$1,$B$1)</f>
        <v>12.34</v>
      </c>
      <c r="AS26">
        <f>_xll.EQNXTDZ($A$1,$B26,AS$1,$B$1)</f>
        <v>0.1</v>
      </c>
      <c r="AT26">
        <f>_xll.EQNXTDZ($A$1,$B26,AT$1,$B$1)</f>
        <v>-0.02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307.36</v>
      </c>
      <c r="BA26">
        <f>_xll.EQNXTDZ($A$1,$B26,BA$1,$B$1)</f>
        <v>0</v>
      </c>
      <c r="BB26">
        <f>_xll.EQNXTDZ($A$1,$B26,BB$1,$B$1)</f>
        <v>-2.56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275.51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62.36</v>
      </c>
      <c r="D27">
        <f>_xll.EQNXTDZ($A$1,$B27,D$1,$B$1)</f>
        <v>32.06</v>
      </c>
      <c r="E27">
        <f>_xll.EQNXTDZ($A$1,$B27,E$1,$B$1)</f>
        <v>130.80000000000001</v>
      </c>
      <c r="F27">
        <f>_xll.EQNXTDZ($A$1,$B27,F$1,$B$1)</f>
        <v>-276.22000000000003</v>
      </c>
      <c r="G27">
        <f>_xll.EQNXTDZ($A$1,$B27,G$1,$B$1)</f>
        <v>77.819999999999993</v>
      </c>
      <c r="H27">
        <f>_xll.EQNXTDZ($A$1,$B27,H$1,$B$1)</f>
        <v>-353.43</v>
      </c>
      <c r="I27">
        <f>_xll.EQNXTDZ($A$1,$B27,I$1,$B$1)</f>
        <v>194.97</v>
      </c>
      <c r="J27">
        <f>_xll.EQNXTDZ($A$1,$B27,J$1,$B$1)</f>
        <v>-23.39</v>
      </c>
      <c r="K27">
        <f>_xll.EQNXTDZ($A$1,$B27,K$1,$B$1)</f>
        <v>46.52</v>
      </c>
      <c r="L27">
        <f>_xll.EQNXTDZ($A$1,$B27,L$1,$B$1)</f>
        <v>-16.78</v>
      </c>
      <c r="M27">
        <f>_xll.EQNXTDZ($A$1,$B27,M$1,$B$1)</f>
        <v>204.48</v>
      </c>
      <c r="N27">
        <f>_xll.EQNXTDZ($A$1,$B27,N$1,$B$1)</f>
        <v>-175.41</v>
      </c>
      <c r="O27">
        <f>_xll.EQNXTDZ($A$1,$B27,O$1,$B$1)</f>
        <v>140.26</v>
      </c>
      <c r="P27">
        <f>_xll.EQNXTDZ($A$1,$B27,P$1,$B$1)</f>
        <v>-51.34</v>
      </c>
      <c r="Q27">
        <f>_xll.EQNXTDZ($A$1,$B27,Q$1,$B$1)</f>
        <v>164.51</v>
      </c>
      <c r="R27">
        <f>_xll.EQNXTDZ($A$1,$B27,R$1,$B$1)</f>
        <v>86.89</v>
      </c>
      <c r="S27">
        <f>_xll.EQNXTDZ($A$1,$B27,S$1,$B$1)</f>
        <v>-94.7</v>
      </c>
      <c r="T27">
        <f>_xll.EQNXTDZ($A$1,$B27,T$1,$B$1)</f>
        <v>53.72</v>
      </c>
      <c r="U27">
        <f>_xll.EQNXTDZ($A$1,$B27,U$1,$B$1)</f>
        <v>215.35</v>
      </c>
      <c r="V27">
        <f>_xll.EQNXTDZ($A$1,$B27,V$1,$B$1)</f>
        <v>155.58000000000001</v>
      </c>
      <c r="W27">
        <f>_xll.EQNXTDZ($A$1,$B27,W$1,$B$1)</f>
        <v>45.54</v>
      </c>
      <c r="X27">
        <f>_xll.EQNXTDZ($A$1,$B27,X$1,$B$1)</f>
        <v>-2.0699999999999998</v>
      </c>
      <c r="Y27">
        <f>_xll.EQNXTDZ($A$1,$B27,Y$1,$B$1)</f>
        <v>243.14</v>
      </c>
      <c r="Z27">
        <f>_xll.EQNXTDZ($A$1,$B27,Z$1,$B$1)</f>
        <v>198.88</v>
      </c>
      <c r="AA27">
        <f>_xll.EQNXTDZ($A$1,$B27,AA$1,$B$1)</f>
        <v>74.819999999999993</v>
      </c>
      <c r="AB27">
        <f>_xll.EQNXTDZ($A$1,$B27,AB$1,$B$1)</f>
        <v>23.91</v>
      </c>
      <c r="AC27">
        <f>_xll.EQNXTDZ($A$1,$B27,AC$1,$B$1)</f>
        <v>341.93</v>
      </c>
      <c r="AD27">
        <f>_xll.EQNXTDZ($A$1,$B27,AD$1,$B$1)</f>
        <v>288.89999999999998</v>
      </c>
      <c r="AE27">
        <f>_xll.EQNXTDZ($A$1,$B27,AE$1,$B$1)</f>
        <v>128.1</v>
      </c>
      <c r="AF27">
        <f>_xll.EQNXTDZ($A$1,$B27,AF$1,$B$1)</f>
        <v>94.520000000000095</v>
      </c>
      <c r="AG27">
        <f>_xll.EQNXTDZ($A$1,$B27,AG$1,$B$1)</f>
        <v>375.86</v>
      </c>
      <c r="AH27">
        <f>_xll.EQNXTDZ($A$1,$B27,AH$1,$B$1)</f>
        <v>201.3</v>
      </c>
      <c r="AI27">
        <f>_xll.EQNXTDZ($A$1,$B27,AI$1,$B$1)</f>
        <v>-236.08</v>
      </c>
      <c r="AJ27">
        <f>_xll.EQNXTDZ($A$1,$B27,AJ$1,$B$1)</f>
        <v>-159.75</v>
      </c>
      <c r="AK27">
        <f>_xll.EQNXTDZ($A$1,$B27,AK$1,$B$1)</f>
        <v>-46.08</v>
      </c>
      <c r="AL27">
        <f>_xll.EQNXTDZ($A$1,$B27,AL$1,$B$1)</f>
        <v>1.99999999999995</v>
      </c>
      <c r="AM27">
        <f>_xll.EQNXTDZ($A$1,$B27,AM$1,$B$1)</f>
        <v>-212.48</v>
      </c>
      <c r="AN27">
        <f>_xll.EQNXTDZ($A$1,$B27,AN$1,$B$1)</f>
        <v>-27.93</v>
      </c>
      <c r="AO27">
        <f>_xll.EQNXTDZ($A$1,$B27,AO$1,$B$1)</f>
        <v>209.32</v>
      </c>
      <c r="AP27">
        <f>_xll.EQNXTDZ($A$1,$B27,AP$1,$B$1)</f>
        <v>178.96</v>
      </c>
      <c r="AQ27">
        <f>_xll.EQNXTDZ($A$1,$B27,AQ$1,$B$1)</f>
        <v>333.52</v>
      </c>
      <c r="AR27">
        <f>_xll.EQNXTDZ($A$1,$B27,AR$1,$B$1)</f>
        <v>271.27999999999997</v>
      </c>
      <c r="AS27">
        <f>_xll.EQNXTDZ($A$1,$B27,AS$1,$B$1)</f>
        <v>598.29999999999995</v>
      </c>
      <c r="AT27">
        <f>_xll.EQNXTDZ($A$1,$B27,AT$1,$B$1)</f>
        <v>507.6</v>
      </c>
      <c r="AU27">
        <f>_xll.EQNXTDZ($A$1,$B27,AU$1,$B$1)</f>
        <v>402.99</v>
      </c>
      <c r="AV27">
        <f>_xll.EQNXTDZ($A$1,$B27,AV$1,$B$1)</f>
        <v>343.4</v>
      </c>
      <c r="AW27">
        <f>_xll.EQNXTDZ($A$1,$B27,AW$1,$B$1)</f>
        <v>719.02</v>
      </c>
      <c r="AX27">
        <f>_xll.EQNXTDZ($A$1,$B27,AX$1,$B$1)</f>
        <v>654.41999999999996</v>
      </c>
      <c r="AY27">
        <f>_xll.EQNXTDZ($A$1,$B27,AY$1,$B$1)</f>
        <v>445.78</v>
      </c>
      <c r="AZ27">
        <f>_xll.EQNXTDZ($A$1,$B27,AZ$1,$B$1)</f>
        <v>820.5</v>
      </c>
      <c r="BA27">
        <f>_xll.EQNXTDZ($A$1,$B27,BA$1,$B$1)</f>
        <v>967.97</v>
      </c>
      <c r="BB27">
        <f>_xll.EQNXTDZ($A$1,$B27,BB$1,$B$1)</f>
        <v>861.96</v>
      </c>
      <c r="BC27">
        <f>_xll.EQNXTDZ($A$1,$B27,BC$1,$B$1)</f>
        <v>582.57000000000005</v>
      </c>
      <c r="BD27">
        <f>_xll.EQNXTDZ($A$1,$B27,BD$1,$B$1)</f>
        <v>597.42999999999995</v>
      </c>
      <c r="BE27">
        <f>_xll.EQNXTDZ($A$1,$B27,BE$1,$B$1)</f>
        <v>1353.78</v>
      </c>
      <c r="BF27">
        <f>_xll.EQNXTDZ($A$1,$B27,BF$1,$B$1)</f>
        <v>997.24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71.42</v>
      </c>
      <c r="D28">
        <f>_xll.EQNXTDZ($A$1,$B28,D$1,$B$1)</f>
        <v>73.7</v>
      </c>
      <c r="E28">
        <f>_xll.EQNXTDZ($A$1,$B28,E$1,$B$1)</f>
        <v>30.49</v>
      </c>
      <c r="F28">
        <f>_xll.EQNXTDZ($A$1,$B28,F$1,$B$1)</f>
        <v>71</v>
      </c>
      <c r="G28">
        <f>_xll.EQNXTDZ($A$1,$B28,G$1,$B$1)</f>
        <v>73.25</v>
      </c>
      <c r="H28">
        <f>_xll.EQNXTDZ($A$1,$B28,H$1,$B$1)</f>
        <v>80.349999999999994</v>
      </c>
      <c r="I28">
        <f>_xll.EQNXTDZ($A$1,$B28,I$1,$B$1)</f>
        <v>78.989999999999995</v>
      </c>
      <c r="J28">
        <f>_xll.EQNXTDZ($A$1,$B28,J$1,$B$1)</f>
        <v>75.540000000000006</v>
      </c>
      <c r="K28">
        <f>_xll.EQNXTDZ($A$1,$B28,K$1,$B$1)</f>
        <v>69.760000000000005</v>
      </c>
      <c r="L28">
        <f>_xll.EQNXTDZ($A$1,$B28,L$1,$B$1)</f>
        <v>74.86</v>
      </c>
      <c r="M28">
        <f>_xll.EQNXTDZ($A$1,$B28,M$1,$B$1)</f>
        <v>74.819999999999993</v>
      </c>
      <c r="N28">
        <f>_xll.EQNXTDZ($A$1,$B28,N$1,$B$1)</f>
        <v>71.849999999999994</v>
      </c>
      <c r="O28">
        <f>_xll.EQNXTDZ($A$1,$B28,O$1,$B$1)</f>
        <v>73.95</v>
      </c>
      <c r="P28">
        <f>_xll.EQNXTDZ($A$1,$B28,P$1,$B$1)</f>
        <v>69.22</v>
      </c>
      <c r="Q28">
        <f>_xll.EQNXTDZ($A$1,$B28,Q$1,$B$1)</f>
        <v>72.209999999999994</v>
      </c>
      <c r="R28">
        <f>_xll.EQNXTDZ($A$1,$B28,R$1,$B$1)</f>
        <v>85.53</v>
      </c>
      <c r="S28">
        <f>_xll.EQNXTDZ($A$1,$B28,S$1,$B$1)</f>
        <v>73.709999999999994</v>
      </c>
      <c r="T28">
        <f>_xll.EQNXTDZ($A$1,$B28,T$1,$B$1)</f>
        <v>66.97</v>
      </c>
      <c r="U28">
        <f>_xll.EQNXTDZ($A$1,$B28,U$1,$B$1)</f>
        <v>69.14</v>
      </c>
      <c r="V28">
        <f>_xll.EQNXTDZ($A$1,$B28,V$1,$B$1)</f>
        <v>89.55</v>
      </c>
      <c r="W28">
        <f>_xll.EQNXTDZ($A$1,$B28,W$1,$B$1)</f>
        <v>71.38</v>
      </c>
      <c r="X28">
        <f>_xll.EQNXTDZ($A$1,$B28,X$1,$B$1)</f>
        <v>70.47</v>
      </c>
      <c r="Y28">
        <f>_xll.EQNXTDZ($A$1,$B28,Y$1,$B$1)</f>
        <v>74.17</v>
      </c>
      <c r="Z28">
        <f>_xll.EQNXTDZ($A$1,$B28,Z$1,$B$1)</f>
        <v>85.18</v>
      </c>
      <c r="AA28">
        <f>_xll.EQNXTDZ($A$1,$B28,AA$1,$B$1)</f>
        <v>78.47</v>
      </c>
      <c r="AB28">
        <f>_xll.EQNXTDZ($A$1,$B28,AB$1,$B$1)</f>
        <v>81.22</v>
      </c>
      <c r="AC28">
        <f>_xll.EQNXTDZ($A$1,$B28,AC$1,$B$1)</f>
        <v>83.28</v>
      </c>
      <c r="AD28">
        <f>_xll.EQNXTDZ($A$1,$B28,AD$1,$B$1)</f>
        <v>84.88</v>
      </c>
      <c r="AE28">
        <f>_xll.EQNXTDZ($A$1,$B28,AE$1,$B$1)</f>
        <v>100.36</v>
      </c>
      <c r="AF28">
        <f>_xll.EQNXTDZ($A$1,$B28,AF$1,$B$1)</f>
        <v>99.93</v>
      </c>
      <c r="AG28">
        <f>_xll.EQNXTDZ($A$1,$B28,AG$1,$B$1)</f>
        <v>100.83</v>
      </c>
      <c r="AH28">
        <f>_xll.EQNXTDZ($A$1,$B28,AH$1,$B$1)</f>
        <v>103.12</v>
      </c>
      <c r="AI28">
        <f>_xll.EQNXTDZ($A$1,$B28,AI$1,$B$1)</f>
        <v>100.14</v>
      </c>
      <c r="AJ28">
        <f>_xll.EQNXTDZ($A$1,$B28,AJ$1,$B$1)</f>
        <v>102.84</v>
      </c>
      <c r="AK28">
        <f>_xll.EQNXTDZ($A$1,$B28,AK$1,$B$1)</f>
        <v>102.32</v>
      </c>
      <c r="AL28">
        <f>_xll.EQNXTDZ($A$1,$B28,AL$1,$B$1)</f>
        <v>104.33</v>
      </c>
      <c r="AM28">
        <f>_xll.EQNXTDZ($A$1,$B28,AM$1,$B$1)</f>
        <v>102.54</v>
      </c>
      <c r="AN28">
        <f>_xll.EQNXTDZ($A$1,$B28,AN$1,$B$1)</f>
        <v>101.76</v>
      </c>
      <c r="AO28">
        <f>_xll.EQNXTDZ($A$1,$B28,AO$1,$B$1)</f>
        <v>99.87</v>
      </c>
      <c r="AP28">
        <f>_xll.EQNXTDZ($A$1,$B28,AP$1,$B$1)</f>
        <v>101.88</v>
      </c>
      <c r="AQ28">
        <f>_xll.EQNXTDZ($A$1,$B28,AQ$1,$B$1)</f>
        <v>102.58</v>
      </c>
      <c r="AR28">
        <f>_xll.EQNXTDZ($A$1,$B28,AR$1,$B$1)</f>
        <v>102.57</v>
      </c>
      <c r="AS28">
        <f>_xll.EQNXTDZ($A$1,$B28,AS$1,$B$1)</f>
        <v>103.31</v>
      </c>
      <c r="AT28">
        <f>_xll.EQNXTDZ($A$1,$B28,AT$1,$B$1)</f>
        <v>107.6</v>
      </c>
      <c r="AU28">
        <f>_xll.EQNXTDZ($A$1,$B28,AU$1,$B$1)</f>
        <v>109.05</v>
      </c>
      <c r="AV28">
        <f>_xll.EQNXTDZ($A$1,$B28,AV$1,$B$1)</f>
        <v>111.21</v>
      </c>
      <c r="AW28">
        <f>_xll.EQNXTDZ($A$1,$B28,AW$1,$B$1)</f>
        <v>114.31</v>
      </c>
      <c r="AX28">
        <f>_xll.EQNXTDZ($A$1,$B28,AX$1,$B$1)</f>
        <v>119.73</v>
      </c>
      <c r="AY28">
        <f>_xll.EQNXTDZ($A$1,$B28,AY$1,$B$1)</f>
        <v>117.29</v>
      </c>
      <c r="AZ28">
        <f>_xll.EQNXTDZ($A$1,$B28,AZ$1,$B$1)</f>
        <v>124.93</v>
      </c>
      <c r="BA28">
        <f>_xll.EQNXTDZ($A$1,$B28,BA$1,$B$1)</f>
        <v>133.94</v>
      </c>
      <c r="BB28">
        <f>_xll.EQNXTDZ($A$1,$B28,BB$1,$B$1)</f>
        <v>142</v>
      </c>
      <c r="BC28">
        <f>_xll.EQNXTDZ($A$1,$B28,BC$1,$B$1)</f>
        <v>142.75</v>
      </c>
      <c r="BD28">
        <f>_xll.EQNXTDZ($A$1,$B28,BD$1,$B$1)</f>
        <v>144.72</v>
      </c>
      <c r="BE28">
        <f>_xll.EQNXTDZ($A$1,$B28,BE$1,$B$1)</f>
        <v>150.32</v>
      </c>
      <c r="BF28">
        <f>_xll.EQNXTDZ($A$1,$B28,BF$1,$B$1)</f>
        <v>167.37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9.7200000000000006</v>
      </c>
      <c r="D29">
        <f>_xll.EQNXTDZ($A$1,$B29,D$1,$B$1)</f>
        <v>-1.01</v>
      </c>
      <c r="E29">
        <f>_xll.EQNXTDZ($A$1,$B29,E$1,$B$1)</f>
        <v>35.69</v>
      </c>
      <c r="F29">
        <f>_xll.EQNXTDZ($A$1,$B29,F$1,$B$1)</f>
        <v>42.3</v>
      </c>
      <c r="G29">
        <f>_xll.EQNXTDZ($A$1,$B29,G$1,$B$1)</f>
        <v>12.18</v>
      </c>
      <c r="H29">
        <f>_xll.EQNXTDZ($A$1,$B29,H$1,$B$1)</f>
        <v>-9.5500000000000007</v>
      </c>
      <c r="I29">
        <f>_xll.EQNXTDZ($A$1,$B29,I$1,$B$1)</f>
        <v>47.62</v>
      </c>
      <c r="J29">
        <f>_xll.EQNXTDZ($A$1,$B29,J$1,$B$1)</f>
        <v>60.7</v>
      </c>
      <c r="K29">
        <f>_xll.EQNXTDZ($A$1,$B29,K$1,$B$1)</f>
        <v>1.0900000000000001</v>
      </c>
      <c r="L29">
        <f>_xll.EQNXTDZ($A$1,$B29,L$1,$B$1)</f>
        <v>-0.63</v>
      </c>
      <c r="M29">
        <f>_xll.EQNXTDZ($A$1,$B29,M$1,$B$1)</f>
        <v>57.03</v>
      </c>
      <c r="N29">
        <f>_xll.EQNXTDZ($A$1,$B29,N$1,$B$1)</f>
        <v>57.11</v>
      </c>
      <c r="O29">
        <f>_xll.EQNXTDZ($A$1,$B29,O$1,$B$1)</f>
        <v>21.02</v>
      </c>
      <c r="P29">
        <f>_xll.EQNXTDZ($A$1,$B29,P$1,$B$1)</f>
        <v>-3.77</v>
      </c>
      <c r="Q29">
        <f>_xll.EQNXTDZ($A$1,$B29,Q$1,$B$1)</f>
        <v>59.3</v>
      </c>
      <c r="R29">
        <f>_xll.EQNXTDZ($A$1,$B29,R$1,$B$1)</f>
        <v>55.36</v>
      </c>
      <c r="S29">
        <f>_xll.EQNXTDZ($A$1,$B29,S$1,$B$1)</f>
        <v>-1.84</v>
      </c>
      <c r="T29">
        <f>_xll.EQNXTDZ($A$1,$B29,T$1,$B$1)</f>
        <v>25.13</v>
      </c>
      <c r="U29">
        <f>_xll.EQNXTDZ($A$1,$B29,U$1,$B$1)</f>
        <v>56.37</v>
      </c>
      <c r="V29">
        <f>_xll.EQNXTDZ($A$1,$B29,V$1,$B$1)</f>
        <v>34.08</v>
      </c>
      <c r="W29">
        <f>_xll.EQNXTDZ($A$1,$B29,W$1,$B$1)</f>
        <v>3.87</v>
      </c>
      <c r="X29">
        <f>_xll.EQNXTDZ($A$1,$B29,X$1,$B$1)</f>
        <v>-21.44</v>
      </c>
      <c r="Y29">
        <f>_xll.EQNXTDZ($A$1,$B29,Y$1,$B$1)</f>
        <v>81.86</v>
      </c>
      <c r="Z29">
        <f>_xll.EQNXTDZ($A$1,$B29,Z$1,$B$1)</f>
        <v>56.77</v>
      </c>
      <c r="AA29">
        <f>_xll.EQNXTDZ($A$1,$B29,AA$1,$B$1)</f>
        <v>-9.75</v>
      </c>
      <c r="AB29">
        <f>_xll.EQNXTDZ($A$1,$B29,AB$1,$B$1)</f>
        <v>-19.27</v>
      </c>
      <c r="AC29">
        <f>_xll.EQNXTDZ($A$1,$B29,AC$1,$B$1)</f>
        <v>99.04</v>
      </c>
      <c r="AD29">
        <f>_xll.EQNXTDZ($A$1,$B29,AD$1,$B$1)</f>
        <v>87.1</v>
      </c>
      <c r="AE29">
        <f>_xll.EQNXTDZ($A$1,$B29,AE$1,$B$1)</f>
        <v>17.62</v>
      </c>
      <c r="AF29">
        <f>_xll.EQNXTDZ($A$1,$B29,AF$1,$B$1)</f>
        <v>-85.52</v>
      </c>
      <c r="AG29">
        <f>_xll.EQNXTDZ($A$1,$B29,AG$1,$B$1)</f>
        <v>81.3</v>
      </c>
      <c r="AH29">
        <f>_xll.EQNXTDZ($A$1,$B29,AH$1,$B$1)</f>
        <v>31.37</v>
      </c>
      <c r="AI29">
        <f>_xll.EQNXTDZ($A$1,$B29,AI$1,$B$1)</f>
        <v>-69.290000000000006</v>
      </c>
      <c r="AJ29">
        <f>_xll.EQNXTDZ($A$1,$B29,AJ$1,$B$1)</f>
        <v>-42.89</v>
      </c>
      <c r="AK29">
        <f>_xll.EQNXTDZ($A$1,$B29,AK$1,$B$1)</f>
        <v>-30.74</v>
      </c>
      <c r="AL29">
        <f>_xll.EQNXTDZ($A$1,$B29,AL$1,$B$1)</f>
        <v>-12.41</v>
      </c>
      <c r="AM29">
        <f>_xll.EQNXTDZ($A$1,$B29,AM$1,$B$1)</f>
        <v>-44.97</v>
      </c>
      <c r="AN29">
        <f>_xll.EQNXTDZ($A$1,$B29,AN$1,$B$1)</f>
        <v>-11.34</v>
      </c>
      <c r="AO29">
        <f>_xll.EQNXTDZ($A$1,$B29,AO$1,$B$1)</f>
        <v>23.17</v>
      </c>
      <c r="AP29">
        <f>_xll.EQNXTDZ($A$1,$B29,AP$1,$B$1)</f>
        <v>-2.64</v>
      </c>
      <c r="AQ29">
        <f>_xll.EQNXTDZ($A$1,$B29,AQ$1,$B$1)</f>
        <v>64.81</v>
      </c>
      <c r="AR29">
        <f>_xll.EQNXTDZ($A$1,$B29,AR$1,$B$1)</f>
        <v>44.33</v>
      </c>
      <c r="AS29">
        <f>_xll.EQNXTDZ($A$1,$B29,AS$1,$B$1)</f>
        <v>116.07</v>
      </c>
      <c r="AT29">
        <f>_xll.EQNXTDZ($A$1,$B29,AT$1,$B$1)</f>
        <v>98</v>
      </c>
      <c r="AU29">
        <f>_xll.EQNXTDZ($A$1,$B29,AU$1,$B$1)</f>
        <v>83.34</v>
      </c>
      <c r="AV29">
        <f>_xll.EQNXTDZ($A$1,$B29,AV$1,$B$1)</f>
        <v>72.28</v>
      </c>
      <c r="AW29">
        <f>_xll.EQNXTDZ($A$1,$B29,AW$1,$B$1)</f>
        <v>166.72</v>
      </c>
      <c r="AX29">
        <f>_xll.EQNXTDZ($A$1,$B29,AX$1,$B$1)</f>
        <v>141.6</v>
      </c>
      <c r="AY29">
        <f>_xll.EQNXTDZ($A$1,$B29,AY$1,$B$1)</f>
        <v>94.28</v>
      </c>
      <c r="AZ29">
        <f>_xll.EQNXTDZ($A$1,$B29,AZ$1,$B$1)</f>
        <v>122.36</v>
      </c>
      <c r="BA29">
        <f>_xll.EQNXTDZ($A$1,$B29,BA$1,$B$1)</f>
        <v>220.21</v>
      </c>
      <c r="BB29">
        <f>_xll.EQNXTDZ($A$1,$B29,BB$1,$B$1)</f>
        <v>179.95</v>
      </c>
      <c r="BC29">
        <f>_xll.EQNXTDZ($A$1,$B29,BC$1,$B$1)</f>
        <v>120.4</v>
      </c>
      <c r="BD29">
        <f>_xll.EQNXTDZ($A$1,$B29,BD$1,$B$1)</f>
        <v>136.53</v>
      </c>
      <c r="BE29">
        <f>_xll.EQNXTDZ($A$1,$B29,BE$1,$B$1)</f>
        <v>269.14</v>
      </c>
      <c r="BF29">
        <f>_xll.EQNXTDZ($A$1,$B29,BF$1,$B$1)</f>
        <v>204.65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-18.78</v>
      </c>
      <c r="D30">
        <f>_xll.EQNXTDZ($A$1,$B30,D$1,$B$1)</f>
        <v>-40.630000000000003</v>
      </c>
      <c r="E30">
        <f>_xll.EQNXTDZ($A$1,$B30,E$1,$B$1)</f>
        <v>64.62</v>
      </c>
      <c r="F30">
        <f>_xll.EQNXTDZ($A$1,$B30,F$1,$B$1)</f>
        <v>-389.52</v>
      </c>
      <c r="G30">
        <f>_xll.EQNXTDZ($A$1,$B30,G$1,$B$1)</f>
        <v>-7.61</v>
      </c>
      <c r="H30">
        <f>_xll.EQNXTDZ($A$1,$B30,H$1,$B$1)</f>
        <v>-424.23</v>
      </c>
      <c r="I30">
        <f>_xll.EQNXTDZ($A$1,$B30,I$1,$B$1)</f>
        <v>68.36</v>
      </c>
      <c r="J30">
        <f>_xll.EQNXTDZ($A$1,$B30,J$1,$B$1)</f>
        <v>-159.63</v>
      </c>
      <c r="K30">
        <f>_xll.EQNXTDZ($A$1,$B30,K$1,$B$1)</f>
        <v>-24.33</v>
      </c>
      <c r="L30">
        <f>_xll.EQNXTDZ($A$1,$B30,L$1,$B$1)</f>
        <v>-91.01</v>
      </c>
      <c r="M30">
        <f>_xll.EQNXTDZ($A$1,$B30,M$1,$B$1)</f>
        <v>72.63</v>
      </c>
      <c r="N30">
        <f>_xll.EQNXTDZ($A$1,$B30,N$1,$B$1)</f>
        <v>-304.37</v>
      </c>
      <c r="O30">
        <f>_xll.EQNXTDZ($A$1,$B30,O$1,$B$1)</f>
        <v>45.29</v>
      </c>
      <c r="P30">
        <f>_xll.EQNXTDZ($A$1,$B30,P$1,$B$1)</f>
        <v>-116.79</v>
      </c>
      <c r="Q30">
        <f>_xll.EQNXTDZ($A$1,$B30,Q$1,$B$1)</f>
        <v>33</v>
      </c>
      <c r="R30">
        <f>_xll.EQNXTDZ($A$1,$B30,R$1,$B$1)</f>
        <v>-54.01</v>
      </c>
      <c r="S30">
        <f>_xll.EQNXTDZ($A$1,$B30,S$1,$B$1)</f>
        <v>-166.57</v>
      </c>
      <c r="T30">
        <f>_xll.EQNXTDZ($A$1,$B30,T$1,$B$1)</f>
        <v>-38.380000000000003</v>
      </c>
      <c r="U30">
        <f>_xll.EQNXTDZ($A$1,$B30,U$1,$B$1)</f>
        <v>89.84</v>
      </c>
      <c r="V30">
        <f>_xll.EQNXTDZ($A$1,$B30,V$1,$B$1)</f>
        <v>31.95</v>
      </c>
      <c r="W30">
        <f>_xll.EQNXTDZ($A$1,$B30,W$1,$B$1)</f>
        <v>-29.71</v>
      </c>
      <c r="X30">
        <f>_xll.EQNXTDZ($A$1,$B30,X$1,$B$1)</f>
        <v>-51.1</v>
      </c>
      <c r="Y30">
        <f>_xll.EQNXTDZ($A$1,$B30,Y$1,$B$1)</f>
        <v>87.11</v>
      </c>
      <c r="Z30">
        <f>_xll.EQNXTDZ($A$1,$B30,Z$1,$B$1)</f>
        <v>56.93</v>
      </c>
      <c r="AA30">
        <f>_xll.EQNXTDZ($A$1,$B30,AA$1,$B$1)</f>
        <v>6.1</v>
      </c>
      <c r="AB30">
        <f>_xll.EQNXTDZ($A$1,$B30,AB$1,$B$1)</f>
        <v>-38.04</v>
      </c>
      <c r="AC30">
        <f>_xll.EQNXTDZ($A$1,$B30,AC$1,$B$1)</f>
        <v>159.61000000000001</v>
      </c>
      <c r="AD30">
        <f>_xll.EQNXTDZ($A$1,$B30,AD$1,$B$1)</f>
        <v>116.92</v>
      </c>
      <c r="AE30">
        <f>_xll.EQNXTDZ($A$1,$B30,AE$1,$B$1)</f>
        <v>10.1200000000002</v>
      </c>
      <c r="AF30">
        <f>_xll.EQNXTDZ($A$1,$B30,AF$1,$B$1)</f>
        <v>80.110000000000198</v>
      </c>
      <c r="AG30">
        <f>_xll.EQNXTDZ($A$1,$B30,AG$1,$B$1)</f>
        <v>193.73</v>
      </c>
      <c r="AH30">
        <f>_xll.EQNXTDZ($A$1,$B30,AH$1,$B$1)</f>
        <v>66.81</v>
      </c>
      <c r="AI30">
        <f>_xll.EQNXTDZ($A$1,$B30,AI$1,$B$1)</f>
        <v>-266.93</v>
      </c>
      <c r="AJ30">
        <f>_xll.EQNXTDZ($A$1,$B30,AJ$1,$B$1)</f>
        <v>-219.7</v>
      </c>
      <c r="AK30">
        <f>_xll.EQNXTDZ($A$1,$B30,AK$1,$B$1)</f>
        <v>-117.66</v>
      </c>
      <c r="AL30">
        <f>_xll.EQNXTDZ($A$1,$B30,AL$1,$B$1)</f>
        <v>-89.92</v>
      </c>
      <c r="AM30">
        <f>_xll.EQNXTDZ($A$1,$B30,AM$1,$B$1)</f>
        <v>-270.05</v>
      </c>
      <c r="AN30">
        <f>_xll.EQNXTDZ($A$1,$B30,AN$1,$B$1)</f>
        <v>-118.35</v>
      </c>
      <c r="AO30">
        <f>_xll.EQNXTDZ($A$1,$B30,AO$1,$B$1)</f>
        <v>86.28</v>
      </c>
      <c r="AP30">
        <f>_xll.EQNXTDZ($A$1,$B30,AP$1,$B$1)</f>
        <v>79.719999999999899</v>
      </c>
      <c r="AQ30">
        <f>_xll.EQNXTDZ($A$1,$B30,AQ$1,$B$1)</f>
        <v>166.13</v>
      </c>
      <c r="AR30">
        <f>_xll.EQNXTDZ($A$1,$B30,AR$1,$B$1)</f>
        <v>124.38</v>
      </c>
      <c r="AS30">
        <f>_xll.EQNXTDZ($A$1,$B30,AS$1,$B$1)</f>
        <v>378.92</v>
      </c>
      <c r="AT30">
        <f>_xll.EQNXTDZ($A$1,$B30,AT$1,$B$1)</f>
        <v>302</v>
      </c>
      <c r="AU30">
        <f>_xll.EQNXTDZ($A$1,$B30,AU$1,$B$1)</f>
        <v>210.6</v>
      </c>
      <c r="AV30">
        <f>_xll.EQNXTDZ($A$1,$B30,AV$1,$B$1)</f>
        <v>159.91</v>
      </c>
      <c r="AW30">
        <f>_xll.EQNXTDZ($A$1,$B30,AW$1,$B$1)</f>
        <v>437.99</v>
      </c>
      <c r="AX30">
        <f>_xll.EQNXTDZ($A$1,$B30,AX$1,$B$1)</f>
        <v>393.09</v>
      </c>
      <c r="AY30">
        <f>_xll.EQNXTDZ($A$1,$B30,AY$1,$B$1)</f>
        <v>234.21</v>
      </c>
      <c r="AZ30">
        <f>_xll.EQNXTDZ($A$1,$B30,AZ$1,$B$1)</f>
        <v>573.21</v>
      </c>
      <c r="BA30">
        <f>_xll.EQNXTDZ($A$1,$B30,BA$1,$B$1)</f>
        <v>613.82000000000005</v>
      </c>
      <c r="BB30">
        <f>_xll.EQNXTDZ($A$1,$B30,BB$1,$B$1)</f>
        <v>540.01</v>
      </c>
      <c r="BC30">
        <f>_xll.EQNXTDZ($A$1,$B30,BC$1,$B$1)</f>
        <v>319.42</v>
      </c>
      <c r="BD30">
        <f>_xll.EQNXTDZ($A$1,$B30,BD$1,$B$1)</f>
        <v>316.18</v>
      </c>
      <c r="BE30">
        <f>_xll.EQNXTDZ($A$1,$B30,BE$1,$B$1)</f>
        <v>934.32</v>
      </c>
      <c r="BF30">
        <f>_xll.EQNXTDZ($A$1,$B30,BF$1,$B$1)</f>
        <v>625.22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-8.0500000000000007</v>
      </c>
      <c r="D34">
        <f>_xll.EQNXTDZ($A$1,$B34,D$1,$B$1)</f>
        <v>-16.62</v>
      </c>
      <c r="E34">
        <f>_xll.EQNXTDZ($A$1,$B34,E$1,$B$1)</f>
        <v>0</v>
      </c>
      <c r="F34">
        <f>_xll.EQNXTDZ($A$1,$B34,F$1,$B$1)</f>
        <v>-8.44</v>
      </c>
      <c r="G34">
        <f>_xll.EQNXTDZ($A$1,$B34,G$1,$B$1)</f>
        <v>-6.67</v>
      </c>
      <c r="H34">
        <f>_xll.EQNXTDZ($A$1,$B34,H$1,$B$1)</f>
        <v>-4.97</v>
      </c>
      <c r="I34">
        <f>_xll.EQNXTDZ($A$1,$B34,I$1,$B$1)</f>
        <v>-8.77</v>
      </c>
      <c r="J34">
        <f>_xll.EQNXTDZ($A$1,$B34,J$1,$B$1)</f>
        <v>2.92</v>
      </c>
      <c r="K34">
        <f>_xll.EQNXTDZ($A$1,$B34,K$1,$B$1)</f>
        <v>-7.7</v>
      </c>
      <c r="L34">
        <f>_xll.EQNXTDZ($A$1,$B34,L$1,$B$1)</f>
        <v>-4.07</v>
      </c>
      <c r="M34">
        <f>_xll.EQNXTDZ($A$1,$B34,M$1,$B$1)</f>
        <v>-12.64</v>
      </c>
      <c r="N34">
        <f>_xll.EQNXTDZ($A$1,$B34,N$1,$B$1)</f>
        <v>-6.57</v>
      </c>
      <c r="O34">
        <f>_xll.EQNXTDZ($A$1,$B34,O$1,$B$1)</f>
        <v>-8.3800000000000008</v>
      </c>
      <c r="P34">
        <f>_xll.EQNXTDZ($A$1,$B34,P$1,$B$1)</f>
        <v>-5.62</v>
      </c>
      <c r="Q34">
        <f>_xll.EQNXTDZ($A$1,$B34,Q$1,$B$1)</f>
        <v>-7.68</v>
      </c>
      <c r="R34">
        <f>_xll.EQNXTDZ($A$1,$B34,R$1,$B$1)</f>
        <v>-1.02</v>
      </c>
      <c r="S34">
        <f>_xll.EQNXTDZ($A$1,$B34,S$1,$B$1)</f>
        <v>-1.42</v>
      </c>
      <c r="T34">
        <f>_xll.EQNXTDZ($A$1,$B34,T$1,$B$1)</f>
        <v>-2.16</v>
      </c>
      <c r="U34">
        <f>_xll.EQNXTDZ($A$1,$B34,U$1,$B$1)</f>
        <v>-7.52</v>
      </c>
      <c r="V34">
        <f>_xll.EQNXTDZ($A$1,$B34,V$1,$B$1)</f>
        <v>-6.5</v>
      </c>
      <c r="W34">
        <f>_xll.EQNXTDZ($A$1,$B34,W$1,$B$1)</f>
        <v>3.48</v>
      </c>
      <c r="X34">
        <f>_xll.EQNXTDZ($A$1,$B34,X$1,$B$1)</f>
        <v>2.2799999999999998</v>
      </c>
      <c r="Y34">
        <f>_xll.EQNXTDZ($A$1,$B34,Y$1,$B$1)</f>
        <v>-4.74</v>
      </c>
      <c r="Z34">
        <f>_xll.EQNXTDZ($A$1,$B34,Z$1,$B$1)</f>
        <v>-3.67</v>
      </c>
      <c r="AA34">
        <f>_xll.EQNXTDZ($A$1,$B34,AA$1,$B$1)</f>
        <v>6.16</v>
      </c>
      <c r="AB34">
        <f>_xll.EQNXTDZ($A$1,$B34,AB$1,$B$1)</f>
        <v>0.36</v>
      </c>
      <c r="AC34">
        <f>_xll.EQNXTDZ($A$1,$B34,AC$1,$B$1)</f>
        <v>-8.25</v>
      </c>
      <c r="AD34">
        <f>_xll.EQNXTDZ($A$1,$B34,AD$1,$B$1)</f>
        <v>-7.57</v>
      </c>
      <c r="AE34">
        <f>_xll.EQNXTDZ($A$1,$B34,AE$1,$B$1)</f>
        <v>0.68</v>
      </c>
      <c r="AF34">
        <f>_xll.EQNXTDZ($A$1,$B34,AF$1,$B$1)</f>
        <v>2.0099999999999998</v>
      </c>
      <c r="AG34">
        <f>_xll.EQNXTDZ($A$1,$B34,AG$1,$B$1)</f>
        <v>-10.039999999999999</v>
      </c>
      <c r="AH34">
        <f>_xll.EQNXTDZ($A$1,$B34,AH$1,$B$1)</f>
        <v>-1.97</v>
      </c>
      <c r="AI34">
        <f>_xll.EQNXTDZ($A$1,$B34,AI$1,$B$1)</f>
        <v>32.68</v>
      </c>
      <c r="AJ34">
        <f>_xll.EQNXTDZ($A$1,$B34,AJ$1,$B$1)</f>
        <v>22.08</v>
      </c>
      <c r="AK34">
        <f>_xll.EQNXTDZ($A$1,$B34,AK$1,$B$1)</f>
        <v>14.34</v>
      </c>
      <c r="AL34">
        <f>_xll.EQNXTDZ($A$1,$B34,AL$1,$B$1)</f>
        <v>6.42</v>
      </c>
      <c r="AM34">
        <f>_xll.EQNXTDZ($A$1,$B34,AM$1,$B$1)</f>
        <v>24.24</v>
      </c>
      <c r="AN34">
        <f>_xll.EQNXTDZ($A$1,$B34,AN$1,$B$1)</f>
        <v>10.34</v>
      </c>
      <c r="AO34">
        <f>_xll.EQNXTDZ($A$1,$B34,AO$1,$B$1)</f>
        <v>-19.95</v>
      </c>
      <c r="AP34">
        <f>_xll.EQNXTDZ($A$1,$B34,AP$1,$B$1)</f>
        <v>2.62</v>
      </c>
      <c r="AQ34">
        <f>_xll.EQNXTDZ($A$1,$B34,AQ$1,$B$1)</f>
        <v>-10.79</v>
      </c>
      <c r="AR34">
        <f>_xll.EQNXTDZ($A$1,$B34,AR$1,$B$1)</f>
        <v>-8.0299999999999994</v>
      </c>
      <c r="AS34">
        <f>_xll.EQNXTDZ($A$1,$B34,AS$1,$B$1)</f>
        <v>-20.85</v>
      </c>
      <c r="AT34">
        <f>_xll.EQNXTDZ($A$1,$B34,AT$1,$B$1)</f>
        <v>-10.57</v>
      </c>
      <c r="AU34">
        <f>_xll.EQNXTDZ($A$1,$B34,AU$1,$B$1)</f>
        <v>-13.57</v>
      </c>
      <c r="AV34">
        <f>_xll.EQNXTDZ($A$1,$B34,AV$1,$B$1)</f>
        <v>-12.05</v>
      </c>
      <c r="AW34">
        <f>_xll.EQNXTDZ($A$1,$B34,AW$1,$B$1)</f>
        <v>-24.98</v>
      </c>
      <c r="AX34">
        <f>_xll.EQNXTDZ($A$1,$B34,AX$1,$B$1)</f>
        <v>-20.57</v>
      </c>
      <c r="AY34">
        <f>_xll.EQNXTDZ($A$1,$B34,AY$1,$B$1)</f>
        <v>-11.8</v>
      </c>
      <c r="AZ34">
        <f>_xll.EQNXTDZ($A$1,$B34,AZ$1,$B$1)</f>
        <v>-28.13</v>
      </c>
      <c r="BA34">
        <f>_xll.EQNXTDZ($A$1,$B34,BA$1,$B$1)</f>
        <v>-50.21</v>
      </c>
      <c r="BB34">
        <f>_xll.EQNXTDZ($A$1,$B34,BB$1,$B$1)</f>
        <v>-40.36</v>
      </c>
      <c r="BC34">
        <f>_xll.EQNXTDZ($A$1,$B34,BC$1,$B$1)</f>
        <v>-32.950000000000003</v>
      </c>
      <c r="BD34">
        <f>_xll.EQNXTDZ($A$1,$B34,BD$1,$B$1)</f>
        <v>-33.340000000000003</v>
      </c>
      <c r="BE34">
        <f>_xll.EQNXTDZ($A$1,$B34,BE$1,$B$1)</f>
        <v>-51.01</v>
      </c>
      <c r="BF34">
        <f>_xll.EQNXTDZ($A$1,$B34,BF$1,$B$1)</f>
        <v>-45.57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-6.53</v>
      </c>
      <c r="D35">
        <f>_xll.EQNXTDZ($A$1,$B35,D$1,$B$1)</f>
        <v>-0.24</v>
      </c>
      <c r="E35">
        <f>_xll.EQNXTDZ($A$1,$B35,E$1,$B$1)</f>
        <v>0</v>
      </c>
      <c r="F35">
        <f>_xll.EQNXTDZ($A$1,$B35,F$1,$B$1)</f>
        <v>8.8000000000000007</v>
      </c>
      <c r="G35">
        <f>_xll.EQNXTDZ($A$1,$B35,G$1,$B$1)</f>
        <v>-4.8099999999999996</v>
      </c>
      <c r="H35">
        <f>_xll.EQNXTDZ($A$1,$B35,H$1,$B$1)</f>
        <v>-4.28</v>
      </c>
      <c r="I35">
        <f>_xll.EQNXTDZ($A$1,$B35,I$1,$B$1)</f>
        <v>-0.02</v>
      </c>
      <c r="J35">
        <f>_xll.EQNXTDZ($A$1,$B35,J$1,$B$1)</f>
        <v>-4.1399999999999997</v>
      </c>
      <c r="K35">
        <f>_xll.EQNXTDZ($A$1,$B35,K$1,$B$1)</f>
        <v>-2.79</v>
      </c>
      <c r="L35">
        <f>_xll.EQNXTDZ($A$1,$B35,L$1,$B$1)</f>
        <v>-2.61</v>
      </c>
      <c r="M35">
        <f>_xll.EQNXTDZ($A$1,$B35,M$1,$B$1)</f>
        <v>1.85</v>
      </c>
      <c r="N35">
        <f>_xll.EQNXTDZ($A$1,$B35,N$1,$B$1)</f>
        <v>3.51</v>
      </c>
      <c r="O35">
        <f>_xll.EQNXTDZ($A$1,$B35,O$1,$B$1)</f>
        <v>-2.13</v>
      </c>
      <c r="P35">
        <f>_xll.EQNXTDZ($A$1,$B35,P$1,$B$1)</f>
        <v>-29.55</v>
      </c>
      <c r="Q35">
        <f>_xll.EQNXTDZ($A$1,$B35,Q$1,$B$1)</f>
        <v>-12.01</v>
      </c>
      <c r="R35">
        <f>_xll.EQNXTDZ($A$1,$B35,R$1,$B$1)</f>
        <v>3.3</v>
      </c>
      <c r="S35">
        <f>_xll.EQNXTDZ($A$1,$B35,S$1,$B$1)</f>
        <v>-1.46</v>
      </c>
      <c r="T35">
        <f>_xll.EQNXTDZ($A$1,$B35,T$1,$B$1)</f>
        <v>13.78</v>
      </c>
      <c r="U35">
        <f>_xll.EQNXTDZ($A$1,$B35,U$1,$B$1)</f>
        <v>10.66</v>
      </c>
      <c r="V35">
        <f>_xll.EQNXTDZ($A$1,$B35,V$1,$B$1)</f>
        <v>14.58</v>
      </c>
      <c r="W35">
        <f>_xll.EQNXTDZ($A$1,$B35,W$1,$B$1)</f>
        <v>1.27</v>
      </c>
      <c r="X35">
        <f>_xll.EQNXTDZ($A$1,$B35,X$1,$B$1)</f>
        <v>-8.85</v>
      </c>
      <c r="Y35">
        <f>_xll.EQNXTDZ($A$1,$B35,Y$1,$B$1)</f>
        <v>25.5</v>
      </c>
      <c r="Z35">
        <f>_xll.EQNXTDZ($A$1,$B35,Z$1,$B$1)</f>
        <v>22.37</v>
      </c>
      <c r="AA35">
        <f>_xll.EQNXTDZ($A$1,$B35,AA$1,$B$1)</f>
        <v>3</v>
      </c>
      <c r="AB35">
        <f>_xll.EQNXTDZ($A$1,$B35,AB$1,$B$1)</f>
        <v>32.47</v>
      </c>
      <c r="AC35">
        <f>_xll.EQNXTDZ($A$1,$B35,AC$1,$B$1)</f>
        <v>10.42</v>
      </c>
      <c r="AD35">
        <f>_xll.EQNXTDZ($A$1,$B35,AD$1,$B$1)</f>
        <v>5.64</v>
      </c>
      <c r="AE35">
        <f>_xll.EQNXTDZ($A$1,$B35,AE$1,$B$1)</f>
        <v>-5.14</v>
      </c>
      <c r="AF35">
        <f>_xll.EQNXTDZ($A$1,$B35,AF$1,$B$1)</f>
        <v>-10.81</v>
      </c>
      <c r="AG35">
        <f>_xll.EQNXTDZ($A$1,$B35,AG$1,$B$1)</f>
        <v>19.440000000000001</v>
      </c>
      <c r="AH35">
        <f>_xll.EQNXTDZ($A$1,$B35,AH$1,$B$1)</f>
        <v>9.48</v>
      </c>
      <c r="AI35">
        <f>_xll.EQNXTDZ($A$1,$B35,AI$1,$B$1)</f>
        <v>-45.67</v>
      </c>
      <c r="AJ35">
        <f>_xll.EQNXTDZ($A$1,$B35,AJ$1,$B$1)</f>
        <v>-32.39</v>
      </c>
      <c r="AK35">
        <f>_xll.EQNXTDZ($A$1,$B35,AK$1,$B$1)</f>
        <v>-15.56</v>
      </c>
      <c r="AL35">
        <f>_xll.EQNXTDZ($A$1,$B35,AL$1,$B$1)</f>
        <v>-7.8</v>
      </c>
      <c r="AM35">
        <f>_xll.EQNXTDZ($A$1,$B35,AM$1,$B$1)</f>
        <v>-31.53</v>
      </c>
      <c r="AN35">
        <f>_xll.EQNXTDZ($A$1,$B35,AN$1,$B$1)</f>
        <v>-12.57</v>
      </c>
      <c r="AO35">
        <f>_xll.EQNXTDZ($A$1,$B35,AO$1,$B$1)</f>
        <v>9.68</v>
      </c>
      <c r="AP35">
        <f>_xll.EQNXTDZ($A$1,$B35,AP$1,$B$1)</f>
        <v>-8.15</v>
      </c>
      <c r="AQ35">
        <f>_xll.EQNXTDZ($A$1,$B35,AQ$1,$B$1)</f>
        <v>14.71</v>
      </c>
      <c r="AR35">
        <f>_xll.EQNXTDZ($A$1,$B35,AR$1,$B$1)</f>
        <v>5.21</v>
      </c>
      <c r="AS35">
        <f>_xll.EQNXTDZ($A$1,$B35,AS$1,$B$1)</f>
        <v>24.64</v>
      </c>
      <c r="AT35">
        <f>_xll.EQNXTDZ($A$1,$B35,AT$1,$B$1)</f>
        <v>36.840000000000003</v>
      </c>
      <c r="AU35">
        <f>_xll.EQNXTDZ($A$1,$B35,AU$1,$B$1)</f>
        <v>25.41</v>
      </c>
      <c r="AV35">
        <f>_xll.EQNXTDZ($A$1,$B35,AV$1,$B$1)</f>
        <v>19.059999999999999</v>
      </c>
      <c r="AW35">
        <f>_xll.EQNXTDZ($A$1,$B35,AW$1,$B$1)</f>
        <v>38.94</v>
      </c>
      <c r="AX35">
        <f>_xll.EQNXTDZ($A$1,$B35,AX$1,$B$1)</f>
        <v>45.24</v>
      </c>
      <c r="AY35">
        <f>_xll.EQNXTDZ($A$1,$B35,AY$1,$B$1)</f>
        <v>25.98</v>
      </c>
      <c r="AZ35">
        <f>_xll.EQNXTDZ($A$1,$B35,AZ$1,$B$1)</f>
        <v>9.5</v>
      </c>
      <c r="BA35">
        <f>_xll.EQNXTDZ($A$1,$B35,BA$1,$B$1)</f>
        <v>18.71</v>
      </c>
      <c r="BB35">
        <f>_xll.EQNXTDZ($A$1,$B35,BB$1,$B$1)</f>
        <v>22.65</v>
      </c>
      <c r="BC35">
        <f>_xll.EQNXTDZ($A$1,$B35,BC$1,$B$1)</f>
        <v>9.9</v>
      </c>
      <c r="BD35">
        <f>_xll.EQNXTDZ($A$1,$B35,BD$1,$B$1)</f>
        <v>2.08</v>
      </c>
      <c r="BE35">
        <f>_xll.EQNXTDZ($A$1,$B35,BE$1,$B$1)</f>
        <v>19.920000000000002</v>
      </c>
      <c r="BF35">
        <f>_xll.EQNXTDZ($A$1,$B35,BF$1,$B$1)</f>
        <v>20.21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-33.36</v>
      </c>
      <c r="D38">
        <f>_xll.EQNXTDZ($A$1,$B38,D$1,$B$1)</f>
        <v>-57.49</v>
      </c>
      <c r="E38">
        <f>_xll.EQNXTDZ($A$1,$B38,E$1,$B$1)</f>
        <v>64.62</v>
      </c>
      <c r="F38">
        <f>_xll.EQNXTDZ($A$1,$B38,F$1,$B$1)</f>
        <v>-389.16</v>
      </c>
      <c r="G38">
        <f>_xll.EQNXTDZ($A$1,$B38,G$1,$B$1)</f>
        <v>-19.09</v>
      </c>
      <c r="H38">
        <f>_xll.EQNXTDZ($A$1,$B38,H$1,$B$1)</f>
        <v>-433.48</v>
      </c>
      <c r="I38">
        <f>_xll.EQNXTDZ($A$1,$B38,I$1,$B$1)</f>
        <v>59.57</v>
      </c>
      <c r="J38">
        <f>_xll.EQNXTDZ($A$1,$B38,J$1,$B$1)</f>
        <v>-160.85</v>
      </c>
      <c r="K38">
        <f>_xll.EQNXTDZ($A$1,$B38,K$1,$B$1)</f>
        <v>-34.82</v>
      </c>
      <c r="L38">
        <f>_xll.EQNXTDZ($A$1,$B38,L$1,$B$1)</f>
        <v>-97.69</v>
      </c>
      <c r="M38">
        <f>_xll.EQNXTDZ($A$1,$B38,M$1,$B$1)</f>
        <v>61.84</v>
      </c>
      <c r="N38">
        <f>_xll.EQNXTDZ($A$1,$B38,N$1,$B$1)</f>
        <v>-307.43</v>
      </c>
      <c r="O38">
        <f>_xll.EQNXTDZ($A$1,$B38,O$1,$B$1)</f>
        <v>34.78</v>
      </c>
      <c r="P38">
        <f>_xll.EQNXTDZ($A$1,$B38,P$1,$B$1)</f>
        <v>-151.96</v>
      </c>
      <c r="Q38">
        <f>_xll.EQNXTDZ($A$1,$B38,Q$1,$B$1)</f>
        <v>13.31</v>
      </c>
      <c r="R38">
        <f>_xll.EQNXTDZ($A$1,$B38,R$1,$B$1)</f>
        <v>-51.72</v>
      </c>
      <c r="S38">
        <f>_xll.EQNXTDZ($A$1,$B38,S$1,$B$1)</f>
        <v>-169.45</v>
      </c>
      <c r="T38">
        <f>_xll.EQNXTDZ($A$1,$B38,T$1,$B$1)</f>
        <v>-26.76</v>
      </c>
      <c r="U38">
        <f>_xll.EQNXTDZ($A$1,$B38,U$1,$B$1)</f>
        <v>92.98</v>
      </c>
      <c r="V38">
        <f>_xll.EQNXTDZ($A$1,$B38,V$1,$B$1)</f>
        <v>40.03</v>
      </c>
      <c r="W38">
        <f>_xll.EQNXTDZ($A$1,$B38,W$1,$B$1)</f>
        <v>-24.96</v>
      </c>
      <c r="X38">
        <f>_xll.EQNXTDZ($A$1,$B38,X$1,$B$1)</f>
        <v>-57.67</v>
      </c>
      <c r="Y38">
        <f>_xll.EQNXTDZ($A$1,$B38,Y$1,$B$1)</f>
        <v>107.87</v>
      </c>
      <c r="Z38">
        <f>_xll.EQNXTDZ($A$1,$B38,Z$1,$B$1)</f>
        <v>75.63</v>
      </c>
      <c r="AA38">
        <f>_xll.EQNXTDZ($A$1,$B38,AA$1,$B$1)</f>
        <v>15.26</v>
      </c>
      <c r="AB38">
        <f>_xll.EQNXTDZ($A$1,$B38,AB$1,$B$1)</f>
        <v>-5.21</v>
      </c>
      <c r="AC38">
        <f>_xll.EQNXTDZ($A$1,$B38,AC$1,$B$1)</f>
        <v>161.78</v>
      </c>
      <c r="AD38">
        <f>_xll.EQNXTDZ($A$1,$B38,AD$1,$B$1)</f>
        <v>114.99</v>
      </c>
      <c r="AE38">
        <f>_xll.EQNXTDZ($A$1,$B38,AE$1,$B$1)</f>
        <v>5.66</v>
      </c>
      <c r="AF38">
        <f>_xll.EQNXTDZ($A$1,$B38,AF$1,$B$1)</f>
        <v>71.31</v>
      </c>
      <c r="AG38">
        <f>_xll.EQNXTDZ($A$1,$B38,AG$1,$B$1)</f>
        <v>203.13</v>
      </c>
      <c r="AH38">
        <f>_xll.EQNXTDZ($A$1,$B38,AH$1,$B$1)</f>
        <v>74.319999999999993</v>
      </c>
      <c r="AI38">
        <f>_xll.EQNXTDZ($A$1,$B38,AI$1,$B$1)</f>
        <v>-279.92</v>
      </c>
      <c r="AJ38">
        <f>_xll.EQNXTDZ($A$1,$B38,AJ$1,$B$1)</f>
        <v>-230.01</v>
      </c>
      <c r="AK38">
        <f>_xll.EQNXTDZ($A$1,$B38,AK$1,$B$1)</f>
        <v>-118.88</v>
      </c>
      <c r="AL38">
        <f>_xll.EQNXTDZ($A$1,$B38,AL$1,$B$1)</f>
        <v>-91.3</v>
      </c>
      <c r="AM38">
        <f>_xll.EQNXTDZ($A$1,$B38,AM$1,$B$1)</f>
        <v>-277.33999999999997</v>
      </c>
      <c r="AN38">
        <f>_xll.EQNXTDZ($A$1,$B38,AN$1,$B$1)</f>
        <v>-120.58</v>
      </c>
      <c r="AO38">
        <f>_xll.EQNXTDZ($A$1,$B38,AO$1,$B$1)</f>
        <v>76.010000000000005</v>
      </c>
      <c r="AP38">
        <f>_xll.EQNXTDZ($A$1,$B38,AP$1,$B$1)</f>
        <v>74.19</v>
      </c>
      <c r="AQ38">
        <f>_xll.EQNXTDZ($A$1,$B38,AQ$1,$B$1)</f>
        <v>170.05</v>
      </c>
      <c r="AR38">
        <f>_xll.EQNXTDZ($A$1,$B38,AR$1,$B$1)</f>
        <v>121.56</v>
      </c>
      <c r="AS38">
        <f>_xll.EQNXTDZ($A$1,$B38,AS$1,$B$1)</f>
        <v>382.71</v>
      </c>
      <c r="AT38">
        <f>_xll.EQNXTDZ($A$1,$B38,AT$1,$B$1)</f>
        <v>328.27</v>
      </c>
      <c r="AU38">
        <f>_xll.EQNXTDZ($A$1,$B38,AU$1,$B$1)</f>
        <v>222.44</v>
      </c>
      <c r="AV38">
        <f>_xll.EQNXTDZ($A$1,$B38,AV$1,$B$1)</f>
        <v>166.92</v>
      </c>
      <c r="AW38">
        <f>_xll.EQNXTDZ($A$1,$B38,AW$1,$B$1)</f>
        <v>451.95</v>
      </c>
      <c r="AX38">
        <f>_xll.EQNXTDZ($A$1,$B38,AX$1,$B$1)</f>
        <v>417.76</v>
      </c>
      <c r="AY38">
        <f>_xll.EQNXTDZ($A$1,$B38,AY$1,$B$1)</f>
        <v>248.39</v>
      </c>
      <c r="AZ38">
        <f>_xll.EQNXTDZ($A$1,$B38,AZ$1,$B$1)</f>
        <v>554.58000000000004</v>
      </c>
      <c r="BA38">
        <f>_xll.EQNXTDZ($A$1,$B38,BA$1,$B$1)</f>
        <v>582.32000000000005</v>
      </c>
      <c r="BB38">
        <f>_xll.EQNXTDZ($A$1,$B38,BB$1,$B$1)</f>
        <v>522.29999999999995</v>
      </c>
      <c r="BC38">
        <f>_xll.EQNXTDZ($A$1,$B38,BC$1,$B$1)</f>
        <v>296.37</v>
      </c>
      <c r="BD38">
        <f>_xll.EQNXTDZ($A$1,$B38,BD$1,$B$1)</f>
        <v>284.92</v>
      </c>
      <c r="BE38">
        <f>_xll.EQNXTDZ($A$1,$B38,BE$1,$B$1)</f>
        <v>903.23</v>
      </c>
      <c r="BF38">
        <f>_xll.EQNXTDZ($A$1,$B38,BF$1,$B$1)</f>
        <v>599.86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-54.32</v>
      </c>
      <c r="U40">
        <f>_xll.EQNXTDZ($A$1,$B40,U$1,$B$1)</f>
        <v>-23.74</v>
      </c>
      <c r="V40">
        <f>_xll.EQNXTDZ($A$1,$B40,V$1,$B$1)</f>
        <v>86.89</v>
      </c>
      <c r="W40">
        <f>_xll.EQNXTDZ($A$1,$B40,W$1,$B$1)</f>
        <v>104.37</v>
      </c>
      <c r="X40">
        <f>_xll.EQNXTDZ($A$1,$B40,X$1,$B$1)</f>
        <v>48.48</v>
      </c>
      <c r="Y40">
        <f>_xll.EQNXTDZ($A$1,$B40,Y$1,$B$1)</f>
        <v>-24.01</v>
      </c>
      <c r="Z40">
        <f>_xll.EQNXTDZ($A$1,$B40,Z$1,$B$1)</f>
        <v>27.16</v>
      </c>
      <c r="AA40">
        <f>_xll.EQNXTDZ($A$1,$B40,AA$1,$B$1)</f>
        <v>-11.18</v>
      </c>
      <c r="AB40">
        <f>_xll.EQNXTDZ($A$1,$B40,AB$1,$B$1)</f>
        <v>81.61</v>
      </c>
      <c r="AC40">
        <f>_xll.EQNXTDZ($A$1,$B40,AC$1,$B$1)</f>
        <v>-94.58</v>
      </c>
      <c r="AD40">
        <f>_xll.EQNXTDZ($A$1,$B40,AD$1,$B$1)</f>
        <v>-33.01</v>
      </c>
      <c r="AE40">
        <f>_xll.EQNXTDZ($A$1,$B40,AE$1,$B$1)</f>
        <v>-24.76</v>
      </c>
      <c r="AF40">
        <f>_xll.EQNXTDZ($A$1,$B40,AF$1,$B$1)</f>
        <v>-6.51</v>
      </c>
      <c r="AG40">
        <f>_xll.EQNXTDZ($A$1,$B40,AG$1,$B$1)</f>
        <v>134.08000000000001</v>
      </c>
      <c r="AH40">
        <f>_xll.EQNXTDZ($A$1,$B40,AH$1,$B$1)</f>
        <v>-110.37</v>
      </c>
      <c r="AI40">
        <f>_xll.EQNXTDZ($A$1,$B40,AI$1,$B$1)</f>
        <v>65.73</v>
      </c>
      <c r="AJ40">
        <f>_xll.EQNXTDZ($A$1,$B40,AJ$1,$B$1)</f>
        <v>15.73</v>
      </c>
      <c r="AK40">
        <f>_xll.EQNXTDZ($A$1,$B40,AK$1,$B$1)</f>
        <v>118.23</v>
      </c>
      <c r="AL40">
        <f>_xll.EQNXTDZ($A$1,$B40,AL$1,$B$1)</f>
        <v>67.58</v>
      </c>
      <c r="AM40">
        <f>_xll.EQNXTDZ($A$1,$B40,AM$1,$B$1)</f>
        <v>54.59</v>
      </c>
      <c r="AN40">
        <f>_xll.EQNXTDZ($A$1,$B40,AN$1,$B$1)</f>
        <v>1.63</v>
      </c>
      <c r="AO40">
        <f>_xll.EQNXTDZ($A$1,$B40,AO$1,$B$1)</f>
        <v>-34.94</v>
      </c>
      <c r="AP40">
        <f>_xll.EQNXTDZ($A$1,$B40,AP$1,$B$1)</f>
        <v>89</v>
      </c>
      <c r="AQ40">
        <f>_xll.EQNXTDZ($A$1,$B40,AQ$1,$B$1)</f>
        <v>-93.54</v>
      </c>
      <c r="AR40">
        <f>_xll.EQNXTDZ($A$1,$B40,AR$1,$B$1)</f>
        <v>22.88</v>
      </c>
      <c r="AS40">
        <f>_xll.EQNXTDZ($A$1,$B40,AS$1,$B$1)</f>
        <v>146.62</v>
      </c>
      <c r="AT40">
        <f>_xll.EQNXTDZ($A$1,$B40,AT$1,$B$1)</f>
        <v>-44.33</v>
      </c>
      <c r="AU40">
        <f>_xll.EQNXTDZ($A$1,$B40,AU$1,$B$1)</f>
        <v>39.56</v>
      </c>
      <c r="AV40">
        <f>_xll.EQNXTDZ($A$1,$B40,AV$1,$B$1)</f>
        <v>25.27</v>
      </c>
      <c r="AW40">
        <f>_xll.EQNXTDZ($A$1,$B40,AW$1,$B$1)</f>
        <v>141.38999999999999</v>
      </c>
      <c r="AX40">
        <f>_xll.EQNXTDZ($A$1,$B40,AX$1,$B$1)</f>
        <v>111.58</v>
      </c>
      <c r="AY40">
        <f>_xll.EQNXTDZ($A$1,$B40,AY$1,$B$1)</f>
        <v>141.38999999999999</v>
      </c>
      <c r="AZ40">
        <f>_xll.EQNXTDZ($A$1,$B40,AZ$1,$B$1)</f>
        <v>16.670000000000002</v>
      </c>
      <c r="BA40">
        <f>_xll.EQNXTDZ($A$1,$B40,BA$1,$B$1)</f>
        <v>-106.09</v>
      </c>
      <c r="BB40">
        <f>_xll.EQNXTDZ($A$1,$B40,BB$1,$B$1)</f>
        <v>-9.51</v>
      </c>
      <c r="BC40">
        <f>_xll.EQNXTDZ($A$1,$B40,BC$1,$B$1)</f>
        <v>117.29</v>
      </c>
      <c r="BD40">
        <f>_xll.EQNXTDZ($A$1,$B40,BD$1,$B$1)</f>
        <v>63.67</v>
      </c>
      <c r="BE40">
        <f>_xll.EQNXTDZ($A$1,$B40,BE$1,$B$1)</f>
        <v>115.34</v>
      </c>
      <c r="BF40">
        <f>_xll.EQNXTDZ($A$1,$B40,BF$1,$B$1)</f>
        <v>-94.92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34.78</v>
      </c>
      <c r="P41">
        <f>_xll.EQNXTDZ($A$1,$B41,P$1,$B$1)</f>
        <v>-151.96</v>
      </c>
      <c r="Q41">
        <f>_xll.EQNXTDZ($A$1,$B41,Q$1,$B$1)</f>
        <v>13.31</v>
      </c>
      <c r="R41">
        <f>_xll.EQNXTDZ($A$1,$B41,R$1,$B$1)</f>
        <v>0</v>
      </c>
      <c r="S41">
        <f>_xll.EQNXTDZ($A$1,$B41,S$1,$B$1)</f>
        <v>-169.45</v>
      </c>
      <c r="T41">
        <f>_xll.EQNXTDZ($A$1,$B41,T$1,$B$1)</f>
        <v>-74.28</v>
      </c>
      <c r="U41">
        <f>_xll.EQNXTDZ($A$1,$B41,U$1,$B$1)</f>
        <v>79.260000000000005</v>
      </c>
      <c r="V41">
        <f>_xll.EQNXTDZ($A$1,$B41,V$1,$B$1)</f>
        <v>120.52</v>
      </c>
      <c r="W41">
        <f>_xll.EQNXTDZ($A$1,$B41,W$1,$B$1)</f>
        <v>69.39</v>
      </c>
      <c r="X41">
        <f>_xll.EQNXTDZ($A$1,$B41,X$1,$B$1)</f>
        <v>-23.49</v>
      </c>
      <c r="Y41">
        <f>_xll.EQNXTDZ($A$1,$B41,Y$1,$B$1)</f>
        <v>79.78</v>
      </c>
      <c r="Z41">
        <f>_xll.EQNXTDZ($A$1,$B41,Z$1,$B$1)</f>
        <v>92.44</v>
      </c>
      <c r="AA41">
        <f>_xll.EQNXTDZ($A$1,$B41,AA$1,$B$1)</f>
        <v>5.99</v>
      </c>
      <c r="AB41">
        <f>_xll.EQNXTDZ($A$1,$B41,AB$1,$B$1)</f>
        <v>69.28</v>
      </c>
      <c r="AC41">
        <f>_xll.EQNXTDZ($A$1,$B41,AC$1,$B$1)</f>
        <v>75.64</v>
      </c>
      <c r="AD41">
        <f>_xll.EQNXTDZ($A$1,$B41,AD$1,$B$1)</f>
        <v>76.099999999999994</v>
      </c>
      <c r="AE41">
        <f>_xll.EQNXTDZ($A$1,$B41,AE$1,$B$1)</f>
        <v>-18.82</v>
      </c>
      <c r="AF41">
        <f>_xll.EQNXTDZ($A$1,$B41,AF$1,$B$1)</f>
        <v>67.41</v>
      </c>
      <c r="AG41">
        <f>_xll.EQNXTDZ($A$1,$B41,AG$1,$B$1)</f>
        <v>323.64</v>
      </c>
      <c r="AH41">
        <f>_xll.EQNXTDZ($A$1,$B41,AH$1,$B$1)</f>
        <v>-27.63</v>
      </c>
      <c r="AI41">
        <f>_xll.EQNXTDZ($A$1,$B41,AI$1,$B$1)</f>
        <v>-215.2</v>
      </c>
      <c r="AJ41">
        <f>_xll.EQNXTDZ($A$1,$B41,AJ$1,$B$1)</f>
        <v>-222.72</v>
      </c>
      <c r="AK41">
        <f>_xll.EQNXTDZ($A$1,$B41,AK$1,$B$1)</f>
        <v>-15.46</v>
      </c>
      <c r="AL41">
        <f>_xll.EQNXTDZ($A$1,$B41,AL$1,$B$1)</f>
        <v>-26.37</v>
      </c>
      <c r="AM41">
        <f>_xll.EQNXTDZ($A$1,$B41,AM$1,$B$1)</f>
        <v>-229.24</v>
      </c>
      <c r="AN41">
        <f>_xll.EQNXTDZ($A$1,$B41,AN$1,$B$1)</f>
        <v>-121.07</v>
      </c>
      <c r="AO41">
        <f>_xll.EQNXTDZ($A$1,$B41,AO$1,$B$1)</f>
        <v>33.15</v>
      </c>
      <c r="AP41">
        <f>_xll.EQNXTDZ($A$1,$B41,AP$1,$B$1)</f>
        <v>164.93</v>
      </c>
      <c r="AQ41">
        <f>_xll.EQNXTDZ($A$1,$B41,AQ$1,$B$1)</f>
        <v>93.48</v>
      </c>
      <c r="AR41">
        <f>_xll.EQNXTDZ($A$1,$B41,AR$1,$B$1)</f>
        <v>143.47</v>
      </c>
      <c r="AS41">
        <f>_xll.EQNXTDZ($A$1,$B41,AS$1,$B$1)</f>
        <v>510.99</v>
      </c>
      <c r="AT41">
        <f>_xll.EQNXTDZ($A$1,$B41,AT$1,$B$1)</f>
        <v>282.98</v>
      </c>
      <c r="AU41">
        <f>_xll.EQNXTDZ($A$1,$B41,AU$1,$B$1)</f>
        <v>247.21</v>
      </c>
      <c r="AV41">
        <f>_xll.EQNXTDZ($A$1,$B41,AV$1,$B$1)</f>
        <v>196.49</v>
      </c>
      <c r="AW41">
        <f>_xll.EQNXTDZ($A$1,$B41,AW$1,$B$1)</f>
        <v>573.64</v>
      </c>
      <c r="AX41">
        <f>_xll.EQNXTDZ($A$1,$B41,AX$1,$B$1)</f>
        <v>529.86</v>
      </c>
      <c r="AY41">
        <f>_xll.EQNXTDZ($A$1,$B41,AY$1,$B$1)</f>
        <v>395.31</v>
      </c>
      <c r="AZ41">
        <f>_xll.EQNXTDZ($A$1,$B41,AZ$1,$B$1)</f>
        <v>553.52</v>
      </c>
      <c r="BA41">
        <f>_xll.EQNXTDZ($A$1,$B41,BA$1,$B$1)</f>
        <v>494.49</v>
      </c>
      <c r="BB41">
        <f>_xll.EQNXTDZ($A$1,$B41,BB$1,$B$1)</f>
        <v>509.84</v>
      </c>
      <c r="BC41">
        <f>_xll.EQNXTDZ($A$1,$B41,BC$1,$B$1)</f>
        <v>390.94</v>
      </c>
      <c r="BD41">
        <f>_xll.EQNXTDZ($A$1,$B41,BD$1,$B$1)</f>
        <v>349.04</v>
      </c>
      <c r="BE41">
        <f>_xll.EQNXTDZ($A$1,$B41,BE$1,$B$1)</f>
        <v>1004.22</v>
      </c>
      <c r="BF41">
        <f>_xll.EQNXTDZ($A$1,$B41,BF$1,$B$1)</f>
        <v>500.9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-33.36</v>
      </c>
      <c r="D42">
        <f>_xll.EQNXTDZ($A$1,$B42,D$1,$B$1)</f>
        <v>-57.49</v>
      </c>
      <c r="E42">
        <f>_xll.EQNXTDZ($A$1,$B42,E$1,$B$1)</f>
        <v>64.62</v>
      </c>
      <c r="F42">
        <f>_xll.EQNXTDZ($A$1,$B42,F$1,$B$1)</f>
        <v>-389.16</v>
      </c>
      <c r="G42">
        <f>_xll.EQNXTDZ($A$1,$B42,G$1,$B$1)</f>
        <v>-19.09</v>
      </c>
      <c r="H42">
        <f>_xll.EQNXTDZ($A$1,$B42,H$1,$B$1)</f>
        <v>-433.48</v>
      </c>
      <c r="I42">
        <f>_xll.EQNXTDZ($A$1,$B42,I$1,$B$1)</f>
        <v>59.57</v>
      </c>
      <c r="J42">
        <f>_xll.EQNXTDZ($A$1,$B42,J$1,$B$1)</f>
        <v>-160.85</v>
      </c>
      <c r="K42">
        <f>_xll.EQNXTDZ($A$1,$B42,K$1,$B$1)</f>
        <v>-34.82</v>
      </c>
      <c r="L42">
        <f>_xll.EQNXTDZ($A$1,$B42,L$1,$B$1)</f>
        <v>-97.69</v>
      </c>
      <c r="M42">
        <f>_xll.EQNXTDZ($A$1,$B42,M$1,$B$1)</f>
        <v>61.84</v>
      </c>
      <c r="N42">
        <f>_xll.EQNXTDZ($A$1,$B42,N$1,$B$1)</f>
        <v>-307.43</v>
      </c>
      <c r="O42">
        <f>_xll.EQNXTDZ($A$1,$B42,O$1,$B$1)</f>
        <v>34.78</v>
      </c>
      <c r="P42">
        <f>_xll.EQNXTDZ($A$1,$B42,P$1,$B$1)</f>
        <v>-151.96</v>
      </c>
      <c r="Q42">
        <f>_xll.EQNXTDZ($A$1,$B42,Q$1,$B$1)</f>
        <v>13.31</v>
      </c>
      <c r="R42">
        <f>_xll.EQNXTDZ($A$1,$B42,R$1,$B$1)</f>
        <v>-51.72</v>
      </c>
      <c r="S42">
        <f>_xll.EQNXTDZ($A$1,$B42,S$1,$B$1)</f>
        <v>-169.45</v>
      </c>
      <c r="T42">
        <f>_xll.EQNXTDZ($A$1,$B42,T$1,$B$1)</f>
        <v>-26.76</v>
      </c>
      <c r="U42">
        <f>_xll.EQNXTDZ($A$1,$B42,U$1,$B$1)</f>
        <v>92.98</v>
      </c>
      <c r="V42">
        <f>_xll.EQNXTDZ($A$1,$B42,V$1,$B$1)</f>
        <v>40.03</v>
      </c>
      <c r="W42">
        <f>_xll.EQNXTDZ($A$1,$B42,W$1,$B$1)</f>
        <v>-24.96</v>
      </c>
      <c r="X42">
        <f>_xll.EQNXTDZ($A$1,$B42,X$1,$B$1)</f>
        <v>-57.67</v>
      </c>
      <c r="Y42">
        <f>_xll.EQNXTDZ($A$1,$B42,Y$1,$B$1)</f>
        <v>107.87</v>
      </c>
      <c r="Z42">
        <f>_xll.EQNXTDZ($A$1,$B42,Z$1,$B$1)</f>
        <v>75.63</v>
      </c>
      <c r="AA42">
        <f>_xll.EQNXTDZ($A$1,$B42,AA$1,$B$1)</f>
        <v>15.26</v>
      </c>
      <c r="AB42">
        <f>_xll.EQNXTDZ($A$1,$B42,AB$1,$B$1)</f>
        <v>-5.21</v>
      </c>
      <c r="AC42">
        <f>_xll.EQNXTDZ($A$1,$B42,AC$1,$B$1)</f>
        <v>161.78</v>
      </c>
      <c r="AD42">
        <f>_xll.EQNXTDZ($A$1,$B42,AD$1,$B$1)</f>
        <v>114.99</v>
      </c>
      <c r="AE42">
        <f>_xll.EQNXTDZ($A$1,$B42,AE$1,$B$1)</f>
        <v>5.66</v>
      </c>
      <c r="AF42">
        <f>_xll.EQNXTDZ($A$1,$B42,AF$1,$B$1)</f>
        <v>71.31</v>
      </c>
      <c r="AG42">
        <f>_xll.EQNXTDZ($A$1,$B42,AG$1,$B$1)</f>
        <v>203.13</v>
      </c>
      <c r="AH42">
        <f>_xll.EQNXTDZ($A$1,$B42,AH$1,$B$1)</f>
        <v>74.319999999999993</v>
      </c>
      <c r="AI42">
        <f>_xll.EQNXTDZ($A$1,$B42,AI$1,$B$1)</f>
        <v>-279.92</v>
      </c>
      <c r="AJ42">
        <f>_xll.EQNXTDZ($A$1,$B42,AJ$1,$B$1)</f>
        <v>-230.01</v>
      </c>
      <c r="AK42">
        <f>_xll.EQNXTDZ($A$1,$B42,AK$1,$B$1)</f>
        <v>-118.88</v>
      </c>
      <c r="AL42">
        <f>_xll.EQNXTDZ($A$1,$B42,AL$1,$B$1)</f>
        <v>-91.3</v>
      </c>
      <c r="AM42">
        <f>_xll.EQNXTDZ($A$1,$B42,AM$1,$B$1)</f>
        <v>-277.33999999999997</v>
      </c>
      <c r="AN42">
        <f>_xll.EQNXTDZ($A$1,$B42,AN$1,$B$1)</f>
        <v>-120.58</v>
      </c>
      <c r="AO42">
        <f>_xll.EQNXTDZ($A$1,$B42,AO$1,$B$1)</f>
        <v>76.010000000000005</v>
      </c>
      <c r="AP42">
        <f>_xll.EQNXTDZ($A$1,$B42,AP$1,$B$1)</f>
        <v>74.19</v>
      </c>
      <c r="AQ42">
        <f>_xll.EQNXTDZ($A$1,$B42,AQ$1,$B$1)</f>
        <v>170.05</v>
      </c>
      <c r="AR42">
        <f>_xll.EQNXTDZ($A$1,$B42,AR$1,$B$1)</f>
        <v>121.56</v>
      </c>
      <c r="AS42">
        <f>_xll.EQNXTDZ($A$1,$B42,AS$1,$B$1)</f>
        <v>382.71</v>
      </c>
      <c r="AT42">
        <f>_xll.EQNXTDZ($A$1,$B42,AT$1,$B$1)</f>
        <v>328.27</v>
      </c>
      <c r="AU42">
        <f>_xll.EQNXTDZ($A$1,$B42,AU$1,$B$1)</f>
        <v>222.44</v>
      </c>
      <c r="AV42">
        <f>_xll.EQNXTDZ($A$1,$B42,AV$1,$B$1)</f>
        <v>166.92</v>
      </c>
      <c r="AW42">
        <f>_xll.EQNXTDZ($A$1,$B42,AW$1,$B$1)</f>
        <v>451.95</v>
      </c>
      <c r="AX42">
        <f>_xll.EQNXTDZ($A$1,$B42,AX$1,$B$1)</f>
        <v>417.76</v>
      </c>
      <c r="AY42">
        <f>_xll.EQNXTDZ($A$1,$B42,AY$1,$B$1)</f>
        <v>248.39</v>
      </c>
      <c r="AZ42">
        <f>_xll.EQNXTDZ($A$1,$B42,AZ$1,$B$1)</f>
        <v>554.58000000000004</v>
      </c>
      <c r="BA42">
        <f>_xll.EQNXTDZ($A$1,$B42,BA$1,$B$1)</f>
        <v>582.32000000000005</v>
      </c>
      <c r="BB42">
        <f>_xll.EQNXTDZ($A$1,$B42,BB$1,$B$1)</f>
        <v>522.29999999999995</v>
      </c>
      <c r="BC42">
        <f>_xll.EQNXTDZ($A$1,$B42,BC$1,$B$1)</f>
        <v>296.37</v>
      </c>
      <c r="BD42">
        <f>_xll.EQNXTDZ($A$1,$B42,BD$1,$B$1)</f>
        <v>284.92</v>
      </c>
      <c r="BE42">
        <f>_xll.EQNXTDZ($A$1,$B42,BE$1,$B$1)</f>
        <v>903.23</v>
      </c>
      <c r="BF42">
        <f>_xll.EQNXTDZ($A$1,$B42,BF$1,$B$1)</f>
        <v>599.86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80.75</v>
      </c>
      <c r="D45">
        <f>_xll.EQNXTDZ($A$1,$B45,D$1,$B$1)</f>
        <v>80.75</v>
      </c>
      <c r="E45">
        <f>_xll.EQNXTDZ($A$1,$B45,E$1,$B$1)</f>
        <v>80.75</v>
      </c>
      <c r="F45">
        <f>_xll.EQNXTDZ($A$1,$B45,F$1,$B$1)</f>
        <v>80.75</v>
      </c>
      <c r="G45">
        <f>_xll.EQNXTDZ($A$1,$B45,G$1,$B$1)</f>
        <v>80.75</v>
      </c>
      <c r="H45">
        <f>_xll.EQNXTDZ($A$1,$B45,H$1,$B$1)</f>
        <v>80.75</v>
      </c>
      <c r="I45">
        <f>_xll.EQNXTDZ($A$1,$B45,I$1,$B$1)</f>
        <v>80.75</v>
      </c>
      <c r="J45">
        <f>_xll.EQNXTDZ($A$1,$B45,J$1,$B$1)</f>
        <v>80.75</v>
      </c>
      <c r="K45">
        <f>_xll.EQNXTDZ($A$1,$B45,K$1,$B$1)</f>
        <v>80.75</v>
      </c>
      <c r="L45">
        <f>_xll.EQNXTDZ($A$1,$B45,L$1,$B$1)</f>
        <v>80.75</v>
      </c>
      <c r="M45">
        <f>_xll.EQNXTDZ($A$1,$B45,M$1,$B$1)</f>
        <v>80.75</v>
      </c>
      <c r="N45">
        <f>_xll.EQNXTDZ($A$1,$B45,N$1,$B$1)</f>
        <v>80.75</v>
      </c>
      <c r="O45">
        <f>_xll.EQNXTDZ($A$1,$B45,O$1,$B$1)</f>
        <v>80.75</v>
      </c>
      <c r="P45">
        <f>_xll.EQNXTDZ($A$1,$B45,P$1,$B$1)</f>
        <v>80.75</v>
      </c>
      <c r="Q45">
        <f>_xll.EQNXTDZ($A$1,$B45,Q$1,$B$1)</f>
        <v>80.75</v>
      </c>
      <c r="R45">
        <f>_xll.EQNXTDZ($A$1,$B45,R$1,$B$1)</f>
        <v>98.93</v>
      </c>
      <c r="S45">
        <f>_xll.EQNXTDZ($A$1,$B45,S$1,$B$1)</f>
        <v>98.93</v>
      </c>
      <c r="T45">
        <f>_xll.EQNXTDZ($A$1,$B45,T$1,$B$1)</f>
        <v>98.93</v>
      </c>
      <c r="U45">
        <f>_xll.EQNXTDZ($A$1,$B45,U$1,$B$1)</f>
        <v>98.93</v>
      </c>
      <c r="V45">
        <f>_xll.EQNXTDZ($A$1,$B45,V$1,$B$1)</f>
        <v>98.93</v>
      </c>
      <c r="W45">
        <f>_xll.EQNXTDZ($A$1,$B45,W$1,$B$1)</f>
        <v>98.93</v>
      </c>
      <c r="X45">
        <f>_xll.EQNXTDZ($A$1,$B45,X$1,$B$1)</f>
        <v>98.93</v>
      </c>
      <c r="Y45">
        <f>_xll.EQNXTDZ($A$1,$B45,Y$1,$B$1)</f>
        <v>118.93</v>
      </c>
      <c r="Z45">
        <f>_xll.EQNXTDZ($A$1,$B45,Z$1,$B$1)</f>
        <v>118.93</v>
      </c>
      <c r="AA45">
        <f>_xll.EQNXTDZ($A$1,$B45,AA$1,$B$1)</f>
        <v>118.93</v>
      </c>
      <c r="AB45">
        <f>_xll.EQNXTDZ($A$1,$B45,AB$1,$B$1)</f>
        <v>118.93</v>
      </c>
      <c r="AC45">
        <f>_xll.EQNXTDZ($A$1,$B45,AC$1,$B$1)</f>
        <v>118.93</v>
      </c>
      <c r="AD45">
        <f>_xll.EQNXTDZ($A$1,$B45,AD$1,$B$1)</f>
        <v>118.93</v>
      </c>
      <c r="AE45">
        <f>_xll.EQNXTDZ($A$1,$B45,AE$1,$B$1)</f>
        <v>118.93</v>
      </c>
      <c r="AF45">
        <f>_xll.EQNXTDZ($A$1,$B45,AF$1,$B$1)</f>
        <v>118.93</v>
      </c>
      <c r="AG45">
        <f>_xll.EQNXTDZ($A$1,$B45,AG$1,$B$1)</f>
        <v>118.93</v>
      </c>
      <c r="AH45">
        <f>_xll.EQNXTDZ($A$1,$B45,AH$1,$B$1)</f>
        <v>118.93</v>
      </c>
      <c r="AI45">
        <f>_xll.EQNXTDZ($A$1,$B45,AI$1,$B$1)</f>
        <v>118.93</v>
      </c>
      <c r="AJ45">
        <f>_xll.EQNXTDZ($A$1,$B45,AJ$1,$B$1)</f>
        <v>118.93</v>
      </c>
      <c r="AK45">
        <f>_xll.EQNXTDZ($A$1,$B45,AK$1,$B$1)</f>
        <v>118.93</v>
      </c>
      <c r="AL45">
        <f>_xll.EQNXTDZ($A$1,$B45,AL$1,$B$1)</f>
        <v>118.93</v>
      </c>
      <c r="AM45">
        <f>_xll.EQNXTDZ($A$1,$B45,AM$1,$B$1)</f>
        <v>118.93</v>
      </c>
      <c r="AN45">
        <f>_xll.EQNXTDZ($A$1,$B45,AN$1,$B$1)</f>
        <v>118.93</v>
      </c>
      <c r="AO45">
        <f>_xll.EQNXTDZ($A$1,$B45,AO$1,$B$1)</f>
        <v>132.13999999999999</v>
      </c>
      <c r="AP45">
        <f>_xll.EQNXTDZ($A$1,$B45,AP$1,$B$1)</f>
        <v>142.04</v>
      </c>
      <c r="AQ45">
        <f>_xll.EQNXTDZ($A$1,$B45,AQ$1,$B$1)</f>
        <v>142.04</v>
      </c>
      <c r="AR45">
        <f>_xll.EQNXTDZ($A$1,$B45,AR$1,$B$1)</f>
        <v>142.04</v>
      </c>
      <c r="AS45">
        <f>_xll.EQNXTDZ($A$1,$B45,AS$1,$B$1)</f>
        <v>142.04</v>
      </c>
      <c r="AT45">
        <f>_xll.EQNXTDZ($A$1,$B45,AT$1,$B$1)</f>
        <v>142.04</v>
      </c>
      <c r="AU45">
        <f>_xll.EQNXTDZ($A$1,$B45,AU$1,$B$1)</f>
        <v>142.04</v>
      </c>
      <c r="AV45">
        <f>_xll.EQNXTDZ($A$1,$B45,AV$1,$B$1)</f>
        <v>142.04</v>
      </c>
      <c r="AW45">
        <f>_xll.EQNXTDZ($A$1,$B45,AW$1,$B$1)</f>
        <v>142.34</v>
      </c>
      <c r="AX45">
        <f>_xll.EQNXTDZ($A$1,$B45,AX$1,$B$1)</f>
        <v>142.34</v>
      </c>
      <c r="AY45">
        <f>_xll.EQNXTDZ($A$1,$B45,AY$1,$B$1)</f>
        <v>142.34</v>
      </c>
      <c r="AZ45">
        <f>_xll.EQNXTDZ($A$1,$B45,AZ$1,$B$1)</f>
        <v>142.34</v>
      </c>
      <c r="BA45">
        <f>_xll.EQNXTDZ($A$1,$B45,BA$1,$B$1)</f>
        <v>142.34</v>
      </c>
      <c r="BB45">
        <f>_xll.EQNXTDZ($A$1,$B45,BB$1,$B$1)</f>
        <v>142.34</v>
      </c>
      <c r="BC45">
        <f>_xll.EQNXTDZ($A$1,$B45,BC$1,$B$1)</f>
        <v>142.34</v>
      </c>
      <c r="BD45">
        <f>_xll.EQNXTDZ($A$1,$B45,BD$1,$B$1)</f>
        <v>142.34</v>
      </c>
      <c r="BE45">
        <f>_xll.EQNXTDZ($A$1,$B45,BE$1,$B$1)</f>
        <v>142.34</v>
      </c>
      <c r="BF45">
        <f>_xll.EQNXTDZ($A$1,$B45,BF$1,$B$1)</f>
        <v>142.34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</v>
      </c>
      <c r="D46">
        <f>_xll.EQNXTDZ($A$1,$B46,D$1,$B$1)</f>
        <v>1</v>
      </c>
      <c r="E46">
        <f>_xll.EQNXTDZ($A$1,$B46,E$1,$B$1)</f>
        <v>1</v>
      </c>
      <c r="F46">
        <f>_xll.EQNXTDZ($A$1,$B46,F$1,$B$1)</f>
        <v>1</v>
      </c>
      <c r="G46">
        <f>_xll.EQNXTDZ($A$1,$B46,G$1,$B$1)</f>
        <v>1</v>
      </c>
      <c r="H46">
        <f>_xll.EQNXTDZ($A$1,$B46,H$1,$B$1)</f>
        <v>1</v>
      </c>
      <c r="I46">
        <f>_xll.EQNXTDZ($A$1,$B46,I$1,$B$1)</f>
        <v>1</v>
      </c>
      <c r="J46">
        <f>_xll.EQNXTDZ($A$1,$B46,J$1,$B$1)</f>
        <v>1</v>
      </c>
      <c r="K46">
        <f>_xll.EQNXTDZ($A$1,$B46,K$1,$B$1)</f>
        <v>1</v>
      </c>
      <c r="L46">
        <f>_xll.EQNXTDZ($A$1,$B46,L$1,$B$1)</f>
        <v>1</v>
      </c>
      <c r="M46">
        <f>_xll.EQNXTDZ($A$1,$B46,M$1,$B$1)</f>
        <v>1</v>
      </c>
      <c r="N46">
        <f>_xll.EQNXTDZ($A$1,$B46,N$1,$B$1)</f>
        <v>1</v>
      </c>
      <c r="O46">
        <f>_xll.EQNXTDZ($A$1,$B46,O$1,$B$1)</f>
        <v>1</v>
      </c>
      <c r="P46">
        <f>_xll.EQNXTDZ($A$1,$B46,P$1,$B$1)</f>
        <v>1</v>
      </c>
      <c r="Q46">
        <f>_xll.EQNXTDZ($A$1,$B46,Q$1,$B$1)</f>
        <v>1</v>
      </c>
      <c r="R46">
        <f>_xll.EQNXTDZ($A$1,$B46,R$1,$B$1)</f>
        <v>1</v>
      </c>
      <c r="S46">
        <f>_xll.EQNXTDZ($A$1,$B46,S$1,$B$1)</f>
        <v>1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55.891898732998598</v>
      </c>
      <c r="D48" s="55">
        <f>_xll.EQNXTDZ($A$1,$B48,D$5)</f>
        <v>61.018347236918203</v>
      </c>
      <c r="E48" s="55">
        <f>_xll.EQNXTDZ($A$1,$B48,E$5)</f>
        <v>57.026068755989698</v>
      </c>
      <c r="F48" s="55">
        <f>_xll.EQNXTDZ($A$1,$B48,F$5)</f>
        <v>48.542476984016702</v>
      </c>
      <c r="G48" s="55">
        <f>_xll.EQNXTDZ($A$1,$B48,G$5)</f>
        <v>43.552128882856103</v>
      </c>
      <c r="H48" s="55">
        <f>_xll.EQNXTDZ($A$1,$B48,H$5)</f>
        <v>43.506762081936401</v>
      </c>
      <c r="I48" s="55">
        <f>_xll.EQNXTDZ($A$1,$B48,I$5)</f>
        <v>55.9372655339183</v>
      </c>
      <c r="J48" s="55">
        <f>_xll.EQNXTDZ($A$1,$B48,J$5)</f>
        <v>65.600394129801998</v>
      </c>
      <c r="K48" s="55">
        <f>_xll.EQNXTDZ($A$1,$B48,K$5)</f>
        <v>94.408312713774507</v>
      </c>
      <c r="L48" s="55">
        <f>_xll.EQNXTDZ($A$1,$B48,L$5)</f>
        <v>88.238427788703206</v>
      </c>
      <c r="M48" s="55">
        <f>_xll.EQNXTDZ($A$1,$B48,M$5)</f>
        <v>113.870670308301</v>
      </c>
      <c r="N48" s="55">
        <f>_xll.EQNXTDZ($A$1,$B48,N$5)</f>
        <v>106.022213749203</v>
      </c>
      <c r="O48" s="55">
        <f>_xll.EQNXTDZ($A$1,$B48,O$5)</f>
        <v>82.885145280185498</v>
      </c>
      <c r="P48" s="55">
        <f>_xll.EQNXTDZ($A$1,$B48,P$5)</f>
        <v>78.166997984542704</v>
      </c>
      <c r="Q48" s="55">
        <f>_xll.EQNXTDZ($A$1,$B48,Q$5)</f>
        <v>105.88611334644401</v>
      </c>
      <c r="R48" s="55">
        <f>_xll.EQNXTDZ($A$1,$B48,R$5)</f>
        <v>90.098466626408495</v>
      </c>
      <c r="S48" s="55">
        <f>_xll.EQNXTDZ($A$1,$B48,S$5)</f>
        <v>115.322407937729</v>
      </c>
      <c r="T48" s="55">
        <f>_xll.EQNXTDZ($A$1,$B48,T$5)</f>
        <v>118.679551205783</v>
      </c>
      <c r="U48" s="55">
        <f>_xll.EQNXTDZ($A$1,$B48,U$5)</f>
        <v>89.100397006176394</v>
      </c>
      <c r="V48" s="55">
        <f>_xll.EQNXTDZ($A$1,$B48,V$5)</f>
        <v>115.23167433589001</v>
      </c>
      <c r="W48" s="55">
        <f>_xll.EQNXTDZ($A$1,$B48,W$5)</f>
        <v>120.99325805268499</v>
      </c>
      <c r="X48" s="55">
        <f>_xll.EQNXTDZ($A$1,$B48,X$5)</f>
        <v>105.341711735408</v>
      </c>
      <c r="Y48" s="55">
        <f>_xll.EQNXTDZ($A$1,$B48,Y$5)</f>
        <v>114.396341745774</v>
      </c>
      <c r="Z48" s="55">
        <f>_xll.EQNXTDZ($A$1,$B48,Z$5)</f>
        <v>123.460797638342</v>
      </c>
      <c r="AA48" s="55">
        <f>_xll.EQNXTDZ($A$1,$B48,AA$5)</f>
        <v>127.96878907154399</v>
      </c>
      <c r="AB48" s="55">
        <f>_xll.EQNXTDZ($A$1,$B48,AB$5)</f>
        <v>131.313427876823</v>
      </c>
      <c r="AC48" s="55">
        <f>_xll.EQNXTDZ($A$1,$B48,AC$5)</f>
        <v>143.18931928687201</v>
      </c>
      <c r="AD48" s="55">
        <f>_xll.EQNXTDZ($A$1,$B48,AD$5)</f>
        <v>149.63623176661301</v>
      </c>
      <c r="AE48" s="55">
        <f>_xll.EQNXTDZ($A$1,$B48,AE$5)</f>
        <v>152.641559388747</v>
      </c>
      <c r="AF48" s="55">
        <f>_xll.EQNXTDZ($A$1,$B48,AF$5)</f>
        <v>154.82284556610301</v>
      </c>
      <c r="AG48" s="55">
        <f>_xll.EQNXTDZ($A$1,$B48,AG$5)</f>
        <v>140.57177587404499</v>
      </c>
      <c r="AH48" s="55">
        <f>_xll.EQNXTDZ($A$1,$B48,AH$5)</f>
        <v>72.612593192868701</v>
      </c>
      <c r="AI48" s="55">
        <f>_xll.EQNXTDZ($A$1,$B48,AI$5)</f>
        <v>77.411422783051606</v>
      </c>
      <c r="AJ48" s="55">
        <f>_xll.EQNXTDZ($A$1,$B48,AJ$5)</f>
        <v>91.807911553600405</v>
      </c>
      <c r="AK48" s="55">
        <f>_xll.EQNXTDZ($A$1,$B48,AK$5)</f>
        <v>116.43220884464</v>
      </c>
      <c r="AL48" s="55">
        <f>_xll.EQNXTDZ($A$1,$B48,AL$5)</f>
        <v>107.513172030563</v>
      </c>
      <c r="AM48" s="55">
        <f>_xll.EQNXTDZ($A$1,$B48,AM$5)</f>
        <v>136.98477193794901</v>
      </c>
      <c r="AN48" s="55">
        <f>_xll.EQNXTDZ($A$1,$B48,AN$5)</f>
        <v>175.76319286872001</v>
      </c>
      <c r="AO48" s="55">
        <f>_xll.EQNXTDZ($A$1,$B48,AO$5)</f>
        <v>180.6</v>
      </c>
      <c r="AP48" s="55">
        <f>_xll.EQNXTDZ($A$1,$B48,AP$5)</f>
        <v>238.4</v>
      </c>
      <c r="AQ48" s="55">
        <f>_xll.EQNXTDZ($A$1,$B48,AQ$5)</f>
        <v>225.15</v>
      </c>
      <c r="AR48" s="55">
        <f>_xll.EQNXTDZ($A$1,$B48,AR$5)</f>
        <v>331.75</v>
      </c>
      <c r="AS48" s="55">
        <f>_xll.EQNXTDZ($A$1,$B48,AS$5)</f>
        <v>318.55</v>
      </c>
      <c r="AT48" s="55">
        <f>_xll.EQNXTDZ($A$1,$B48,AT$5)</f>
        <v>324.39999999999998</v>
      </c>
      <c r="AU48" s="55">
        <f>_xll.EQNXTDZ($A$1,$B48,AU$5)</f>
        <v>392.55</v>
      </c>
      <c r="AV48" s="55">
        <f>_xll.EQNXTDZ($A$1,$B48,AV$5)</f>
        <v>411.1</v>
      </c>
      <c r="AW48" s="55">
        <f>_xll.EQNXTDZ($A$1,$B48,AW$5)</f>
        <v>438.2</v>
      </c>
      <c r="AX48" s="55">
        <f>_xll.EQNXTDZ($A$1,$B48,AX$5)</f>
        <v>591.35</v>
      </c>
      <c r="AY48" s="55">
        <f>_xll.EQNXTDZ($A$1,$B48,AY$5)</f>
        <v>625.70000000000005</v>
      </c>
      <c r="AZ48" s="55">
        <f>_xll.EQNXTDZ($A$1,$B48,AZ$5)</f>
        <v>684.75</v>
      </c>
      <c r="BA48" s="55">
        <f>_xll.EQNXTDZ($A$1,$B48,BA$5)</f>
        <v>876.4</v>
      </c>
      <c r="BB48" s="55">
        <f>_xll.EQNXTDZ($A$1,$B48,BB$5)</f>
        <v>786.65</v>
      </c>
      <c r="BC48" s="55">
        <f>_xll.EQNXTDZ($A$1,$B48,BC$5)</f>
        <v>760.2</v>
      </c>
      <c r="BD48" s="55">
        <f>_xll.EQNXTDZ($A$1,$B48,BD$5)</f>
        <v>720.4</v>
      </c>
      <c r="BE48" s="55">
        <f>_xll.EQNXTDZ($A$1,$B48,BE$5)</f>
        <v>738.75</v>
      </c>
      <c r="BF48" s="55">
        <f>_xll.EQNXTDZ($A$1,$B48,BF$5)</f>
        <v>570.75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37.53</v>
      </c>
      <c r="D49" s="55">
        <f>_xll.EQNXTDZ($A$1,$B49,D$5)</f>
        <v>37.53</v>
      </c>
      <c r="E49" s="55">
        <f>_xll.EQNXTDZ($A$1,$B49,E$5)</f>
        <v>37.53</v>
      </c>
      <c r="F49" s="55">
        <f>_xll.EQNXTDZ($A$1,$B49,F$5)</f>
        <v>37.53</v>
      </c>
      <c r="G49" s="55">
        <f>_xll.EQNXTDZ($A$1,$B49,G$5)</f>
        <v>37.53</v>
      </c>
      <c r="H49" s="55">
        <f>_xll.EQNXTDZ($A$1,$B49,H$5)</f>
        <v>37.53</v>
      </c>
      <c r="I49" s="55">
        <f>_xll.EQNXTDZ($A$1,$B49,I$5)</f>
        <v>37.53</v>
      </c>
      <c r="J49" s="55">
        <f>_xll.EQNXTDZ($A$1,$B49,J$5)</f>
        <v>37.53</v>
      </c>
      <c r="K49" s="55">
        <f>_xll.EQNXTDZ($A$1,$B49,K$5)</f>
        <v>37.53</v>
      </c>
      <c r="L49" s="55">
        <f>_xll.EQNXTDZ($A$1,$B49,L$5)</f>
        <v>37.53</v>
      </c>
      <c r="M49" s="55">
        <f>_xll.EQNXTDZ($A$1,$B49,M$5)</f>
        <v>37.53</v>
      </c>
      <c r="N49" s="55">
        <f>_xll.EQNXTDZ($A$1,$B49,N$5)</f>
        <v>37.53</v>
      </c>
      <c r="O49" s="55">
        <f>_xll.EQNXTDZ($A$1,$B49,O$5)</f>
        <v>37.53</v>
      </c>
      <c r="P49" s="55">
        <f>_xll.EQNXTDZ($A$1,$B49,P$5)</f>
        <v>37.53</v>
      </c>
      <c r="Q49" s="55">
        <f>_xll.EQNXTDZ($A$1,$B49,Q$5)</f>
        <v>37.53</v>
      </c>
      <c r="R49" s="55">
        <f>_xll.EQNXTDZ($A$1,$B49,R$5)</f>
        <v>38.65</v>
      </c>
      <c r="S49" s="55">
        <f>_xll.EQNXTDZ($A$1,$B49,S$5)</f>
        <v>38.65</v>
      </c>
      <c r="T49" s="55">
        <f>_xll.EQNXTDZ($A$1,$B49,T$5)</f>
        <v>38.65</v>
      </c>
      <c r="U49" s="55">
        <f>_xll.EQNXTDZ($A$1,$B49,U$5)</f>
        <v>38.65</v>
      </c>
      <c r="V49" s="55">
        <f>_xll.EQNXTDZ($A$1,$B49,V$5)</f>
        <v>38.65</v>
      </c>
      <c r="W49" s="55">
        <f>_xll.EQNXTDZ($A$1,$B49,W$5)</f>
        <v>38.65</v>
      </c>
      <c r="X49" s="55">
        <f>_xll.EQNXTDZ($A$1,$B49,X$5)</f>
        <v>38.65</v>
      </c>
      <c r="Y49" s="55">
        <f>_xll.EQNXTDZ($A$1,$B49,Y$5)</f>
        <v>39.090000000000003</v>
      </c>
      <c r="Z49" s="55">
        <f>_xll.EQNXTDZ($A$1,$B49,Z$5)</f>
        <v>39.090000000000003</v>
      </c>
      <c r="AA49" s="55">
        <f>_xll.EQNXTDZ($A$1,$B49,AA$5)</f>
        <v>39.090000000000003</v>
      </c>
      <c r="AB49" s="55">
        <f>_xll.EQNXTDZ($A$1,$B49,AB$5)</f>
        <v>39.090000000000003</v>
      </c>
      <c r="AC49" s="55">
        <f>_xll.EQNXTDZ($A$1,$B49,AC$5)</f>
        <v>39.090000000000003</v>
      </c>
      <c r="AD49" s="55">
        <f>_xll.EQNXTDZ($A$1,$B49,AD$5)</f>
        <v>39.090000000000003</v>
      </c>
      <c r="AE49" s="55">
        <f>_xll.EQNXTDZ($A$1,$B49,AE$5)</f>
        <v>39.090000000000003</v>
      </c>
      <c r="AF49" s="55">
        <f>_xll.EQNXTDZ($A$1,$B49,AF$5)</f>
        <v>39.090000000000003</v>
      </c>
      <c r="AG49" s="55">
        <f>_xll.EQNXTDZ($A$1,$B49,AG$5)</f>
        <v>39.090000000000003</v>
      </c>
      <c r="AH49" s="55">
        <f>_xll.EQNXTDZ($A$1,$B49,AH$5)</f>
        <v>40.75</v>
      </c>
      <c r="AI49" s="55">
        <f>_xll.EQNXTDZ($A$1,$B49,AI$5)</f>
        <v>40.75</v>
      </c>
      <c r="AJ49" s="55">
        <f>_xll.EQNXTDZ($A$1,$B49,AJ$5)</f>
        <v>40.75</v>
      </c>
      <c r="AK49" s="55">
        <f>_xll.EQNXTDZ($A$1,$B49,AK$5)</f>
        <v>40.75</v>
      </c>
      <c r="AL49" s="55">
        <f>_xll.EQNXTDZ($A$1,$B49,AL$5)</f>
        <v>40.75</v>
      </c>
      <c r="AM49" s="55">
        <f>_xll.EQNXTDZ($A$1,$B49,AM$5)</f>
        <v>40.75</v>
      </c>
      <c r="AN49" s="55">
        <f>_xll.EQNXTDZ($A$1,$B49,AN$5)</f>
        <v>40.75</v>
      </c>
      <c r="AO49" s="55">
        <f>_xll.EQNXTDZ($A$1,$B49,AO$5)</f>
        <v>41.05</v>
      </c>
      <c r="AP49" s="55">
        <f>_xll.EQNXTDZ($A$1,$B49,AP$5)</f>
        <v>38.19</v>
      </c>
      <c r="AQ49" s="55">
        <f>_xll.EQNXTDZ($A$1,$B49,AQ$5)</f>
        <v>38.19</v>
      </c>
      <c r="AR49" s="55">
        <f>_xll.EQNXTDZ($A$1,$B49,AR$5)</f>
        <v>38.19</v>
      </c>
      <c r="AS49" s="55">
        <f>_xll.EQNXTDZ($A$1,$B49,AS$5)</f>
        <v>38.19</v>
      </c>
      <c r="AT49" s="55">
        <f>_xll.EQNXTDZ($A$1,$B49,AT$5)</f>
        <v>38.19</v>
      </c>
      <c r="AU49" s="55">
        <f>_xll.EQNXTDZ($A$1,$B49,AU$5)</f>
        <v>38.19</v>
      </c>
      <c r="AV49" s="55">
        <f>_xll.EQNXTDZ($A$1,$B49,AV$5)</f>
        <v>38.19</v>
      </c>
      <c r="AW49" s="55">
        <f>_xll.EQNXTDZ($A$1,$B49,AW$5)</f>
        <v>38.119999999999997</v>
      </c>
      <c r="AX49" s="55">
        <f>_xll.EQNXTDZ($A$1,$B49,AX$5)</f>
        <v>38.119999999999997</v>
      </c>
      <c r="AY49" s="55">
        <f>_xll.EQNXTDZ($A$1,$B49,AY$5)</f>
        <v>38.119999999999997</v>
      </c>
      <c r="AZ49" s="55">
        <f>_xll.EQNXTDZ($A$1,$B49,AZ$5)</f>
        <v>38.119999999999997</v>
      </c>
      <c r="BA49" s="55">
        <f>_xll.EQNXTDZ($A$1,$B49,BA$5)</f>
        <v>38.119999999999997</v>
      </c>
      <c r="BB49" s="55">
        <f>_xll.EQNXTDZ($A$1,$B49,BB$5)</f>
        <v>38.119999999999997</v>
      </c>
      <c r="BC49" s="55">
        <f>_xll.EQNXTDZ($A$1,$B49,BC$5)</f>
        <v>38.119999999999997</v>
      </c>
      <c r="BD49" s="55">
        <f>_xll.EQNXTDZ($A$1,$B49,BD$5)</f>
        <v>38.119999999999997</v>
      </c>
      <c r="BE49" s="55">
        <f>_xll.EQNXTDZ($A$1,$B49,BE$5)</f>
        <v>38.119999999999997</v>
      </c>
      <c r="BF49" s="55">
        <f>_xll.EQNXTDZ($A$1,$B49,BF$5)</f>
        <v>38.119999999999997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80.75</v>
      </c>
      <c r="E56" s="55">
        <f>_xll.EQNXTDZ($A$1,$B56,E$5,$B$1)</f>
        <v>0</v>
      </c>
      <c r="F56" s="55">
        <f>_xll.EQNXTDZ($A$1,$B56,F$5,$B$1)</f>
        <v>80.75</v>
      </c>
      <c r="G56" s="55">
        <f>_xll.EQNXTDZ($A$1,$B56,G$5,$B$1)</f>
        <v>0</v>
      </c>
      <c r="H56" s="55">
        <f>_xll.EQNXTDZ($A$1,$B56,H$5,$B$1)</f>
        <v>80.75</v>
      </c>
      <c r="I56" s="55">
        <f>_xll.EQNXTDZ($A$1,$B56,I$5,$B$1)</f>
        <v>0</v>
      </c>
      <c r="J56" s="55">
        <f>_xll.EQNXTDZ($A$1,$B56,J$5,$B$1)</f>
        <v>80.75</v>
      </c>
      <c r="K56" s="55">
        <f>_xll.EQNXTDZ($A$1,$B56,K$5,$B$1)</f>
        <v>0</v>
      </c>
      <c r="L56" s="55">
        <f>_xll.EQNXTDZ($A$1,$B56,L$5,$B$1)</f>
        <v>80.75</v>
      </c>
      <c r="M56" s="55">
        <f>_xll.EQNXTDZ($A$1,$B56,M$5,$B$1)</f>
        <v>0</v>
      </c>
      <c r="N56" s="55">
        <f>_xll.EQNXTDZ($A$1,$B56,N$5,$B$1)</f>
        <v>80.75</v>
      </c>
      <c r="O56" s="55">
        <f>_xll.EQNXTDZ($A$1,$B56,O$5,$B$1)</f>
        <v>0</v>
      </c>
      <c r="P56" s="55">
        <f>_xll.EQNXTDZ($A$1,$B56,P$5,$B$1)</f>
        <v>80.75</v>
      </c>
      <c r="Q56" s="55">
        <f>_xll.EQNXTDZ($A$1,$B56,Q$5,$B$1)</f>
        <v>0</v>
      </c>
      <c r="R56" s="55">
        <f>_xll.EQNXTDZ($A$1,$B56,R$5,$B$1)</f>
        <v>98.93</v>
      </c>
      <c r="S56" s="55">
        <f>_xll.EQNXTDZ($A$1,$B56,S$5,$B$1)</f>
        <v>0</v>
      </c>
      <c r="T56" s="55">
        <f>_xll.EQNXTDZ($A$1,$B56,T$5,$B$1)</f>
        <v>98.93</v>
      </c>
      <c r="U56" s="55">
        <f>_xll.EQNXTDZ($A$1,$B56,U$5,$B$1)</f>
        <v>0</v>
      </c>
      <c r="V56" s="55">
        <f>_xll.EQNXTDZ($A$1,$B56,V$5,$B$1)</f>
        <v>98.93</v>
      </c>
      <c r="W56" s="55">
        <f>_xll.EQNXTDZ($A$1,$B56,W$5,$B$1)</f>
        <v>0</v>
      </c>
      <c r="X56" s="55">
        <f>_xll.EQNXTDZ($A$1,$B56,X$5,$B$1)</f>
        <v>98.93</v>
      </c>
      <c r="Y56" s="55">
        <f>_xll.EQNXTDZ($A$1,$B56,Y$5,$B$1)</f>
        <v>0</v>
      </c>
      <c r="Z56" s="55">
        <f>_xll.EQNXTDZ($A$1,$B56,Z$5,$B$1)</f>
        <v>118.93</v>
      </c>
      <c r="AA56" s="55">
        <f>_xll.EQNXTDZ($A$1,$B56,AA$5,$B$1)</f>
        <v>0</v>
      </c>
      <c r="AB56" s="55">
        <f>_xll.EQNXTDZ($A$1,$B56,AB$5,$B$1)</f>
        <v>118.93</v>
      </c>
      <c r="AC56" s="55">
        <f>_xll.EQNXTDZ($A$1,$B56,AC$5,$B$1)</f>
        <v>0</v>
      </c>
      <c r="AD56" s="55">
        <f>_xll.EQNXTDZ($A$1,$B56,AD$5,$B$1)</f>
        <v>118.93</v>
      </c>
      <c r="AE56" s="55">
        <f>_xll.EQNXTDZ($A$1,$B56,AE$5,$B$1)</f>
        <v>0</v>
      </c>
      <c r="AF56" s="55">
        <f>_xll.EQNXTDZ($A$1,$B56,AF$5,$B$1)</f>
        <v>118.93</v>
      </c>
      <c r="AG56" s="55">
        <f>_xll.EQNXTDZ($A$1,$B56,AG$5,$B$1)</f>
        <v>0</v>
      </c>
      <c r="AH56" s="55">
        <f>_xll.EQNXTDZ($A$1,$B56,AH$5,$B$1)</f>
        <v>118.93</v>
      </c>
      <c r="AI56" s="55">
        <f>_xll.EQNXTDZ($A$1,$B56,AI$5,$B$1)</f>
        <v>0</v>
      </c>
      <c r="AJ56" s="55">
        <f>_xll.EQNXTDZ($A$1,$B56,AJ$5,$B$1)</f>
        <v>118.93</v>
      </c>
      <c r="AK56" s="55">
        <f>_xll.EQNXTDZ($A$1,$B56,AK$5,$B$1)</f>
        <v>0</v>
      </c>
      <c r="AL56" s="55">
        <f>_xll.EQNXTDZ($A$1,$B56,AL$5,$B$1)</f>
        <v>118.93</v>
      </c>
      <c r="AM56" s="55">
        <f>_xll.EQNXTDZ($A$1,$B56,AM$5,$B$1)</f>
        <v>0</v>
      </c>
      <c r="AN56" s="55">
        <f>_xll.EQNXTDZ($A$1,$B56,AN$5,$B$1)</f>
        <v>118.93</v>
      </c>
      <c r="AO56" s="55">
        <f>_xll.EQNXTDZ($A$1,$B56,AO$5,$B$1)</f>
        <v>0</v>
      </c>
      <c r="AP56" s="55">
        <f>_xll.EQNXTDZ($A$1,$B56,AP$5,$B$1)</f>
        <v>142.04</v>
      </c>
      <c r="AQ56" s="55">
        <f>_xll.EQNXTDZ($A$1,$B56,AQ$5,$B$1)</f>
        <v>0</v>
      </c>
      <c r="AR56" s="55">
        <f>_xll.EQNXTDZ($A$1,$B56,AR$5,$B$1)</f>
        <v>142.04</v>
      </c>
      <c r="AS56" s="55">
        <f>_xll.EQNXTDZ($A$1,$B56,AS$5,$B$1)</f>
        <v>0</v>
      </c>
      <c r="AT56" s="55">
        <f>_xll.EQNXTDZ($A$1,$B56,AT$5,$B$1)</f>
        <v>142.04</v>
      </c>
      <c r="AU56" s="55">
        <f>_xll.EQNXTDZ($A$1,$B56,AU$5,$B$1)</f>
        <v>0</v>
      </c>
      <c r="AV56" s="55">
        <f>_xll.EQNXTDZ($A$1,$B56,AV$5,$B$1)</f>
        <v>142.04</v>
      </c>
      <c r="AW56" s="55">
        <f>_xll.EQNXTDZ($A$1,$B56,AW$5,$B$1)</f>
        <v>0</v>
      </c>
      <c r="AX56" s="55">
        <f>_xll.EQNXTDZ($A$1,$B56,AX$5,$B$1)</f>
        <v>142.34</v>
      </c>
      <c r="AY56" s="55">
        <f>_xll.EQNXTDZ($A$1,$B56,AY$5,$B$1)</f>
        <v>0</v>
      </c>
      <c r="AZ56" s="55">
        <f>_xll.EQNXTDZ($A$1,$B56,AZ$5,$B$1)</f>
        <v>142.34</v>
      </c>
      <c r="BA56" s="55">
        <f>_xll.EQNXTDZ($A$1,$B56,BA$5,$B$1)</f>
        <v>0</v>
      </c>
      <c r="BB56" s="55">
        <f>_xll.EQNXTDZ($A$1,$B56,BB$5,$B$1)</f>
        <v>142.34</v>
      </c>
      <c r="BC56" s="55">
        <f>_xll.EQNXTDZ($A$1,$B56,BC$5,$B$1)</f>
        <v>0</v>
      </c>
      <c r="BD56" s="55">
        <f>_xll.EQNXTDZ($A$1,$B56,BD$5,$B$1)</f>
        <v>142.34</v>
      </c>
      <c r="BE56" s="55">
        <f>_xll.EQNXTDZ($A$1,$B56,BE$5,$B$1)</f>
        <v>0</v>
      </c>
      <c r="BF56" s="55">
        <f>_xll.EQNXTDZ($A$1,$B56,BF$5,$B$1)</f>
        <v>142.34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3587.81</v>
      </c>
      <c r="E58" s="55">
        <f>_xll.EQNXTDZ($A$1,$B58,E$5,$B$1)</f>
        <v>0</v>
      </c>
      <c r="F58" s="55">
        <f>_xll.EQNXTDZ($A$1,$B58,F$5,$B$1)</f>
        <v>2898.53</v>
      </c>
      <c r="G58" s="55">
        <f>_xll.EQNXTDZ($A$1,$B58,G$5,$B$1)</f>
        <v>0</v>
      </c>
      <c r="H58" s="55">
        <f>_xll.EQNXTDZ($A$1,$B58,H$5,$B$1)</f>
        <v>2883.97</v>
      </c>
      <c r="I58" s="55">
        <f>_xll.EQNXTDZ($A$1,$B58,I$5,$B$1)</f>
        <v>0</v>
      </c>
      <c r="J58" s="55">
        <f>_xll.EQNXTDZ($A$1,$B58,J$5,$B$1)</f>
        <v>2555.71</v>
      </c>
      <c r="K58" s="55">
        <f>_xll.EQNXTDZ($A$1,$B58,K$5,$B$1)</f>
        <v>0</v>
      </c>
      <c r="L58" s="55">
        <f>_xll.EQNXTDZ($A$1,$B58,L$5,$B$1)</f>
        <v>2589.61</v>
      </c>
      <c r="M58" s="55">
        <f>_xll.EQNXTDZ($A$1,$B58,M$5,$B$1)</f>
        <v>0</v>
      </c>
      <c r="N58" s="55">
        <f>_xll.EQNXTDZ($A$1,$B58,N$5,$B$1)</f>
        <v>2146.4699999999998</v>
      </c>
      <c r="O58" s="55">
        <f>_xll.EQNXTDZ($A$1,$B58,O$5,$B$1)</f>
        <v>0</v>
      </c>
      <c r="P58" s="55">
        <f>_xll.EQNXTDZ($A$1,$B58,P$5,$B$1)</f>
        <v>2584.15</v>
      </c>
      <c r="Q58" s="55">
        <f>_xll.EQNXTDZ($A$1,$B58,Q$5,$B$1)</f>
        <v>0</v>
      </c>
      <c r="R58" s="55">
        <f>_xll.EQNXTDZ($A$1,$B58,R$5,$B$1)</f>
        <v>2481.3200000000002</v>
      </c>
      <c r="S58" s="55">
        <f>_xll.EQNXTDZ($A$1,$B58,S$5,$B$1)</f>
        <v>0</v>
      </c>
      <c r="T58" s="55">
        <f>_xll.EQNXTDZ($A$1,$B58,T$5,$B$1)</f>
        <v>2479.2800000000002</v>
      </c>
      <c r="U58" s="55">
        <f>_xll.EQNXTDZ($A$1,$B58,U$5,$B$1)</f>
        <v>0</v>
      </c>
      <c r="V58" s="55">
        <f>_xll.EQNXTDZ($A$1,$B58,V$5,$B$1)</f>
        <v>2418.7600000000002</v>
      </c>
      <c r="W58" s="55">
        <f>_xll.EQNXTDZ($A$1,$B58,W$5,$B$1)</f>
        <v>0</v>
      </c>
      <c r="X58" s="55">
        <f>_xll.EQNXTDZ($A$1,$B58,X$5,$B$1)</f>
        <v>2417.1999999999998</v>
      </c>
      <c r="Y58" s="55">
        <f>_xll.EQNXTDZ($A$1,$B58,Y$5,$B$1)</f>
        <v>0</v>
      </c>
      <c r="Z58" s="55">
        <f>_xll.EQNXTDZ($A$1,$B58,Z$5,$B$1)</f>
        <v>4062.17</v>
      </c>
      <c r="AA58" s="55">
        <f>_xll.EQNXTDZ($A$1,$B58,AA$5,$B$1)</f>
        <v>0</v>
      </c>
      <c r="AB58" s="55">
        <f>_xll.EQNXTDZ($A$1,$B58,AB$5,$B$1)</f>
        <v>4081.24</v>
      </c>
      <c r="AC58" s="55">
        <f>_xll.EQNXTDZ($A$1,$B58,AC$5,$B$1)</f>
        <v>0</v>
      </c>
      <c r="AD58" s="55">
        <f>_xll.EQNXTDZ($A$1,$B58,AD$5,$B$1)</f>
        <v>4229.07</v>
      </c>
      <c r="AE58" s="55">
        <f>_xll.EQNXTDZ($A$1,$B58,AE$5,$B$1)</f>
        <v>0</v>
      </c>
      <c r="AF58" s="55">
        <f>_xll.EQNXTDZ($A$1,$B58,AF$5,$B$1)</f>
        <v>3942.8</v>
      </c>
      <c r="AG58" s="55">
        <f>_xll.EQNXTDZ($A$1,$B58,AG$5,$B$1)</f>
        <v>0</v>
      </c>
      <c r="AH58" s="55">
        <f>_xll.EQNXTDZ($A$1,$B58,AH$5,$B$1)</f>
        <v>4237.88</v>
      </c>
      <c r="AI58" s="55">
        <f>_xll.EQNXTDZ($A$1,$B58,AI$5,$B$1)</f>
        <v>0</v>
      </c>
      <c r="AJ58" s="55">
        <f>_xll.EQNXTDZ($A$1,$B58,AJ$5,$B$1)</f>
        <v>3571.35</v>
      </c>
      <c r="AK58" s="55">
        <f>_xll.EQNXTDZ($A$1,$B58,AK$5,$B$1)</f>
        <v>0</v>
      </c>
      <c r="AL58" s="55">
        <f>_xll.EQNXTDZ($A$1,$B58,AL$5,$B$1)</f>
        <v>3529.51</v>
      </c>
      <c r="AM58" s="55">
        <f>_xll.EQNXTDZ($A$1,$B58,AM$5,$B$1)</f>
        <v>0</v>
      </c>
      <c r="AN58" s="55">
        <f>_xll.EQNXTDZ($A$1,$B58,AN$5,$B$1)</f>
        <v>3131.63</v>
      </c>
      <c r="AO58" s="55">
        <f>_xll.EQNXTDZ($A$1,$B58,AO$5,$B$1)</f>
        <v>0</v>
      </c>
      <c r="AP58" s="55">
        <f>_xll.EQNXTDZ($A$1,$B58,AP$5,$B$1)</f>
        <v>6920.21</v>
      </c>
      <c r="AQ58" s="55">
        <f>_xll.EQNXTDZ($A$1,$B58,AQ$5,$B$1)</f>
        <v>0</v>
      </c>
      <c r="AR58" s="55">
        <f>_xll.EQNXTDZ($A$1,$B58,AR$5,$B$1)</f>
        <v>7045.94</v>
      </c>
      <c r="AS58" s="55">
        <f>_xll.EQNXTDZ($A$1,$B58,AS$5,$B$1)</f>
        <v>0</v>
      </c>
      <c r="AT58" s="55">
        <f>_xll.EQNXTDZ($A$1,$B58,AT$5,$B$1)</f>
        <v>7839.92</v>
      </c>
      <c r="AU58" s="55">
        <f>_xll.EQNXTDZ($A$1,$B58,AU$5,$B$1)</f>
        <v>0</v>
      </c>
      <c r="AV58" s="55">
        <f>_xll.EQNXTDZ($A$1,$B58,AV$5,$B$1)</f>
        <v>8141.58</v>
      </c>
      <c r="AW58" s="55">
        <f>_xll.EQNXTDZ($A$1,$B58,AW$5,$B$1)</f>
        <v>0</v>
      </c>
      <c r="AX58" s="55">
        <f>_xll.EQNXTDZ($A$1,$B58,AX$5,$B$1)</f>
        <v>9314.31</v>
      </c>
      <c r="AY58" s="55">
        <f>_xll.EQNXTDZ($A$1,$B58,AY$5,$B$1)</f>
        <v>0</v>
      </c>
      <c r="AZ58" s="55">
        <f>_xll.EQNXTDZ($A$1,$B58,AZ$5,$B$1)</f>
        <v>10014.040000000001</v>
      </c>
      <c r="BA58" s="55">
        <f>_xll.EQNXTDZ($A$1,$B58,BA$5,$B$1)</f>
        <v>0</v>
      </c>
      <c r="BB58" s="55">
        <f>_xll.EQNXTDZ($A$1,$B58,BB$5,$B$1)</f>
        <v>11018.37</v>
      </c>
      <c r="BC58" s="55">
        <f>_xll.EQNXTDZ($A$1,$B58,BC$5,$B$1)</f>
        <v>0</v>
      </c>
      <c r="BD58" s="55">
        <f>_xll.EQNXTDZ($A$1,$B58,BD$5,$B$1)</f>
        <v>11427.09</v>
      </c>
      <c r="BE58" s="55">
        <f>_xll.EQNXTDZ($A$1,$B58,BE$5,$B$1)</f>
        <v>0</v>
      </c>
      <c r="BF58" s="55">
        <f>_xll.EQNXTDZ($A$1,$B58,BF$5,$B$1)</f>
        <v>12909.95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3668.56</v>
      </c>
      <c r="E59" s="55">
        <f>_xll.EQNXTDZ($A$1,$B59,E$5,$B$1)</f>
        <v>0</v>
      </c>
      <c r="F59" s="55">
        <f>_xll.EQNXTDZ($A$1,$B59,F$5,$B$1)</f>
        <v>2979.28</v>
      </c>
      <c r="G59" s="55">
        <f>_xll.EQNXTDZ($A$1,$B59,G$5,$B$1)</f>
        <v>0</v>
      </c>
      <c r="H59" s="55">
        <f>_xll.EQNXTDZ($A$1,$B59,H$5,$B$1)</f>
        <v>2964.72</v>
      </c>
      <c r="I59" s="55">
        <f>_xll.EQNXTDZ($A$1,$B59,I$5,$B$1)</f>
        <v>0</v>
      </c>
      <c r="J59" s="55">
        <f>_xll.EQNXTDZ($A$1,$B59,J$5,$B$1)</f>
        <v>2636.46</v>
      </c>
      <c r="K59" s="55">
        <f>_xll.EQNXTDZ($A$1,$B59,K$5,$B$1)</f>
        <v>0</v>
      </c>
      <c r="L59" s="55">
        <f>_xll.EQNXTDZ($A$1,$B59,L$5,$B$1)</f>
        <v>2670.36</v>
      </c>
      <c r="M59" s="55">
        <f>_xll.EQNXTDZ($A$1,$B59,M$5,$B$1)</f>
        <v>0</v>
      </c>
      <c r="N59" s="55">
        <f>_xll.EQNXTDZ($A$1,$B59,N$5,$B$1)</f>
        <v>2227.2199999999998</v>
      </c>
      <c r="O59" s="55">
        <f>_xll.EQNXTDZ($A$1,$B59,O$5,$B$1)</f>
        <v>0</v>
      </c>
      <c r="P59" s="55">
        <f>_xll.EQNXTDZ($A$1,$B59,P$5,$B$1)</f>
        <v>2664.9</v>
      </c>
      <c r="Q59" s="55">
        <f>_xll.EQNXTDZ($A$1,$B59,Q$5,$B$1)</f>
        <v>0</v>
      </c>
      <c r="R59" s="55">
        <f>_xll.EQNXTDZ($A$1,$B59,R$5,$B$1)</f>
        <v>2580.25</v>
      </c>
      <c r="S59" s="55">
        <f>_xll.EQNXTDZ($A$1,$B59,S$5,$B$1)</f>
        <v>0</v>
      </c>
      <c r="T59" s="55">
        <f>_xll.EQNXTDZ($A$1,$B59,T$5,$B$1)</f>
        <v>2578.21</v>
      </c>
      <c r="U59" s="55">
        <f>_xll.EQNXTDZ($A$1,$B59,U$5,$B$1)</f>
        <v>0</v>
      </c>
      <c r="V59" s="55">
        <f>_xll.EQNXTDZ($A$1,$B59,V$5,$B$1)</f>
        <v>2517.69</v>
      </c>
      <c r="W59" s="55">
        <f>_xll.EQNXTDZ($A$1,$B59,W$5,$B$1)</f>
        <v>0</v>
      </c>
      <c r="X59" s="55">
        <f>_xll.EQNXTDZ($A$1,$B59,X$5,$B$1)</f>
        <v>2516.13</v>
      </c>
      <c r="Y59" s="55">
        <f>_xll.EQNXTDZ($A$1,$B59,Y$5,$B$1)</f>
        <v>0</v>
      </c>
      <c r="Z59" s="55">
        <f>_xll.EQNXTDZ($A$1,$B59,Z$5,$B$1)</f>
        <v>4181.1000000000004</v>
      </c>
      <c r="AA59" s="55">
        <f>_xll.EQNXTDZ($A$1,$B59,AA$5,$B$1)</f>
        <v>0</v>
      </c>
      <c r="AB59" s="55">
        <f>_xll.EQNXTDZ($A$1,$B59,AB$5,$B$1)</f>
        <v>4200.17</v>
      </c>
      <c r="AC59" s="55">
        <f>_xll.EQNXTDZ($A$1,$B59,AC$5,$B$1)</f>
        <v>0</v>
      </c>
      <c r="AD59" s="55">
        <f>_xll.EQNXTDZ($A$1,$B59,AD$5,$B$1)</f>
        <v>4348</v>
      </c>
      <c r="AE59" s="55">
        <f>_xll.EQNXTDZ($A$1,$B59,AE$5,$B$1)</f>
        <v>0</v>
      </c>
      <c r="AF59" s="55">
        <f>_xll.EQNXTDZ($A$1,$B59,AF$5,$B$1)</f>
        <v>4061.73</v>
      </c>
      <c r="AG59" s="55">
        <f>_xll.EQNXTDZ($A$1,$B59,AG$5,$B$1)</f>
        <v>0</v>
      </c>
      <c r="AH59" s="55">
        <f>_xll.EQNXTDZ($A$1,$B59,AH$5,$B$1)</f>
        <v>4356.8100000000004</v>
      </c>
      <c r="AI59" s="55">
        <f>_xll.EQNXTDZ($A$1,$B59,AI$5,$B$1)</f>
        <v>0</v>
      </c>
      <c r="AJ59" s="55">
        <f>_xll.EQNXTDZ($A$1,$B59,AJ$5,$B$1)</f>
        <v>3690.28</v>
      </c>
      <c r="AK59" s="55">
        <f>_xll.EQNXTDZ($A$1,$B59,AK$5,$B$1)</f>
        <v>0</v>
      </c>
      <c r="AL59" s="55">
        <f>_xll.EQNXTDZ($A$1,$B59,AL$5,$B$1)</f>
        <v>3648.44</v>
      </c>
      <c r="AM59" s="55">
        <f>_xll.EQNXTDZ($A$1,$B59,AM$5,$B$1)</f>
        <v>0</v>
      </c>
      <c r="AN59" s="55">
        <f>_xll.EQNXTDZ($A$1,$B59,AN$5,$B$1)</f>
        <v>3250.56</v>
      </c>
      <c r="AO59" s="55">
        <f>_xll.EQNXTDZ($A$1,$B59,AO$5,$B$1)</f>
        <v>0</v>
      </c>
      <c r="AP59" s="55">
        <f>_xll.EQNXTDZ($A$1,$B59,AP$5,$B$1)</f>
        <v>7062.25</v>
      </c>
      <c r="AQ59" s="55">
        <f>_xll.EQNXTDZ($A$1,$B59,AQ$5,$B$1)</f>
        <v>0</v>
      </c>
      <c r="AR59" s="55">
        <f>_xll.EQNXTDZ($A$1,$B59,AR$5,$B$1)</f>
        <v>7187.98</v>
      </c>
      <c r="AS59" s="55">
        <f>_xll.EQNXTDZ($A$1,$B59,AS$5,$B$1)</f>
        <v>0</v>
      </c>
      <c r="AT59" s="55">
        <f>_xll.EQNXTDZ($A$1,$B59,AT$5,$B$1)</f>
        <v>7981.96</v>
      </c>
      <c r="AU59" s="55">
        <f>_xll.EQNXTDZ($A$1,$B59,AU$5,$B$1)</f>
        <v>0</v>
      </c>
      <c r="AV59" s="55">
        <f>_xll.EQNXTDZ($A$1,$B59,AV$5,$B$1)</f>
        <v>8283.6200000000008</v>
      </c>
      <c r="AW59" s="55">
        <f>_xll.EQNXTDZ($A$1,$B59,AW$5,$B$1)</f>
        <v>0</v>
      </c>
      <c r="AX59" s="55">
        <f>_xll.EQNXTDZ($A$1,$B59,AX$5,$B$1)</f>
        <v>9456.65</v>
      </c>
      <c r="AY59" s="55">
        <f>_xll.EQNXTDZ($A$1,$B59,AY$5,$B$1)</f>
        <v>0</v>
      </c>
      <c r="AZ59" s="55">
        <f>_xll.EQNXTDZ($A$1,$B59,AZ$5,$B$1)</f>
        <v>10156.379999999999</v>
      </c>
      <c r="BA59" s="55">
        <f>_xll.EQNXTDZ($A$1,$B59,BA$5,$B$1)</f>
        <v>0</v>
      </c>
      <c r="BB59" s="55">
        <f>_xll.EQNXTDZ($A$1,$B59,BB$5,$B$1)</f>
        <v>11160.71</v>
      </c>
      <c r="BC59" s="55">
        <f>_xll.EQNXTDZ($A$1,$B59,BC$5,$B$1)</f>
        <v>0</v>
      </c>
      <c r="BD59" s="55">
        <f>_xll.EQNXTDZ($A$1,$B59,BD$5,$B$1)</f>
        <v>11569.43</v>
      </c>
      <c r="BE59" s="55">
        <f>_xll.EQNXTDZ($A$1,$B59,BE$5,$B$1)</f>
        <v>0</v>
      </c>
      <c r="BF59" s="55">
        <f>_xll.EQNXTDZ($A$1,$B59,BF$5,$B$1)</f>
        <v>13052.29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707.72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735.86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737.84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742.93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737.82</v>
      </c>
      <c r="W60" s="55">
        <f>_xll.EQNXTDZ($A$1,$B60,W$5,$B$1)</f>
        <v>0</v>
      </c>
      <c r="X60" s="55">
        <f>_xll.EQNXTDZ($A$1,$B60,X$5,$B$1)</f>
        <v>754.68</v>
      </c>
      <c r="Y60" s="55">
        <f>_xll.EQNXTDZ($A$1,$B60,Y$5,$B$1)</f>
        <v>0</v>
      </c>
      <c r="Z60" s="55">
        <f>_xll.EQNXTDZ($A$1,$B60,Z$5,$B$1)</f>
        <v>777.39</v>
      </c>
      <c r="AA60" s="55">
        <f>_xll.EQNXTDZ($A$1,$B60,AA$5,$B$1)</f>
        <v>0</v>
      </c>
      <c r="AB60" s="55">
        <f>_xll.EQNXTDZ($A$1,$B60,AB$5,$B$1)</f>
        <v>767.11</v>
      </c>
      <c r="AC60" s="55">
        <f>_xll.EQNXTDZ($A$1,$B60,AC$5,$B$1)</f>
        <v>0</v>
      </c>
      <c r="AD60" s="55">
        <f>_xll.EQNXTDZ($A$1,$B60,AD$5,$B$1)</f>
        <v>799.86</v>
      </c>
      <c r="AE60" s="55">
        <f>_xll.EQNXTDZ($A$1,$B60,AE$5,$B$1)</f>
        <v>0</v>
      </c>
      <c r="AF60" s="55">
        <f>_xll.EQNXTDZ($A$1,$B60,AF$5,$B$1)</f>
        <v>745.09</v>
      </c>
      <c r="AG60" s="55">
        <f>_xll.EQNXTDZ($A$1,$B60,AG$5,$B$1)</f>
        <v>0</v>
      </c>
      <c r="AH60" s="55">
        <f>_xll.EQNXTDZ($A$1,$B60,AH$5,$B$1)</f>
        <v>764.9</v>
      </c>
      <c r="AI60" s="55">
        <f>_xll.EQNXTDZ($A$1,$B60,AI$5,$B$1)</f>
        <v>0</v>
      </c>
      <c r="AJ60" s="55">
        <f>_xll.EQNXTDZ($A$1,$B60,AJ$5,$B$1)</f>
        <v>638.27</v>
      </c>
      <c r="AK60" s="55">
        <f>_xll.EQNXTDZ($A$1,$B60,AK$5,$B$1)</f>
        <v>0</v>
      </c>
      <c r="AL60" s="55">
        <f>_xll.EQNXTDZ($A$1,$B60,AL$5,$B$1)</f>
        <v>634.57000000000005</v>
      </c>
      <c r="AM60" s="55">
        <f>_xll.EQNXTDZ($A$1,$B60,AM$5,$B$1)</f>
        <v>0</v>
      </c>
      <c r="AN60" s="55">
        <f>_xll.EQNXTDZ($A$1,$B60,AN$5,$B$1)</f>
        <v>608.6</v>
      </c>
      <c r="AO60" s="55">
        <f>_xll.EQNXTDZ($A$1,$B60,AO$5,$B$1)</f>
        <v>0</v>
      </c>
      <c r="AP60" s="55">
        <f>_xll.EQNXTDZ($A$1,$B60,AP$5,$B$1)</f>
        <v>593.01</v>
      </c>
      <c r="AQ60" s="55">
        <f>_xll.EQNXTDZ($A$1,$B60,AQ$5,$B$1)</f>
        <v>0</v>
      </c>
      <c r="AR60" s="55">
        <f>_xll.EQNXTDZ($A$1,$B60,AR$5,$B$1)</f>
        <v>615.47</v>
      </c>
      <c r="AS60" s="55">
        <f>_xll.EQNXTDZ($A$1,$B60,AS$5,$B$1)</f>
        <v>0</v>
      </c>
      <c r="AT60" s="55">
        <f>_xll.EQNXTDZ($A$1,$B60,AT$5,$B$1)</f>
        <v>660.09</v>
      </c>
      <c r="AU60" s="55">
        <f>_xll.EQNXTDZ($A$1,$B60,AU$5,$B$1)</f>
        <v>0</v>
      </c>
      <c r="AV60" s="55">
        <f>_xll.EQNXTDZ($A$1,$B60,AV$5,$B$1)</f>
        <v>692.72</v>
      </c>
      <c r="AW60" s="55">
        <f>_xll.EQNXTDZ($A$1,$B60,AW$5,$B$1)</f>
        <v>0</v>
      </c>
      <c r="AX60" s="55">
        <f>_xll.EQNXTDZ($A$1,$B60,AX$5,$B$1)</f>
        <v>672.06</v>
      </c>
      <c r="AY60" s="55">
        <f>_xll.EQNXTDZ($A$1,$B60,AY$5,$B$1)</f>
        <v>0</v>
      </c>
      <c r="AZ60" s="55">
        <f>_xll.EQNXTDZ($A$1,$B60,AZ$5,$B$1)</f>
        <v>1165.45</v>
      </c>
      <c r="BA60" s="55">
        <f>_xll.EQNXTDZ($A$1,$B60,BA$5,$B$1)</f>
        <v>0</v>
      </c>
      <c r="BB60" s="55">
        <f>_xll.EQNXTDZ($A$1,$B60,BB$5,$B$1)</f>
        <v>1254.9000000000001</v>
      </c>
      <c r="BC60" s="55">
        <f>_xll.EQNXTDZ($A$1,$B60,BC$5,$B$1)</f>
        <v>0</v>
      </c>
      <c r="BD60" s="55">
        <f>_xll.EQNXTDZ($A$1,$B60,BD$5,$B$1)</f>
        <v>1328.04</v>
      </c>
      <c r="BE60" s="55">
        <f>_xll.EQNXTDZ($A$1,$B60,BE$5,$B$1)</f>
        <v>0</v>
      </c>
      <c r="BF60" s="55">
        <f>_xll.EQNXTDZ($A$1,$B60,BF$5,$B$1)</f>
        <v>1887.03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2287.2399999999998</v>
      </c>
      <c r="E61" s="55">
        <f>_xll.EQNXTDZ($A$1,$B61,E$5,$B$1)</f>
        <v>0</v>
      </c>
      <c r="F61" s="55">
        <f>_xll.EQNXTDZ($A$1,$B61,F$5,$B$1)</f>
        <v>3431.18</v>
      </c>
      <c r="G61" s="55">
        <f>_xll.EQNXTDZ($A$1,$B61,G$5,$B$1)</f>
        <v>0</v>
      </c>
      <c r="H61" s="55">
        <f>_xll.EQNXTDZ($A$1,$B61,H$5,$B$1)</f>
        <v>2601.77</v>
      </c>
      <c r="I61" s="55">
        <f>_xll.EQNXTDZ($A$1,$B61,I$5,$B$1)</f>
        <v>0</v>
      </c>
      <c r="J61" s="55">
        <f>_xll.EQNXTDZ($A$1,$B61,J$5,$B$1)</f>
        <v>3023.88</v>
      </c>
      <c r="K61" s="55">
        <f>_xll.EQNXTDZ($A$1,$B61,K$5,$B$1)</f>
        <v>0</v>
      </c>
      <c r="L61" s="55">
        <f>_xll.EQNXTDZ($A$1,$B61,L$5,$B$1)</f>
        <v>3199.63</v>
      </c>
      <c r="M61" s="55">
        <f>_xll.EQNXTDZ($A$1,$B61,M$5,$B$1)</f>
        <v>0</v>
      </c>
      <c r="N61" s="55">
        <f>_xll.EQNXTDZ($A$1,$B61,N$5,$B$1)</f>
        <v>4597.67</v>
      </c>
      <c r="O61" s="55">
        <f>_xll.EQNXTDZ($A$1,$B61,O$5,$B$1)</f>
        <v>0</v>
      </c>
      <c r="P61" s="55">
        <f>_xll.EQNXTDZ($A$1,$B61,P$5,$B$1)</f>
        <v>2960.93</v>
      </c>
      <c r="Q61" s="55">
        <f>_xll.EQNXTDZ($A$1,$B61,Q$5,$B$1)</f>
        <v>0</v>
      </c>
      <c r="R61" s="55">
        <f>_xll.EQNXTDZ($A$1,$B61,R$5,$B$1)</f>
        <v>3419.01</v>
      </c>
      <c r="S61" s="55">
        <f>_xll.EQNXTDZ($A$1,$B61,S$5,$B$1)</f>
        <v>0</v>
      </c>
      <c r="T61" s="55">
        <f>_xll.EQNXTDZ($A$1,$B61,T$5,$B$1)</f>
        <v>1341.82</v>
      </c>
      <c r="U61" s="55">
        <f>_xll.EQNXTDZ($A$1,$B61,U$5,$B$1)</f>
        <v>0</v>
      </c>
      <c r="V61" s="55">
        <f>_xll.EQNXTDZ($A$1,$B61,V$5,$B$1)</f>
        <v>2789.86</v>
      </c>
      <c r="W61" s="55">
        <f>_xll.EQNXTDZ($A$1,$B61,W$5,$B$1)</f>
        <v>0</v>
      </c>
      <c r="X61" s="55">
        <f>_xll.EQNXTDZ($A$1,$B61,X$5,$B$1)</f>
        <v>2766.15</v>
      </c>
      <c r="Y61" s="55">
        <f>_xll.EQNXTDZ($A$1,$B61,Y$5,$B$1)</f>
        <v>0</v>
      </c>
      <c r="Z61" s="55">
        <f>_xll.EQNXTDZ($A$1,$B61,Z$5,$B$1)</f>
        <v>2329.21</v>
      </c>
      <c r="AA61" s="55">
        <f>_xll.EQNXTDZ($A$1,$B61,AA$5,$B$1)</f>
        <v>0</v>
      </c>
      <c r="AB61" s="55">
        <f>_xll.EQNXTDZ($A$1,$B61,AB$5,$B$1)</f>
        <v>2371.94</v>
      </c>
      <c r="AC61" s="55">
        <f>_xll.EQNXTDZ($A$1,$B61,AC$5,$B$1)</f>
        <v>0</v>
      </c>
      <c r="AD61" s="55">
        <f>_xll.EQNXTDZ($A$1,$B61,AD$5,$B$1)</f>
        <v>1687.52</v>
      </c>
      <c r="AE61" s="55">
        <f>_xll.EQNXTDZ($A$1,$B61,AE$5,$B$1)</f>
        <v>0</v>
      </c>
      <c r="AF61" s="55">
        <f>_xll.EQNXTDZ($A$1,$B61,AF$5,$B$1)</f>
        <v>1460.59</v>
      </c>
      <c r="AG61" s="55">
        <f>_xll.EQNXTDZ($A$1,$B61,AG$5,$B$1)</f>
        <v>0</v>
      </c>
      <c r="AH61" s="55">
        <f>_xll.EQNXTDZ($A$1,$B61,AH$5,$B$1)</f>
        <v>2125.8000000000002</v>
      </c>
      <c r="AI61" s="55">
        <f>_xll.EQNXTDZ($A$1,$B61,AI$5,$B$1)</f>
        <v>0</v>
      </c>
      <c r="AJ61" s="55">
        <f>_xll.EQNXTDZ($A$1,$B61,AJ$5,$B$1)</f>
        <v>2424.29</v>
      </c>
      <c r="AK61" s="55">
        <f>_xll.EQNXTDZ($A$1,$B61,AK$5,$B$1)</f>
        <v>0</v>
      </c>
      <c r="AL61" s="55">
        <f>_xll.EQNXTDZ($A$1,$B61,AL$5,$B$1)</f>
        <v>2223.83</v>
      </c>
      <c r="AM61" s="55">
        <f>_xll.EQNXTDZ($A$1,$B61,AM$5,$B$1)</f>
        <v>0</v>
      </c>
      <c r="AN61" s="55">
        <f>_xll.EQNXTDZ($A$1,$B61,AN$5,$B$1)</f>
        <v>2969.7</v>
      </c>
      <c r="AO61" s="55">
        <f>_xll.EQNXTDZ($A$1,$B61,AO$5,$B$1)</f>
        <v>0</v>
      </c>
      <c r="AP61" s="55">
        <f>_xll.EQNXTDZ($A$1,$B61,AP$5,$B$1)</f>
        <v>1387.91</v>
      </c>
      <c r="AQ61" s="55">
        <f>_xll.EQNXTDZ($A$1,$B61,AQ$5,$B$1)</f>
        <v>0</v>
      </c>
      <c r="AR61" s="55">
        <f>_xll.EQNXTDZ($A$1,$B61,AR$5,$B$1)</f>
        <v>305.18</v>
      </c>
      <c r="AS61" s="55">
        <f>_xll.EQNXTDZ($A$1,$B61,AS$5,$B$1)</f>
        <v>0</v>
      </c>
      <c r="AT61" s="55">
        <f>_xll.EQNXTDZ($A$1,$B61,AT$5,$B$1)</f>
        <v>330.98</v>
      </c>
      <c r="AU61" s="55">
        <f>_xll.EQNXTDZ($A$1,$B61,AU$5,$B$1)</f>
        <v>0</v>
      </c>
      <c r="AV61" s="55">
        <f>_xll.EQNXTDZ($A$1,$B61,AV$5,$B$1)</f>
        <v>48.53</v>
      </c>
      <c r="AW61" s="55">
        <f>_xll.EQNXTDZ($A$1,$B61,AW$5,$B$1)</f>
        <v>0</v>
      </c>
      <c r="AX61" s="55">
        <f>_xll.EQNXTDZ($A$1,$B61,AX$5,$B$1)</f>
        <v>46.74</v>
      </c>
      <c r="AY61" s="55">
        <f>_xll.EQNXTDZ($A$1,$B61,AY$5,$B$1)</f>
        <v>0</v>
      </c>
      <c r="AZ61" s="55">
        <f>_xll.EQNXTDZ($A$1,$B61,AZ$5,$B$1)</f>
        <v>223.91</v>
      </c>
      <c r="BA61" s="55">
        <f>_xll.EQNXTDZ($A$1,$B61,BA$5,$B$1)</f>
        <v>0</v>
      </c>
      <c r="BB61" s="55">
        <f>_xll.EQNXTDZ($A$1,$B61,BB$5,$B$1)</f>
        <v>203.15</v>
      </c>
      <c r="BC61" s="55">
        <f>_xll.EQNXTDZ($A$1,$B61,BC$5,$B$1)</f>
        <v>0</v>
      </c>
      <c r="BD61" s="55">
        <f>_xll.EQNXTDZ($A$1,$B61,BD$5,$B$1)</f>
        <v>196.27</v>
      </c>
      <c r="BE61" s="55">
        <f>_xll.EQNXTDZ($A$1,$B61,BE$5,$B$1)</f>
        <v>0</v>
      </c>
      <c r="BF61" s="55">
        <f>_xll.EQNXTDZ($A$1,$B61,BF$5,$B$1)</f>
        <v>46.6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2287.2399999999998</v>
      </c>
      <c r="E63" s="55">
        <f>_xll.EQNXTDZ($A$1,$B63,E$5,$B$1)</f>
        <v>0</v>
      </c>
      <c r="F63" s="55">
        <f>_xll.EQNXTDZ($A$1,$B63,F$5,$B$1)</f>
        <v>3431.18</v>
      </c>
      <c r="G63" s="55">
        <f>_xll.EQNXTDZ($A$1,$B63,G$5,$B$1)</f>
        <v>0</v>
      </c>
      <c r="H63" s="55">
        <f>_xll.EQNXTDZ($A$1,$B63,H$5,$B$1)</f>
        <v>2601.77</v>
      </c>
      <c r="I63" s="55">
        <f>_xll.EQNXTDZ($A$1,$B63,I$5,$B$1)</f>
        <v>0</v>
      </c>
      <c r="J63" s="55">
        <f>_xll.EQNXTDZ($A$1,$B63,J$5,$B$1)</f>
        <v>3023.88</v>
      </c>
      <c r="K63" s="55">
        <f>_xll.EQNXTDZ($A$1,$B63,K$5,$B$1)</f>
        <v>0</v>
      </c>
      <c r="L63" s="55">
        <f>_xll.EQNXTDZ($A$1,$B63,L$5,$B$1)</f>
        <v>3199.63</v>
      </c>
      <c r="M63" s="55">
        <f>_xll.EQNXTDZ($A$1,$B63,M$5,$B$1)</f>
        <v>0</v>
      </c>
      <c r="N63" s="55">
        <f>_xll.EQNXTDZ($A$1,$B63,N$5,$B$1)</f>
        <v>4597.67</v>
      </c>
      <c r="O63" s="55">
        <f>_xll.EQNXTDZ($A$1,$B63,O$5,$B$1)</f>
        <v>0</v>
      </c>
      <c r="P63" s="55">
        <f>_xll.EQNXTDZ($A$1,$B63,P$5,$B$1)</f>
        <v>2960.93</v>
      </c>
      <c r="Q63" s="55">
        <f>_xll.EQNXTDZ($A$1,$B63,Q$5,$B$1)</f>
        <v>0</v>
      </c>
      <c r="R63" s="55">
        <f>_xll.EQNXTDZ($A$1,$B63,R$5,$B$1)</f>
        <v>3419.01</v>
      </c>
      <c r="S63" s="55">
        <f>_xll.EQNXTDZ($A$1,$B63,S$5,$B$1)</f>
        <v>0</v>
      </c>
      <c r="T63" s="55">
        <f>_xll.EQNXTDZ($A$1,$B63,T$5,$B$1)</f>
        <v>1341.82</v>
      </c>
      <c r="U63" s="55">
        <f>_xll.EQNXTDZ($A$1,$B63,U$5,$B$1)</f>
        <v>0</v>
      </c>
      <c r="V63" s="55">
        <f>_xll.EQNXTDZ($A$1,$B63,V$5,$B$1)</f>
        <v>2789.86</v>
      </c>
      <c r="W63" s="55">
        <f>_xll.EQNXTDZ($A$1,$B63,W$5,$B$1)</f>
        <v>0</v>
      </c>
      <c r="X63" s="55">
        <f>_xll.EQNXTDZ($A$1,$B63,X$5,$B$1)</f>
        <v>2766.15</v>
      </c>
      <c r="Y63" s="55">
        <f>_xll.EQNXTDZ($A$1,$B63,Y$5,$B$1)</f>
        <v>0</v>
      </c>
      <c r="Z63" s="55">
        <f>_xll.EQNXTDZ($A$1,$B63,Z$5,$B$1)</f>
        <v>2329.21</v>
      </c>
      <c r="AA63" s="55">
        <f>_xll.EQNXTDZ($A$1,$B63,AA$5,$B$1)</f>
        <v>0</v>
      </c>
      <c r="AB63" s="55">
        <f>_xll.EQNXTDZ($A$1,$B63,AB$5,$B$1)</f>
        <v>2371.94</v>
      </c>
      <c r="AC63" s="55">
        <f>_xll.EQNXTDZ($A$1,$B63,AC$5,$B$1)</f>
        <v>0</v>
      </c>
      <c r="AD63" s="55">
        <f>_xll.EQNXTDZ($A$1,$B63,AD$5,$B$1)</f>
        <v>1687.52</v>
      </c>
      <c r="AE63" s="55">
        <f>_xll.EQNXTDZ($A$1,$B63,AE$5,$B$1)</f>
        <v>0</v>
      </c>
      <c r="AF63" s="55">
        <f>_xll.EQNXTDZ($A$1,$B63,AF$5,$B$1)</f>
        <v>1460.59</v>
      </c>
      <c r="AG63" s="55">
        <f>_xll.EQNXTDZ($A$1,$B63,AG$5,$B$1)</f>
        <v>0</v>
      </c>
      <c r="AH63" s="55">
        <f>_xll.EQNXTDZ($A$1,$B63,AH$5,$B$1)</f>
        <v>2125.8000000000002</v>
      </c>
      <c r="AI63" s="55">
        <f>_xll.EQNXTDZ($A$1,$B63,AI$5,$B$1)</f>
        <v>0</v>
      </c>
      <c r="AJ63" s="55">
        <f>_xll.EQNXTDZ($A$1,$B63,AJ$5,$B$1)</f>
        <v>2424.29</v>
      </c>
      <c r="AK63" s="55">
        <f>_xll.EQNXTDZ($A$1,$B63,AK$5,$B$1)</f>
        <v>0</v>
      </c>
      <c r="AL63" s="55">
        <f>_xll.EQNXTDZ($A$1,$B63,AL$5,$B$1)</f>
        <v>2223.83</v>
      </c>
      <c r="AM63" s="55">
        <f>_xll.EQNXTDZ($A$1,$B63,AM$5,$B$1)</f>
        <v>0</v>
      </c>
      <c r="AN63" s="55">
        <f>_xll.EQNXTDZ($A$1,$B63,AN$5,$B$1)</f>
        <v>2969.7</v>
      </c>
      <c r="AO63" s="55">
        <f>_xll.EQNXTDZ($A$1,$B63,AO$5,$B$1)</f>
        <v>0</v>
      </c>
      <c r="AP63" s="55">
        <f>_xll.EQNXTDZ($A$1,$B63,AP$5,$B$1)</f>
        <v>1387.91</v>
      </c>
      <c r="AQ63" s="55">
        <f>_xll.EQNXTDZ($A$1,$B63,AQ$5,$B$1)</f>
        <v>0</v>
      </c>
      <c r="AR63" s="55">
        <f>_xll.EQNXTDZ($A$1,$B63,AR$5,$B$1)</f>
        <v>305.18</v>
      </c>
      <c r="AS63" s="55">
        <f>_xll.EQNXTDZ($A$1,$B63,AS$5,$B$1)</f>
        <v>0</v>
      </c>
      <c r="AT63" s="55">
        <f>_xll.EQNXTDZ($A$1,$B63,AT$5,$B$1)</f>
        <v>330.98</v>
      </c>
      <c r="AU63" s="55">
        <f>_xll.EQNXTDZ($A$1,$B63,AU$5,$B$1)</f>
        <v>0</v>
      </c>
      <c r="AV63" s="55">
        <f>_xll.EQNXTDZ($A$1,$B63,AV$5,$B$1)</f>
        <v>48.53</v>
      </c>
      <c r="AW63" s="55">
        <f>_xll.EQNXTDZ($A$1,$B63,AW$5,$B$1)</f>
        <v>0</v>
      </c>
      <c r="AX63" s="55">
        <f>_xll.EQNXTDZ($A$1,$B63,AX$5,$B$1)</f>
        <v>46.74</v>
      </c>
      <c r="AY63" s="55">
        <f>_xll.EQNXTDZ($A$1,$B63,AY$5,$B$1)</f>
        <v>0</v>
      </c>
      <c r="AZ63" s="55">
        <f>_xll.EQNXTDZ($A$1,$B63,AZ$5,$B$1)</f>
        <v>223.91</v>
      </c>
      <c r="BA63" s="55">
        <f>_xll.EQNXTDZ($A$1,$B63,BA$5,$B$1)</f>
        <v>0</v>
      </c>
      <c r="BB63" s="55">
        <f>_xll.EQNXTDZ($A$1,$B63,BB$5,$B$1)</f>
        <v>203.15</v>
      </c>
      <c r="BC63" s="55">
        <f>_xll.EQNXTDZ($A$1,$B63,BC$5,$B$1)</f>
        <v>0</v>
      </c>
      <c r="BD63" s="55">
        <f>_xll.EQNXTDZ($A$1,$B63,BD$5,$B$1)</f>
        <v>196.27</v>
      </c>
      <c r="BE63" s="55">
        <f>_xll.EQNXTDZ($A$1,$B63,BE$5,$B$1)</f>
        <v>0</v>
      </c>
      <c r="BF63" s="55">
        <f>_xll.EQNXTDZ($A$1,$B63,BF$5,$B$1)</f>
        <v>46.6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73.900000000000006</v>
      </c>
      <c r="E64" s="55">
        <f>_xll.EQNXTDZ($A$1,$B64,E$5,$B$1)</f>
        <v>0</v>
      </c>
      <c r="F64" s="55">
        <f>_xll.EQNXTDZ($A$1,$B64,F$5,$B$1)</f>
        <v>76.22</v>
      </c>
      <c r="G64" s="55">
        <f>_xll.EQNXTDZ($A$1,$B64,G$5,$B$1)</f>
        <v>0</v>
      </c>
      <c r="H64" s="55">
        <f>_xll.EQNXTDZ($A$1,$B64,H$5,$B$1)</f>
        <v>76.13</v>
      </c>
      <c r="I64" s="55">
        <f>_xll.EQNXTDZ($A$1,$B64,I$5,$B$1)</f>
        <v>0</v>
      </c>
      <c r="J64" s="55">
        <f>_xll.EQNXTDZ($A$1,$B64,J$5,$B$1)</f>
        <v>639.76</v>
      </c>
      <c r="K64" s="55">
        <f>_xll.EQNXTDZ($A$1,$B64,K$5,$B$1)</f>
        <v>0</v>
      </c>
      <c r="L64" s="55">
        <f>_xll.EQNXTDZ($A$1,$B64,L$5,$B$1)</f>
        <v>638.25</v>
      </c>
      <c r="M64" s="55">
        <f>_xll.EQNXTDZ($A$1,$B64,M$5,$B$1)</f>
        <v>0</v>
      </c>
      <c r="N64" s="55">
        <f>_xll.EQNXTDZ($A$1,$B64,N$5,$B$1)</f>
        <v>585.91</v>
      </c>
      <c r="O64" s="55">
        <f>_xll.EQNXTDZ($A$1,$B64,O$5,$B$1)</f>
        <v>0</v>
      </c>
      <c r="P64" s="55">
        <f>_xll.EQNXTDZ($A$1,$B64,P$5,$B$1)</f>
        <v>587.91</v>
      </c>
      <c r="Q64" s="55">
        <f>_xll.EQNXTDZ($A$1,$B64,Q$5,$B$1)</f>
        <v>0</v>
      </c>
      <c r="R64" s="55">
        <f>_xll.EQNXTDZ($A$1,$B64,R$5,$B$1)</f>
        <v>329.29</v>
      </c>
      <c r="S64" s="55">
        <f>_xll.EQNXTDZ($A$1,$B64,S$5,$B$1)</f>
        <v>0</v>
      </c>
      <c r="T64" s="55">
        <f>_xll.EQNXTDZ($A$1,$B64,T$5,$B$1)</f>
        <v>417.09</v>
      </c>
      <c r="U64" s="55">
        <f>_xll.EQNXTDZ($A$1,$B64,U$5,$B$1)</f>
        <v>0</v>
      </c>
      <c r="V64" s="55">
        <f>_xll.EQNXTDZ($A$1,$B64,V$5,$B$1)</f>
        <v>356.83</v>
      </c>
      <c r="W64" s="55">
        <f>_xll.EQNXTDZ($A$1,$B64,W$5,$B$1)</f>
        <v>0</v>
      </c>
      <c r="X64" s="55">
        <f>_xll.EQNXTDZ($A$1,$B64,X$5,$B$1)</f>
        <v>321.18</v>
      </c>
      <c r="Y64" s="55">
        <f>_xll.EQNXTDZ($A$1,$B64,Y$5,$B$1)</f>
        <v>0</v>
      </c>
      <c r="Z64" s="55">
        <f>_xll.EQNXTDZ($A$1,$B64,Z$5,$B$1)</f>
        <v>253.55</v>
      </c>
      <c r="AA64" s="55">
        <f>_xll.EQNXTDZ($A$1,$B64,AA$5,$B$1)</f>
        <v>0</v>
      </c>
      <c r="AB64" s="55">
        <f>_xll.EQNXTDZ($A$1,$B64,AB$5,$B$1)</f>
        <v>350.7</v>
      </c>
      <c r="AC64" s="55">
        <f>_xll.EQNXTDZ($A$1,$B64,AC$5,$B$1)</f>
        <v>0</v>
      </c>
      <c r="AD64" s="55">
        <f>_xll.EQNXTDZ($A$1,$B64,AD$5,$B$1)</f>
        <v>179.82</v>
      </c>
      <c r="AE64" s="55">
        <f>_xll.EQNXTDZ($A$1,$B64,AE$5,$B$1)</f>
        <v>0</v>
      </c>
      <c r="AF64" s="55">
        <f>_xll.EQNXTDZ($A$1,$B64,AF$5,$B$1)</f>
        <v>2072.5100000000002</v>
      </c>
      <c r="AG64" s="55">
        <f>_xll.EQNXTDZ($A$1,$B64,AG$5,$B$1)</f>
        <v>0</v>
      </c>
      <c r="AH64" s="55">
        <f>_xll.EQNXTDZ($A$1,$B64,AH$5,$B$1)</f>
        <v>2061.9899999999998</v>
      </c>
      <c r="AI64" s="55">
        <f>_xll.EQNXTDZ($A$1,$B64,AI$5,$B$1)</f>
        <v>0</v>
      </c>
      <c r="AJ64" s="55">
        <f>_xll.EQNXTDZ($A$1,$B64,AJ$5,$B$1)</f>
        <v>2196.4899999999998</v>
      </c>
      <c r="AK64" s="55">
        <f>_xll.EQNXTDZ($A$1,$B64,AK$5,$B$1)</f>
        <v>0</v>
      </c>
      <c r="AL64" s="55">
        <f>_xll.EQNXTDZ($A$1,$B64,AL$5,$B$1)</f>
        <v>1888.02</v>
      </c>
      <c r="AM64" s="55">
        <f>_xll.EQNXTDZ($A$1,$B64,AM$5,$B$1)</f>
        <v>0</v>
      </c>
      <c r="AN64" s="55">
        <f>_xll.EQNXTDZ($A$1,$B64,AN$5,$B$1)</f>
        <v>1892.56</v>
      </c>
      <c r="AO64" s="55">
        <f>_xll.EQNXTDZ($A$1,$B64,AO$5,$B$1)</f>
        <v>0</v>
      </c>
      <c r="AP64" s="55">
        <f>_xll.EQNXTDZ($A$1,$B64,AP$5,$B$1)</f>
        <v>1900.02</v>
      </c>
      <c r="AQ64" s="55">
        <f>_xll.EQNXTDZ($A$1,$B64,AQ$5,$B$1)</f>
        <v>0</v>
      </c>
      <c r="AR64" s="55">
        <f>_xll.EQNXTDZ($A$1,$B64,AR$5,$B$1)</f>
        <v>1971.09</v>
      </c>
      <c r="AS64" s="55">
        <f>_xll.EQNXTDZ($A$1,$B64,AS$5,$B$1)</f>
        <v>0</v>
      </c>
      <c r="AT64" s="55">
        <f>_xll.EQNXTDZ($A$1,$B64,AT$5,$B$1)</f>
        <v>2312.98</v>
      </c>
      <c r="AU64" s="55">
        <f>_xll.EQNXTDZ($A$1,$B64,AU$5,$B$1)</f>
        <v>0</v>
      </c>
      <c r="AV64" s="55">
        <f>_xll.EQNXTDZ($A$1,$B64,AV$5,$B$1)</f>
        <v>2413.29</v>
      </c>
      <c r="AW64" s="55">
        <f>_xll.EQNXTDZ($A$1,$B64,AW$5,$B$1)</f>
        <v>0</v>
      </c>
      <c r="AX64" s="55">
        <f>_xll.EQNXTDZ($A$1,$B64,AX$5,$B$1)</f>
        <v>2440.6799999999998</v>
      </c>
      <c r="AY64" s="55">
        <f>_xll.EQNXTDZ($A$1,$B64,AY$5,$B$1)</f>
        <v>0</v>
      </c>
      <c r="AZ64" s="55">
        <f>_xll.EQNXTDZ($A$1,$B64,AZ$5,$B$1)</f>
        <v>2643.53</v>
      </c>
      <c r="BA64" s="55">
        <f>_xll.EQNXTDZ($A$1,$B64,BA$5,$B$1)</f>
        <v>0</v>
      </c>
      <c r="BB64" s="55">
        <f>_xll.EQNXTDZ($A$1,$B64,BB$5,$B$1)</f>
        <v>2811.25</v>
      </c>
      <c r="BC64" s="55">
        <f>_xll.EQNXTDZ($A$1,$B64,BC$5,$B$1)</f>
        <v>0</v>
      </c>
      <c r="BD64" s="55">
        <f>_xll.EQNXTDZ($A$1,$B64,BD$5,$B$1)</f>
        <v>2897.81</v>
      </c>
      <c r="BE64" s="55">
        <f>_xll.EQNXTDZ($A$1,$B64,BE$5,$B$1)</f>
        <v>0</v>
      </c>
      <c r="BF64" s="55">
        <f>_xll.EQNXTDZ($A$1,$B64,BF$5,$B$1)</f>
        <v>2729.51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683.27</v>
      </c>
      <c r="E66" s="55">
        <f>_xll.EQNXTDZ($A$1,$B66,E$5,$B$1)</f>
        <v>0</v>
      </c>
      <c r="F66" s="55">
        <f>_xll.EQNXTDZ($A$1,$B66,F$5,$B$1)</f>
        <v>695.98</v>
      </c>
      <c r="G66" s="55">
        <f>_xll.EQNXTDZ($A$1,$B66,G$5,$B$1)</f>
        <v>0</v>
      </c>
      <c r="H66" s="55">
        <f>_xll.EQNXTDZ($A$1,$B66,H$5,$B$1)</f>
        <v>669.66</v>
      </c>
      <c r="I66" s="55">
        <f>_xll.EQNXTDZ($A$1,$B66,I$5,$B$1)</f>
        <v>0</v>
      </c>
      <c r="J66" s="55">
        <f>_xll.EQNXTDZ($A$1,$B66,J$5,$B$1)</f>
        <v>42.43</v>
      </c>
      <c r="K66" s="55">
        <f>_xll.EQNXTDZ($A$1,$B66,K$5,$B$1)</f>
        <v>0</v>
      </c>
      <c r="L66" s="55">
        <f>_xll.EQNXTDZ($A$1,$B66,L$5,$B$1)</f>
        <v>21.59</v>
      </c>
      <c r="M66" s="55">
        <f>_xll.EQNXTDZ($A$1,$B66,M$5,$B$1)</f>
        <v>0</v>
      </c>
      <c r="N66" s="55">
        <f>_xll.EQNXTDZ($A$1,$B66,N$5,$B$1)</f>
        <v>54.44</v>
      </c>
      <c r="O66" s="55">
        <f>_xll.EQNXTDZ($A$1,$B66,O$5,$B$1)</f>
        <v>0</v>
      </c>
      <c r="P66" s="55">
        <f>_xll.EQNXTDZ($A$1,$B66,P$5,$B$1)</f>
        <v>43.35</v>
      </c>
      <c r="Q66" s="55">
        <f>_xll.EQNXTDZ($A$1,$B66,Q$5,$B$1)</f>
        <v>0</v>
      </c>
      <c r="R66" s="55">
        <f>_xll.EQNXTDZ($A$1,$B66,R$5,$B$1)</f>
        <v>71.81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75.56</v>
      </c>
      <c r="W66" s="55">
        <f>_xll.EQNXTDZ($A$1,$B66,W$5,$B$1)</f>
        <v>0</v>
      </c>
      <c r="X66" s="55">
        <f>_xll.EQNXTDZ($A$1,$B66,X$5,$B$1)</f>
        <v>77.91</v>
      </c>
      <c r="Y66" s="55">
        <f>_xll.EQNXTDZ($A$1,$B66,Y$5,$B$1)</f>
        <v>0</v>
      </c>
      <c r="Z66" s="55">
        <f>_xll.EQNXTDZ($A$1,$B66,Z$5,$B$1)</f>
        <v>83.55</v>
      </c>
      <c r="AA66" s="55">
        <f>_xll.EQNXTDZ($A$1,$B66,AA$5,$B$1)</f>
        <v>0</v>
      </c>
      <c r="AB66" s="55">
        <f>_xll.EQNXTDZ($A$1,$B66,AB$5,$B$1)</f>
        <v>75.81</v>
      </c>
      <c r="AC66" s="55">
        <f>_xll.EQNXTDZ($A$1,$B66,AC$5,$B$1)</f>
        <v>0</v>
      </c>
      <c r="AD66" s="55">
        <f>_xll.EQNXTDZ($A$1,$B66,AD$5,$B$1)</f>
        <v>102.33</v>
      </c>
      <c r="AE66" s="55">
        <f>_xll.EQNXTDZ($A$1,$B66,AE$5,$B$1)</f>
        <v>0</v>
      </c>
      <c r="AF66" s="55">
        <f>_xll.EQNXTDZ($A$1,$B66,AF$5,$B$1)</f>
        <v>102.42</v>
      </c>
      <c r="AG66" s="55">
        <f>_xll.EQNXTDZ($A$1,$B66,AG$5,$B$1)</f>
        <v>0</v>
      </c>
      <c r="AH66" s="55">
        <f>_xll.EQNXTDZ($A$1,$B66,AH$5,$B$1)</f>
        <v>121.09</v>
      </c>
      <c r="AI66" s="55">
        <f>_xll.EQNXTDZ($A$1,$B66,AI$5,$B$1)</f>
        <v>0</v>
      </c>
      <c r="AJ66" s="55">
        <f>_xll.EQNXTDZ($A$1,$B66,AJ$5,$B$1)</f>
        <v>105.56</v>
      </c>
      <c r="AK66" s="55">
        <f>_xll.EQNXTDZ($A$1,$B66,AK$5,$B$1)</f>
        <v>0</v>
      </c>
      <c r="AL66" s="55">
        <f>_xll.EQNXTDZ($A$1,$B66,AL$5,$B$1)</f>
        <v>91.74</v>
      </c>
      <c r="AM66" s="55">
        <f>_xll.EQNXTDZ($A$1,$B66,AM$5,$B$1)</f>
        <v>0</v>
      </c>
      <c r="AN66" s="55">
        <f>_xll.EQNXTDZ($A$1,$B66,AN$5,$B$1)</f>
        <v>94.69</v>
      </c>
      <c r="AO66" s="55">
        <f>_xll.EQNXTDZ($A$1,$B66,AO$5,$B$1)</f>
        <v>0</v>
      </c>
      <c r="AP66" s="55">
        <f>_xll.EQNXTDZ($A$1,$B66,AP$5,$B$1)</f>
        <v>95.11</v>
      </c>
      <c r="AQ66" s="55">
        <f>_xll.EQNXTDZ($A$1,$B66,AQ$5,$B$1)</f>
        <v>0</v>
      </c>
      <c r="AR66" s="55">
        <f>_xll.EQNXTDZ($A$1,$B66,AR$5,$B$1)</f>
        <v>96.94</v>
      </c>
      <c r="AS66" s="55">
        <f>_xll.EQNXTDZ($A$1,$B66,AS$5,$B$1)</f>
        <v>0</v>
      </c>
      <c r="AT66" s="55">
        <f>_xll.EQNXTDZ($A$1,$B66,AT$5,$B$1)</f>
        <v>106.88</v>
      </c>
      <c r="AU66" s="55">
        <f>_xll.EQNXTDZ($A$1,$B66,AU$5,$B$1)</f>
        <v>0</v>
      </c>
      <c r="AV66" s="55">
        <f>_xll.EQNXTDZ($A$1,$B66,AV$5,$B$1)</f>
        <v>101.71</v>
      </c>
      <c r="AW66" s="55">
        <f>_xll.EQNXTDZ($A$1,$B66,AW$5,$B$1)</f>
        <v>0</v>
      </c>
      <c r="AX66" s="55">
        <f>_xll.EQNXTDZ($A$1,$B66,AX$5,$B$1)</f>
        <v>97.73</v>
      </c>
      <c r="AY66" s="55">
        <f>_xll.EQNXTDZ($A$1,$B66,AY$5,$B$1)</f>
        <v>0</v>
      </c>
      <c r="AZ66" s="55">
        <f>_xll.EQNXTDZ($A$1,$B66,AZ$5,$B$1)</f>
        <v>114.86</v>
      </c>
      <c r="BA66" s="55">
        <f>_xll.EQNXTDZ($A$1,$B66,BA$5,$B$1)</f>
        <v>0</v>
      </c>
      <c r="BB66" s="55">
        <f>_xll.EQNXTDZ($A$1,$B66,BB$5,$B$1)</f>
        <v>130.29</v>
      </c>
      <c r="BC66" s="55">
        <f>_xll.EQNXTDZ($A$1,$B66,BC$5,$B$1)</f>
        <v>0</v>
      </c>
      <c r="BD66" s="55">
        <f>_xll.EQNXTDZ($A$1,$B66,BD$5,$B$1)</f>
        <v>129.97</v>
      </c>
      <c r="BE66" s="55">
        <f>_xll.EQNXTDZ($A$1,$B66,BE$5,$B$1)</f>
        <v>0</v>
      </c>
      <c r="BF66" s="55">
        <f>_xll.EQNXTDZ($A$1,$B66,BF$5,$B$1)</f>
        <v>185.72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6712.97</v>
      </c>
      <c r="E67" s="55">
        <f>_xll.EQNXTDZ($A$1,$B67,E$5,$B$1)</f>
        <v>0</v>
      </c>
      <c r="F67" s="55">
        <f>_xll.EQNXTDZ($A$1,$B67,F$5,$B$1)</f>
        <v>7890.38</v>
      </c>
      <c r="G67" s="55">
        <f>_xll.EQNXTDZ($A$1,$B67,G$5,$B$1)</f>
        <v>0</v>
      </c>
      <c r="H67" s="55">
        <f>_xll.EQNXTDZ($A$1,$B67,H$5,$B$1)</f>
        <v>6312.28</v>
      </c>
      <c r="I67" s="55">
        <f>_xll.EQNXTDZ($A$1,$B67,I$5,$B$1)</f>
        <v>0</v>
      </c>
      <c r="J67" s="55">
        <f>_xll.EQNXTDZ($A$1,$B67,J$5,$B$1)</f>
        <v>7078.39</v>
      </c>
      <c r="K67" s="55">
        <f>_xll.EQNXTDZ($A$1,$B67,K$5,$B$1)</f>
        <v>0</v>
      </c>
      <c r="L67" s="55">
        <f>_xll.EQNXTDZ($A$1,$B67,L$5,$B$1)</f>
        <v>6529.83</v>
      </c>
      <c r="M67" s="55">
        <f>_xll.EQNXTDZ($A$1,$B67,M$5,$B$1)</f>
        <v>0</v>
      </c>
      <c r="N67" s="55">
        <f>_xll.EQNXTDZ($A$1,$B67,N$5,$B$1)</f>
        <v>8203.08</v>
      </c>
      <c r="O67" s="55">
        <f>_xll.EQNXTDZ($A$1,$B67,O$5,$B$1)</f>
        <v>0</v>
      </c>
      <c r="P67" s="55">
        <f>_xll.EQNXTDZ($A$1,$B67,P$5,$B$1)</f>
        <v>6257.09</v>
      </c>
      <c r="Q67" s="55">
        <f>_xll.EQNXTDZ($A$1,$B67,Q$5,$B$1)</f>
        <v>0</v>
      </c>
      <c r="R67" s="55">
        <f>_xll.EQNXTDZ($A$1,$B67,R$5,$B$1)</f>
        <v>7143.29</v>
      </c>
      <c r="S67" s="55">
        <f>_xll.EQNXTDZ($A$1,$B67,S$5,$B$1)</f>
        <v>0</v>
      </c>
      <c r="T67" s="55">
        <f>_xll.EQNXTDZ($A$1,$B67,T$5,$B$1)</f>
        <v>4337.12</v>
      </c>
      <c r="U67" s="55">
        <f>_xll.EQNXTDZ($A$1,$B67,U$5,$B$1)</f>
        <v>0</v>
      </c>
      <c r="V67" s="55">
        <f>_xll.EQNXTDZ($A$1,$B67,V$5,$B$1)</f>
        <v>6477.76</v>
      </c>
      <c r="W67" s="55">
        <f>_xll.EQNXTDZ($A$1,$B67,W$5,$B$1)</f>
        <v>0</v>
      </c>
      <c r="X67" s="55">
        <f>_xll.EQNXTDZ($A$1,$B67,X$5,$B$1)</f>
        <v>6436.05</v>
      </c>
      <c r="Y67" s="55">
        <f>_xll.EQNXTDZ($A$1,$B67,Y$5,$B$1)</f>
        <v>0</v>
      </c>
      <c r="Z67" s="55">
        <f>_xll.EQNXTDZ($A$1,$B67,Z$5,$B$1)</f>
        <v>7624.8</v>
      </c>
      <c r="AA67" s="55">
        <f>_xll.EQNXTDZ($A$1,$B67,AA$5,$B$1)</f>
        <v>0</v>
      </c>
      <c r="AB67" s="55">
        <f>_xll.EQNXTDZ($A$1,$B67,AB$5,$B$1)</f>
        <v>7765.73</v>
      </c>
      <c r="AC67" s="55">
        <f>_xll.EQNXTDZ($A$1,$B67,AC$5,$B$1)</f>
        <v>0</v>
      </c>
      <c r="AD67" s="55">
        <f>_xll.EQNXTDZ($A$1,$B67,AD$5,$B$1)</f>
        <v>7117.53</v>
      </c>
      <c r="AE67" s="55">
        <f>_xll.EQNXTDZ($A$1,$B67,AE$5,$B$1)</f>
        <v>0</v>
      </c>
      <c r="AF67" s="55">
        <f>_xll.EQNXTDZ($A$1,$B67,AF$5,$B$1)</f>
        <v>8442.34</v>
      </c>
      <c r="AG67" s="55">
        <f>_xll.EQNXTDZ($A$1,$B67,AG$5,$B$1)</f>
        <v>0</v>
      </c>
      <c r="AH67" s="55">
        <f>_xll.EQNXTDZ($A$1,$B67,AH$5,$B$1)</f>
        <v>9430.59</v>
      </c>
      <c r="AI67" s="55">
        <f>_xll.EQNXTDZ($A$1,$B67,AI$5,$B$1)</f>
        <v>0</v>
      </c>
      <c r="AJ67" s="55">
        <f>_xll.EQNXTDZ($A$1,$B67,AJ$5,$B$1)</f>
        <v>9054.89</v>
      </c>
      <c r="AK67" s="55">
        <f>_xll.EQNXTDZ($A$1,$B67,AK$5,$B$1)</f>
        <v>0</v>
      </c>
      <c r="AL67" s="55">
        <f>_xll.EQNXTDZ($A$1,$B67,AL$5,$B$1)</f>
        <v>8486.6</v>
      </c>
      <c r="AM67" s="55">
        <f>_xll.EQNXTDZ($A$1,$B67,AM$5,$B$1)</f>
        <v>0</v>
      </c>
      <c r="AN67" s="55">
        <f>_xll.EQNXTDZ($A$1,$B67,AN$5,$B$1)</f>
        <v>8816.11</v>
      </c>
      <c r="AO67" s="55">
        <f>_xll.EQNXTDZ($A$1,$B67,AO$5,$B$1)</f>
        <v>0</v>
      </c>
      <c r="AP67" s="55">
        <f>_xll.EQNXTDZ($A$1,$B67,AP$5,$B$1)</f>
        <v>11038.3</v>
      </c>
      <c r="AQ67" s="55">
        <f>_xll.EQNXTDZ($A$1,$B67,AQ$5,$B$1)</f>
        <v>0</v>
      </c>
      <c r="AR67" s="55">
        <f>_xll.EQNXTDZ($A$1,$B67,AR$5,$B$1)</f>
        <v>10176.66</v>
      </c>
      <c r="AS67" s="55">
        <f>_xll.EQNXTDZ($A$1,$B67,AS$5,$B$1)</f>
        <v>0</v>
      </c>
      <c r="AT67" s="55">
        <f>_xll.EQNXTDZ($A$1,$B67,AT$5,$B$1)</f>
        <v>11392.89</v>
      </c>
      <c r="AU67" s="55">
        <f>_xll.EQNXTDZ($A$1,$B67,AU$5,$B$1)</f>
        <v>0</v>
      </c>
      <c r="AV67" s="55">
        <f>_xll.EQNXTDZ($A$1,$B67,AV$5,$B$1)</f>
        <v>11539.87</v>
      </c>
      <c r="AW67" s="55">
        <f>_xll.EQNXTDZ($A$1,$B67,AW$5,$B$1)</f>
        <v>0</v>
      </c>
      <c r="AX67" s="55">
        <f>_xll.EQNXTDZ($A$1,$B67,AX$5,$B$1)</f>
        <v>12713.86</v>
      </c>
      <c r="AY67" s="55">
        <f>_xll.EQNXTDZ($A$1,$B67,AY$5,$B$1)</f>
        <v>0</v>
      </c>
      <c r="AZ67" s="55">
        <f>_xll.EQNXTDZ($A$1,$B67,AZ$5,$B$1)</f>
        <v>14304.13</v>
      </c>
      <c r="BA67" s="55">
        <f>_xll.EQNXTDZ($A$1,$B67,BA$5,$B$1)</f>
        <v>0</v>
      </c>
      <c r="BB67" s="55">
        <f>_xll.EQNXTDZ($A$1,$B67,BB$5,$B$1)</f>
        <v>15560.3</v>
      </c>
      <c r="BC67" s="55">
        <f>_xll.EQNXTDZ($A$1,$B67,BC$5,$B$1)</f>
        <v>0</v>
      </c>
      <c r="BD67" s="55">
        <f>_xll.EQNXTDZ($A$1,$B67,BD$5,$B$1)</f>
        <v>16121.52</v>
      </c>
      <c r="BE67" s="55">
        <f>_xll.EQNXTDZ($A$1,$B67,BE$5,$B$1)</f>
        <v>0</v>
      </c>
      <c r="BF67" s="55">
        <f>_xll.EQNXTDZ($A$1,$B67,BF$5,$B$1)</f>
        <v>17901.150000000001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2066.91</v>
      </c>
      <c r="E68" s="55">
        <f>_xll.EQNXTDZ($A$1,$B68,E$5,$B$1)</f>
        <v>0</v>
      </c>
      <c r="F68" s="55">
        <f>_xll.EQNXTDZ($A$1,$B68,F$5,$B$1)</f>
        <v>5804.44</v>
      </c>
      <c r="G68" s="55">
        <f>_xll.EQNXTDZ($A$1,$B68,G$5,$B$1)</f>
        <v>0</v>
      </c>
      <c r="H68" s="55">
        <f>_xll.EQNXTDZ($A$1,$B68,H$5,$B$1)</f>
        <v>2087.7199999999998</v>
      </c>
      <c r="I68" s="55">
        <f>_xll.EQNXTDZ($A$1,$B68,I$5,$B$1)</f>
        <v>0</v>
      </c>
      <c r="J68" s="55">
        <f>_xll.EQNXTDZ($A$1,$B68,J$5,$B$1)</f>
        <v>6188.89</v>
      </c>
      <c r="K68" s="55">
        <f>_xll.EQNXTDZ($A$1,$B68,K$5,$B$1)</f>
        <v>0</v>
      </c>
      <c r="L68" s="55">
        <f>_xll.EQNXTDZ($A$1,$B68,L$5,$B$1)</f>
        <v>2128.7800000000002</v>
      </c>
      <c r="M68" s="55">
        <f>_xll.EQNXTDZ($A$1,$B68,M$5,$B$1)</f>
        <v>0</v>
      </c>
      <c r="N68" s="55">
        <f>_xll.EQNXTDZ($A$1,$B68,N$5,$B$1)</f>
        <v>6126.47</v>
      </c>
      <c r="O68" s="55">
        <f>_xll.EQNXTDZ($A$1,$B68,O$5,$B$1)</f>
        <v>0</v>
      </c>
      <c r="P68" s="55">
        <f>_xll.EQNXTDZ($A$1,$B68,P$5,$B$1)</f>
        <v>2187.38</v>
      </c>
      <c r="Q68" s="55">
        <f>_xll.EQNXTDZ($A$1,$B68,Q$5,$B$1)</f>
        <v>0</v>
      </c>
      <c r="R68" s="55">
        <f>_xll.EQNXTDZ($A$1,$B68,R$5,$B$1)</f>
        <v>6188.71</v>
      </c>
      <c r="S68" s="55">
        <f>_xll.EQNXTDZ($A$1,$B68,S$5,$B$1)</f>
        <v>0</v>
      </c>
      <c r="T68" s="55">
        <f>_xll.EQNXTDZ($A$1,$B68,T$5,$B$1)</f>
        <v>2108.41</v>
      </c>
      <c r="U68" s="55">
        <f>_xll.EQNXTDZ($A$1,$B68,U$5,$B$1)</f>
        <v>0</v>
      </c>
      <c r="V68" s="55">
        <f>_xll.EQNXTDZ($A$1,$B68,V$5,$B$1)</f>
        <v>5260.25</v>
      </c>
      <c r="W68" s="55">
        <f>_xll.EQNXTDZ($A$1,$B68,W$5,$B$1)</f>
        <v>0</v>
      </c>
      <c r="X68" s="55">
        <f>_xll.EQNXTDZ($A$1,$B68,X$5,$B$1)</f>
        <v>5379.55</v>
      </c>
      <c r="Y68" s="55">
        <f>_xll.EQNXTDZ($A$1,$B68,Y$5,$B$1)</f>
        <v>0</v>
      </c>
      <c r="Z68" s="55">
        <f>_xll.EQNXTDZ($A$1,$B68,Z$5,$B$1)</f>
        <v>5598.78</v>
      </c>
      <c r="AA68" s="55">
        <f>_xll.EQNXTDZ($A$1,$B68,AA$5,$B$1)</f>
        <v>0</v>
      </c>
      <c r="AB68" s="55">
        <f>_xll.EQNXTDZ($A$1,$B68,AB$5,$B$1)</f>
        <v>5814.83</v>
      </c>
      <c r="AC68" s="55">
        <f>_xll.EQNXTDZ($A$1,$B68,AC$5,$B$1)</f>
        <v>0</v>
      </c>
      <c r="AD68" s="55">
        <f>_xll.EQNXTDZ($A$1,$B68,AD$5,$B$1)</f>
        <v>5839.03</v>
      </c>
      <c r="AE68" s="55">
        <f>_xll.EQNXTDZ($A$1,$B68,AE$5,$B$1)</f>
        <v>0</v>
      </c>
      <c r="AF68" s="55">
        <f>_xll.EQNXTDZ($A$1,$B68,AF$5,$B$1)</f>
        <v>5755.28</v>
      </c>
      <c r="AG68" s="55">
        <f>_xll.EQNXTDZ($A$1,$B68,AG$5,$B$1)</f>
        <v>0</v>
      </c>
      <c r="AH68" s="55">
        <f>_xll.EQNXTDZ($A$1,$B68,AH$5,$B$1)</f>
        <v>5861.92</v>
      </c>
      <c r="AI68" s="55">
        <f>_xll.EQNXTDZ($A$1,$B68,AI$5,$B$1)</f>
        <v>0</v>
      </c>
      <c r="AJ68" s="55">
        <f>_xll.EQNXTDZ($A$1,$B68,AJ$5,$B$1)</f>
        <v>6112.11</v>
      </c>
      <c r="AK68" s="55">
        <f>_xll.EQNXTDZ($A$1,$B68,AK$5,$B$1)</f>
        <v>0</v>
      </c>
      <c r="AL68" s="55">
        <f>_xll.EQNXTDZ($A$1,$B68,AL$5,$B$1)</f>
        <v>6296.99</v>
      </c>
      <c r="AM68" s="55">
        <f>_xll.EQNXTDZ($A$1,$B68,AM$5,$B$1)</f>
        <v>0</v>
      </c>
      <c r="AN68" s="55">
        <f>_xll.EQNXTDZ($A$1,$B68,AN$5,$B$1)</f>
        <v>6209.27</v>
      </c>
      <c r="AO68" s="55">
        <f>_xll.EQNXTDZ($A$1,$B68,AO$5,$B$1)</f>
        <v>0</v>
      </c>
      <c r="AP68" s="55">
        <f>_xll.EQNXTDZ($A$1,$B68,AP$5,$B$1)</f>
        <v>6279.24</v>
      </c>
      <c r="AQ68" s="55">
        <f>_xll.EQNXTDZ($A$1,$B68,AQ$5,$B$1)</f>
        <v>0</v>
      </c>
      <c r="AR68" s="55">
        <f>_xll.EQNXTDZ($A$1,$B68,AR$5,$B$1)</f>
        <v>6132.46</v>
      </c>
      <c r="AS68" s="55">
        <f>_xll.EQNXTDZ($A$1,$B68,AS$5,$B$1)</f>
        <v>0</v>
      </c>
      <c r="AT68" s="55">
        <f>_xll.EQNXTDZ($A$1,$B68,AT$5,$B$1)</f>
        <v>6293.86</v>
      </c>
      <c r="AU68" s="55">
        <f>_xll.EQNXTDZ($A$1,$B68,AU$5,$B$1)</f>
        <v>0</v>
      </c>
      <c r="AV68" s="55">
        <f>_xll.EQNXTDZ($A$1,$B68,AV$5,$B$1)</f>
        <v>6353.69</v>
      </c>
      <c r="AW68" s="55">
        <f>_xll.EQNXTDZ($A$1,$B68,AW$5,$B$1)</f>
        <v>0</v>
      </c>
      <c r="AX68" s="55">
        <f>_xll.EQNXTDZ($A$1,$B68,AX$5,$B$1)</f>
        <v>6703.22</v>
      </c>
      <c r="AY68" s="55">
        <f>_xll.EQNXTDZ($A$1,$B68,AY$5,$B$1)</f>
        <v>0</v>
      </c>
      <c r="AZ68" s="55">
        <f>_xll.EQNXTDZ($A$1,$B68,AZ$5,$B$1)</f>
        <v>7517.53</v>
      </c>
      <c r="BA68" s="55">
        <f>_xll.EQNXTDZ($A$1,$B68,BA$5,$B$1)</f>
        <v>0</v>
      </c>
      <c r="BB68" s="55">
        <f>_xll.EQNXTDZ($A$1,$B68,BB$5,$B$1)</f>
        <v>7717.65</v>
      </c>
      <c r="BC68" s="55">
        <f>_xll.EQNXTDZ($A$1,$B68,BC$5,$B$1)</f>
        <v>0</v>
      </c>
      <c r="BD68" s="55">
        <f>_xll.EQNXTDZ($A$1,$B68,BD$5,$B$1)</f>
        <v>7849.38</v>
      </c>
      <c r="BE68" s="55">
        <f>_xll.EQNXTDZ($A$1,$B68,BE$5,$B$1)</f>
        <v>0</v>
      </c>
      <c r="BF68" s="55">
        <f>_xll.EQNXTDZ($A$1,$B68,BF$5,$B$1)</f>
        <v>8825.2999999999993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2066.91</v>
      </c>
      <c r="E71" s="55">
        <f>_xll.EQNXTDZ($A$1,$B71,E$5,$B$1)</f>
        <v>0</v>
      </c>
      <c r="F71" s="55">
        <f>_xll.EQNXTDZ($A$1,$B71,F$5,$B$1)</f>
        <v>5804.44</v>
      </c>
      <c r="G71" s="55">
        <f>_xll.EQNXTDZ($A$1,$B71,G$5,$B$1)</f>
        <v>0</v>
      </c>
      <c r="H71" s="55">
        <f>_xll.EQNXTDZ($A$1,$B71,H$5,$B$1)</f>
        <v>2087.7199999999998</v>
      </c>
      <c r="I71" s="55">
        <f>_xll.EQNXTDZ($A$1,$B71,I$5,$B$1)</f>
        <v>0</v>
      </c>
      <c r="J71" s="55">
        <f>_xll.EQNXTDZ($A$1,$B71,J$5,$B$1)</f>
        <v>6188.89</v>
      </c>
      <c r="K71" s="55">
        <f>_xll.EQNXTDZ($A$1,$B71,K$5,$B$1)</f>
        <v>0</v>
      </c>
      <c r="L71" s="55">
        <f>_xll.EQNXTDZ($A$1,$B71,L$5,$B$1)</f>
        <v>2128.7800000000002</v>
      </c>
      <c r="M71" s="55">
        <f>_xll.EQNXTDZ($A$1,$B71,M$5,$B$1)</f>
        <v>0</v>
      </c>
      <c r="N71" s="55">
        <f>_xll.EQNXTDZ($A$1,$B71,N$5,$B$1)</f>
        <v>6126.47</v>
      </c>
      <c r="O71" s="55">
        <f>_xll.EQNXTDZ($A$1,$B71,O$5,$B$1)</f>
        <v>0</v>
      </c>
      <c r="P71" s="55">
        <f>_xll.EQNXTDZ($A$1,$B71,P$5,$B$1)</f>
        <v>2187.38</v>
      </c>
      <c r="Q71" s="55">
        <f>_xll.EQNXTDZ($A$1,$B71,Q$5,$B$1)</f>
        <v>0</v>
      </c>
      <c r="R71" s="55">
        <f>_xll.EQNXTDZ($A$1,$B71,R$5,$B$1)</f>
        <v>6188.71</v>
      </c>
      <c r="S71" s="55">
        <f>_xll.EQNXTDZ($A$1,$B71,S$5,$B$1)</f>
        <v>0</v>
      </c>
      <c r="T71" s="55">
        <f>_xll.EQNXTDZ($A$1,$B71,T$5,$B$1)</f>
        <v>2108.41</v>
      </c>
      <c r="U71" s="55">
        <f>_xll.EQNXTDZ($A$1,$B71,U$5,$B$1)</f>
        <v>0</v>
      </c>
      <c r="V71" s="55">
        <f>_xll.EQNXTDZ($A$1,$B71,V$5,$B$1)</f>
        <v>5260.25</v>
      </c>
      <c r="W71" s="55">
        <f>_xll.EQNXTDZ($A$1,$B71,W$5,$B$1)</f>
        <v>0</v>
      </c>
      <c r="X71" s="55">
        <f>_xll.EQNXTDZ($A$1,$B71,X$5,$B$1)</f>
        <v>5379.55</v>
      </c>
      <c r="Y71" s="55">
        <f>_xll.EQNXTDZ($A$1,$B71,Y$5,$B$1)</f>
        <v>0</v>
      </c>
      <c r="Z71" s="55">
        <f>_xll.EQNXTDZ($A$1,$B71,Z$5,$B$1)</f>
        <v>5598.78</v>
      </c>
      <c r="AA71" s="55">
        <f>_xll.EQNXTDZ($A$1,$B71,AA$5,$B$1)</f>
        <v>0</v>
      </c>
      <c r="AB71" s="55">
        <f>_xll.EQNXTDZ($A$1,$B71,AB$5,$B$1)</f>
        <v>5814.83</v>
      </c>
      <c r="AC71" s="55">
        <f>_xll.EQNXTDZ($A$1,$B71,AC$5,$B$1)</f>
        <v>0</v>
      </c>
      <c r="AD71" s="55">
        <f>_xll.EQNXTDZ($A$1,$B71,AD$5,$B$1)</f>
        <v>5839.03</v>
      </c>
      <c r="AE71" s="55">
        <f>_xll.EQNXTDZ($A$1,$B71,AE$5,$B$1)</f>
        <v>0</v>
      </c>
      <c r="AF71" s="55">
        <f>_xll.EQNXTDZ($A$1,$B71,AF$5,$B$1)</f>
        <v>5755.28</v>
      </c>
      <c r="AG71" s="55">
        <f>_xll.EQNXTDZ($A$1,$B71,AG$5,$B$1)</f>
        <v>0</v>
      </c>
      <c r="AH71" s="55">
        <f>_xll.EQNXTDZ($A$1,$B71,AH$5,$B$1)</f>
        <v>5861.92</v>
      </c>
      <c r="AI71" s="55">
        <f>_xll.EQNXTDZ($A$1,$B71,AI$5,$B$1)</f>
        <v>0</v>
      </c>
      <c r="AJ71" s="55">
        <f>_xll.EQNXTDZ($A$1,$B71,AJ$5,$B$1)</f>
        <v>6112.11</v>
      </c>
      <c r="AK71" s="55">
        <f>_xll.EQNXTDZ($A$1,$B71,AK$5,$B$1)</f>
        <v>0</v>
      </c>
      <c r="AL71" s="55">
        <f>_xll.EQNXTDZ($A$1,$B71,AL$5,$B$1)</f>
        <v>6296.99</v>
      </c>
      <c r="AM71" s="55">
        <f>_xll.EQNXTDZ($A$1,$B71,AM$5,$B$1)</f>
        <v>0</v>
      </c>
      <c r="AN71" s="55">
        <f>_xll.EQNXTDZ($A$1,$B71,AN$5,$B$1)</f>
        <v>6209.27</v>
      </c>
      <c r="AO71" s="55">
        <f>_xll.EQNXTDZ($A$1,$B71,AO$5,$B$1)</f>
        <v>0</v>
      </c>
      <c r="AP71" s="55">
        <f>_xll.EQNXTDZ($A$1,$B71,AP$5,$B$1)</f>
        <v>6279.24</v>
      </c>
      <c r="AQ71" s="55">
        <f>_xll.EQNXTDZ($A$1,$B71,AQ$5,$B$1)</f>
        <v>0</v>
      </c>
      <c r="AR71" s="55">
        <f>_xll.EQNXTDZ($A$1,$B71,AR$5,$B$1)</f>
        <v>6132.46</v>
      </c>
      <c r="AS71" s="55">
        <f>_xll.EQNXTDZ($A$1,$B71,AS$5,$B$1)</f>
        <v>0</v>
      </c>
      <c r="AT71" s="55">
        <f>_xll.EQNXTDZ($A$1,$B71,AT$5,$B$1)</f>
        <v>6293.86</v>
      </c>
      <c r="AU71" s="55">
        <f>_xll.EQNXTDZ($A$1,$B71,AU$5,$B$1)</f>
        <v>0</v>
      </c>
      <c r="AV71" s="55">
        <f>_xll.EQNXTDZ($A$1,$B71,AV$5,$B$1)</f>
        <v>6353.69</v>
      </c>
      <c r="AW71" s="55">
        <f>_xll.EQNXTDZ($A$1,$B71,AW$5,$B$1)</f>
        <v>0</v>
      </c>
      <c r="AX71" s="55">
        <f>_xll.EQNXTDZ($A$1,$B71,AX$5,$B$1)</f>
        <v>6703.22</v>
      </c>
      <c r="AY71" s="55">
        <f>_xll.EQNXTDZ($A$1,$B71,AY$5,$B$1)</f>
        <v>0</v>
      </c>
      <c r="AZ71" s="55">
        <f>_xll.EQNXTDZ($A$1,$B71,AZ$5,$B$1)</f>
        <v>7517.53</v>
      </c>
      <c r="BA71" s="55">
        <f>_xll.EQNXTDZ($A$1,$B71,BA$5,$B$1)</f>
        <v>0</v>
      </c>
      <c r="BB71" s="55">
        <f>_xll.EQNXTDZ($A$1,$B71,BB$5,$B$1)</f>
        <v>7717.65</v>
      </c>
      <c r="BC71" s="55">
        <f>_xll.EQNXTDZ($A$1,$B71,BC$5,$B$1)</f>
        <v>0</v>
      </c>
      <c r="BD71" s="55">
        <f>_xll.EQNXTDZ($A$1,$B71,BD$5,$B$1)</f>
        <v>7849.38</v>
      </c>
      <c r="BE71" s="55">
        <f>_xll.EQNXTDZ($A$1,$B71,BE$5,$B$1)</f>
        <v>0</v>
      </c>
      <c r="BF71" s="55">
        <f>_xll.EQNXTDZ($A$1,$B71,BF$5,$B$1)</f>
        <v>8825.2999999999993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512.83000000000004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580.09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478.45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573.65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555.55999999999995</v>
      </c>
      <c r="W72" s="55">
        <f>_xll.EQNXTDZ($A$1,$B72,W$5,$B$1)</f>
        <v>0</v>
      </c>
      <c r="X72" s="55">
        <f>_xll.EQNXTDZ($A$1,$B72,X$5,$B$1)</f>
        <v>562.78</v>
      </c>
      <c r="Y72" s="55">
        <f>_xll.EQNXTDZ($A$1,$B72,Y$5,$B$1)</f>
        <v>0</v>
      </c>
      <c r="Z72" s="55">
        <f>_xll.EQNXTDZ($A$1,$B72,Z$5,$B$1)</f>
        <v>565.52</v>
      </c>
      <c r="AA72" s="55">
        <f>_xll.EQNXTDZ($A$1,$B72,AA$5,$B$1)</f>
        <v>0</v>
      </c>
      <c r="AB72" s="55">
        <f>_xll.EQNXTDZ($A$1,$B72,AB$5,$B$1)</f>
        <v>602.94000000000005</v>
      </c>
      <c r="AC72" s="55">
        <f>_xll.EQNXTDZ($A$1,$B72,AC$5,$B$1)</f>
        <v>0</v>
      </c>
      <c r="AD72" s="55">
        <f>_xll.EQNXTDZ($A$1,$B72,AD$5,$B$1)</f>
        <v>583.47</v>
      </c>
      <c r="AE72" s="55">
        <f>_xll.EQNXTDZ($A$1,$B72,AE$5,$B$1)</f>
        <v>0</v>
      </c>
      <c r="AF72" s="55">
        <f>_xll.EQNXTDZ($A$1,$B72,AF$5,$B$1)</f>
        <v>587.36</v>
      </c>
      <c r="AG72" s="55">
        <f>_xll.EQNXTDZ($A$1,$B72,AG$5,$B$1)</f>
        <v>0</v>
      </c>
      <c r="AH72" s="55">
        <f>_xll.EQNXTDZ($A$1,$B72,AH$5,$B$1)</f>
        <v>614.58000000000004</v>
      </c>
      <c r="AI72" s="55">
        <f>_xll.EQNXTDZ($A$1,$B72,AI$5,$B$1)</f>
        <v>0</v>
      </c>
      <c r="AJ72" s="55">
        <f>_xll.EQNXTDZ($A$1,$B72,AJ$5,$B$1)</f>
        <v>608</v>
      </c>
      <c r="AK72" s="55">
        <f>_xll.EQNXTDZ($A$1,$B72,AK$5,$B$1)</f>
        <v>0</v>
      </c>
      <c r="AL72" s="55">
        <f>_xll.EQNXTDZ($A$1,$B72,AL$5,$B$1)</f>
        <v>610.97</v>
      </c>
      <c r="AM72" s="55">
        <f>_xll.EQNXTDZ($A$1,$B72,AM$5,$B$1)</f>
        <v>0</v>
      </c>
      <c r="AN72" s="55">
        <f>_xll.EQNXTDZ($A$1,$B72,AN$5,$B$1)</f>
        <v>615.44000000000005</v>
      </c>
      <c r="AO72" s="55">
        <f>_xll.EQNXTDZ($A$1,$B72,AO$5,$B$1)</f>
        <v>0</v>
      </c>
      <c r="AP72" s="55">
        <f>_xll.EQNXTDZ($A$1,$B72,AP$5,$B$1)</f>
        <v>622.91</v>
      </c>
      <c r="AQ72" s="55">
        <f>_xll.EQNXTDZ($A$1,$B72,AQ$5,$B$1)</f>
        <v>0</v>
      </c>
      <c r="AR72" s="55">
        <f>_xll.EQNXTDZ($A$1,$B72,AR$5,$B$1)</f>
        <v>641.80999999999995</v>
      </c>
      <c r="AS72" s="55">
        <f>_xll.EQNXTDZ($A$1,$B72,AS$5,$B$1)</f>
        <v>0</v>
      </c>
      <c r="AT72" s="55">
        <f>_xll.EQNXTDZ($A$1,$B72,AT$5,$B$1)</f>
        <v>653.62</v>
      </c>
      <c r="AU72" s="55">
        <f>_xll.EQNXTDZ($A$1,$B72,AU$5,$B$1)</f>
        <v>0</v>
      </c>
      <c r="AV72" s="55">
        <f>_xll.EQNXTDZ($A$1,$B72,AV$5,$B$1)</f>
        <v>657.48</v>
      </c>
      <c r="AW72" s="55">
        <f>_xll.EQNXTDZ($A$1,$B72,AW$5,$B$1)</f>
        <v>0</v>
      </c>
      <c r="AX72" s="55">
        <f>_xll.EQNXTDZ($A$1,$B72,AX$5,$B$1)</f>
        <v>662.32</v>
      </c>
      <c r="AY72" s="55">
        <f>_xll.EQNXTDZ($A$1,$B72,AY$5,$B$1)</f>
        <v>0</v>
      </c>
      <c r="AZ72" s="55">
        <f>_xll.EQNXTDZ($A$1,$B72,AZ$5,$B$1)</f>
        <v>674.6</v>
      </c>
      <c r="BA72" s="55">
        <f>_xll.EQNXTDZ($A$1,$B72,BA$5,$B$1)</f>
        <v>0</v>
      </c>
      <c r="BB72" s="55">
        <f>_xll.EQNXTDZ($A$1,$B72,BB$5,$B$1)</f>
        <v>710.75</v>
      </c>
      <c r="BC72" s="55">
        <f>_xll.EQNXTDZ($A$1,$B72,BC$5,$B$1)</f>
        <v>0</v>
      </c>
      <c r="BD72" s="55">
        <f>_xll.EQNXTDZ($A$1,$B72,BD$5,$B$1)</f>
        <v>733.52</v>
      </c>
      <c r="BE72" s="55">
        <f>_xll.EQNXTDZ($A$1,$B72,BE$5,$B$1)</f>
        <v>0</v>
      </c>
      <c r="BF72" s="55">
        <f>_xll.EQNXTDZ($A$1,$B72,BF$5,$B$1)</f>
        <v>1121.95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289.23</v>
      </c>
      <c r="S74" s="55">
        <f>_xll.EQNXTDZ($A$1,$B74,S$5,$B$1)</f>
        <v>0</v>
      </c>
      <c r="T74" s="55">
        <f>_xll.EQNXTDZ($A$1,$B74,T$5,$B$1)</f>
        <v>139.19</v>
      </c>
      <c r="U74" s="55">
        <f>_xll.EQNXTDZ($A$1,$B74,U$5,$B$1)</f>
        <v>0</v>
      </c>
      <c r="V74" s="55">
        <f>_xll.EQNXTDZ($A$1,$B74,V$5,$B$1)</f>
        <v>222.25</v>
      </c>
      <c r="W74" s="55">
        <f>_xll.EQNXTDZ($A$1,$B74,W$5,$B$1)</f>
        <v>0</v>
      </c>
      <c r="X74" s="55">
        <f>_xll.EQNXTDZ($A$1,$B74,X$5,$B$1)</f>
        <v>259.27999999999997</v>
      </c>
      <c r="Y74" s="55">
        <f>_xll.EQNXTDZ($A$1,$B74,Y$5,$B$1)</f>
        <v>0</v>
      </c>
      <c r="Z74" s="55">
        <f>_xll.EQNXTDZ($A$1,$B74,Z$5,$B$1)</f>
        <v>195.31</v>
      </c>
      <c r="AA74" s="55">
        <f>_xll.EQNXTDZ($A$1,$B74,AA$5,$B$1)</f>
        <v>0</v>
      </c>
      <c r="AB74" s="55">
        <f>_xll.EQNXTDZ($A$1,$B74,AB$5,$B$1)</f>
        <v>175.38</v>
      </c>
      <c r="AC74" s="55">
        <f>_xll.EQNXTDZ($A$1,$B74,AC$5,$B$1)</f>
        <v>0</v>
      </c>
      <c r="AD74" s="55">
        <f>_xll.EQNXTDZ($A$1,$B74,AD$5,$B$1)</f>
        <v>115.93</v>
      </c>
      <c r="AE74" s="55">
        <f>_xll.EQNXTDZ($A$1,$B74,AE$5,$B$1)</f>
        <v>0</v>
      </c>
      <c r="AF74" s="55">
        <f>_xll.EQNXTDZ($A$1,$B74,AF$5,$B$1)</f>
        <v>167.46</v>
      </c>
      <c r="AG74" s="55">
        <f>_xll.EQNXTDZ($A$1,$B74,AG$5,$B$1)</f>
        <v>0</v>
      </c>
      <c r="AH74" s="55">
        <f>_xll.EQNXTDZ($A$1,$B74,AH$5,$B$1)</f>
        <v>243.15</v>
      </c>
      <c r="AI74" s="55">
        <f>_xll.EQNXTDZ($A$1,$B74,AI$5,$B$1)</f>
        <v>0</v>
      </c>
      <c r="AJ74" s="55">
        <f>_xll.EQNXTDZ($A$1,$B74,AJ$5,$B$1)</f>
        <v>267.02</v>
      </c>
      <c r="AK74" s="55">
        <f>_xll.EQNXTDZ($A$1,$B74,AK$5,$B$1)</f>
        <v>0</v>
      </c>
      <c r="AL74" s="55">
        <f>_xll.EQNXTDZ($A$1,$B74,AL$5,$B$1)</f>
        <v>164.99</v>
      </c>
      <c r="AM74" s="55">
        <f>_xll.EQNXTDZ($A$1,$B74,AM$5,$B$1)</f>
        <v>0</v>
      </c>
      <c r="AN74" s="55">
        <f>_xll.EQNXTDZ($A$1,$B74,AN$5,$B$1)</f>
        <v>209.41</v>
      </c>
      <c r="AO74" s="55">
        <f>_xll.EQNXTDZ($A$1,$B74,AO$5,$B$1)</f>
        <v>0</v>
      </c>
      <c r="AP74" s="55">
        <f>_xll.EQNXTDZ($A$1,$B74,AP$5,$B$1)</f>
        <v>193.31</v>
      </c>
      <c r="AQ74" s="55">
        <f>_xll.EQNXTDZ($A$1,$B74,AQ$5,$B$1)</f>
        <v>0</v>
      </c>
      <c r="AR74" s="55">
        <f>_xll.EQNXTDZ($A$1,$B74,AR$5,$B$1)</f>
        <v>237.61</v>
      </c>
      <c r="AS74" s="55">
        <f>_xll.EQNXTDZ($A$1,$B74,AS$5,$B$1)</f>
        <v>0</v>
      </c>
      <c r="AT74" s="55">
        <f>_xll.EQNXTDZ($A$1,$B74,AT$5,$B$1)</f>
        <v>324.17</v>
      </c>
      <c r="AU74" s="55">
        <f>_xll.EQNXTDZ($A$1,$B74,AU$5,$B$1)</f>
        <v>0</v>
      </c>
      <c r="AV74" s="55">
        <f>_xll.EQNXTDZ($A$1,$B74,AV$5,$B$1)</f>
        <v>401.92</v>
      </c>
      <c r="AW74" s="55">
        <f>_xll.EQNXTDZ($A$1,$B74,AW$5,$B$1)</f>
        <v>0</v>
      </c>
      <c r="AX74" s="55">
        <f>_xll.EQNXTDZ($A$1,$B74,AX$5,$B$1)</f>
        <v>230.99</v>
      </c>
      <c r="AY74" s="55">
        <f>_xll.EQNXTDZ($A$1,$B74,AY$5,$B$1)</f>
        <v>0</v>
      </c>
      <c r="AZ74" s="55">
        <f>_xll.EQNXTDZ($A$1,$B74,AZ$5,$B$1)</f>
        <v>361.5</v>
      </c>
      <c r="BA74" s="55">
        <f>_xll.EQNXTDZ($A$1,$B74,BA$5,$B$1)</f>
        <v>0</v>
      </c>
      <c r="BB74" s="55">
        <f>_xll.EQNXTDZ($A$1,$B74,BB$5,$B$1)</f>
        <v>575.80999999999995</v>
      </c>
      <c r="BC74" s="55">
        <f>_xll.EQNXTDZ($A$1,$B74,BC$5,$B$1)</f>
        <v>0</v>
      </c>
      <c r="BD74" s="55">
        <f>_xll.EQNXTDZ($A$1,$B74,BD$5,$B$1)</f>
        <v>861.86</v>
      </c>
      <c r="BE74" s="55">
        <f>_xll.EQNXTDZ($A$1,$B74,BE$5,$B$1)</f>
        <v>0</v>
      </c>
      <c r="BF74" s="55">
        <f>_xll.EQNXTDZ($A$1,$B74,BF$5,$B$1)</f>
        <v>764.33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3622.19</v>
      </c>
      <c r="E77" s="55">
        <f>_xll.EQNXTDZ($A$1,$B77,E$5,$B$1)</f>
        <v>0</v>
      </c>
      <c r="F77" s="55">
        <f>_xll.EQNXTDZ($A$1,$B77,F$5,$B$1)</f>
        <v>1522.61</v>
      </c>
      <c r="G77" s="55">
        <f>_xll.EQNXTDZ($A$1,$B77,G$5,$B$1)</f>
        <v>0</v>
      </c>
      <c r="H77" s="55">
        <f>_xll.EQNXTDZ($A$1,$B77,H$5,$B$1)</f>
        <v>3096.75</v>
      </c>
      <c r="I77" s="55">
        <f>_xll.EQNXTDZ($A$1,$B77,I$5,$B$1)</f>
        <v>0</v>
      </c>
      <c r="J77" s="55">
        <f>_xll.EQNXTDZ($A$1,$B77,J$5,$B$1)</f>
        <v>1319.28</v>
      </c>
      <c r="K77" s="55">
        <f>_xll.EQNXTDZ($A$1,$B77,K$5,$B$1)</f>
        <v>0</v>
      </c>
      <c r="L77" s="55">
        <f>_xll.EQNXTDZ($A$1,$B77,L$5,$B$1)</f>
        <v>2761.64</v>
      </c>
      <c r="M77" s="55">
        <f>_xll.EQNXTDZ($A$1,$B77,M$5,$B$1)</f>
        <v>0</v>
      </c>
      <c r="N77" s="55">
        <f>_xll.EQNXTDZ($A$1,$B77,N$5,$B$1)</f>
        <v>1040.5899999999999</v>
      </c>
      <c r="O77" s="55">
        <f>_xll.EQNXTDZ($A$1,$B77,O$5,$B$1)</f>
        <v>0</v>
      </c>
      <c r="P77" s="55">
        <f>_xll.EQNXTDZ($A$1,$B77,P$5,$B$1)</f>
        <v>2798.73</v>
      </c>
      <c r="Q77" s="55">
        <f>_xll.EQNXTDZ($A$1,$B77,Q$5,$B$1)</f>
        <v>0</v>
      </c>
      <c r="R77" s="55">
        <f>_xll.EQNXTDZ($A$1,$B77,R$5,$B$1)</f>
        <v>1344.63</v>
      </c>
      <c r="S77" s="55">
        <f>_xll.EQNXTDZ($A$1,$B77,S$5,$B$1)</f>
        <v>0</v>
      </c>
      <c r="T77" s="55">
        <f>_xll.EQNXTDZ($A$1,$B77,T$5,$B$1)</f>
        <v>1453.12</v>
      </c>
      <c r="U77" s="55">
        <f>_xll.EQNXTDZ($A$1,$B77,U$5,$B$1)</f>
        <v>0</v>
      </c>
      <c r="V77" s="55">
        <f>_xll.EQNXTDZ($A$1,$B77,V$5,$B$1)</f>
        <v>1152.9100000000001</v>
      </c>
      <c r="W77" s="55">
        <f>_xll.EQNXTDZ($A$1,$B77,W$5,$B$1)</f>
        <v>0</v>
      </c>
      <c r="X77" s="55">
        <f>_xll.EQNXTDZ($A$1,$B77,X$5,$B$1)</f>
        <v>1163.6199999999999</v>
      </c>
      <c r="Y77" s="55">
        <f>_xll.EQNXTDZ($A$1,$B77,Y$5,$B$1)</f>
        <v>0</v>
      </c>
      <c r="Z77" s="55">
        <f>_xll.EQNXTDZ($A$1,$B77,Z$5,$B$1)</f>
        <v>1180.8900000000001</v>
      </c>
      <c r="AA77" s="55">
        <f>_xll.EQNXTDZ($A$1,$B77,AA$5,$B$1)</f>
        <v>0</v>
      </c>
      <c r="AB77" s="55">
        <f>_xll.EQNXTDZ($A$1,$B77,AB$5,$B$1)</f>
        <v>1133.8599999999999</v>
      </c>
      <c r="AC77" s="55">
        <f>_xll.EQNXTDZ($A$1,$B77,AC$5,$B$1)</f>
        <v>0</v>
      </c>
      <c r="AD77" s="55">
        <f>_xll.EQNXTDZ($A$1,$B77,AD$5,$B$1)</f>
        <v>1123.93</v>
      </c>
      <c r="AE77" s="55">
        <f>_xll.EQNXTDZ($A$1,$B77,AE$5,$B$1)</f>
        <v>0</v>
      </c>
      <c r="AF77" s="55">
        <f>_xll.EQNXTDZ($A$1,$B77,AF$5,$B$1)</f>
        <v>1046.03</v>
      </c>
      <c r="AG77" s="55">
        <f>_xll.EQNXTDZ($A$1,$B77,AG$5,$B$1)</f>
        <v>0</v>
      </c>
      <c r="AH77" s="55">
        <f>_xll.EQNXTDZ($A$1,$B77,AH$5,$B$1)</f>
        <v>990.35</v>
      </c>
      <c r="AI77" s="55">
        <f>_xll.EQNXTDZ($A$1,$B77,AI$5,$B$1)</f>
        <v>0</v>
      </c>
      <c r="AJ77" s="55">
        <f>_xll.EQNXTDZ($A$1,$B77,AJ$5,$B$1)</f>
        <v>915.08</v>
      </c>
      <c r="AK77" s="55">
        <f>_xll.EQNXTDZ($A$1,$B77,AK$5,$B$1)</f>
        <v>0</v>
      </c>
      <c r="AL77" s="55">
        <f>_xll.EQNXTDZ($A$1,$B77,AL$5,$B$1)</f>
        <v>1034.54</v>
      </c>
      <c r="AM77" s="55">
        <f>_xll.EQNXTDZ($A$1,$B77,AM$5,$B$1)</f>
        <v>0</v>
      </c>
      <c r="AN77" s="55">
        <f>_xll.EQNXTDZ($A$1,$B77,AN$5,$B$1)</f>
        <v>1040.8399999999999</v>
      </c>
      <c r="AO77" s="55">
        <f>_xll.EQNXTDZ($A$1,$B77,AO$5,$B$1)</f>
        <v>0</v>
      </c>
      <c r="AP77" s="55">
        <f>_xll.EQNXTDZ($A$1,$B77,AP$5,$B$1)</f>
        <v>1064.33</v>
      </c>
      <c r="AQ77" s="55">
        <f>_xll.EQNXTDZ($A$1,$B77,AQ$5,$B$1)</f>
        <v>0</v>
      </c>
      <c r="AR77" s="55">
        <f>_xll.EQNXTDZ($A$1,$B77,AR$5,$B$1)</f>
        <v>1074.54</v>
      </c>
      <c r="AS77" s="55">
        <f>_xll.EQNXTDZ($A$1,$B77,AS$5,$B$1)</f>
        <v>0</v>
      </c>
      <c r="AT77" s="55">
        <f>_xll.EQNXTDZ($A$1,$B77,AT$5,$B$1)</f>
        <v>1133.71</v>
      </c>
      <c r="AU77" s="55">
        <f>_xll.EQNXTDZ($A$1,$B77,AU$5,$B$1)</f>
        <v>0</v>
      </c>
      <c r="AV77" s="55">
        <f>_xll.EQNXTDZ($A$1,$B77,AV$5,$B$1)</f>
        <v>1246.21</v>
      </c>
      <c r="AW77" s="55">
        <f>_xll.EQNXTDZ($A$1,$B77,AW$5,$B$1)</f>
        <v>0</v>
      </c>
      <c r="AX77" s="55">
        <f>_xll.EQNXTDZ($A$1,$B77,AX$5,$B$1)</f>
        <v>1537.05</v>
      </c>
      <c r="AY77" s="55">
        <f>_xll.EQNXTDZ($A$1,$B77,AY$5,$B$1)</f>
        <v>0</v>
      </c>
      <c r="AZ77" s="55">
        <f>_xll.EQNXTDZ($A$1,$B77,AZ$5,$B$1)</f>
        <v>1440.2</v>
      </c>
      <c r="BA77" s="55">
        <f>_xll.EQNXTDZ($A$1,$B77,BA$5,$B$1)</f>
        <v>0</v>
      </c>
      <c r="BB77" s="55">
        <f>_xll.EQNXTDZ($A$1,$B77,BB$5,$B$1)</f>
        <v>1379.89</v>
      </c>
      <c r="BC77" s="55">
        <f>_xll.EQNXTDZ($A$1,$B77,BC$5,$B$1)</f>
        <v>0</v>
      </c>
      <c r="BD77" s="55">
        <f>_xll.EQNXTDZ($A$1,$B77,BD$5,$B$1)</f>
        <v>1387.94</v>
      </c>
      <c r="BE77" s="55">
        <f>_xll.EQNXTDZ($A$1,$B77,BE$5,$B$1)</f>
        <v>0</v>
      </c>
      <c r="BF77" s="55">
        <f>_xll.EQNXTDZ($A$1,$B77,BF$5,$B$1)</f>
        <v>1106.57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1495.19</v>
      </c>
      <c r="E78" s="55">
        <f>_xll.EQNXTDZ($A$1,$B78,E$5,$B$1)</f>
        <v>0</v>
      </c>
      <c r="F78" s="55">
        <f>_xll.EQNXTDZ($A$1,$B78,F$5,$B$1)</f>
        <v>476.42</v>
      </c>
      <c r="G78" s="55">
        <f>_xll.EQNXTDZ($A$1,$B78,G$5,$B$1)</f>
        <v>0</v>
      </c>
      <c r="H78" s="55">
        <f>_xll.EQNXTDZ($A$1,$B78,H$5,$B$1)</f>
        <v>1705.32</v>
      </c>
      <c r="I78" s="55">
        <f>_xll.EQNXTDZ($A$1,$B78,I$5,$B$1)</f>
        <v>0</v>
      </c>
      <c r="J78" s="55">
        <f>_xll.EQNXTDZ($A$1,$B78,J$5,$B$1)</f>
        <v>459.89</v>
      </c>
      <c r="K78" s="55">
        <f>_xll.EQNXTDZ($A$1,$B78,K$5,$B$1)</f>
        <v>0</v>
      </c>
      <c r="L78" s="55">
        <f>_xll.EQNXTDZ($A$1,$B78,L$5,$B$1)</f>
        <v>1566.57</v>
      </c>
      <c r="M78" s="55">
        <f>_xll.EQNXTDZ($A$1,$B78,M$5,$B$1)</f>
        <v>0</v>
      </c>
      <c r="N78" s="55">
        <f>_xll.EQNXTDZ($A$1,$B78,N$5,$B$1)</f>
        <v>498.79</v>
      </c>
      <c r="O78" s="55">
        <f>_xll.EQNXTDZ($A$1,$B78,O$5,$B$1)</f>
        <v>0</v>
      </c>
      <c r="P78" s="55">
        <f>_xll.EQNXTDZ($A$1,$B78,P$5,$B$1)</f>
        <v>1281.07</v>
      </c>
      <c r="Q78" s="55">
        <f>_xll.EQNXTDZ($A$1,$B78,Q$5,$B$1)</f>
        <v>0</v>
      </c>
      <c r="R78" s="55">
        <f>_xll.EQNXTDZ($A$1,$B78,R$5,$B$1)</f>
        <v>15.16</v>
      </c>
      <c r="S78" s="55">
        <f>_xll.EQNXTDZ($A$1,$B78,S$5,$B$1)</f>
        <v>0</v>
      </c>
      <c r="T78" s="55">
        <f>_xll.EQNXTDZ($A$1,$B78,T$5,$B$1)</f>
        <v>950.03</v>
      </c>
      <c r="U78" s="55">
        <f>_xll.EQNXTDZ($A$1,$B78,U$5,$B$1)</f>
        <v>0</v>
      </c>
      <c r="V78" s="55">
        <f>_xll.EQNXTDZ($A$1,$B78,V$5,$B$1)</f>
        <v>15.09</v>
      </c>
      <c r="W78" s="55">
        <f>_xll.EQNXTDZ($A$1,$B78,W$5,$B$1)</f>
        <v>0</v>
      </c>
      <c r="X78" s="55">
        <f>_xll.EQNXTDZ($A$1,$B78,X$5,$B$1)</f>
        <v>15.14</v>
      </c>
      <c r="Y78" s="55">
        <f>_xll.EQNXTDZ($A$1,$B78,Y$5,$B$1)</f>
        <v>0</v>
      </c>
      <c r="Z78" s="55">
        <f>_xll.EQNXTDZ($A$1,$B78,Z$5,$B$1)</f>
        <v>15.13</v>
      </c>
      <c r="AA78" s="55">
        <f>_xll.EQNXTDZ($A$1,$B78,AA$5,$B$1)</f>
        <v>0</v>
      </c>
      <c r="AB78" s="55">
        <f>_xll.EQNXTDZ($A$1,$B78,AB$5,$B$1)</f>
        <v>213.34</v>
      </c>
      <c r="AC78" s="55">
        <f>_xll.EQNXTDZ($A$1,$B78,AC$5,$B$1)</f>
        <v>0</v>
      </c>
      <c r="AD78" s="55">
        <f>_xll.EQNXTDZ($A$1,$B78,AD$5,$B$1)</f>
        <v>15.73</v>
      </c>
      <c r="AE78" s="55">
        <f>_xll.EQNXTDZ($A$1,$B78,AE$5,$B$1)</f>
        <v>0</v>
      </c>
      <c r="AF78" s="55">
        <f>_xll.EQNXTDZ($A$1,$B78,AF$5,$B$1)</f>
        <v>15.95</v>
      </c>
      <c r="AG78" s="55">
        <f>_xll.EQNXTDZ($A$1,$B78,AG$5,$B$1)</f>
        <v>0</v>
      </c>
      <c r="AH78" s="55">
        <f>_xll.EQNXTDZ($A$1,$B78,AH$5,$B$1)</f>
        <v>16.649999999999999</v>
      </c>
      <c r="AI78" s="55">
        <f>_xll.EQNXTDZ($A$1,$B78,AI$5,$B$1)</f>
        <v>0</v>
      </c>
      <c r="AJ78" s="55">
        <f>_xll.EQNXTDZ($A$1,$B78,AJ$5,$B$1)</f>
        <v>16.39</v>
      </c>
      <c r="AK78" s="55">
        <f>_xll.EQNXTDZ($A$1,$B78,AK$5,$B$1)</f>
        <v>0</v>
      </c>
      <c r="AL78" s="55">
        <f>_xll.EQNXTDZ($A$1,$B78,AL$5,$B$1)</f>
        <v>5.05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3.25</v>
      </c>
      <c r="AU78" s="55">
        <f>_xll.EQNXTDZ($A$1,$B78,AU$5,$B$1)</f>
        <v>0</v>
      </c>
      <c r="AV78" s="55">
        <f>_xll.EQNXTDZ($A$1,$B78,AV$5,$B$1)</f>
        <v>8.81</v>
      </c>
      <c r="AW78" s="55">
        <f>_xll.EQNXTDZ($A$1,$B78,AW$5,$B$1)</f>
        <v>0</v>
      </c>
      <c r="AX78" s="55">
        <f>_xll.EQNXTDZ($A$1,$B78,AX$5,$B$1)</f>
        <v>10.09</v>
      </c>
      <c r="AY78" s="55">
        <f>_xll.EQNXTDZ($A$1,$B78,AY$5,$B$1)</f>
        <v>0</v>
      </c>
      <c r="AZ78" s="55">
        <f>_xll.EQNXTDZ($A$1,$B78,AZ$5,$B$1)</f>
        <v>9.89</v>
      </c>
      <c r="BA78" s="55">
        <f>_xll.EQNXTDZ($A$1,$B78,BA$5,$B$1)</f>
        <v>0</v>
      </c>
      <c r="BB78" s="55">
        <f>_xll.EQNXTDZ($A$1,$B78,BB$5,$B$1)</f>
        <v>9.26</v>
      </c>
      <c r="BC78" s="55">
        <f>_xll.EQNXTDZ($A$1,$B78,BC$5,$B$1)</f>
        <v>0</v>
      </c>
      <c r="BD78" s="55">
        <f>_xll.EQNXTDZ($A$1,$B78,BD$5,$B$1)</f>
        <v>4.66</v>
      </c>
      <c r="BE78" s="55">
        <f>_xll.EQNXTDZ($A$1,$B78,BE$5,$B$1)</f>
        <v>0</v>
      </c>
      <c r="BF78" s="55">
        <f>_xll.EQNXTDZ($A$1,$B78,BF$5,$B$1)</f>
        <v>4.6100000000000003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16.760000000000002</v>
      </c>
      <c r="E79" s="55">
        <f>_xll.EQNXTDZ($A$1,$B79,E$5,$B$1)</f>
        <v>0</v>
      </c>
      <c r="F79" s="55">
        <f>_xll.EQNXTDZ($A$1,$B79,F$5,$B$1)</f>
        <v>26.49</v>
      </c>
      <c r="G79" s="55">
        <f>_xll.EQNXTDZ($A$1,$B79,G$5,$B$1)</f>
        <v>0</v>
      </c>
      <c r="H79" s="55">
        <f>_xll.EQNXTDZ($A$1,$B79,H$5,$B$1)</f>
        <v>11.48</v>
      </c>
      <c r="I79" s="55">
        <f>_xll.EQNXTDZ($A$1,$B79,I$5,$B$1)</f>
        <v>0</v>
      </c>
      <c r="J79" s="55">
        <f>_xll.EQNXTDZ($A$1,$B79,J$5,$B$1)</f>
        <v>28.95</v>
      </c>
      <c r="K79" s="55">
        <f>_xll.EQNXTDZ($A$1,$B79,K$5,$B$1)</f>
        <v>0</v>
      </c>
      <c r="L79" s="55">
        <f>_xll.EQNXTDZ($A$1,$B79,L$5,$B$1)</f>
        <v>4.32</v>
      </c>
      <c r="M79" s="55">
        <f>_xll.EQNXTDZ($A$1,$B79,M$5,$B$1)</f>
        <v>0</v>
      </c>
      <c r="N79" s="55">
        <f>_xll.EQNXTDZ($A$1,$B79,N$5,$B$1)</f>
        <v>17.09</v>
      </c>
      <c r="O79" s="55">
        <f>_xll.EQNXTDZ($A$1,$B79,O$5,$B$1)</f>
        <v>0</v>
      </c>
      <c r="P79" s="55">
        <f>_xll.EQNXTDZ($A$1,$B79,P$5,$B$1)</f>
        <v>2.69</v>
      </c>
      <c r="Q79" s="55">
        <f>_xll.EQNXTDZ($A$1,$B79,Q$5,$B$1)</f>
        <v>0</v>
      </c>
      <c r="R79" s="55">
        <f>_xll.EQNXTDZ($A$1,$B79,R$5,$B$1)</f>
        <v>441.52</v>
      </c>
      <c r="S79" s="55">
        <f>_xll.EQNXTDZ($A$1,$B79,S$5,$B$1)</f>
        <v>0</v>
      </c>
      <c r="T79" s="55">
        <f>_xll.EQNXTDZ($A$1,$B79,T$5,$B$1)</f>
        <v>325.74</v>
      </c>
      <c r="U79" s="55">
        <f>_xll.EQNXTDZ($A$1,$B79,U$5,$B$1)</f>
        <v>0</v>
      </c>
      <c r="V79" s="55">
        <f>_xll.EQNXTDZ($A$1,$B79,V$5,$B$1)</f>
        <v>501.88</v>
      </c>
      <c r="W79" s="55">
        <f>_xll.EQNXTDZ($A$1,$B79,W$5,$B$1)</f>
        <v>0</v>
      </c>
      <c r="X79" s="55">
        <f>_xll.EQNXTDZ($A$1,$B79,X$5,$B$1)</f>
        <v>546.38</v>
      </c>
      <c r="Y79" s="55">
        <f>_xll.EQNXTDZ($A$1,$B79,Y$5,$B$1)</f>
        <v>0</v>
      </c>
      <c r="Z79" s="55">
        <f>_xll.EQNXTDZ($A$1,$B79,Z$5,$B$1)</f>
        <v>539.24</v>
      </c>
      <c r="AA79" s="55">
        <f>_xll.EQNXTDZ($A$1,$B79,AA$5,$B$1)</f>
        <v>0</v>
      </c>
      <c r="AB79" s="55">
        <f>_xll.EQNXTDZ($A$1,$B79,AB$5,$B$1)</f>
        <v>426.04</v>
      </c>
      <c r="AC79" s="55">
        <f>_xll.EQNXTDZ($A$1,$B79,AC$5,$B$1)</f>
        <v>0</v>
      </c>
      <c r="AD79" s="55">
        <f>_xll.EQNXTDZ($A$1,$B79,AD$5,$B$1)</f>
        <v>677.45</v>
      </c>
      <c r="AE79" s="55">
        <f>_xll.EQNXTDZ($A$1,$B79,AE$5,$B$1)</f>
        <v>0</v>
      </c>
      <c r="AF79" s="55">
        <f>_xll.EQNXTDZ($A$1,$B79,AF$5,$B$1)</f>
        <v>2363.1</v>
      </c>
      <c r="AG79" s="55">
        <f>_xll.EQNXTDZ($A$1,$B79,AG$5,$B$1)</f>
        <v>0</v>
      </c>
      <c r="AH79" s="55">
        <f>_xll.EQNXTDZ($A$1,$B79,AH$5,$B$1)</f>
        <v>2277.8000000000002</v>
      </c>
      <c r="AI79" s="55">
        <f>_xll.EQNXTDZ($A$1,$B79,AI$5,$B$1)</f>
        <v>0</v>
      </c>
      <c r="AJ79" s="55">
        <f>_xll.EQNXTDZ($A$1,$B79,AJ$5,$B$1)</f>
        <v>2232.7600000000002</v>
      </c>
      <c r="AK79" s="55">
        <f>_xll.EQNXTDZ($A$1,$B79,AK$5,$B$1)</f>
        <v>0</v>
      </c>
      <c r="AL79" s="55">
        <f>_xll.EQNXTDZ($A$1,$B79,AL$5,$B$1)</f>
        <v>2128.31</v>
      </c>
      <c r="AM79" s="55">
        <f>_xll.EQNXTDZ($A$1,$B79,AM$5,$B$1)</f>
        <v>0</v>
      </c>
      <c r="AN79" s="55">
        <f>_xll.EQNXTDZ($A$1,$B79,AN$5,$B$1)</f>
        <v>2120.8000000000002</v>
      </c>
      <c r="AO79" s="55">
        <f>_xll.EQNXTDZ($A$1,$B79,AO$5,$B$1)</f>
        <v>0</v>
      </c>
      <c r="AP79" s="55">
        <f>_xll.EQNXTDZ($A$1,$B79,AP$5,$B$1)</f>
        <v>2098.7800000000002</v>
      </c>
      <c r="AQ79" s="55">
        <f>_xll.EQNXTDZ($A$1,$B79,AQ$5,$B$1)</f>
        <v>0</v>
      </c>
      <c r="AR79" s="55">
        <f>_xll.EQNXTDZ($A$1,$B79,AR$5,$B$1)</f>
        <v>2184.27</v>
      </c>
      <c r="AS79" s="55">
        <f>_xll.EQNXTDZ($A$1,$B79,AS$5,$B$1)</f>
        <v>0</v>
      </c>
      <c r="AT79" s="55">
        <f>_xll.EQNXTDZ($A$1,$B79,AT$5,$B$1)</f>
        <v>2512.31</v>
      </c>
      <c r="AU79" s="55">
        <f>_xll.EQNXTDZ($A$1,$B79,AU$5,$B$1)</f>
        <v>0</v>
      </c>
      <c r="AV79" s="55">
        <f>_xll.EQNXTDZ($A$1,$B79,AV$5,$B$1)</f>
        <v>2501.27</v>
      </c>
      <c r="AW79" s="55">
        <f>_xll.EQNXTDZ($A$1,$B79,AW$5,$B$1)</f>
        <v>0</v>
      </c>
      <c r="AX79" s="55">
        <f>_xll.EQNXTDZ($A$1,$B79,AX$5,$B$1)</f>
        <v>2521.36</v>
      </c>
      <c r="AY79" s="55">
        <f>_xll.EQNXTDZ($A$1,$B79,AY$5,$B$1)</f>
        <v>0</v>
      </c>
      <c r="AZ79" s="55">
        <f>_xll.EQNXTDZ($A$1,$B79,AZ$5,$B$1)</f>
        <v>2873.95</v>
      </c>
      <c r="BA79" s="55">
        <f>_xll.EQNXTDZ($A$1,$B79,BA$5,$B$1)</f>
        <v>0</v>
      </c>
      <c r="BB79" s="55">
        <f>_xll.EQNXTDZ($A$1,$B79,BB$5,$B$1)</f>
        <v>3052.68</v>
      </c>
      <c r="BC79" s="55">
        <f>_xll.EQNXTDZ($A$1,$B79,BC$5,$B$1)</f>
        <v>0</v>
      </c>
      <c r="BD79" s="55">
        <f>_xll.EQNXTDZ($A$1,$B79,BD$5,$B$1)</f>
        <v>3228.83</v>
      </c>
      <c r="BE79" s="55">
        <f>_xll.EQNXTDZ($A$1,$B79,BE$5,$B$1)</f>
        <v>0</v>
      </c>
      <c r="BF79" s="55">
        <f>_xll.EQNXTDZ($A$1,$B79,BF$5,$B$1)</f>
        <v>2821.42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71.28</v>
      </c>
      <c r="E80" s="55">
        <f>_xll.EQNXTDZ($A$1,$B80,E$5,$B$1)</f>
        <v>0</v>
      </c>
      <c r="F80" s="55">
        <f>_xll.EQNXTDZ($A$1,$B80,F$5,$B$1)</f>
        <v>40.69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107.93</v>
      </c>
      <c r="K80" s="55">
        <f>_xll.EQNXTDZ($A$1,$B80,K$5,$B$1)</f>
        <v>0</v>
      </c>
      <c r="L80" s="55">
        <f>_xll.EQNXTDZ($A$1,$B80,L$5,$B$1)</f>
        <v>344.76</v>
      </c>
      <c r="M80" s="55">
        <f>_xll.EQNXTDZ($A$1,$B80,M$5,$B$1)</f>
        <v>0</v>
      </c>
      <c r="N80" s="55">
        <f>_xll.EQNXTDZ($A$1,$B80,N$5,$B$1)</f>
        <v>546.30999999999995</v>
      </c>
      <c r="O80" s="55">
        <f>_xll.EQNXTDZ($A$1,$B80,O$5,$B$1)</f>
        <v>0</v>
      </c>
      <c r="P80" s="55">
        <f>_xll.EQNXTDZ($A$1,$B80,P$5,$B$1)</f>
        <v>438.41</v>
      </c>
      <c r="Q80" s="55">
        <f>_xll.EQNXTDZ($A$1,$B80,Q$5,$B$1)</f>
        <v>0</v>
      </c>
      <c r="R80" s="55">
        <f>_xll.EQNXTDZ($A$1,$B80,R$5,$B$1)</f>
        <v>170.61</v>
      </c>
      <c r="S80" s="55">
        <f>_xll.EQNXTDZ($A$1,$B80,S$5,$B$1)</f>
        <v>0</v>
      </c>
      <c r="T80" s="55">
        <f>_xll.EQNXTDZ($A$1,$B80,T$5,$B$1)</f>
        <v>131.11000000000001</v>
      </c>
      <c r="U80" s="55">
        <f>_xll.EQNXTDZ($A$1,$B80,U$5,$B$1)</f>
        <v>0</v>
      </c>
      <c r="V80" s="55">
        <f>_xll.EQNXTDZ($A$1,$B80,V$5,$B$1)</f>
        <v>90.8</v>
      </c>
      <c r="W80" s="55">
        <f>_xll.EQNXTDZ($A$1,$B80,W$5,$B$1)</f>
        <v>0</v>
      </c>
      <c r="X80" s="55">
        <f>_xll.EQNXTDZ($A$1,$B80,X$5,$B$1)</f>
        <v>76.03</v>
      </c>
      <c r="Y80" s="55">
        <f>_xll.EQNXTDZ($A$1,$B80,Y$5,$B$1)</f>
        <v>0</v>
      </c>
      <c r="Z80" s="55">
        <f>_xll.EQNXTDZ($A$1,$B80,Z$5,$B$1)</f>
        <v>330.53</v>
      </c>
      <c r="AA80" s="55">
        <f>_xll.EQNXTDZ($A$1,$B80,AA$5,$B$1)</f>
        <v>0</v>
      </c>
      <c r="AB80" s="55">
        <f>_xll.EQNXTDZ($A$1,$B80,AB$5,$B$1)</f>
        <v>47.22</v>
      </c>
      <c r="AC80" s="55">
        <f>_xll.EQNXTDZ($A$1,$B80,AC$5,$B$1)</f>
        <v>0</v>
      </c>
      <c r="AD80" s="55">
        <f>_xll.EQNXTDZ($A$1,$B80,AD$5,$B$1)</f>
        <v>211.21</v>
      </c>
      <c r="AE80" s="55">
        <f>_xll.EQNXTDZ($A$1,$B80,AE$5,$B$1)</f>
        <v>0</v>
      </c>
      <c r="AF80" s="55">
        <f>_xll.EQNXTDZ($A$1,$B80,AF$5,$B$1)</f>
        <v>69.430000000000007</v>
      </c>
      <c r="AG80" s="55">
        <f>_xll.EQNXTDZ($A$1,$B80,AG$5,$B$1)</f>
        <v>0</v>
      </c>
      <c r="AH80" s="55">
        <f>_xll.EQNXTDZ($A$1,$B80,AH$5,$B$1)</f>
        <v>436.24</v>
      </c>
      <c r="AI80" s="55">
        <f>_xll.EQNXTDZ($A$1,$B80,AI$5,$B$1)</f>
        <v>0</v>
      </c>
      <c r="AJ80" s="55">
        <f>_xll.EQNXTDZ($A$1,$B80,AJ$5,$B$1)</f>
        <v>425.06</v>
      </c>
      <c r="AK80" s="55">
        <f>_xll.EQNXTDZ($A$1,$B80,AK$5,$B$1)</f>
        <v>0</v>
      </c>
      <c r="AL80" s="55">
        <f>_xll.EQNXTDZ($A$1,$B80,AL$5,$B$1)</f>
        <v>448.63</v>
      </c>
      <c r="AM80" s="55">
        <f>_xll.EQNXTDZ($A$1,$B80,AM$5,$B$1)</f>
        <v>0</v>
      </c>
      <c r="AN80" s="55">
        <f>_xll.EQNXTDZ($A$1,$B80,AN$5,$B$1)</f>
        <v>317.58</v>
      </c>
      <c r="AO80" s="55">
        <f>_xll.EQNXTDZ($A$1,$B80,AO$5,$B$1)</f>
        <v>0</v>
      </c>
      <c r="AP80" s="55">
        <f>_xll.EQNXTDZ($A$1,$B80,AP$5,$B$1)</f>
        <v>902.47</v>
      </c>
      <c r="AQ80" s="55">
        <f>_xll.EQNXTDZ($A$1,$B80,AQ$5,$B$1)</f>
        <v>0</v>
      </c>
      <c r="AR80" s="55">
        <f>_xll.EQNXTDZ($A$1,$B80,AR$5,$B$1)</f>
        <v>513.66</v>
      </c>
      <c r="AS80" s="55">
        <f>_xll.EQNXTDZ($A$1,$B80,AS$5,$B$1)</f>
        <v>0</v>
      </c>
      <c r="AT80" s="55">
        <f>_xll.EQNXTDZ($A$1,$B80,AT$5,$B$1)</f>
        <v>757.33</v>
      </c>
      <c r="AU80" s="55">
        <f>_xll.EQNXTDZ($A$1,$B80,AU$5,$B$1)</f>
        <v>0</v>
      </c>
      <c r="AV80" s="55">
        <f>_xll.EQNXTDZ($A$1,$B80,AV$5,$B$1)</f>
        <v>450.18</v>
      </c>
      <c r="AW80" s="55">
        <f>_xll.EQNXTDZ($A$1,$B80,AW$5,$B$1)</f>
        <v>0</v>
      </c>
      <c r="AX80" s="55">
        <f>_xll.EQNXTDZ($A$1,$B80,AX$5,$B$1)</f>
        <v>724.15</v>
      </c>
      <c r="AY80" s="55">
        <f>_xll.EQNXTDZ($A$1,$B80,AY$5,$B$1)</f>
        <v>0</v>
      </c>
      <c r="AZ80" s="55">
        <f>_xll.EQNXTDZ($A$1,$B80,AZ$5,$B$1)</f>
        <v>734.77</v>
      </c>
      <c r="BA80" s="55">
        <f>_xll.EQNXTDZ($A$1,$B80,BA$5,$B$1)</f>
        <v>0</v>
      </c>
      <c r="BB80" s="55">
        <f>_xll.EQNXTDZ($A$1,$B80,BB$5,$B$1)</f>
        <v>898.87</v>
      </c>
      <c r="BC80" s="55">
        <f>_xll.EQNXTDZ($A$1,$B80,BC$5,$B$1)</f>
        <v>0</v>
      </c>
      <c r="BD80" s="55">
        <f>_xll.EQNXTDZ($A$1,$B80,BD$5,$B$1)</f>
        <v>1951.28</v>
      </c>
      <c r="BE80" s="55">
        <f>_xll.EQNXTDZ($A$1,$B80,BE$5,$B$1)</f>
        <v>0</v>
      </c>
      <c r="BF80" s="55">
        <f>_xll.EQNXTDZ($A$1,$B80,BF$5,$B$1)</f>
        <v>2499.86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39.39</v>
      </c>
      <c r="E81" s="55">
        <f>_xll.EQNXTDZ($A$1,$B81,E$5,$B$1)</f>
        <v>0</v>
      </c>
      <c r="F81" s="55">
        <f>_xll.EQNXTDZ($A$1,$B81,F$5,$B$1)</f>
        <v>96.74</v>
      </c>
      <c r="G81" s="55">
        <f>_xll.EQNXTDZ($A$1,$B81,G$5,$B$1)</f>
        <v>0</v>
      </c>
      <c r="H81" s="55">
        <f>_xll.EQNXTDZ($A$1,$B81,H$5,$B$1)</f>
        <v>38.89</v>
      </c>
      <c r="I81" s="55">
        <f>_xll.EQNXTDZ($A$1,$B81,I$5,$B$1)</f>
        <v>0</v>
      </c>
      <c r="J81" s="55">
        <f>_xll.EQNXTDZ($A$1,$B81,J$5,$B$1)</f>
        <v>102.07</v>
      </c>
      <c r="K81" s="55">
        <f>_xll.EQNXTDZ($A$1,$B81,K$5,$B$1)</f>
        <v>0</v>
      </c>
      <c r="L81" s="55">
        <f>_xll.EQNXTDZ($A$1,$B81,L$5,$B$1)</f>
        <v>44.92</v>
      </c>
      <c r="M81" s="55">
        <f>_xll.EQNXTDZ($A$1,$B81,M$5,$B$1)</f>
        <v>0</v>
      </c>
      <c r="N81" s="55">
        <f>_xll.EQNXTDZ($A$1,$B81,N$5,$B$1)</f>
        <v>102.96</v>
      </c>
      <c r="O81" s="55">
        <f>_xll.EQNXTDZ($A$1,$B81,O$5,$B$1)</f>
        <v>0</v>
      </c>
      <c r="P81" s="55">
        <f>_xll.EQNXTDZ($A$1,$B81,P$5,$B$1)</f>
        <v>47.58</v>
      </c>
      <c r="Q81" s="55">
        <f>_xll.EQNXTDZ($A$1,$B81,Q$5,$B$1)</f>
        <v>0</v>
      </c>
      <c r="R81" s="55">
        <f>_xll.EQNXTDZ($A$1,$B81,R$5,$B$1)</f>
        <v>80.239999999999995</v>
      </c>
      <c r="S81" s="55">
        <f>_xll.EQNXTDZ($A$1,$B81,S$5,$B$1)</f>
        <v>0</v>
      </c>
      <c r="T81" s="55">
        <f>_xll.EQNXTDZ($A$1,$B81,T$5,$B$1)</f>
        <v>48.21</v>
      </c>
      <c r="U81" s="55">
        <f>_xll.EQNXTDZ($A$1,$B81,U$5,$B$1)</f>
        <v>0</v>
      </c>
      <c r="V81" s="55">
        <f>_xll.EQNXTDZ($A$1,$B81,V$5,$B$1)</f>
        <v>80.44</v>
      </c>
      <c r="W81" s="55">
        <f>_xll.EQNXTDZ($A$1,$B81,W$5,$B$1)</f>
        <v>0</v>
      </c>
      <c r="X81" s="55">
        <f>_xll.EQNXTDZ($A$1,$B81,X$5,$B$1)</f>
        <v>90.74</v>
      </c>
      <c r="Y81" s="55">
        <f>_xll.EQNXTDZ($A$1,$B81,Y$5,$B$1)</f>
        <v>0</v>
      </c>
      <c r="Z81" s="55">
        <f>_xll.EQNXTDZ($A$1,$B81,Z$5,$B$1)</f>
        <v>85.72</v>
      </c>
      <c r="AA81" s="55">
        <f>_xll.EQNXTDZ($A$1,$B81,AA$5,$B$1)</f>
        <v>0</v>
      </c>
      <c r="AB81" s="55">
        <f>_xll.EQNXTDZ($A$1,$B81,AB$5,$B$1)</f>
        <v>88.4</v>
      </c>
      <c r="AC81" s="55">
        <f>_xll.EQNXTDZ($A$1,$B81,AC$5,$B$1)</f>
        <v>0</v>
      </c>
      <c r="AD81" s="55">
        <f>_xll.EQNXTDZ($A$1,$B81,AD$5,$B$1)</f>
        <v>80.400000000000006</v>
      </c>
      <c r="AE81" s="55">
        <f>_xll.EQNXTDZ($A$1,$B81,AE$5,$B$1)</f>
        <v>0</v>
      </c>
      <c r="AF81" s="55">
        <f>_xll.EQNXTDZ($A$1,$B81,AF$5,$B$1)</f>
        <v>87.17</v>
      </c>
      <c r="AG81" s="55">
        <f>_xll.EQNXTDZ($A$1,$B81,AG$5,$B$1)</f>
        <v>0</v>
      </c>
      <c r="AH81" s="55">
        <f>_xll.EQNXTDZ($A$1,$B81,AH$5,$B$1)</f>
        <v>93.61</v>
      </c>
      <c r="AI81" s="55">
        <f>_xll.EQNXTDZ($A$1,$B81,AI$5,$B$1)</f>
        <v>0</v>
      </c>
      <c r="AJ81" s="55">
        <f>_xll.EQNXTDZ($A$1,$B81,AJ$5,$B$1)</f>
        <v>93.64</v>
      </c>
      <c r="AK81" s="55">
        <f>_xll.EQNXTDZ($A$1,$B81,AK$5,$B$1)</f>
        <v>0</v>
      </c>
      <c r="AL81" s="55">
        <f>_xll.EQNXTDZ($A$1,$B81,AL$5,$B$1)</f>
        <v>92.88</v>
      </c>
      <c r="AM81" s="55">
        <f>_xll.EQNXTDZ($A$1,$B81,AM$5,$B$1)</f>
        <v>0</v>
      </c>
      <c r="AN81" s="55">
        <f>_xll.EQNXTDZ($A$1,$B81,AN$5,$B$1)</f>
        <v>94.24</v>
      </c>
      <c r="AO81" s="55">
        <f>_xll.EQNXTDZ($A$1,$B81,AO$5,$B$1)</f>
        <v>0</v>
      </c>
      <c r="AP81" s="55">
        <f>_xll.EQNXTDZ($A$1,$B81,AP$5,$B$1)</f>
        <v>100.83</v>
      </c>
      <c r="AQ81" s="55">
        <f>_xll.EQNXTDZ($A$1,$B81,AQ$5,$B$1)</f>
        <v>0</v>
      </c>
      <c r="AR81" s="55">
        <f>_xll.EQNXTDZ($A$1,$B81,AR$5,$B$1)</f>
        <v>107.71</v>
      </c>
      <c r="AS81" s="55">
        <f>_xll.EQNXTDZ($A$1,$B81,AS$5,$B$1)</f>
        <v>0</v>
      </c>
      <c r="AT81" s="55">
        <f>_xll.EQNXTDZ($A$1,$B81,AT$5,$B$1)</f>
        <v>109.21</v>
      </c>
      <c r="AU81" s="55">
        <f>_xll.EQNXTDZ($A$1,$B81,AU$5,$B$1)</f>
        <v>0</v>
      </c>
      <c r="AV81" s="55">
        <f>_xll.EQNXTDZ($A$1,$B81,AV$5,$B$1)</f>
        <v>119.03</v>
      </c>
      <c r="AW81" s="55">
        <f>_xll.EQNXTDZ($A$1,$B81,AW$5,$B$1)</f>
        <v>0</v>
      </c>
      <c r="AX81" s="55">
        <f>_xll.EQNXTDZ($A$1,$B81,AX$5,$B$1)</f>
        <v>116.44</v>
      </c>
      <c r="AY81" s="55">
        <f>_xll.EQNXTDZ($A$1,$B81,AY$5,$B$1)</f>
        <v>0</v>
      </c>
      <c r="AZ81" s="55">
        <f>_xll.EQNXTDZ($A$1,$B81,AZ$5,$B$1)</f>
        <v>130.94</v>
      </c>
      <c r="BA81" s="55">
        <f>_xll.EQNXTDZ($A$1,$B81,BA$5,$B$1)</f>
        <v>0</v>
      </c>
      <c r="BB81" s="55">
        <f>_xll.EQNXTDZ($A$1,$B81,BB$5,$B$1)</f>
        <v>135.47</v>
      </c>
      <c r="BC81" s="55">
        <f>_xll.EQNXTDZ($A$1,$B81,BC$5,$B$1)</f>
        <v>0</v>
      </c>
      <c r="BD81" s="55">
        <f>_xll.EQNXTDZ($A$1,$B81,BD$5,$B$1)</f>
        <v>136.04</v>
      </c>
      <c r="BE81" s="55">
        <f>_xll.EQNXTDZ($A$1,$B81,BE$5,$B$1)</f>
        <v>0</v>
      </c>
      <c r="BF81" s="55">
        <f>_xll.EQNXTDZ($A$1,$B81,BF$5,$B$1)</f>
        <v>149.72999999999999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115.68</v>
      </c>
      <c r="E82" s="55">
        <f>_xll.EQNXTDZ($A$1,$B82,E$5,$B$1)</f>
        <v>0</v>
      </c>
      <c r="F82" s="55">
        <f>_xll.EQNXTDZ($A$1,$B82,F$5,$B$1)</f>
        <v>273.98</v>
      </c>
      <c r="G82" s="55">
        <f>_xll.EQNXTDZ($A$1,$B82,G$5,$B$1)</f>
        <v>0</v>
      </c>
      <c r="H82" s="55">
        <f>_xll.EQNXTDZ($A$1,$B82,H$5,$B$1)</f>
        <v>124.31</v>
      </c>
      <c r="I82" s="55">
        <f>_xll.EQNXTDZ($A$1,$B82,I$5,$B$1)</f>
        <v>0</v>
      </c>
      <c r="J82" s="55">
        <f>_xll.EQNXTDZ($A$1,$B82,J$5,$B$1)</f>
        <v>280.49</v>
      </c>
      <c r="K82" s="55">
        <f>_xll.EQNXTDZ($A$1,$B82,K$5,$B$1)</f>
        <v>0</v>
      </c>
      <c r="L82" s="55">
        <f>_xll.EQNXTDZ($A$1,$B82,L$5,$B$1)</f>
        <v>141.16999999999999</v>
      </c>
      <c r="M82" s="55">
        <f>_xll.EQNXTDZ($A$1,$B82,M$5,$B$1)</f>
        <v>0</v>
      </c>
      <c r="N82" s="55">
        <f>_xll.EQNXTDZ($A$1,$B82,N$5,$B$1)</f>
        <v>299.82</v>
      </c>
      <c r="O82" s="55">
        <f>_xll.EQNXTDZ($A$1,$B82,O$5,$B$1)</f>
        <v>0</v>
      </c>
      <c r="P82" s="55">
        <f>_xll.EQNXTDZ($A$1,$B82,P$5,$B$1)</f>
        <v>159.22</v>
      </c>
      <c r="Q82" s="55">
        <f>_xll.EQNXTDZ($A$1,$B82,Q$5,$B$1)</f>
        <v>0</v>
      </c>
      <c r="R82" s="55">
        <f>_xll.EQNXTDZ($A$1,$B82,R$5,$B$1)</f>
        <v>241.98</v>
      </c>
      <c r="S82" s="55">
        <f>_xll.EQNXTDZ($A$1,$B82,S$5,$B$1)</f>
        <v>0</v>
      </c>
      <c r="T82" s="55">
        <f>_xll.EQNXTDZ($A$1,$B82,T$5,$B$1)</f>
        <v>177.79</v>
      </c>
      <c r="U82" s="55">
        <f>_xll.EQNXTDZ($A$1,$B82,U$5,$B$1)</f>
        <v>0</v>
      </c>
      <c r="V82" s="55">
        <f>_xll.EQNXTDZ($A$1,$B82,V$5,$B$1)</f>
        <v>272.06</v>
      </c>
      <c r="W82" s="55">
        <f>_xll.EQNXTDZ($A$1,$B82,W$5,$B$1)</f>
        <v>0</v>
      </c>
      <c r="X82" s="55">
        <f>_xll.EQNXTDZ($A$1,$B82,X$5,$B$1)</f>
        <v>322.25</v>
      </c>
      <c r="Y82" s="55">
        <f>_xll.EQNXTDZ($A$1,$B82,Y$5,$B$1)</f>
        <v>0</v>
      </c>
      <c r="Z82" s="55">
        <f>_xll.EQNXTDZ($A$1,$B82,Z$5,$B$1)</f>
        <v>328.56</v>
      </c>
      <c r="AA82" s="55">
        <f>_xll.EQNXTDZ($A$1,$B82,AA$5,$B$1)</f>
        <v>0</v>
      </c>
      <c r="AB82" s="55">
        <f>_xll.EQNXTDZ($A$1,$B82,AB$5,$B$1)</f>
        <v>320.56</v>
      </c>
      <c r="AC82" s="55">
        <f>_xll.EQNXTDZ($A$1,$B82,AC$5,$B$1)</f>
        <v>0</v>
      </c>
      <c r="AD82" s="55">
        <f>_xll.EQNXTDZ($A$1,$B82,AD$5,$B$1)</f>
        <v>321.38</v>
      </c>
      <c r="AE82" s="55">
        <f>_xll.EQNXTDZ($A$1,$B82,AE$5,$B$1)</f>
        <v>0</v>
      </c>
      <c r="AF82" s="55">
        <f>_xll.EQNXTDZ($A$1,$B82,AF$5,$B$1)</f>
        <v>326.88</v>
      </c>
      <c r="AG82" s="55">
        <f>_xll.EQNXTDZ($A$1,$B82,AG$5,$B$1)</f>
        <v>0</v>
      </c>
      <c r="AH82" s="55">
        <f>_xll.EQNXTDZ($A$1,$B82,AH$5,$B$1)</f>
        <v>290.02</v>
      </c>
      <c r="AI82" s="55">
        <f>_xll.EQNXTDZ($A$1,$B82,AI$5,$B$1)</f>
        <v>0</v>
      </c>
      <c r="AJ82" s="55">
        <f>_xll.EQNXTDZ($A$1,$B82,AJ$5,$B$1)</f>
        <v>225.76</v>
      </c>
      <c r="AK82" s="55">
        <f>_xll.EQNXTDZ($A$1,$B82,AK$5,$B$1)</f>
        <v>0</v>
      </c>
      <c r="AL82" s="55">
        <f>_xll.EQNXTDZ($A$1,$B82,AL$5,$B$1)</f>
        <v>219.84</v>
      </c>
      <c r="AM82" s="55">
        <f>_xll.EQNXTDZ($A$1,$B82,AM$5,$B$1)</f>
        <v>0</v>
      </c>
      <c r="AN82" s="55">
        <f>_xll.EQNXTDZ($A$1,$B82,AN$5,$B$1)</f>
        <v>228.77</v>
      </c>
      <c r="AO82" s="55">
        <f>_xll.EQNXTDZ($A$1,$B82,AO$5,$B$1)</f>
        <v>0</v>
      </c>
      <c r="AP82" s="55">
        <f>_xll.EQNXTDZ($A$1,$B82,AP$5,$B$1)</f>
        <v>255.34</v>
      </c>
      <c r="AQ82" s="55">
        <f>_xll.EQNXTDZ($A$1,$B82,AQ$5,$B$1)</f>
        <v>0</v>
      </c>
      <c r="AR82" s="55">
        <f>_xll.EQNXTDZ($A$1,$B82,AR$5,$B$1)</f>
        <v>364.18</v>
      </c>
      <c r="AS82" s="55">
        <f>_xll.EQNXTDZ($A$1,$B82,AS$5,$B$1)</f>
        <v>0</v>
      </c>
      <c r="AT82" s="55">
        <f>_xll.EQNXTDZ($A$1,$B82,AT$5,$B$1)</f>
        <v>446.45</v>
      </c>
      <c r="AU82" s="55">
        <f>_xll.EQNXTDZ($A$1,$B82,AU$5,$B$1)</f>
        <v>0</v>
      </c>
      <c r="AV82" s="55">
        <f>_xll.EQNXTDZ($A$1,$B82,AV$5,$B$1)</f>
        <v>483.73</v>
      </c>
      <c r="AW82" s="55">
        <f>_xll.EQNXTDZ($A$1,$B82,AW$5,$B$1)</f>
        <v>0</v>
      </c>
      <c r="AX82" s="55">
        <f>_xll.EQNXTDZ($A$1,$B82,AX$5,$B$1)</f>
        <v>476.46</v>
      </c>
      <c r="AY82" s="55">
        <f>_xll.EQNXTDZ($A$1,$B82,AY$5,$B$1)</f>
        <v>0</v>
      </c>
      <c r="AZ82" s="55">
        <f>_xll.EQNXTDZ($A$1,$B82,AZ$5,$B$1)</f>
        <v>606.75</v>
      </c>
      <c r="BA82" s="55">
        <f>_xll.EQNXTDZ($A$1,$B82,BA$5,$B$1)</f>
        <v>0</v>
      </c>
      <c r="BB82" s="55">
        <f>_xll.EQNXTDZ($A$1,$B82,BB$5,$B$1)</f>
        <v>650.88</v>
      </c>
      <c r="BC82" s="55">
        <f>_xll.EQNXTDZ($A$1,$B82,BC$5,$B$1)</f>
        <v>0</v>
      </c>
      <c r="BD82" s="55">
        <f>_xll.EQNXTDZ($A$1,$B82,BD$5,$B$1)</f>
        <v>833.02</v>
      </c>
      <c r="BE82" s="55">
        <f>_xll.EQNXTDZ($A$1,$B82,BE$5,$B$1)</f>
        <v>0</v>
      </c>
      <c r="BF82" s="55">
        <f>_xll.EQNXTDZ($A$1,$B82,BF$5,$B$1)</f>
        <v>726.82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28.73</v>
      </c>
      <c r="E83" s="55">
        <f>_xll.EQNXTDZ($A$1,$B83,E$5,$B$1)</f>
        <v>0</v>
      </c>
      <c r="F83" s="55">
        <f>_xll.EQNXTDZ($A$1,$B83,F$5,$B$1)</f>
        <v>210.06</v>
      </c>
      <c r="G83" s="55">
        <f>_xll.EQNXTDZ($A$1,$B83,G$5,$B$1)</f>
        <v>0</v>
      </c>
      <c r="H83" s="55">
        <f>_xll.EQNXTDZ($A$1,$B83,H$5,$B$1)</f>
        <v>26.39</v>
      </c>
      <c r="I83" s="55">
        <f>_xll.EQNXTDZ($A$1,$B83,I$5,$B$1)</f>
        <v>0</v>
      </c>
      <c r="J83" s="55">
        <f>_xll.EQNXTDZ($A$1,$B83,J$5,$B$1)</f>
        <v>183.55</v>
      </c>
      <c r="K83" s="55">
        <f>_xll.EQNXTDZ($A$1,$B83,K$5,$B$1)</f>
        <v>0</v>
      </c>
      <c r="L83" s="55">
        <f>_xll.EQNXTDZ($A$1,$B83,L$5,$B$1)</f>
        <v>462.35</v>
      </c>
      <c r="M83" s="55">
        <f>_xll.EQNXTDZ($A$1,$B83,M$5,$B$1)</f>
        <v>0</v>
      </c>
      <c r="N83" s="55">
        <f>_xll.EQNXTDZ($A$1,$B83,N$5,$B$1)</f>
        <v>503.57</v>
      </c>
      <c r="O83" s="55">
        <f>_xll.EQNXTDZ($A$1,$B83,O$5,$B$1)</f>
        <v>0</v>
      </c>
      <c r="P83" s="55">
        <f>_xll.EQNXTDZ($A$1,$B83,P$5,$B$1)</f>
        <v>260.58999999999997</v>
      </c>
      <c r="Q83" s="55">
        <f>_xll.EQNXTDZ($A$1,$B83,Q$5,$B$1)</f>
        <v>0</v>
      </c>
      <c r="R83" s="55">
        <f>_xll.EQNXTDZ($A$1,$B83,R$5,$B$1)</f>
        <v>182.55</v>
      </c>
      <c r="S83" s="55">
        <f>_xll.EQNXTDZ($A$1,$B83,S$5,$B$1)</f>
        <v>0</v>
      </c>
      <c r="T83" s="55">
        <f>_xll.EQNXTDZ($A$1,$B83,T$5,$B$1)</f>
        <v>10.56</v>
      </c>
      <c r="U83" s="55">
        <f>_xll.EQNXTDZ($A$1,$B83,U$5,$B$1)</f>
        <v>0</v>
      </c>
      <c r="V83" s="55">
        <f>_xll.EQNXTDZ($A$1,$B83,V$5,$B$1)</f>
        <v>247.06</v>
      </c>
      <c r="W83" s="55">
        <f>_xll.EQNXTDZ($A$1,$B83,W$5,$B$1)</f>
        <v>0</v>
      </c>
      <c r="X83" s="55">
        <f>_xll.EQNXTDZ($A$1,$B83,X$5,$B$1)</f>
        <v>244.4</v>
      </c>
      <c r="Y83" s="55">
        <f>_xll.EQNXTDZ($A$1,$B83,Y$5,$B$1)</f>
        <v>0</v>
      </c>
      <c r="Z83" s="55">
        <f>_xll.EQNXTDZ($A$1,$B83,Z$5,$B$1)</f>
        <v>270.32</v>
      </c>
      <c r="AA83" s="55">
        <f>_xll.EQNXTDZ($A$1,$B83,AA$5,$B$1)</f>
        <v>0</v>
      </c>
      <c r="AB83" s="55">
        <f>_xll.EQNXTDZ($A$1,$B83,AB$5,$B$1)</f>
        <v>351.15</v>
      </c>
      <c r="AC83" s="55">
        <f>_xll.EQNXTDZ($A$1,$B83,AC$5,$B$1)</f>
        <v>0</v>
      </c>
      <c r="AD83" s="55">
        <f>_xll.EQNXTDZ($A$1,$B83,AD$5,$B$1)</f>
        <v>240.94</v>
      </c>
      <c r="AE83" s="55">
        <f>_xll.EQNXTDZ($A$1,$B83,AE$5,$B$1)</f>
        <v>0</v>
      </c>
      <c r="AF83" s="55">
        <f>_xll.EQNXTDZ($A$1,$B83,AF$5,$B$1)</f>
        <v>242.35</v>
      </c>
      <c r="AG83" s="55">
        <f>_xll.EQNXTDZ($A$1,$B83,AG$5,$B$1)</f>
        <v>0</v>
      </c>
      <c r="AH83" s="55">
        <f>_xll.EQNXTDZ($A$1,$B83,AH$5,$B$1)</f>
        <v>315.58</v>
      </c>
      <c r="AI83" s="55">
        <f>_xll.EQNXTDZ($A$1,$B83,AI$5,$B$1)</f>
        <v>0</v>
      </c>
      <c r="AJ83" s="55">
        <f>_xll.EQNXTDZ($A$1,$B83,AJ$5,$B$1)</f>
        <v>198.21</v>
      </c>
      <c r="AK83" s="55">
        <f>_xll.EQNXTDZ($A$1,$B83,AK$5,$B$1)</f>
        <v>0</v>
      </c>
      <c r="AL83" s="55">
        <f>_xll.EQNXTDZ($A$1,$B83,AL$5,$B$1)</f>
        <v>153.63</v>
      </c>
      <c r="AM83" s="55">
        <f>_xll.EQNXTDZ($A$1,$B83,AM$5,$B$1)</f>
        <v>0</v>
      </c>
      <c r="AN83" s="55">
        <f>_xll.EQNXTDZ($A$1,$B83,AN$5,$B$1)</f>
        <v>268.04000000000002</v>
      </c>
      <c r="AO83" s="55">
        <f>_xll.EQNXTDZ($A$1,$B83,AO$5,$B$1)</f>
        <v>0</v>
      </c>
      <c r="AP83" s="55">
        <f>_xll.EQNXTDZ($A$1,$B83,AP$5,$B$1)</f>
        <v>1187.81</v>
      </c>
      <c r="AQ83" s="55">
        <f>_xll.EQNXTDZ($A$1,$B83,AQ$5,$B$1)</f>
        <v>0</v>
      </c>
      <c r="AR83" s="55">
        <f>_xll.EQNXTDZ($A$1,$B83,AR$5,$B$1)</f>
        <v>652.96</v>
      </c>
      <c r="AS83" s="55">
        <f>_xll.EQNXTDZ($A$1,$B83,AS$5,$B$1)</f>
        <v>0</v>
      </c>
      <c r="AT83" s="55">
        <f>_xll.EQNXTDZ($A$1,$B83,AT$5,$B$1)</f>
        <v>1053.43</v>
      </c>
      <c r="AU83" s="55">
        <f>_xll.EQNXTDZ($A$1,$B83,AU$5,$B$1)</f>
        <v>0</v>
      </c>
      <c r="AV83" s="55">
        <f>_xll.EQNXTDZ($A$1,$B83,AV$5,$B$1)</f>
        <v>950.65</v>
      </c>
      <c r="AW83" s="55">
        <f>_xll.EQNXTDZ($A$1,$B83,AW$5,$B$1)</f>
        <v>0</v>
      </c>
      <c r="AX83" s="55">
        <f>_xll.EQNXTDZ($A$1,$B83,AX$5,$B$1)</f>
        <v>1485.5</v>
      </c>
      <c r="AY83" s="55">
        <f>_xll.EQNXTDZ($A$1,$B83,AY$5,$B$1)</f>
        <v>0</v>
      </c>
      <c r="AZ83" s="55">
        <f>_xll.EQNXTDZ($A$1,$B83,AZ$5,$B$1)</f>
        <v>1729.6</v>
      </c>
      <c r="BA83" s="55">
        <f>_xll.EQNXTDZ($A$1,$B83,BA$5,$B$1)</f>
        <v>0</v>
      </c>
      <c r="BB83" s="55">
        <f>_xll.EQNXTDZ($A$1,$B83,BB$5,$B$1)</f>
        <v>2181.56</v>
      </c>
      <c r="BC83" s="55">
        <f>_xll.EQNXTDZ($A$1,$B83,BC$5,$B$1)</f>
        <v>0</v>
      </c>
      <c r="BD83" s="55">
        <f>_xll.EQNXTDZ($A$1,$B83,BD$5,$B$1)</f>
        <v>905</v>
      </c>
      <c r="BE83" s="55">
        <f>_xll.EQNXTDZ($A$1,$B83,BE$5,$B$1)</f>
        <v>0</v>
      </c>
      <c r="BF83" s="55">
        <f>_xll.EQNXTDZ($A$1,$B83,BF$5,$B$1)</f>
        <v>1831.19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45.71</v>
      </c>
      <c r="E84" s="55">
        <f>_xll.EQNXTDZ($A$1,$B84,E$5,$B$1)</f>
        <v>0</v>
      </c>
      <c r="F84" s="55">
        <f>_xll.EQNXTDZ($A$1,$B84,F$5,$B$1)</f>
        <v>81.569999999999993</v>
      </c>
      <c r="G84" s="55">
        <f>_xll.EQNXTDZ($A$1,$B84,G$5,$B$1)</f>
        <v>0</v>
      </c>
      <c r="H84" s="55">
        <f>_xll.EQNXTDZ($A$1,$B84,H$5,$B$1)</f>
        <v>31.56</v>
      </c>
      <c r="I84" s="55">
        <f>_xll.EQNXTDZ($A$1,$B84,I$5,$B$1)</f>
        <v>0</v>
      </c>
      <c r="J84" s="55">
        <f>_xll.EQNXTDZ($A$1,$B84,J$5,$B$1)</f>
        <v>72.92</v>
      </c>
      <c r="K84" s="55">
        <f>_xll.EQNXTDZ($A$1,$B84,K$5,$B$1)</f>
        <v>0</v>
      </c>
      <c r="L84" s="55">
        <f>_xll.EQNXTDZ($A$1,$B84,L$5,$B$1)</f>
        <v>55.69</v>
      </c>
      <c r="M84" s="55">
        <f>_xll.EQNXTDZ($A$1,$B84,M$5,$B$1)</f>
        <v>0</v>
      </c>
      <c r="N84" s="55">
        <f>_xll.EQNXTDZ($A$1,$B84,N$5,$B$1)</f>
        <v>74.5</v>
      </c>
      <c r="O84" s="55">
        <f>_xll.EQNXTDZ($A$1,$B84,O$5,$B$1)</f>
        <v>0</v>
      </c>
      <c r="P84" s="55">
        <f>_xll.EQNXTDZ($A$1,$B84,P$5,$B$1)</f>
        <v>56.83</v>
      </c>
      <c r="Q84" s="55">
        <f>_xll.EQNXTDZ($A$1,$B84,Q$5,$B$1)</f>
        <v>0</v>
      </c>
      <c r="R84" s="55">
        <f>_xll.EQNXTDZ($A$1,$B84,R$5,$B$1)</f>
        <v>186.52</v>
      </c>
      <c r="S84" s="55">
        <f>_xll.EQNXTDZ($A$1,$B84,S$5,$B$1)</f>
        <v>0</v>
      </c>
      <c r="T84" s="55">
        <f>_xll.EQNXTDZ($A$1,$B84,T$5,$B$1)</f>
        <v>60.04</v>
      </c>
      <c r="U84" s="55">
        <f>_xll.EQNXTDZ($A$1,$B84,U$5,$B$1)</f>
        <v>0</v>
      </c>
      <c r="V84" s="55">
        <f>_xll.EQNXTDZ($A$1,$B84,V$5,$B$1)</f>
        <v>186.95</v>
      </c>
      <c r="W84" s="55">
        <f>_xll.EQNXTDZ($A$1,$B84,W$5,$B$1)</f>
        <v>0</v>
      </c>
      <c r="X84" s="55">
        <f>_xll.EQNXTDZ($A$1,$B84,X$5,$B$1)</f>
        <v>232.25</v>
      </c>
      <c r="Y84" s="55">
        <f>_xll.EQNXTDZ($A$1,$B84,Y$5,$B$1)</f>
        <v>0</v>
      </c>
      <c r="Z84" s="55">
        <f>_xll.EQNXTDZ($A$1,$B84,Z$5,$B$1)</f>
        <v>195.26</v>
      </c>
      <c r="AA84" s="55">
        <f>_xll.EQNXTDZ($A$1,$B84,AA$5,$B$1)</f>
        <v>0</v>
      </c>
      <c r="AB84" s="55">
        <f>_xll.EQNXTDZ($A$1,$B84,AB$5,$B$1)</f>
        <v>273.47000000000003</v>
      </c>
      <c r="AC84" s="55">
        <f>_xll.EQNXTDZ($A$1,$B84,AC$5,$B$1)</f>
        <v>0</v>
      </c>
      <c r="AD84" s="55">
        <f>_xll.EQNXTDZ($A$1,$B84,AD$5,$B$1)</f>
        <v>301.41000000000003</v>
      </c>
      <c r="AE84" s="55">
        <f>_xll.EQNXTDZ($A$1,$B84,AE$5,$B$1)</f>
        <v>0</v>
      </c>
      <c r="AF84" s="55">
        <f>_xll.EQNXTDZ($A$1,$B84,AF$5,$B$1)</f>
        <v>270.74</v>
      </c>
      <c r="AG84" s="55">
        <f>_xll.EQNXTDZ($A$1,$B84,AG$5,$B$1)</f>
        <v>0</v>
      </c>
      <c r="AH84" s="55">
        <f>_xll.EQNXTDZ($A$1,$B84,AH$5,$B$1)</f>
        <v>297.08999999999997</v>
      </c>
      <c r="AI84" s="55">
        <f>_xll.EQNXTDZ($A$1,$B84,AI$5,$B$1)</f>
        <v>0</v>
      </c>
      <c r="AJ84" s="55">
        <f>_xll.EQNXTDZ($A$1,$B84,AJ$5,$B$1)</f>
        <v>258.31</v>
      </c>
      <c r="AK84" s="55">
        <f>_xll.EQNXTDZ($A$1,$B84,AK$5,$B$1)</f>
        <v>0</v>
      </c>
      <c r="AL84" s="55">
        <f>_xll.EQNXTDZ($A$1,$B84,AL$5,$B$1)</f>
        <v>222.22</v>
      </c>
      <c r="AM84" s="55">
        <f>_xll.EQNXTDZ($A$1,$B84,AM$5,$B$1)</f>
        <v>0</v>
      </c>
      <c r="AN84" s="55">
        <f>_xll.EQNXTDZ($A$1,$B84,AN$5,$B$1)</f>
        <v>222.66</v>
      </c>
      <c r="AO84" s="55">
        <f>_xll.EQNXTDZ($A$1,$B84,AO$5,$B$1)</f>
        <v>0</v>
      </c>
      <c r="AP84" s="55">
        <f>_xll.EQNXTDZ($A$1,$B84,AP$5,$B$1)</f>
        <v>220.29</v>
      </c>
      <c r="AQ84" s="55">
        <f>_xll.EQNXTDZ($A$1,$B84,AQ$5,$B$1)</f>
        <v>0</v>
      </c>
      <c r="AR84" s="55">
        <f>_xll.EQNXTDZ($A$1,$B84,AR$5,$B$1)</f>
        <v>209.89</v>
      </c>
      <c r="AS84" s="55">
        <f>_xll.EQNXTDZ($A$1,$B84,AS$5,$B$1)</f>
        <v>0</v>
      </c>
      <c r="AT84" s="55">
        <f>_xll.EQNXTDZ($A$1,$B84,AT$5,$B$1)</f>
        <v>216.78</v>
      </c>
      <c r="AU84" s="55">
        <f>_xll.EQNXTDZ($A$1,$B84,AU$5,$B$1)</f>
        <v>0</v>
      </c>
      <c r="AV84" s="55">
        <f>_xll.EQNXTDZ($A$1,$B84,AV$5,$B$1)</f>
        <v>248.87</v>
      </c>
      <c r="AW84" s="55">
        <f>_xll.EQNXTDZ($A$1,$B84,AW$5,$B$1)</f>
        <v>0</v>
      </c>
      <c r="AX84" s="55">
        <f>_xll.EQNXTDZ($A$1,$B84,AX$5,$B$1)</f>
        <v>257.27</v>
      </c>
      <c r="AY84" s="55">
        <f>_xll.EQNXTDZ($A$1,$B84,AY$5,$B$1)</f>
        <v>0</v>
      </c>
      <c r="AZ84" s="55">
        <f>_xll.EQNXTDZ($A$1,$B84,AZ$5,$B$1)</f>
        <v>302.37</v>
      </c>
      <c r="BA84" s="55">
        <f>_xll.EQNXTDZ($A$1,$B84,BA$5,$B$1)</f>
        <v>0</v>
      </c>
      <c r="BB84" s="55">
        <f>_xll.EQNXTDZ($A$1,$B84,BB$5,$B$1)</f>
        <v>291.36</v>
      </c>
      <c r="BC84" s="55">
        <f>_xll.EQNXTDZ($A$1,$B84,BC$5,$B$1)</f>
        <v>0</v>
      </c>
      <c r="BD84" s="55">
        <f>_xll.EQNXTDZ($A$1,$B84,BD$5,$B$1)</f>
        <v>442.94</v>
      </c>
      <c r="BE84" s="55">
        <f>_xll.EQNXTDZ($A$1,$B84,BE$5,$B$1)</f>
        <v>0</v>
      </c>
      <c r="BF84" s="55">
        <f>_xll.EQNXTDZ($A$1,$B84,BF$5,$B$1)</f>
        <v>355.28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112.5</v>
      </c>
      <c r="E85" s="55">
        <f>_xll.EQNXTDZ($A$1,$B85,E$5,$B$1)</f>
        <v>0</v>
      </c>
      <c r="F85" s="55">
        <f>_xll.EQNXTDZ($A$1,$B85,F$5,$B$1)</f>
        <v>245.44</v>
      </c>
      <c r="G85" s="55">
        <f>_xll.EQNXTDZ($A$1,$B85,G$5,$B$1)</f>
        <v>0</v>
      </c>
      <c r="H85" s="55">
        <f>_xll.EQNXTDZ($A$1,$B85,H$5,$B$1)</f>
        <v>102.65</v>
      </c>
      <c r="I85" s="55">
        <f>_xll.EQNXTDZ($A$1,$B85,I$5,$B$1)</f>
        <v>0</v>
      </c>
      <c r="J85" s="55">
        <f>_xll.EQNXTDZ($A$1,$B85,J$5,$B$1)</f>
        <v>190.42</v>
      </c>
      <c r="K85" s="55">
        <f>_xll.EQNXTDZ($A$1,$B85,K$5,$B$1)</f>
        <v>0</v>
      </c>
      <c r="L85" s="55">
        <f>_xll.EQNXTDZ($A$1,$B85,L$5,$B$1)</f>
        <v>80.45</v>
      </c>
      <c r="M85" s="55">
        <f>_xll.EQNXTDZ($A$1,$B85,M$5,$B$1)</f>
        <v>0</v>
      </c>
      <c r="N85" s="55">
        <f>_xll.EQNXTDZ($A$1,$B85,N$5,$B$1)</f>
        <v>195.33</v>
      </c>
      <c r="O85" s="55">
        <f>_xll.EQNXTDZ($A$1,$B85,O$5,$B$1)</f>
        <v>0</v>
      </c>
      <c r="P85" s="55">
        <f>_xll.EQNXTDZ($A$1,$B85,P$5,$B$1)</f>
        <v>434.16</v>
      </c>
      <c r="Q85" s="55">
        <f>_xll.EQNXTDZ($A$1,$B85,Q$5,$B$1)</f>
        <v>0</v>
      </c>
      <c r="R85" s="55">
        <f>_xll.EQNXTDZ($A$1,$B85,R$5,$B$1)</f>
        <v>82.58</v>
      </c>
      <c r="S85" s="55">
        <f>_xll.EQNXTDZ($A$1,$B85,S$5,$B$1)</f>
        <v>0</v>
      </c>
      <c r="T85" s="55">
        <f>_xll.EQNXTDZ($A$1,$B85,T$5,$B$1)</f>
        <v>818.24</v>
      </c>
      <c r="U85" s="55">
        <f>_xll.EQNXTDZ($A$1,$B85,U$5,$B$1)</f>
        <v>0</v>
      </c>
      <c r="V85" s="55">
        <f>_xll.EQNXTDZ($A$1,$B85,V$5,$B$1)</f>
        <v>49.02</v>
      </c>
      <c r="W85" s="55">
        <f>_xll.EQNXTDZ($A$1,$B85,W$5,$B$1)</f>
        <v>0</v>
      </c>
      <c r="X85" s="55">
        <f>_xll.EQNXTDZ($A$1,$B85,X$5,$B$1)</f>
        <v>9.1</v>
      </c>
      <c r="Y85" s="55">
        <f>_xll.EQNXTDZ($A$1,$B85,Y$5,$B$1)</f>
        <v>0</v>
      </c>
      <c r="Z85" s="55">
        <f>_xll.EQNXTDZ($A$1,$B85,Z$5,$B$1)</f>
        <v>9.14</v>
      </c>
      <c r="AA85" s="55">
        <f>_xll.EQNXTDZ($A$1,$B85,AA$5,$B$1)</f>
        <v>0</v>
      </c>
      <c r="AB85" s="55">
        <f>_xll.EQNXTDZ($A$1,$B85,AB$5,$B$1)</f>
        <v>9.76</v>
      </c>
      <c r="AC85" s="55">
        <f>_xll.EQNXTDZ($A$1,$B85,AC$5,$B$1)</f>
        <v>0</v>
      </c>
      <c r="AD85" s="55">
        <f>_xll.EQNXTDZ($A$1,$B85,AD$5,$B$1)</f>
        <v>3.44</v>
      </c>
      <c r="AE85" s="55">
        <f>_xll.EQNXTDZ($A$1,$B85,AE$5,$B$1)</f>
        <v>0</v>
      </c>
      <c r="AF85" s="55">
        <f>_xll.EQNXTDZ($A$1,$B85,AF$5,$B$1)</f>
        <v>4.63</v>
      </c>
      <c r="AG85" s="55">
        <f>_xll.EQNXTDZ($A$1,$B85,AG$5,$B$1)</f>
        <v>0</v>
      </c>
      <c r="AH85" s="55">
        <f>_xll.EQNXTDZ($A$1,$B85,AH$5,$B$1)</f>
        <v>4.7699999999999996</v>
      </c>
      <c r="AI85" s="55">
        <f>_xll.EQNXTDZ($A$1,$B85,AI$5,$B$1)</f>
        <v>0</v>
      </c>
      <c r="AJ85" s="55">
        <f>_xll.EQNXTDZ($A$1,$B85,AJ$5,$B$1)</f>
        <v>6.35</v>
      </c>
      <c r="AK85" s="55">
        <f>_xll.EQNXTDZ($A$1,$B85,AK$5,$B$1)</f>
        <v>0</v>
      </c>
      <c r="AL85" s="55">
        <f>_xll.EQNXTDZ($A$1,$B85,AL$5,$B$1)</f>
        <v>16.68</v>
      </c>
      <c r="AM85" s="55">
        <f>_xll.EQNXTDZ($A$1,$B85,AM$5,$B$1)</f>
        <v>0</v>
      </c>
      <c r="AN85" s="55">
        <f>_xll.EQNXTDZ($A$1,$B85,AN$5,$B$1)</f>
        <v>9.99</v>
      </c>
      <c r="AO85" s="55">
        <f>_xll.EQNXTDZ($A$1,$B85,AO$5,$B$1)</f>
        <v>0</v>
      </c>
      <c r="AP85" s="55">
        <f>_xll.EQNXTDZ($A$1,$B85,AP$5,$B$1)</f>
        <v>6.31</v>
      </c>
      <c r="AQ85" s="55">
        <f>_xll.EQNXTDZ($A$1,$B85,AQ$5,$B$1)</f>
        <v>0</v>
      </c>
      <c r="AR85" s="55">
        <f>_xll.EQNXTDZ($A$1,$B85,AR$5,$B$1)</f>
        <v>6.32</v>
      </c>
      <c r="AS85" s="55">
        <f>_xll.EQNXTDZ($A$1,$B85,AS$5,$B$1)</f>
        <v>0</v>
      </c>
      <c r="AT85" s="55">
        <f>_xll.EQNXTDZ($A$1,$B85,AT$5,$B$1)</f>
        <v>6.45</v>
      </c>
      <c r="AU85" s="55">
        <f>_xll.EQNXTDZ($A$1,$B85,AU$5,$B$1)</f>
        <v>0</v>
      </c>
      <c r="AV85" s="55">
        <f>_xll.EQNXTDZ($A$1,$B85,AV$5,$B$1)</f>
        <v>7.33</v>
      </c>
      <c r="AW85" s="55">
        <f>_xll.EQNXTDZ($A$1,$B85,AW$5,$B$1)</f>
        <v>0</v>
      </c>
      <c r="AX85" s="55">
        <f>_xll.EQNXTDZ($A$1,$B85,AX$5,$B$1)</f>
        <v>8.57</v>
      </c>
      <c r="AY85" s="55">
        <f>_xll.EQNXTDZ($A$1,$B85,AY$5,$B$1)</f>
        <v>0</v>
      </c>
      <c r="AZ85" s="55">
        <f>_xll.EQNXTDZ($A$1,$B85,AZ$5,$B$1)</f>
        <v>11.87</v>
      </c>
      <c r="BA85" s="55">
        <f>_xll.EQNXTDZ($A$1,$B85,BA$5,$B$1)</f>
        <v>0</v>
      </c>
      <c r="BB85" s="55">
        <f>_xll.EQNXTDZ($A$1,$B85,BB$5,$B$1)</f>
        <v>11.8</v>
      </c>
      <c r="BC85" s="55">
        <f>_xll.EQNXTDZ($A$1,$B85,BC$5,$B$1)</f>
        <v>0</v>
      </c>
      <c r="BD85" s="55">
        <f>_xll.EQNXTDZ($A$1,$B85,BD$5,$B$1)</f>
        <v>14.43</v>
      </c>
      <c r="BE85" s="55">
        <f>_xll.EQNXTDZ($A$1,$B85,BE$5,$B$1)</f>
        <v>0</v>
      </c>
      <c r="BF85" s="55">
        <f>_xll.EQNXTDZ($A$1,$B85,BF$5,$B$1)</f>
        <v>13.66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413.29</v>
      </c>
      <c r="E86" s="55">
        <f>_xll.EQNXTDZ($A$1,$B86,E$5,$B$1)</f>
        <v>0</v>
      </c>
      <c r="F86" s="55">
        <f>_xll.EQNXTDZ($A$1,$B86,F$5,$B$1)</f>
        <v>948.48</v>
      </c>
      <c r="G86" s="55">
        <f>_xll.EQNXTDZ($A$1,$B86,G$5,$B$1)</f>
        <v>0</v>
      </c>
      <c r="H86" s="55">
        <f>_xll.EQNXTDZ($A$1,$B86,H$5,$B$1)</f>
        <v>323.8</v>
      </c>
      <c r="I86" s="55">
        <f>_xll.EQNXTDZ($A$1,$B86,I$5,$B$1)</f>
        <v>0</v>
      </c>
      <c r="J86" s="55">
        <f>_xll.EQNXTDZ($A$1,$B86,J$5,$B$1)</f>
        <v>937.38</v>
      </c>
      <c r="K86" s="55">
        <f>_xll.EQNXTDZ($A$1,$B86,K$5,$B$1)</f>
        <v>0</v>
      </c>
      <c r="L86" s="55">
        <f>_xll.EQNXTDZ($A$1,$B86,L$5,$B$1)</f>
        <v>1129.3399999999999</v>
      </c>
      <c r="M86" s="55">
        <f>_xll.EQNXTDZ($A$1,$B86,M$5,$B$1)</f>
        <v>0</v>
      </c>
      <c r="N86" s="55">
        <f>_xll.EQNXTDZ($A$1,$B86,N$5,$B$1)</f>
        <v>1722.49</v>
      </c>
      <c r="O86" s="55">
        <f>_xll.EQNXTDZ($A$1,$B86,O$5,$B$1)</f>
        <v>0</v>
      </c>
      <c r="P86" s="55">
        <f>_xll.EQNXTDZ($A$1,$B86,P$5,$B$1)</f>
        <v>1396.79</v>
      </c>
      <c r="Q86" s="55">
        <f>_xll.EQNXTDZ($A$1,$B86,Q$5,$B$1)</f>
        <v>0</v>
      </c>
      <c r="R86" s="55">
        <f>_xll.EQNXTDZ($A$1,$B86,R$5,$B$1)</f>
        <v>944.48</v>
      </c>
      <c r="S86" s="55">
        <f>_xll.EQNXTDZ($A$1,$B86,S$5,$B$1)</f>
        <v>0</v>
      </c>
      <c r="T86" s="55">
        <f>_xll.EQNXTDZ($A$1,$B86,T$5,$B$1)</f>
        <v>1245.95</v>
      </c>
      <c r="U86" s="55">
        <f>_xll.EQNXTDZ($A$1,$B86,U$5,$B$1)</f>
        <v>0</v>
      </c>
      <c r="V86" s="55">
        <f>_xll.EQNXTDZ($A$1,$B86,V$5,$B$1)</f>
        <v>926.33</v>
      </c>
      <c r="W86" s="55">
        <f>_xll.EQNXTDZ($A$1,$B86,W$5,$B$1)</f>
        <v>0</v>
      </c>
      <c r="X86" s="55">
        <f>_xll.EQNXTDZ($A$1,$B86,X$5,$B$1)</f>
        <v>974.77</v>
      </c>
      <c r="Y86" s="55">
        <f>_xll.EQNXTDZ($A$1,$B86,Y$5,$B$1)</f>
        <v>0</v>
      </c>
      <c r="Z86" s="55">
        <f>_xll.EQNXTDZ($A$1,$B86,Z$5,$B$1)</f>
        <v>1219.53</v>
      </c>
      <c r="AA86" s="55">
        <f>_xll.EQNXTDZ($A$1,$B86,AA$5,$B$1)</f>
        <v>0</v>
      </c>
      <c r="AB86" s="55">
        <f>_xll.EQNXTDZ($A$1,$B86,AB$5,$B$1)</f>
        <v>1090.56</v>
      </c>
      <c r="AC86" s="55">
        <f>_xll.EQNXTDZ($A$1,$B86,AC$5,$B$1)</f>
        <v>0</v>
      </c>
      <c r="AD86" s="55">
        <f>_xll.EQNXTDZ($A$1,$B86,AD$5,$B$1)</f>
        <v>1158.78</v>
      </c>
      <c r="AE86" s="55">
        <f>_xll.EQNXTDZ($A$1,$B86,AE$5,$B$1)</f>
        <v>0</v>
      </c>
      <c r="AF86" s="55">
        <f>_xll.EQNXTDZ($A$1,$B86,AF$5,$B$1)</f>
        <v>1001.2</v>
      </c>
      <c r="AG86" s="55">
        <f>_xll.EQNXTDZ($A$1,$B86,AG$5,$B$1)</f>
        <v>0</v>
      </c>
      <c r="AH86" s="55">
        <f>_xll.EQNXTDZ($A$1,$B86,AH$5,$B$1)</f>
        <v>1437.31</v>
      </c>
      <c r="AI86" s="55">
        <f>_xll.EQNXTDZ($A$1,$B86,AI$5,$B$1)</f>
        <v>0</v>
      </c>
      <c r="AJ86" s="55">
        <f>_xll.EQNXTDZ($A$1,$B86,AJ$5,$B$1)</f>
        <v>1207.33</v>
      </c>
      <c r="AK86" s="55">
        <f>_xll.EQNXTDZ($A$1,$B86,AK$5,$B$1)</f>
        <v>0</v>
      </c>
      <c r="AL86" s="55">
        <f>_xll.EQNXTDZ($A$1,$B86,AL$5,$B$1)</f>
        <v>1153.8800000000001</v>
      </c>
      <c r="AM86" s="55">
        <f>_xll.EQNXTDZ($A$1,$B86,AM$5,$B$1)</f>
        <v>0</v>
      </c>
      <c r="AN86" s="55">
        <f>_xll.EQNXTDZ($A$1,$B86,AN$5,$B$1)</f>
        <v>1141.28</v>
      </c>
      <c r="AO86" s="55">
        <f>_xll.EQNXTDZ($A$1,$B86,AO$5,$B$1)</f>
        <v>0</v>
      </c>
      <c r="AP86" s="55">
        <f>_xll.EQNXTDZ($A$1,$B86,AP$5,$B$1)</f>
        <v>2673.05</v>
      </c>
      <c r="AQ86" s="55">
        <f>_xll.EQNXTDZ($A$1,$B86,AQ$5,$B$1)</f>
        <v>0</v>
      </c>
      <c r="AR86" s="55">
        <f>_xll.EQNXTDZ($A$1,$B86,AR$5,$B$1)</f>
        <v>1854.72</v>
      </c>
      <c r="AS86" s="55">
        <f>_xll.EQNXTDZ($A$1,$B86,AS$5,$B$1)</f>
        <v>0</v>
      </c>
      <c r="AT86" s="55">
        <f>_xll.EQNXTDZ($A$1,$B86,AT$5,$B$1)</f>
        <v>2589.65</v>
      </c>
      <c r="AU86" s="55">
        <f>_xll.EQNXTDZ($A$1,$B86,AU$5,$B$1)</f>
        <v>0</v>
      </c>
      <c r="AV86" s="55">
        <f>_xll.EQNXTDZ($A$1,$B86,AV$5,$B$1)</f>
        <v>2259.79</v>
      </c>
      <c r="AW86" s="55">
        <f>_xll.EQNXTDZ($A$1,$B86,AW$5,$B$1)</f>
        <v>0</v>
      </c>
      <c r="AX86" s="55">
        <f>_xll.EQNXTDZ($A$1,$B86,AX$5,$B$1)</f>
        <v>3068.39</v>
      </c>
      <c r="AY86" s="55">
        <f>_xll.EQNXTDZ($A$1,$B86,AY$5,$B$1)</f>
        <v>0</v>
      </c>
      <c r="AZ86" s="55">
        <f>_xll.EQNXTDZ($A$1,$B86,AZ$5,$B$1)</f>
        <v>3516.3</v>
      </c>
      <c r="BA86" s="55">
        <f>_xll.EQNXTDZ($A$1,$B86,BA$5,$B$1)</f>
        <v>0</v>
      </c>
      <c r="BB86" s="55">
        <f>_xll.EQNXTDZ($A$1,$B86,BB$5,$B$1)</f>
        <v>4169.9399999999996</v>
      </c>
      <c r="BC86" s="55">
        <f>_xll.EQNXTDZ($A$1,$B86,BC$5,$B$1)</f>
        <v>0</v>
      </c>
      <c r="BD86" s="55">
        <f>_xll.EQNXTDZ($A$1,$B86,BD$5,$B$1)</f>
        <v>4282.71</v>
      </c>
      <c r="BE86" s="55">
        <f>_xll.EQNXTDZ($A$1,$B86,BE$5,$B$1)</f>
        <v>0</v>
      </c>
      <c r="BF86" s="55">
        <f>_xll.EQNXTDZ($A$1,$B86,BF$5,$B$1)</f>
        <v>5576.54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532.77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247.52</v>
      </c>
      <c r="E88" s="55">
        <f>_xll.EQNXTDZ($A$1,$B88,E$5,$B$1)</f>
        <v>0</v>
      </c>
      <c r="F88" s="55">
        <f>_xll.EQNXTDZ($A$1,$B88,F$5,$B$1)</f>
        <v>247.67</v>
      </c>
      <c r="G88" s="55">
        <f>_xll.EQNXTDZ($A$1,$B88,G$5,$B$1)</f>
        <v>0</v>
      </c>
      <c r="H88" s="55">
        <f>_xll.EQNXTDZ($A$1,$B88,H$5,$B$1)</f>
        <v>256.64</v>
      </c>
      <c r="I88" s="55">
        <f>_xll.EQNXTDZ($A$1,$B88,I$5,$B$1)</f>
        <v>0</v>
      </c>
      <c r="J88" s="55">
        <f>_xll.EQNXTDZ($A$1,$B88,J$5,$B$1)</f>
        <v>221.25</v>
      </c>
      <c r="K88" s="55">
        <f>_xll.EQNXTDZ($A$1,$B88,K$5,$B$1)</f>
        <v>0</v>
      </c>
      <c r="L88" s="55">
        <f>_xll.EQNXTDZ($A$1,$B88,L$5,$B$1)</f>
        <v>50.96</v>
      </c>
      <c r="M88" s="55">
        <f>_xll.EQNXTDZ($A$1,$B88,M$5,$B$1)</f>
        <v>0</v>
      </c>
      <c r="N88" s="55">
        <f>_xll.EQNXTDZ($A$1,$B88,N$5,$B$1)</f>
        <v>33.39</v>
      </c>
      <c r="O88" s="55">
        <f>_xll.EQNXTDZ($A$1,$B88,O$5,$B$1)</f>
        <v>0</v>
      </c>
      <c r="P88" s="55">
        <f>_xll.EQNXTDZ($A$1,$B88,P$5,$B$1)</f>
        <v>11.54</v>
      </c>
      <c r="Q88" s="55">
        <f>_xll.EQNXTDZ($A$1,$B88,Q$5,$B$1)</f>
        <v>0</v>
      </c>
      <c r="R88" s="55">
        <f>_xll.EQNXTDZ($A$1,$B88,R$5,$B$1)</f>
        <v>93.59</v>
      </c>
      <c r="S88" s="55">
        <f>_xll.EQNXTDZ($A$1,$B88,S$5,$B$1)</f>
        <v>0</v>
      </c>
      <c r="T88" s="55">
        <f>_xll.EQNXTDZ($A$1,$B88,T$5,$B$1)</f>
        <v>17.07</v>
      </c>
      <c r="U88" s="55">
        <f>_xll.EQNXTDZ($A$1,$B88,U$5,$B$1)</f>
        <v>0</v>
      </c>
      <c r="V88" s="55">
        <f>_xll.EQNXTDZ($A$1,$B88,V$5,$B$1)</f>
        <v>18.16</v>
      </c>
      <c r="W88" s="55">
        <f>_xll.EQNXTDZ($A$1,$B88,W$5,$B$1)</f>
        <v>0</v>
      </c>
      <c r="X88" s="55">
        <f>_xll.EQNXTDZ($A$1,$B88,X$5,$B$1)</f>
        <v>649.02</v>
      </c>
      <c r="Y88" s="55">
        <f>_xll.EQNXTDZ($A$1,$B88,Y$5,$B$1)</f>
        <v>0</v>
      </c>
      <c r="Z88" s="55">
        <f>_xll.EQNXTDZ($A$1,$B88,Z$5,$B$1)</f>
        <v>5</v>
      </c>
      <c r="AA88" s="55">
        <f>_xll.EQNXTDZ($A$1,$B88,AA$5,$B$1)</f>
        <v>0</v>
      </c>
      <c r="AB88" s="55">
        <f>_xll.EQNXTDZ($A$1,$B88,AB$5,$B$1)</f>
        <v>25.89</v>
      </c>
      <c r="AC88" s="55">
        <f>_xll.EQNXTDZ($A$1,$B88,AC$5,$B$1)</f>
        <v>0</v>
      </c>
      <c r="AD88" s="55">
        <f>_xll.EQNXTDZ($A$1,$B88,AD$5,$B$1)</f>
        <v>35.68</v>
      </c>
      <c r="AE88" s="55">
        <f>_xll.EQNXTDZ($A$1,$B88,AE$5,$B$1)</f>
        <v>0</v>
      </c>
      <c r="AF88" s="55">
        <f>_xll.EQNXTDZ($A$1,$B88,AF$5,$B$1)</f>
        <v>87.35</v>
      </c>
      <c r="AG88" s="55">
        <f>_xll.EQNXTDZ($A$1,$B88,AG$5,$B$1)</f>
        <v>0</v>
      </c>
      <c r="AH88" s="55">
        <f>_xll.EQNXTDZ($A$1,$B88,AH$5,$B$1)</f>
        <v>166.25</v>
      </c>
      <c r="AI88" s="55">
        <f>_xll.EQNXTDZ($A$1,$B88,AI$5,$B$1)</f>
        <v>0</v>
      </c>
      <c r="AJ88" s="55">
        <f>_xll.EQNXTDZ($A$1,$B88,AJ$5,$B$1)</f>
        <v>277.38</v>
      </c>
      <c r="AK88" s="55">
        <f>_xll.EQNXTDZ($A$1,$B88,AK$5,$B$1)</f>
        <v>0</v>
      </c>
      <c r="AL88" s="55">
        <f>_xll.EQNXTDZ($A$1,$B88,AL$5,$B$1)</f>
        <v>1409.01</v>
      </c>
      <c r="AM88" s="55">
        <f>_xll.EQNXTDZ($A$1,$B88,AM$5,$B$1)</f>
        <v>0</v>
      </c>
      <c r="AN88" s="55">
        <f>_xll.EQNXTDZ($A$1,$B88,AN$5,$B$1)</f>
        <v>1110.95</v>
      </c>
      <c r="AO88" s="55">
        <f>_xll.EQNXTDZ($A$1,$B88,AO$5,$B$1)</f>
        <v>0</v>
      </c>
      <c r="AP88" s="55">
        <f>_xll.EQNXTDZ($A$1,$B88,AP$5,$B$1)</f>
        <v>596.85</v>
      </c>
      <c r="AQ88" s="55">
        <f>_xll.EQNXTDZ($A$1,$B88,AQ$5,$B$1)</f>
        <v>0</v>
      </c>
      <c r="AR88" s="55">
        <f>_xll.EQNXTDZ($A$1,$B88,AR$5,$B$1)</f>
        <v>463.47</v>
      </c>
      <c r="AS88" s="55">
        <f>_xll.EQNXTDZ($A$1,$B88,AS$5,$B$1)</f>
        <v>0</v>
      </c>
      <c r="AT88" s="55">
        <f>_xll.EQNXTDZ($A$1,$B88,AT$5,$B$1)</f>
        <v>487.28</v>
      </c>
      <c r="AU88" s="55">
        <f>_xll.EQNXTDZ($A$1,$B88,AU$5,$B$1)</f>
        <v>0</v>
      </c>
      <c r="AV88" s="55">
        <f>_xll.EQNXTDZ($A$1,$B88,AV$5,$B$1)</f>
        <v>241.84</v>
      </c>
      <c r="AW88" s="55">
        <f>_xll.EQNXTDZ($A$1,$B88,AW$5,$B$1)</f>
        <v>0</v>
      </c>
      <c r="AX88" s="55">
        <f>_xll.EQNXTDZ($A$1,$B88,AX$5,$B$1)</f>
        <v>213.75</v>
      </c>
      <c r="AY88" s="55">
        <f>_xll.EQNXTDZ($A$1,$B88,AY$5,$B$1)</f>
        <v>0</v>
      </c>
      <c r="AZ88" s="55">
        <f>_xll.EQNXTDZ($A$1,$B88,AZ$5,$B$1)</f>
        <v>58.37</v>
      </c>
      <c r="BA88" s="55">
        <f>_xll.EQNXTDZ($A$1,$B88,BA$5,$B$1)</f>
        <v>0</v>
      </c>
      <c r="BB88" s="55">
        <f>_xll.EQNXTDZ($A$1,$B88,BB$5,$B$1)</f>
        <v>21.55</v>
      </c>
      <c r="BC88" s="55">
        <f>_xll.EQNXTDZ($A$1,$B88,BC$5,$B$1)</f>
        <v>0</v>
      </c>
      <c r="BD88" s="55">
        <f>_xll.EQNXTDZ($A$1,$B88,BD$5,$B$1)</f>
        <v>82.28</v>
      </c>
      <c r="BE88" s="55">
        <f>_xll.EQNXTDZ($A$1,$B88,BE$5,$B$1)</f>
        <v>0</v>
      </c>
      <c r="BF88" s="55">
        <f>_xll.EQNXTDZ($A$1,$B88,BF$5,$B$1)</f>
        <v>4.68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319.13</v>
      </c>
      <c r="G89" s="55">
        <f>_xll.EQNXTDZ($A$1,$B89,G$5,$B$1)</f>
        <v>0</v>
      </c>
      <c r="H89" s="55">
        <f>_xll.EQNXTDZ($A$1,$B89,H$5,$B$1)</f>
        <v>151.54</v>
      </c>
      <c r="I89" s="55">
        <f>_xll.EQNXTDZ($A$1,$B89,I$5,$B$1)</f>
        <v>0</v>
      </c>
      <c r="J89" s="55">
        <f>_xll.EQNXTDZ($A$1,$B89,J$5,$B$1)</f>
        <v>341.33</v>
      </c>
      <c r="K89" s="55">
        <f>_xll.EQNXTDZ($A$1,$B89,K$5,$B$1)</f>
        <v>0</v>
      </c>
      <c r="L89" s="55">
        <f>_xll.EQNXTDZ($A$1,$B89,L$5,$B$1)</f>
        <v>151.93</v>
      </c>
      <c r="M89" s="55">
        <f>_xll.EQNXTDZ($A$1,$B89,M$5,$B$1)</f>
        <v>0</v>
      </c>
      <c r="N89" s="55">
        <f>_xll.EQNXTDZ($A$1,$B89,N$5,$B$1)</f>
        <v>331.15</v>
      </c>
      <c r="O89" s="55">
        <f>_xll.EQNXTDZ($A$1,$B89,O$5,$B$1)</f>
        <v>0</v>
      </c>
      <c r="P89" s="55">
        <f>_xll.EQNXTDZ($A$1,$B89,P$5,$B$1)</f>
        <v>181.04</v>
      </c>
      <c r="Q89" s="55">
        <f>_xll.EQNXTDZ($A$1,$B89,Q$5,$B$1)</f>
        <v>0</v>
      </c>
      <c r="R89" s="55">
        <f>_xll.EQNXTDZ($A$1,$B89,R$5,$B$1)</f>
        <v>287.27999999999997</v>
      </c>
      <c r="S89" s="55">
        <f>_xll.EQNXTDZ($A$1,$B89,S$5,$B$1)</f>
        <v>0</v>
      </c>
      <c r="T89" s="55">
        <f>_xll.EQNXTDZ($A$1,$B89,T$5,$B$1)</f>
        <v>168.4</v>
      </c>
      <c r="U89" s="55">
        <f>_xll.EQNXTDZ($A$1,$B89,U$5,$B$1)</f>
        <v>0</v>
      </c>
      <c r="V89" s="55">
        <f>_xll.EQNXTDZ($A$1,$B89,V$5,$B$1)</f>
        <v>293.06</v>
      </c>
      <c r="W89" s="55">
        <f>_xll.EQNXTDZ($A$1,$B89,W$5,$B$1)</f>
        <v>0</v>
      </c>
      <c r="X89" s="55">
        <f>_xll.EQNXTDZ($A$1,$B89,X$5,$B$1)</f>
        <v>345.68</v>
      </c>
      <c r="Y89" s="55">
        <f>_xll.EQNXTDZ($A$1,$B89,Y$5,$B$1)</f>
        <v>0</v>
      </c>
      <c r="Z89" s="55">
        <f>_xll.EQNXTDZ($A$1,$B89,Z$5,$B$1)</f>
        <v>339.95</v>
      </c>
      <c r="AA89" s="55">
        <f>_xll.EQNXTDZ($A$1,$B89,AA$5,$B$1)</f>
        <v>0</v>
      </c>
      <c r="AB89" s="55">
        <f>_xll.EQNXTDZ($A$1,$B89,AB$5,$B$1)</f>
        <v>348.35</v>
      </c>
      <c r="AC89" s="55">
        <f>_xll.EQNXTDZ($A$1,$B89,AC$5,$B$1)</f>
        <v>0</v>
      </c>
      <c r="AD89" s="55">
        <f>_xll.EQNXTDZ($A$1,$B89,AD$5,$B$1)</f>
        <v>325.25</v>
      </c>
      <c r="AE89" s="55">
        <f>_xll.EQNXTDZ($A$1,$B89,AE$5,$B$1)</f>
        <v>0</v>
      </c>
      <c r="AF89" s="55">
        <f>_xll.EQNXTDZ($A$1,$B89,AF$5,$B$1)</f>
        <v>335.28</v>
      </c>
      <c r="AG89" s="55">
        <f>_xll.EQNXTDZ($A$1,$B89,AG$5,$B$1)</f>
        <v>0</v>
      </c>
      <c r="AH89" s="55">
        <f>_xll.EQNXTDZ($A$1,$B89,AH$5,$B$1)</f>
        <v>389.32</v>
      </c>
      <c r="AI89" s="55">
        <f>_xll.EQNXTDZ($A$1,$B89,AI$5,$B$1)</f>
        <v>0</v>
      </c>
      <c r="AJ89" s="55">
        <f>_xll.EQNXTDZ($A$1,$B89,AJ$5,$B$1)</f>
        <v>326.23</v>
      </c>
      <c r="AK89" s="55">
        <f>_xll.EQNXTDZ($A$1,$B89,AK$5,$B$1)</f>
        <v>0</v>
      </c>
      <c r="AL89" s="55">
        <f>_xll.EQNXTDZ($A$1,$B89,AL$5,$B$1)</f>
        <v>317.81</v>
      </c>
      <c r="AM89" s="55">
        <f>_xll.EQNXTDZ($A$1,$B89,AM$5,$B$1)</f>
        <v>0</v>
      </c>
      <c r="AN89" s="55">
        <f>_xll.EQNXTDZ($A$1,$B89,AN$5,$B$1)</f>
        <v>345.15</v>
      </c>
      <c r="AO89" s="55">
        <f>_xll.EQNXTDZ($A$1,$B89,AO$5,$B$1)</f>
        <v>0</v>
      </c>
      <c r="AP89" s="55">
        <f>_xll.EQNXTDZ($A$1,$B89,AP$5,$B$1)</f>
        <v>387.33</v>
      </c>
      <c r="AQ89" s="55">
        <f>_xll.EQNXTDZ($A$1,$B89,AQ$5,$B$1)</f>
        <v>0</v>
      </c>
      <c r="AR89" s="55">
        <f>_xll.EQNXTDZ($A$1,$B89,AR$5,$B$1)</f>
        <v>460.54</v>
      </c>
      <c r="AS89" s="55">
        <f>_xll.EQNXTDZ($A$1,$B89,AS$5,$B$1)</f>
        <v>0</v>
      </c>
      <c r="AT89" s="55">
        <f>_xll.EQNXTDZ($A$1,$B89,AT$5,$B$1)</f>
        <v>476.58</v>
      </c>
      <c r="AU89" s="55">
        <f>_xll.EQNXTDZ($A$1,$B89,AU$5,$B$1)</f>
        <v>0</v>
      </c>
      <c r="AV89" s="55">
        <f>_xll.EQNXTDZ($A$1,$B89,AV$5,$B$1)</f>
        <v>454.54</v>
      </c>
      <c r="AW89" s="55">
        <f>_xll.EQNXTDZ($A$1,$B89,AW$5,$B$1)</f>
        <v>0</v>
      </c>
      <c r="AX89" s="55">
        <f>_xll.EQNXTDZ($A$1,$B89,AX$5,$B$1)</f>
        <v>519.37</v>
      </c>
      <c r="AY89" s="55">
        <f>_xll.EQNXTDZ($A$1,$B89,AY$5,$B$1)</f>
        <v>0</v>
      </c>
      <c r="AZ89" s="55">
        <f>_xll.EQNXTDZ($A$1,$B89,AZ$5,$B$1)</f>
        <v>580.37</v>
      </c>
      <c r="BA89" s="55">
        <f>_xll.EQNXTDZ($A$1,$B89,BA$5,$B$1)</f>
        <v>0</v>
      </c>
      <c r="BB89" s="55">
        <f>_xll.EQNXTDZ($A$1,$B89,BB$5,$B$1)</f>
        <v>578.39</v>
      </c>
      <c r="BC89" s="55">
        <f>_xll.EQNXTDZ($A$1,$B89,BC$5,$B$1)</f>
        <v>0</v>
      </c>
      <c r="BD89" s="55">
        <f>_xll.EQNXTDZ($A$1,$B89,BD$5,$B$1)</f>
        <v>666.16</v>
      </c>
      <c r="BE89" s="55">
        <f>_xll.EQNXTDZ($A$1,$B89,BE$5,$B$1)</f>
        <v>0</v>
      </c>
      <c r="BF89" s="55">
        <f>_xll.EQNXTDZ($A$1,$B89,BF$5,$B$1)</f>
        <v>719.78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547.08000000000004</v>
      </c>
      <c r="G91" s="55">
        <f>_xll.EQNXTDZ($A$1,$B91,G$5,$B$1)</f>
        <v>0</v>
      </c>
      <c r="H91" s="55">
        <f>_xll.EQNXTDZ($A$1,$B91,H$5,$B$1)</f>
        <v>360.61</v>
      </c>
      <c r="I91" s="55">
        <f>_xll.EQNXTDZ($A$1,$B91,I$5,$B$1)</f>
        <v>0</v>
      </c>
      <c r="J91" s="55">
        <f>_xll.EQNXTDZ($A$1,$B91,J$5,$B$1)</f>
        <v>1534.97</v>
      </c>
      <c r="K91" s="55">
        <f>_xll.EQNXTDZ($A$1,$B91,K$5,$B$1)</f>
        <v>0</v>
      </c>
      <c r="L91" s="55">
        <f>_xll.EQNXTDZ($A$1,$B91,L$5,$B$1)</f>
        <v>651.12</v>
      </c>
      <c r="M91" s="55">
        <f>_xll.EQNXTDZ($A$1,$B91,M$5,$B$1)</f>
        <v>0</v>
      </c>
      <c r="N91" s="55">
        <f>_xll.EQNXTDZ($A$1,$B91,N$5,$B$1)</f>
        <v>957.06</v>
      </c>
      <c r="O91" s="55">
        <f>_xll.EQNXTDZ($A$1,$B91,O$5,$B$1)</f>
        <v>0</v>
      </c>
      <c r="P91" s="55">
        <f>_xll.EQNXTDZ($A$1,$B91,P$5,$B$1)</f>
        <v>934.87</v>
      </c>
      <c r="Q91" s="55">
        <f>_xll.EQNXTDZ($A$1,$B91,Q$5,$B$1)</f>
        <v>0</v>
      </c>
      <c r="R91" s="55">
        <f>_xll.EQNXTDZ($A$1,$B91,R$5,$B$1)</f>
        <v>1905.6</v>
      </c>
      <c r="S91" s="55">
        <f>_xll.EQNXTDZ($A$1,$B91,S$5,$B$1)</f>
        <v>0</v>
      </c>
      <c r="T91" s="55">
        <f>_xll.EQNXTDZ($A$1,$B91,T$5,$B$1)</f>
        <v>1406.2</v>
      </c>
      <c r="U91" s="55">
        <f>_xll.EQNXTDZ($A$1,$B91,U$5,$B$1)</f>
        <v>0</v>
      </c>
      <c r="V91" s="55">
        <f>_xll.EQNXTDZ($A$1,$B91,V$5,$B$1)</f>
        <v>1416.94</v>
      </c>
      <c r="W91" s="55">
        <f>_xll.EQNXTDZ($A$1,$B91,W$5,$B$1)</f>
        <v>0</v>
      </c>
      <c r="X91" s="55">
        <f>_xll.EQNXTDZ($A$1,$B91,X$5,$B$1)</f>
        <v>1055.8</v>
      </c>
      <c r="Y91" s="55">
        <f>_xll.EQNXTDZ($A$1,$B91,Y$5,$B$1)</f>
        <v>0</v>
      </c>
      <c r="Z91" s="55">
        <f>_xll.EQNXTDZ($A$1,$B91,Z$5,$B$1)</f>
        <v>910.09</v>
      </c>
      <c r="AA91" s="55">
        <f>_xll.EQNXTDZ($A$1,$B91,AA$5,$B$1)</f>
        <v>0</v>
      </c>
      <c r="AB91" s="55">
        <f>_xll.EQNXTDZ($A$1,$B91,AB$5,$B$1)</f>
        <v>901.71</v>
      </c>
      <c r="AC91" s="55">
        <f>_xll.EQNXTDZ($A$1,$B91,AC$5,$B$1)</f>
        <v>0</v>
      </c>
      <c r="AD91" s="55">
        <f>_xll.EQNXTDZ($A$1,$B91,AD$5,$B$1)</f>
        <v>1580.89</v>
      </c>
      <c r="AE91" s="55">
        <f>_xll.EQNXTDZ($A$1,$B91,AE$5,$B$1)</f>
        <v>0</v>
      </c>
      <c r="AF91" s="55">
        <f>_xll.EQNXTDZ($A$1,$B91,AF$5,$B$1)</f>
        <v>1768.97</v>
      </c>
      <c r="AG91" s="55">
        <f>_xll.EQNXTDZ($A$1,$B91,AG$5,$B$1)</f>
        <v>0</v>
      </c>
      <c r="AH91" s="55">
        <f>_xll.EQNXTDZ($A$1,$B91,AH$5,$B$1)</f>
        <v>1190.79</v>
      </c>
      <c r="AI91" s="55">
        <f>_xll.EQNXTDZ($A$1,$B91,AI$5,$B$1)</f>
        <v>0</v>
      </c>
      <c r="AJ91" s="55">
        <f>_xll.EQNXTDZ($A$1,$B91,AJ$5,$B$1)</f>
        <v>1535.47</v>
      </c>
      <c r="AK91" s="55">
        <f>_xll.EQNXTDZ($A$1,$B91,AK$5,$B$1)</f>
        <v>0</v>
      </c>
      <c r="AL91" s="55">
        <f>_xll.EQNXTDZ($A$1,$B91,AL$5,$B$1)</f>
        <v>1050.48</v>
      </c>
      <c r="AM91" s="55">
        <f>_xll.EQNXTDZ($A$1,$B91,AM$5,$B$1)</f>
        <v>0</v>
      </c>
      <c r="AN91" s="55">
        <f>_xll.EQNXTDZ($A$1,$B91,AN$5,$B$1)</f>
        <v>976.91</v>
      </c>
      <c r="AO91" s="55">
        <f>_xll.EQNXTDZ($A$1,$B91,AO$5,$B$1)</f>
        <v>0</v>
      </c>
      <c r="AP91" s="55">
        <f>_xll.EQNXTDZ($A$1,$B91,AP$5,$B$1)</f>
        <v>783.73</v>
      </c>
      <c r="AQ91" s="55">
        <f>_xll.EQNXTDZ($A$1,$B91,AQ$5,$B$1)</f>
        <v>0</v>
      </c>
      <c r="AR91" s="55">
        <f>_xll.EQNXTDZ($A$1,$B91,AR$5,$B$1)</f>
        <v>838.1</v>
      </c>
      <c r="AS91" s="55">
        <f>_xll.EQNXTDZ($A$1,$B91,AS$5,$B$1)</f>
        <v>0</v>
      </c>
      <c r="AT91" s="55">
        <f>_xll.EQNXTDZ($A$1,$B91,AT$5,$B$1)</f>
        <v>936.25</v>
      </c>
      <c r="AU91" s="55">
        <f>_xll.EQNXTDZ($A$1,$B91,AU$5,$B$1)</f>
        <v>0</v>
      </c>
      <c r="AV91" s="55">
        <f>_xll.EQNXTDZ($A$1,$B91,AV$5,$B$1)</f>
        <v>943.62</v>
      </c>
      <c r="AW91" s="55">
        <f>_xll.EQNXTDZ($A$1,$B91,AW$5,$B$1)</f>
        <v>0</v>
      </c>
      <c r="AX91" s="55">
        <f>_xll.EQNXTDZ($A$1,$B91,AX$5,$B$1)</f>
        <v>1022.92</v>
      </c>
      <c r="AY91" s="55">
        <f>_xll.EQNXTDZ($A$1,$B91,AY$5,$B$1)</f>
        <v>0</v>
      </c>
      <c r="AZ91" s="55">
        <f>_xll.EQNXTDZ($A$1,$B91,AZ$5,$B$1)</f>
        <v>1133.72</v>
      </c>
      <c r="BA91" s="55">
        <f>_xll.EQNXTDZ($A$1,$B91,BA$5,$B$1)</f>
        <v>0</v>
      </c>
      <c r="BB91" s="55">
        <f>_xll.EQNXTDZ($A$1,$B91,BB$5,$B$1)</f>
        <v>1133.94</v>
      </c>
      <c r="BC91" s="55">
        <f>_xll.EQNXTDZ($A$1,$B91,BC$5,$B$1)</f>
        <v>0</v>
      </c>
      <c r="BD91" s="55">
        <f>_xll.EQNXTDZ($A$1,$B91,BD$5,$B$1)</f>
        <v>1109.28</v>
      </c>
      <c r="BE91" s="55">
        <f>_xll.EQNXTDZ($A$1,$B91,BE$5,$B$1)</f>
        <v>0</v>
      </c>
      <c r="BF91" s="55">
        <f>_xll.EQNXTDZ($A$1,$B91,BF$5,$B$1)</f>
        <v>1194.81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42.88</v>
      </c>
      <c r="E92" s="55">
        <f>_xll.EQNXTDZ($A$1,$B92,E$5,$B$1)</f>
        <v>0</v>
      </c>
      <c r="F92" s="55">
        <f>_xll.EQNXTDZ($A$1,$B92,F$5,$B$1)</f>
        <v>162.68</v>
      </c>
      <c r="G92" s="55">
        <f>_xll.EQNXTDZ($A$1,$B92,G$5,$B$1)</f>
        <v>0</v>
      </c>
      <c r="H92" s="55">
        <f>_xll.EQNXTDZ($A$1,$B92,H$5,$B$1)</f>
        <v>39.1</v>
      </c>
      <c r="I92" s="55">
        <f>_xll.EQNXTDZ($A$1,$B92,I$5,$B$1)</f>
        <v>0</v>
      </c>
      <c r="J92" s="55">
        <f>_xll.EQNXTDZ($A$1,$B92,J$5,$B$1)</f>
        <v>177.05</v>
      </c>
      <c r="K92" s="55">
        <f>_xll.EQNXTDZ($A$1,$B92,K$5,$B$1)</f>
        <v>0</v>
      </c>
      <c r="L92" s="55">
        <f>_xll.EQNXTDZ($A$1,$B92,L$5,$B$1)</f>
        <v>93.16</v>
      </c>
      <c r="M92" s="55">
        <f>_xll.EQNXTDZ($A$1,$B92,M$5,$B$1)</f>
        <v>0</v>
      </c>
      <c r="N92" s="55">
        <f>_xll.EQNXTDZ($A$1,$B92,N$5,$B$1)</f>
        <v>110.66</v>
      </c>
      <c r="O92" s="55">
        <f>_xll.EQNXTDZ($A$1,$B92,O$5,$B$1)</f>
        <v>0</v>
      </c>
      <c r="P92" s="55">
        <f>_xll.EQNXTDZ($A$1,$B92,P$5,$B$1)</f>
        <v>79.7</v>
      </c>
      <c r="Q92" s="55">
        <f>_xll.EQNXTDZ($A$1,$B92,Q$5,$B$1)</f>
        <v>0</v>
      </c>
      <c r="R92" s="55">
        <f>_xll.EQNXTDZ($A$1,$B92,R$5,$B$1)</f>
        <v>129.4</v>
      </c>
      <c r="S92" s="55">
        <f>_xll.EQNXTDZ($A$1,$B92,S$5,$B$1)</f>
        <v>0</v>
      </c>
      <c r="T92" s="55">
        <f>_xll.EQNXTDZ($A$1,$B92,T$5,$B$1)</f>
        <v>63.23</v>
      </c>
      <c r="U92" s="55">
        <f>_xll.EQNXTDZ($A$1,$B92,U$5,$B$1)</f>
        <v>0</v>
      </c>
      <c r="V92" s="55">
        <f>_xll.EQNXTDZ($A$1,$B92,V$5,$B$1)</f>
        <v>111.1</v>
      </c>
      <c r="W92" s="55">
        <f>_xll.EQNXTDZ($A$1,$B92,W$5,$B$1)</f>
        <v>0</v>
      </c>
      <c r="X92" s="55">
        <f>_xll.EQNXTDZ($A$1,$B92,X$5,$B$1)</f>
        <v>138.18</v>
      </c>
      <c r="Y92" s="55">
        <f>_xll.EQNXTDZ($A$1,$B92,Y$5,$B$1)</f>
        <v>0</v>
      </c>
      <c r="Z92" s="55">
        <f>_xll.EQNXTDZ($A$1,$B92,Z$5,$B$1)</f>
        <v>138.4</v>
      </c>
      <c r="AA92" s="55">
        <f>_xll.EQNXTDZ($A$1,$B92,AA$5,$B$1)</f>
        <v>0</v>
      </c>
      <c r="AB92" s="55">
        <f>_xll.EQNXTDZ($A$1,$B92,AB$5,$B$1)</f>
        <v>166.35</v>
      </c>
      <c r="AC92" s="55">
        <f>_xll.EQNXTDZ($A$1,$B92,AC$5,$B$1)</f>
        <v>0</v>
      </c>
      <c r="AD92" s="55">
        <f>_xll.EQNXTDZ($A$1,$B92,AD$5,$B$1)</f>
        <v>147.63999999999999</v>
      </c>
      <c r="AE92" s="55">
        <f>_xll.EQNXTDZ($A$1,$B92,AE$5,$B$1)</f>
        <v>0</v>
      </c>
      <c r="AF92" s="55">
        <f>_xll.EQNXTDZ($A$1,$B92,AF$5,$B$1)</f>
        <v>150.52000000000001</v>
      </c>
      <c r="AG92" s="55">
        <f>_xll.EQNXTDZ($A$1,$B92,AG$5,$B$1)</f>
        <v>0</v>
      </c>
      <c r="AH92" s="55">
        <f>_xll.EQNXTDZ($A$1,$B92,AH$5,$B$1)</f>
        <v>154.46</v>
      </c>
      <c r="AI92" s="55">
        <f>_xll.EQNXTDZ($A$1,$B92,AI$5,$B$1)</f>
        <v>0</v>
      </c>
      <c r="AJ92" s="55">
        <f>_xll.EQNXTDZ($A$1,$B92,AJ$5,$B$1)</f>
        <v>163.19999999999999</v>
      </c>
      <c r="AK92" s="55">
        <f>_xll.EQNXTDZ($A$1,$B92,AK$5,$B$1)</f>
        <v>0</v>
      </c>
      <c r="AL92" s="55">
        <f>_xll.EQNXTDZ($A$1,$B92,AL$5,$B$1)</f>
        <v>170.76</v>
      </c>
      <c r="AM92" s="55">
        <f>_xll.EQNXTDZ($A$1,$B92,AM$5,$B$1)</f>
        <v>0</v>
      </c>
      <c r="AN92" s="55">
        <f>_xll.EQNXTDZ($A$1,$B92,AN$5,$B$1)</f>
        <v>181.54</v>
      </c>
      <c r="AO92" s="55">
        <f>_xll.EQNXTDZ($A$1,$B92,AO$5,$B$1)</f>
        <v>0</v>
      </c>
      <c r="AP92" s="55">
        <f>_xll.EQNXTDZ($A$1,$B92,AP$5,$B$1)</f>
        <v>195.83</v>
      </c>
      <c r="AQ92" s="55">
        <f>_xll.EQNXTDZ($A$1,$B92,AQ$5,$B$1)</f>
        <v>0</v>
      </c>
      <c r="AR92" s="55">
        <f>_xll.EQNXTDZ($A$1,$B92,AR$5,$B$1)</f>
        <v>206.94</v>
      </c>
      <c r="AS92" s="55">
        <f>_xll.EQNXTDZ($A$1,$B92,AS$5,$B$1)</f>
        <v>0</v>
      </c>
      <c r="AT92" s="55">
        <f>_xll.EQNXTDZ($A$1,$B92,AT$5,$B$1)</f>
        <v>219.04</v>
      </c>
      <c r="AU92" s="55">
        <f>_xll.EQNXTDZ($A$1,$B92,AU$5,$B$1)</f>
        <v>0</v>
      </c>
      <c r="AV92" s="55">
        <f>_xll.EQNXTDZ($A$1,$B92,AV$5,$B$1)</f>
        <v>234.04</v>
      </c>
      <c r="AW92" s="55">
        <f>_xll.EQNXTDZ($A$1,$B92,AW$5,$B$1)</f>
        <v>0</v>
      </c>
      <c r="AX92" s="55">
        <f>_xll.EQNXTDZ($A$1,$B92,AX$5,$B$1)</f>
        <v>242.22</v>
      </c>
      <c r="AY92" s="55">
        <f>_xll.EQNXTDZ($A$1,$B92,AY$5,$B$1)</f>
        <v>0</v>
      </c>
      <c r="AZ92" s="55">
        <f>_xll.EQNXTDZ($A$1,$B92,AZ$5,$B$1)</f>
        <v>254.71</v>
      </c>
      <c r="BA92" s="55">
        <f>_xll.EQNXTDZ($A$1,$B92,BA$5,$B$1)</f>
        <v>0</v>
      </c>
      <c r="BB92" s="55">
        <f>_xll.EQNXTDZ($A$1,$B92,BB$5,$B$1)</f>
        <v>262.27</v>
      </c>
      <c r="BC92" s="55">
        <f>_xll.EQNXTDZ($A$1,$B92,BC$5,$B$1)</f>
        <v>0</v>
      </c>
      <c r="BD92" s="55">
        <f>_xll.EQNXTDZ($A$1,$B92,BD$5,$B$1)</f>
        <v>272.91000000000003</v>
      </c>
      <c r="BE92" s="55">
        <f>_xll.EQNXTDZ($A$1,$B92,BE$5,$B$1)</f>
        <v>0</v>
      </c>
      <c r="BF92" s="55">
        <f>_xll.EQNXTDZ($A$1,$B92,BF$5,$B$1)</f>
        <v>315.92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823.17</v>
      </c>
      <c r="E93" s="55">
        <f>_xll.EQNXTDZ($A$1,$B93,E$5,$B$1)</f>
        <v>0</v>
      </c>
      <c r="F93" s="55">
        <f>_xll.EQNXTDZ($A$1,$B93,F$5,$B$1)</f>
        <v>1276.56</v>
      </c>
      <c r="G93" s="55">
        <f>_xll.EQNXTDZ($A$1,$B93,G$5,$B$1)</f>
        <v>0</v>
      </c>
      <c r="H93" s="55">
        <f>_xll.EQNXTDZ($A$1,$B93,H$5,$B$1)</f>
        <v>807.89</v>
      </c>
      <c r="I93" s="55">
        <f>_xll.EQNXTDZ($A$1,$B93,I$5,$B$1)</f>
        <v>0</v>
      </c>
      <c r="J93" s="55">
        <f>_xll.EQNXTDZ($A$1,$B93,J$5,$B$1)</f>
        <v>2274.6</v>
      </c>
      <c r="K93" s="55">
        <f>_xll.EQNXTDZ($A$1,$B93,K$5,$B$1)</f>
        <v>0</v>
      </c>
      <c r="L93" s="55">
        <f>_xll.EQNXTDZ($A$1,$B93,L$5,$B$1)</f>
        <v>947.17</v>
      </c>
      <c r="M93" s="55">
        <f>_xll.EQNXTDZ($A$1,$B93,M$5,$B$1)</f>
        <v>0</v>
      </c>
      <c r="N93" s="55">
        <f>_xll.EQNXTDZ($A$1,$B93,N$5,$B$1)</f>
        <v>1432.26</v>
      </c>
      <c r="O93" s="55">
        <f>_xll.EQNXTDZ($A$1,$B93,O$5,$B$1)</f>
        <v>0</v>
      </c>
      <c r="P93" s="55">
        <f>_xll.EQNXTDZ($A$1,$B93,P$5,$B$1)</f>
        <v>1207.1500000000001</v>
      </c>
      <c r="Q93" s="55">
        <f>_xll.EQNXTDZ($A$1,$B93,Q$5,$B$1)</f>
        <v>0</v>
      </c>
      <c r="R93" s="55">
        <f>_xll.EQNXTDZ($A$1,$B93,R$5,$B$1)</f>
        <v>2415.87</v>
      </c>
      <c r="S93" s="55">
        <f>_xll.EQNXTDZ($A$1,$B93,S$5,$B$1)</f>
        <v>0</v>
      </c>
      <c r="T93" s="55">
        <f>_xll.EQNXTDZ($A$1,$B93,T$5,$B$1)</f>
        <v>1654.9</v>
      </c>
      <c r="U93" s="55">
        <f>_xll.EQNXTDZ($A$1,$B93,U$5,$B$1)</f>
        <v>0</v>
      </c>
      <c r="V93" s="55">
        <f>_xll.EQNXTDZ($A$1,$B93,V$5,$B$1)</f>
        <v>1839.26</v>
      </c>
      <c r="W93" s="55">
        <f>_xll.EQNXTDZ($A$1,$B93,W$5,$B$1)</f>
        <v>0</v>
      </c>
      <c r="X93" s="55">
        <f>_xll.EQNXTDZ($A$1,$B93,X$5,$B$1)</f>
        <v>2188.6799999999998</v>
      </c>
      <c r="Y93" s="55">
        <f>_xll.EQNXTDZ($A$1,$B93,Y$5,$B$1)</f>
        <v>0</v>
      </c>
      <c r="Z93" s="55">
        <f>_xll.EQNXTDZ($A$1,$B93,Z$5,$B$1)</f>
        <v>1393.44</v>
      </c>
      <c r="AA93" s="55">
        <f>_xll.EQNXTDZ($A$1,$B93,AA$5,$B$1)</f>
        <v>0</v>
      </c>
      <c r="AB93" s="55">
        <f>_xll.EQNXTDZ($A$1,$B93,AB$5,$B$1)</f>
        <v>1442.3</v>
      </c>
      <c r="AC93" s="55">
        <f>_xll.EQNXTDZ($A$1,$B93,AC$5,$B$1)</f>
        <v>0</v>
      </c>
      <c r="AD93" s="55">
        <f>_xll.EQNXTDZ($A$1,$B93,AD$5,$B$1)</f>
        <v>2089.46</v>
      </c>
      <c r="AE93" s="55">
        <f>_xll.EQNXTDZ($A$1,$B93,AE$5,$B$1)</f>
        <v>0</v>
      </c>
      <c r="AF93" s="55">
        <f>_xll.EQNXTDZ($A$1,$B93,AF$5,$B$1)</f>
        <v>2342.12</v>
      </c>
      <c r="AG93" s="55">
        <f>_xll.EQNXTDZ($A$1,$B93,AG$5,$B$1)</f>
        <v>0</v>
      </c>
      <c r="AH93" s="55">
        <f>_xll.EQNXTDZ($A$1,$B93,AH$5,$B$1)</f>
        <v>1900.82</v>
      </c>
      <c r="AI93" s="55">
        <f>_xll.EQNXTDZ($A$1,$B93,AI$5,$B$1)</f>
        <v>0</v>
      </c>
      <c r="AJ93" s="55">
        <f>_xll.EQNXTDZ($A$1,$B93,AJ$5,$B$1)</f>
        <v>2302.2800000000002</v>
      </c>
      <c r="AK93" s="55">
        <f>_xll.EQNXTDZ($A$1,$B93,AK$5,$B$1)</f>
        <v>0</v>
      </c>
      <c r="AL93" s="55">
        <f>_xll.EQNXTDZ($A$1,$B93,AL$5,$B$1)</f>
        <v>2948.06</v>
      </c>
      <c r="AM93" s="55">
        <f>_xll.EQNXTDZ($A$1,$B93,AM$5,$B$1)</f>
        <v>0</v>
      </c>
      <c r="AN93" s="55">
        <f>_xll.EQNXTDZ($A$1,$B93,AN$5,$B$1)</f>
        <v>2614.5500000000002</v>
      </c>
      <c r="AO93" s="55">
        <f>_xll.EQNXTDZ($A$1,$B93,AO$5,$B$1)</f>
        <v>0</v>
      </c>
      <c r="AP93" s="55">
        <f>_xll.EQNXTDZ($A$1,$B93,AP$5,$B$1)</f>
        <v>1963.74</v>
      </c>
      <c r="AQ93" s="55">
        <f>_xll.EQNXTDZ($A$1,$B93,AQ$5,$B$1)</f>
        <v>0</v>
      </c>
      <c r="AR93" s="55">
        <f>_xll.EQNXTDZ($A$1,$B93,AR$5,$B$1)</f>
        <v>1969.05</v>
      </c>
      <c r="AS93" s="55">
        <f>_xll.EQNXTDZ($A$1,$B93,AS$5,$B$1)</f>
        <v>0</v>
      </c>
      <c r="AT93" s="55">
        <f>_xll.EQNXTDZ($A$1,$B93,AT$5,$B$1)</f>
        <v>2119.15</v>
      </c>
      <c r="AU93" s="55">
        <f>_xll.EQNXTDZ($A$1,$B93,AU$5,$B$1)</f>
        <v>0</v>
      </c>
      <c r="AV93" s="55">
        <f>_xll.EQNXTDZ($A$1,$B93,AV$5,$B$1)</f>
        <v>1874.04</v>
      </c>
      <c r="AW93" s="55">
        <f>_xll.EQNXTDZ($A$1,$B93,AW$5,$B$1)</f>
        <v>0</v>
      </c>
      <c r="AX93" s="55">
        <f>_xll.EQNXTDZ($A$1,$B93,AX$5,$B$1)</f>
        <v>1998.26</v>
      </c>
      <c r="AY93" s="55">
        <f>_xll.EQNXTDZ($A$1,$B93,AY$5,$B$1)</f>
        <v>0</v>
      </c>
      <c r="AZ93" s="55">
        <f>_xll.EQNXTDZ($A$1,$B93,AZ$5,$B$1)</f>
        <v>2027.17</v>
      </c>
      <c r="BA93" s="55">
        <f>_xll.EQNXTDZ($A$1,$B93,BA$5,$B$1)</f>
        <v>0</v>
      </c>
      <c r="BB93" s="55">
        <f>_xll.EQNXTDZ($A$1,$B93,BB$5,$B$1)</f>
        <v>1996.15</v>
      </c>
      <c r="BC93" s="55">
        <f>_xll.EQNXTDZ($A$1,$B93,BC$5,$B$1)</f>
        <v>0</v>
      </c>
      <c r="BD93" s="55">
        <f>_xll.EQNXTDZ($A$1,$B93,BD$5,$B$1)</f>
        <v>2130.63</v>
      </c>
      <c r="BE93" s="55">
        <f>_xll.EQNXTDZ($A$1,$B93,BE$5,$B$1)</f>
        <v>0</v>
      </c>
      <c r="BF93" s="55">
        <f>_xll.EQNXTDZ($A$1,$B93,BF$5,$B$1)</f>
        <v>2235.19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-409.88</v>
      </c>
      <c r="E94" s="55">
        <f>_xll.EQNXTDZ($A$1,$B94,E$5,$B$1)</f>
        <v>0</v>
      </c>
      <c r="F94" s="55">
        <f>_xll.EQNXTDZ($A$1,$B94,F$5,$B$1)</f>
        <v>-328.08</v>
      </c>
      <c r="G94" s="55">
        <f>_xll.EQNXTDZ($A$1,$B94,G$5,$B$1)</f>
        <v>0</v>
      </c>
      <c r="H94" s="55">
        <f>_xll.EQNXTDZ($A$1,$B94,H$5,$B$1)</f>
        <v>-484.09</v>
      </c>
      <c r="I94" s="55">
        <f>_xll.EQNXTDZ($A$1,$B94,I$5,$B$1)</f>
        <v>0</v>
      </c>
      <c r="J94" s="55">
        <f>_xll.EQNXTDZ($A$1,$B94,J$5,$B$1)</f>
        <v>-1337.22</v>
      </c>
      <c r="K94" s="55">
        <f>_xll.EQNXTDZ($A$1,$B94,K$5,$B$1)</f>
        <v>0</v>
      </c>
      <c r="L94" s="55">
        <f>_xll.EQNXTDZ($A$1,$B94,L$5,$B$1)</f>
        <v>182.17</v>
      </c>
      <c r="M94" s="55">
        <f>_xll.EQNXTDZ($A$1,$B94,M$5,$B$1)</f>
        <v>0</v>
      </c>
      <c r="N94" s="55">
        <f>_xll.EQNXTDZ($A$1,$B94,N$5,$B$1)</f>
        <v>290.23</v>
      </c>
      <c r="O94" s="55">
        <f>_xll.EQNXTDZ($A$1,$B94,O$5,$B$1)</f>
        <v>0</v>
      </c>
      <c r="P94" s="55">
        <f>_xll.EQNXTDZ($A$1,$B94,P$5,$B$1)</f>
        <v>189.64</v>
      </c>
      <c r="Q94" s="55">
        <f>_xll.EQNXTDZ($A$1,$B94,Q$5,$B$1)</f>
        <v>0</v>
      </c>
      <c r="R94" s="55">
        <f>_xll.EQNXTDZ($A$1,$B94,R$5,$B$1)</f>
        <v>-1471.39</v>
      </c>
      <c r="S94" s="55">
        <f>_xll.EQNXTDZ($A$1,$B94,S$5,$B$1)</f>
        <v>0</v>
      </c>
      <c r="T94" s="55">
        <f>_xll.EQNXTDZ($A$1,$B94,T$5,$B$1)</f>
        <v>-408.95</v>
      </c>
      <c r="U94" s="55">
        <f>_xll.EQNXTDZ($A$1,$B94,U$5,$B$1)</f>
        <v>0</v>
      </c>
      <c r="V94" s="55">
        <f>_xll.EQNXTDZ($A$1,$B94,V$5,$B$1)</f>
        <v>-912.93</v>
      </c>
      <c r="W94" s="55">
        <f>_xll.EQNXTDZ($A$1,$B94,W$5,$B$1)</f>
        <v>0</v>
      </c>
      <c r="X94" s="55">
        <f>_xll.EQNXTDZ($A$1,$B94,X$5,$B$1)</f>
        <v>-1213.9100000000001</v>
      </c>
      <c r="Y94" s="55">
        <f>_xll.EQNXTDZ($A$1,$B94,Y$5,$B$1)</f>
        <v>0</v>
      </c>
      <c r="Z94" s="55">
        <f>_xll.EQNXTDZ($A$1,$B94,Z$5,$B$1)</f>
        <v>-173.91</v>
      </c>
      <c r="AA94" s="55">
        <f>_xll.EQNXTDZ($A$1,$B94,AA$5,$B$1)</f>
        <v>0</v>
      </c>
      <c r="AB94" s="55">
        <f>_xll.EQNXTDZ($A$1,$B94,AB$5,$B$1)</f>
        <v>-351.74</v>
      </c>
      <c r="AC94" s="55">
        <f>_xll.EQNXTDZ($A$1,$B94,AC$5,$B$1)</f>
        <v>0</v>
      </c>
      <c r="AD94" s="55">
        <f>_xll.EQNXTDZ($A$1,$B94,AD$5,$B$1)</f>
        <v>-930.68</v>
      </c>
      <c r="AE94" s="55">
        <f>_xll.EQNXTDZ($A$1,$B94,AE$5,$B$1)</f>
        <v>0</v>
      </c>
      <c r="AF94" s="55">
        <f>_xll.EQNXTDZ($A$1,$B94,AF$5,$B$1)</f>
        <v>-1340.92</v>
      </c>
      <c r="AG94" s="55">
        <f>_xll.EQNXTDZ($A$1,$B94,AG$5,$B$1)</f>
        <v>0</v>
      </c>
      <c r="AH94" s="55">
        <f>_xll.EQNXTDZ($A$1,$B94,AH$5,$B$1)</f>
        <v>-463.51</v>
      </c>
      <c r="AI94" s="55">
        <f>_xll.EQNXTDZ($A$1,$B94,AI$5,$B$1)</f>
        <v>0</v>
      </c>
      <c r="AJ94" s="55">
        <f>_xll.EQNXTDZ($A$1,$B94,AJ$5,$B$1)</f>
        <v>-1094.95</v>
      </c>
      <c r="AK94" s="55">
        <f>_xll.EQNXTDZ($A$1,$B94,AK$5,$B$1)</f>
        <v>0</v>
      </c>
      <c r="AL94" s="55">
        <f>_xll.EQNXTDZ($A$1,$B94,AL$5,$B$1)</f>
        <v>-1794.18</v>
      </c>
      <c r="AM94" s="55">
        <f>_xll.EQNXTDZ($A$1,$B94,AM$5,$B$1)</f>
        <v>0</v>
      </c>
      <c r="AN94" s="55">
        <f>_xll.EQNXTDZ($A$1,$B94,AN$5,$B$1)</f>
        <v>-1473.27</v>
      </c>
      <c r="AO94" s="55">
        <f>_xll.EQNXTDZ($A$1,$B94,AO$5,$B$1)</f>
        <v>0</v>
      </c>
      <c r="AP94" s="55">
        <f>_xll.EQNXTDZ($A$1,$B94,AP$5,$B$1)</f>
        <v>709.31</v>
      </c>
      <c r="AQ94" s="55">
        <f>_xll.EQNXTDZ($A$1,$B94,AQ$5,$B$1)</f>
        <v>0</v>
      </c>
      <c r="AR94" s="55">
        <f>_xll.EQNXTDZ($A$1,$B94,AR$5,$B$1)</f>
        <v>-114.33</v>
      </c>
      <c r="AS94" s="55">
        <f>_xll.EQNXTDZ($A$1,$B94,AS$5,$B$1)</f>
        <v>0</v>
      </c>
      <c r="AT94" s="55">
        <f>_xll.EQNXTDZ($A$1,$B94,AT$5,$B$1)</f>
        <v>470.5</v>
      </c>
      <c r="AU94" s="55">
        <f>_xll.EQNXTDZ($A$1,$B94,AU$5,$B$1)</f>
        <v>0</v>
      </c>
      <c r="AV94" s="55">
        <f>_xll.EQNXTDZ($A$1,$B94,AV$5,$B$1)</f>
        <v>385.75</v>
      </c>
      <c r="AW94" s="55">
        <f>_xll.EQNXTDZ($A$1,$B94,AW$5,$B$1)</f>
        <v>0</v>
      </c>
      <c r="AX94" s="55">
        <f>_xll.EQNXTDZ($A$1,$B94,AX$5,$B$1)</f>
        <v>1070.1300000000001</v>
      </c>
      <c r="AY94" s="55">
        <f>_xll.EQNXTDZ($A$1,$B94,AY$5,$B$1)</f>
        <v>0</v>
      </c>
      <c r="AZ94" s="55">
        <f>_xll.EQNXTDZ($A$1,$B94,AZ$5,$B$1)</f>
        <v>1489.13</v>
      </c>
      <c r="BA94" s="55">
        <f>_xll.EQNXTDZ($A$1,$B94,BA$5,$B$1)</f>
        <v>0</v>
      </c>
      <c r="BB94" s="55">
        <f>_xll.EQNXTDZ($A$1,$B94,BB$5,$B$1)</f>
        <v>2173.79</v>
      </c>
      <c r="BC94" s="55">
        <f>_xll.EQNXTDZ($A$1,$B94,BC$5,$B$1)</f>
        <v>0</v>
      </c>
      <c r="BD94" s="55">
        <f>_xll.EQNXTDZ($A$1,$B94,BD$5,$B$1)</f>
        <v>2152.08</v>
      </c>
      <c r="BE94" s="55">
        <f>_xll.EQNXTDZ($A$1,$B94,BE$5,$B$1)</f>
        <v>0</v>
      </c>
      <c r="BF94" s="55">
        <f>_xll.EQNXTDZ($A$1,$B94,BF$5,$B$1)</f>
        <v>3341.35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-78.2</v>
      </c>
      <c r="E96" s="55">
        <f>_xll.EQNXTDZ($A$1,$B96,E$5,$B$1)</f>
        <v>0</v>
      </c>
      <c r="F96" s="55">
        <f>_xll.EQNXTDZ($A$1,$B96,F$5,$B$1)</f>
        <v>-124.33</v>
      </c>
      <c r="G96" s="55">
        <f>_xll.EQNXTDZ($A$1,$B96,G$5,$B$1)</f>
        <v>0</v>
      </c>
      <c r="H96" s="55">
        <f>_xll.EQNXTDZ($A$1,$B96,H$5,$B$1)</f>
        <v>-104.9</v>
      </c>
      <c r="I96" s="55">
        <f>_xll.EQNXTDZ($A$1,$B96,I$5,$B$1)</f>
        <v>0</v>
      </c>
      <c r="J96" s="55">
        <f>_xll.EQNXTDZ($A$1,$B96,J$5,$B$1)</f>
        <v>-161.49</v>
      </c>
      <c r="K96" s="55">
        <f>_xll.EQNXTDZ($A$1,$B96,K$5,$B$1)</f>
        <v>0</v>
      </c>
      <c r="L96" s="55">
        <f>_xll.EQNXTDZ($A$1,$B96,L$5,$B$1)</f>
        <v>-113.65</v>
      </c>
      <c r="M96" s="55">
        <f>_xll.EQNXTDZ($A$1,$B96,M$5,$B$1)</f>
        <v>0</v>
      </c>
      <c r="N96" s="55">
        <f>_xll.EQNXTDZ($A$1,$B96,N$5,$B$1)</f>
        <v>-248.54</v>
      </c>
      <c r="O96" s="55">
        <f>_xll.EQNXTDZ($A$1,$B96,O$5,$B$1)</f>
        <v>0</v>
      </c>
      <c r="P96" s="55">
        <f>_xll.EQNXTDZ($A$1,$B96,P$5,$B$1)</f>
        <v>-202.42</v>
      </c>
      <c r="Q96" s="55">
        <f>_xll.EQNXTDZ($A$1,$B96,Q$5,$B$1)</f>
        <v>0</v>
      </c>
      <c r="R96" s="55">
        <f>_xll.EQNXTDZ($A$1,$B96,R$5,$B$1)</f>
        <v>-238.22</v>
      </c>
      <c r="S96" s="55">
        <f>_xll.EQNXTDZ($A$1,$B96,S$5,$B$1)</f>
        <v>0</v>
      </c>
      <c r="T96" s="55">
        <f>_xll.EQNXTDZ($A$1,$B96,T$5,$B$1)</f>
        <v>-230.42</v>
      </c>
      <c r="U96" s="55">
        <f>_xll.EQNXTDZ($A$1,$B96,U$5,$B$1)</f>
        <v>0</v>
      </c>
      <c r="V96" s="55">
        <f>_xll.EQNXTDZ($A$1,$B96,V$5,$B$1)</f>
        <v>-317.25</v>
      </c>
      <c r="W96" s="55">
        <f>_xll.EQNXTDZ($A$1,$B96,W$5,$B$1)</f>
        <v>0</v>
      </c>
      <c r="X96" s="55">
        <f>_xll.EQNXTDZ($A$1,$B96,X$5,$B$1)</f>
        <v>-276.79000000000002</v>
      </c>
      <c r="Y96" s="55">
        <f>_xll.EQNXTDZ($A$1,$B96,Y$5,$B$1)</f>
        <v>0</v>
      </c>
      <c r="Z96" s="55">
        <f>_xll.EQNXTDZ($A$1,$B96,Z$5,$B$1)</f>
        <v>-296.16000000000003</v>
      </c>
      <c r="AA96" s="55">
        <f>_xll.EQNXTDZ($A$1,$B96,AA$5,$B$1)</f>
        <v>0</v>
      </c>
      <c r="AB96" s="55">
        <f>_xll.EQNXTDZ($A$1,$B96,AB$5,$B$1)</f>
        <v>-248.92</v>
      </c>
      <c r="AC96" s="55">
        <f>_xll.EQNXTDZ($A$1,$B96,AC$5,$B$1)</f>
        <v>0</v>
      </c>
      <c r="AD96" s="55">
        <f>_xll.EQNXTDZ($A$1,$B96,AD$5,$B$1)</f>
        <v>-307.33</v>
      </c>
      <c r="AE96" s="55">
        <f>_xll.EQNXTDZ($A$1,$B96,AE$5,$B$1)</f>
        <v>0</v>
      </c>
      <c r="AF96" s="55">
        <f>_xll.EQNXTDZ($A$1,$B96,AF$5,$B$1)</f>
        <v>-151.91999999999999</v>
      </c>
      <c r="AG96" s="55">
        <f>_xll.EQNXTDZ($A$1,$B96,AG$5,$B$1)</f>
        <v>0</v>
      </c>
      <c r="AH96" s="55">
        <f>_xll.EQNXTDZ($A$1,$B96,AH$5,$B$1)</f>
        <v>-110.35</v>
      </c>
      <c r="AI96" s="55">
        <f>_xll.EQNXTDZ($A$1,$B96,AI$5,$B$1)</f>
        <v>0</v>
      </c>
      <c r="AJ96" s="55">
        <f>_xll.EQNXTDZ($A$1,$B96,AJ$5,$B$1)</f>
        <v>-1.52</v>
      </c>
      <c r="AK96" s="55">
        <f>_xll.EQNXTDZ($A$1,$B96,AK$5,$B$1)</f>
        <v>0</v>
      </c>
      <c r="AL96" s="55">
        <f>_xll.EQNXTDZ($A$1,$B96,AL$5,$B$1)</f>
        <v>39.93</v>
      </c>
      <c r="AM96" s="55">
        <f>_xll.EQNXTDZ($A$1,$B96,AM$5,$B$1)</f>
        <v>0</v>
      </c>
      <c r="AN96" s="55">
        <f>_xll.EQNXTDZ($A$1,$B96,AN$5,$B$1)</f>
        <v>93.62</v>
      </c>
      <c r="AO96" s="55">
        <f>_xll.EQNXTDZ($A$1,$B96,AO$5,$B$1)</f>
        <v>0</v>
      </c>
      <c r="AP96" s="55">
        <f>_xll.EQNXTDZ($A$1,$B96,AP$5,$B$1)</f>
        <v>70.42</v>
      </c>
      <c r="AQ96" s="55">
        <f>_xll.EQNXTDZ($A$1,$B96,AQ$5,$B$1)</f>
        <v>0</v>
      </c>
      <c r="AR96" s="55">
        <f>_xll.EQNXTDZ($A$1,$B96,AR$5,$B$1)</f>
        <v>20.3</v>
      </c>
      <c r="AS96" s="55">
        <f>_xll.EQNXTDZ($A$1,$B96,AS$5,$B$1)</f>
        <v>0</v>
      </c>
      <c r="AT96" s="55">
        <f>_xll.EQNXTDZ($A$1,$B96,AT$5,$B$1)</f>
        <v>1.47</v>
      </c>
      <c r="AU96" s="55">
        <f>_xll.EQNXTDZ($A$1,$B96,AU$5,$B$1)</f>
        <v>0</v>
      </c>
      <c r="AV96" s="55">
        <f>_xll.EQNXTDZ($A$1,$B96,AV$5,$B$1)</f>
        <v>-15.26</v>
      </c>
      <c r="AW96" s="55">
        <f>_xll.EQNXTDZ($A$1,$B96,AW$5,$B$1)</f>
        <v>0</v>
      </c>
      <c r="AX96" s="55">
        <f>_xll.EQNXTDZ($A$1,$B96,AX$5,$B$1)</f>
        <v>-21.3</v>
      </c>
      <c r="AY96" s="55">
        <f>_xll.EQNXTDZ($A$1,$B96,AY$5,$B$1)</f>
        <v>0</v>
      </c>
      <c r="AZ96" s="55">
        <f>_xll.EQNXTDZ($A$1,$B96,AZ$5,$B$1)</f>
        <v>-62.67</v>
      </c>
      <c r="BA96" s="55">
        <f>_xll.EQNXTDZ($A$1,$B96,BA$5,$B$1)</f>
        <v>0</v>
      </c>
      <c r="BB96" s="55">
        <f>_xll.EQNXTDZ($A$1,$B96,BB$5,$B$1)</f>
        <v>-59.53</v>
      </c>
      <c r="BC96" s="55">
        <f>_xll.EQNXTDZ($A$1,$B96,BC$5,$B$1)</f>
        <v>0</v>
      </c>
      <c r="BD96" s="55">
        <f>_xll.EQNXTDZ($A$1,$B96,BD$5,$B$1)</f>
        <v>-96.75</v>
      </c>
      <c r="BE96" s="55">
        <f>_xll.EQNXTDZ($A$1,$B96,BE$5,$B$1)</f>
        <v>0</v>
      </c>
      <c r="BF96" s="55">
        <f>_xll.EQNXTDZ($A$1,$B96,BF$5,$B$1)</f>
        <v>-84.38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6712.97</v>
      </c>
      <c r="E97" s="55">
        <f>_xll.EQNXTDZ($A$1,$B97,E$5,$B$1)</f>
        <v>0</v>
      </c>
      <c r="F97" s="55">
        <f>_xll.EQNXTDZ($A$1,$B97,F$5,$B$1)</f>
        <v>7890.38</v>
      </c>
      <c r="G97" s="55">
        <f>_xll.EQNXTDZ($A$1,$B97,G$5,$B$1)</f>
        <v>0</v>
      </c>
      <c r="H97" s="55">
        <f>_xll.EQNXTDZ($A$1,$B97,H$5,$B$1)</f>
        <v>6312.28</v>
      </c>
      <c r="I97" s="55">
        <f>_xll.EQNXTDZ($A$1,$B97,I$5,$B$1)</f>
        <v>0</v>
      </c>
      <c r="J97" s="55">
        <f>_xll.EQNXTDZ($A$1,$B97,J$5,$B$1)</f>
        <v>7078.39</v>
      </c>
      <c r="K97" s="55">
        <f>_xll.EQNXTDZ($A$1,$B97,K$5,$B$1)</f>
        <v>0</v>
      </c>
      <c r="L97" s="55">
        <f>_xll.EQNXTDZ($A$1,$B97,L$5,$B$1)</f>
        <v>6529.83</v>
      </c>
      <c r="M97" s="55">
        <f>_xll.EQNXTDZ($A$1,$B97,M$5,$B$1)</f>
        <v>0</v>
      </c>
      <c r="N97" s="55">
        <f>_xll.EQNXTDZ($A$1,$B97,N$5,$B$1)</f>
        <v>8203.08</v>
      </c>
      <c r="O97" s="55">
        <f>_xll.EQNXTDZ($A$1,$B97,O$5,$B$1)</f>
        <v>0</v>
      </c>
      <c r="P97" s="55">
        <f>_xll.EQNXTDZ($A$1,$B97,P$5,$B$1)</f>
        <v>6257.09</v>
      </c>
      <c r="Q97" s="55">
        <f>_xll.EQNXTDZ($A$1,$B97,Q$5,$B$1)</f>
        <v>0</v>
      </c>
      <c r="R97" s="55">
        <f>_xll.EQNXTDZ($A$1,$B97,R$5,$B$1)</f>
        <v>7143.29</v>
      </c>
      <c r="S97" s="55">
        <f>_xll.EQNXTDZ($A$1,$B97,S$5,$B$1)</f>
        <v>0</v>
      </c>
      <c r="T97" s="55">
        <f>_xll.EQNXTDZ($A$1,$B97,T$5,$B$1)</f>
        <v>4337.12</v>
      </c>
      <c r="U97" s="55">
        <f>_xll.EQNXTDZ($A$1,$B97,U$5,$B$1)</f>
        <v>0</v>
      </c>
      <c r="V97" s="55">
        <f>_xll.EQNXTDZ($A$1,$B97,V$5,$B$1)</f>
        <v>6477.76</v>
      </c>
      <c r="W97" s="55">
        <f>_xll.EQNXTDZ($A$1,$B97,W$5,$B$1)</f>
        <v>0</v>
      </c>
      <c r="X97" s="55">
        <f>_xll.EQNXTDZ($A$1,$B97,X$5,$B$1)</f>
        <v>6436.05</v>
      </c>
      <c r="Y97" s="55">
        <f>_xll.EQNXTDZ($A$1,$B97,Y$5,$B$1)</f>
        <v>0</v>
      </c>
      <c r="Z97" s="55">
        <f>_xll.EQNXTDZ($A$1,$B97,Z$5,$B$1)</f>
        <v>7624.8</v>
      </c>
      <c r="AA97" s="55">
        <f>_xll.EQNXTDZ($A$1,$B97,AA$5,$B$1)</f>
        <v>0</v>
      </c>
      <c r="AB97" s="55">
        <f>_xll.EQNXTDZ($A$1,$B97,AB$5,$B$1)</f>
        <v>7765.73</v>
      </c>
      <c r="AC97" s="55">
        <f>_xll.EQNXTDZ($A$1,$B97,AC$5,$B$1)</f>
        <v>0</v>
      </c>
      <c r="AD97" s="55">
        <f>_xll.EQNXTDZ($A$1,$B97,AD$5,$B$1)</f>
        <v>7117.53</v>
      </c>
      <c r="AE97" s="55">
        <f>_xll.EQNXTDZ($A$1,$B97,AE$5,$B$1)</f>
        <v>0</v>
      </c>
      <c r="AF97" s="55">
        <f>_xll.EQNXTDZ($A$1,$B97,AF$5,$B$1)</f>
        <v>8442.34</v>
      </c>
      <c r="AG97" s="55">
        <f>_xll.EQNXTDZ($A$1,$B97,AG$5,$B$1)</f>
        <v>0</v>
      </c>
      <c r="AH97" s="55">
        <f>_xll.EQNXTDZ($A$1,$B97,AH$5,$B$1)</f>
        <v>9430.59</v>
      </c>
      <c r="AI97" s="55">
        <f>_xll.EQNXTDZ($A$1,$B97,AI$5,$B$1)</f>
        <v>0</v>
      </c>
      <c r="AJ97" s="55">
        <f>_xll.EQNXTDZ($A$1,$B97,AJ$5,$B$1)</f>
        <v>9054.89</v>
      </c>
      <c r="AK97" s="55">
        <f>_xll.EQNXTDZ($A$1,$B97,AK$5,$B$1)</f>
        <v>0</v>
      </c>
      <c r="AL97" s="55">
        <f>_xll.EQNXTDZ($A$1,$B97,AL$5,$B$1)</f>
        <v>8486.6</v>
      </c>
      <c r="AM97" s="55">
        <f>_xll.EQNXTDZ($A$1,$B97,AM$5,$B$1)</f>
        <v>0</v>
      </c>
      <c r="AN97" s="55">
        <f>_xll.EQNXTDZ($A$1,$B97,AN$5,$B$1)</f>
        <v>8816.11</v>
      </c>
      <c r="AO97" s="55">
        <f>_xll.EQNXTDZ($A$1,$B97,AO$5,$B$1)</f>
        <v>0</v>
      </c>
      <c r="AP97" s="55">
        <f>_xll.EQNXTDZ($A$1,$B97,AP$5,$B$1)</f>
        <v>11038.3</v>
      </c>
      <c r="AQ97" s="55">
        <f>_xll.EQNXTDZ($A$1,$B97,AQ$5,$B$1)</f>
        <v>0</v>
      </c>
      <c r="AR97" s="55">
        <f>_xll.EQNXTDZ($A$1,$B97,AR$5,$B$1)</f>
        <v>10176.66</v>
      </c>
      <c r="AS97" s="55">
        <f>_xll.EQNXTDZ($A$1,$B97,AS$5,$B$1)</f>
        <v>0</v>
      </c>
      <c r="AT97" s="55">
        <f>_xll.EQNXTDZ($A$1,$B97,AT$5,$B$1)</f>
        <v>11392.89</v>
      </c>
      <c r="AU97" s="55">
        <f>_xll.EQNXTDZ($A$1,$B97,AU$5,$B$1)</f>
        <v>0</v>
      </c>
      <c r="AV97" s="55">
        <f>_xll.EQNXTDZ($A$1,$B97,AV$5,$B$1)</f>
        <v>11539.87</v>
      </c>
      <c r="AW97" s="55">
        <f>_xll.EQNXTDZ($A$1,$B97,AW$5,$B$1)</f>
        <v>0</v>
      </c>
      <c r="AX97" s="55">
        <f>_xll.EQNXTDZ($A$1,$B97,AX$5,$B$1)</f>
        <v>12713.86</v>
      </c>
      <c r="AY97" s="55">
        <f>_xll.EQNXTDZ($A$1,$B97,AY$5,$B$1)</f>
        <v>0</v>
      </c>
      <c r="AZ97" s="55">
        <f>_xll.EQNXTDZ($A$1,$B97,AZ$5,$B$1)</f>
        <v>14304.13</v>
      </c>
      <c r="BA97" s="55">
        <f>_xll.EQNXTDZ($A$1,$B97,BA$5,$B$1)</f>
        <v>0</v>
      </c>
      <c r="BB97" s="55">
        <f>_xll.EQNXTDZ($A$1,$B97,BB$5,$B$1)</f>
        <v>15560.3</v>
      </c>
      <c r="BC97" s="55">
        <f>_xll.EQNXTDZ($A$1,$B97,BC$5,$B$1)</f>
        <v>0</v>
      </c>
      <c r="BD97" s="55">
        <f>_xll.EQNXTDZ($A$1,$B97,BD$5,$B$1)</f>
        <v>16121.52</v>
      </c>
      <c r="BE97" s="55">
        <f>_xll.EQNXTDZ($A$1,$B97,BE$5,$B$1)</f>
        <v>0</v>
      </c>
      <c r="BF97" s="55">
        <f>_xll.EQNXTDZ($A$1,$B97,BF$5,$B$1)</f>
        <v>17901.150000000001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O63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100850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The Indian Hotels Company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687.5</v>
      </c>
      <c r="D6" s="100">
        <f>_xll.EQNXTDZ($A$1,$B6,D$1,$B$1)</f>
        <v>792.22</v>
      </c>
      <c r="E6" s="100">
        <f>_xll.EQNXTDZ($A$1,$B6,E$1,$B$1)</f>
        <v>866.61</v>
      </c>
      <c r="F6" s="100">
        <f>_xll.EQNXTDZ($A$1,$B6,F$1,$B$1)</f>
        <v>1002.34</v>
      </c>
      <c r="G6" s="100">
        <f>_xll.EQNXTDZ($A$1,$B6,G$1,$B$1)</f>
        <v>1313.53</v>
      </c>
      <c r="H6" s="100">
        <f>_xll.EQNXTDZ($A$1,$B6,H$1,$B$1)</f>
        <v>1837.31</v>
      </c>
      <c r="I6" s="100">
        <f>_xll.EQNXTDZ($A$1,$B6,I$1,$B$1)</f>
        <v>2506.25</v>
      </c>
      <c r="J6" s="100">
        <f>_xll.EQNXTDZ($A$1,$B6,J$1,$B$1)</f>
        <v>2920.03</v>
      </c>
      <c r="K6" s="100">
        <f>_xll.EQNXTDZ($A$1,$B6,K$1,$B$1)</f>
        <v>2686.13</v>
      </c>
      <c r="L6" s="100">
        <f>_xll.EQNXTDZ($A$1,$B6,L$1,$B$1)</f>
        <v>2521.02</v>
      </c>
      <c r="M6" s="100">
        <f>_xll.EQNXTDZ($A$1,$B6,M$1,$B$1)</f>
        <v>2862.47</v>
      </c>
      <c r="N6" s="100">
        <f>_xll.EQNXTDZ($A$1,$B6,N$1,$B$1)</f>
        <v>3443.52</v>
      </c>
      <c r="O6" s="100">
        <f>_xll.EQNXTDZ($A$1,$B6,O$1,$B$1)</f>
        <v>3743.36</v>
      </c>
      <c r="P6" s="100">
        <f>_xll.EQNXTDZ($A$1,$B6,P$1,$B$1)</f>
        <v>4066.19</v>
      </c>
      <c r="Q6" s="100">
        <f>_xll.EQNXTDZ($A$1,$B6,Q$1,$B$1)</f>
        <v>4188.6400000000003</v>
      </c>
      <c r="R6" s="100">
        <f>_xll.EQNXTDZ($A$1,$B6,R$1,$B$1)</f>
        <v>4023.02</v>
      </c>
      <c r="S6" s="100">
        <f>_xll.EQNXTDZ($A$1,$B6,S$1,$B$1)</f>
        <v>4020.57</v>
      </c>
      <c r="T6" s="100">
        <f>_xll.EQNXTDZ($A$1,$B6,T$1,$B$1)</f>
        <v>4103.55</v>
      </c>
      <c r="U6" s="100">
        <f>_xll.EQNXTDZ($A$1,$B6,U$1,$B$1)</f>
        <v>4512</v>
      </c>
      <c r="V6" s="100">
        <f>_xll.EQNXTDZ($A$1,$B6,V$1,$B$1)</f>
        <v>4463.1400000000003</v>
      </c>
      <c r="W6" s="100">
        <f>_xll.EQNXTDZ($A$1,$B6,W$1,$B$1)</f>
        <v>1575.16</v>
      </c>
      <c r="X6" s="100">
        <f>_xll.EQNXTDZ($A$1,$B6,X$1,$B$1)</f>
        <v>3056.22</v>
      </c>
      <c r="Y6" s="100">
        <f>_xll.EQNXTDZ($A$1,$B6,Y$1,$B$1)</f>
        <v>5809.91</v>
      </c>
      <c r="Z6" s="100">
        <f>_xll.EQNXTDZ($A$1,$B6,Z$1,$B$1)</f>
        <v>6768.75</v>
      </c>
      <c r="AA6" s="100">
        <f>_xll.EQNXTDZ($A$1,$B6,AA$1,$B$1)</f>
        <v>8334.5400000000009</v>
      </c>
      <c r="AB6" s="100">
        <f>_xll.EQNXTDZ($A$1,$B6,AB$1,$B$1)</f>
        <v>9689.2199999999993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687.5</v>
      </c>
      <c r="D10" s="100">
        <f>_xll.EQNXTDZ($A$1,$B10,D$1,$B$1)</f>
        <v>792.22</v>
      </c>
      <c r="E10" s="100">
        <f>_xll.EQNXTDZ($A$1,$B10,E$1,$B$1)</f>
        <v>866.61</v>
      </c>
      <c r="F10" s="100">
        <f>_xll.EQNXTDZ($A$1,$B10,F$1,$B$1)</f>
        <v>1002.34</v>
      </c>
      <c r="G10" s="100">
        <f>_xll.EQNXTDZ($A$1,$B10,G$1,$B$1)</f>
        <v>1313.53</v>
      </c>
      <c r="H10" s="100">
        <f>_xll.EQNXTDZ($A$1,$B10,H$1,$B$1)</f>
        <v>1837.31</v>
      </c>
      <c r="I10" s="100">
        <f>_xll.EQNXTDZ($A$1,$B10,I$1,$B$1)</f>
        <v>2506.25</v>
      </c>
      <c r="J10" s="100">
        <f>_xll.EQNXTDZ($A$1,$B10,J$1,$B$1)</f>
        <v>2920.03</v>
      </c>
      <c r="K10" s="100">
        <f>_xll.EQNXTDZ($A$1,$B10,K$1,$B$1)</f>
        <v>2686.13</v>
      </c>
      <c r="L10" s="100">
        <f>_xll.EQNXTDZ($A$1,$B10,L$1,$B$1)</f>
        <v>2521.02</v>
      </c>
      <c r="M10" s="100">
        <f>_xll.EQNXTDZ($A$1,$B10,M$1,$B$1)</f>
        <v>2862.47</v>
      </c>
      <c r="N10" s="100">
        <f>_xll.EQNXTDZ($A$1,$B10,N$1,$B$1)</f>
        <v>3443.52</v>
      </c>
      <c r="O10" s="100">
        <f>_xll.EQNXTDZ($A$1,$B10,O$1,$B$1)</f>
        <v>3743.36</v>
      </c>
      <c r="P10" s="100">
        <f>_xll.EQNXTDZ($A$1,$B10,P$1,$B$1)</f>
        <v>4066.19</v>
      </c>
      <c r="Q10" s="100">
        <f>_xll.EQNXTDZ($A$1,$B10,Q$1,$B$1)</f>
        <v>4188.6400000000003</v>
      </c>
      <c r="R10" s="100">
        <f>_xll.EQNXTDZ($A$1,$B10,R$1,$B$1)</f>
        <v>4023.02</v>
      </c>
      <c r="S10" s="100">
        <f>_xll.EQNXTDZ($A$1,$B10,S$1,$B$1)</f>
        <v>4020.57</v>
      </c>
      <c r="T10" s="100">
        <f>_xll.EQNXTDZ($A$1,$B10,T$1,$B$1)</f>
        <v>4103.55</v>
      </c>
      <c r="U10" s="100">
        <f>_xll.EQNXTDZ($A$1,$B10,U$1,$B$1)</f>
        <v>4512</v>
      </c>
      <c r="V10" s="100">
        <f>_xll.EQNXTDZ($A$1,$B10,V$1,$B$1)</f>
        <v>4463.1400000000003</v>
      </c>
      <c r="W10" s="100">
        <f>_xll.EQNXTDZ($A$1,$B10,W$1,$B$1)</f>
        <v>1575.16</v>
      </c>
      <c r="X10" s="100">
        <f>_xll.EQNXTDZ($A$1,$B10,X$1,$B$1)</f>
        <v>3056.22</v>
      </c>
      <c r="Y10" s="100">
        <f>_xll.EQNXTDZ($A$1,$B10,Y$1,$B$1)</f>
        <v>5809.91</v>
      </c>
      <c r="Z10" s="100">
        <f>_xll.EQNXTDZ($A$1,$B10,Z$1,$B$1)</f>
        <v>6768.75</v>
      </c>
      <c r="AA10" s="100">
        <f>_xll.EQNXTDZ($A$1,$B10,AA$1,$B$1)</f>
        <v>8334.5400000000009</v>
      </c>
      <c r="AB10" s="100">
        <f>_xll.EQNXTDZ($A$1,$B10,AB$1,$B$1)</f>
        <v>9689.2199999999993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83</v>
      </c>
      <c r="D12" s="100">
        <f>_xll.EQNXTDZ($A$1,$B12,D$1,$B$1)</f>
        <v>91.47</v>
      </c>
      <c r="E12" s="100">
        <f>_xll.EQNXTDZ($A$1,$B12,E$1,$B$1)</f>
        <v>97.81</v>
      </c>
      <c r="F12" s="100">
        <f>_xll.EQNXTDZ($A$1,$B12,F$1,$B$1)</f>
        <v>105.6</v>
      </c>
      <c r="G12" s="100">
        <f>_xll.EQNXTDZ($A$1,$B12,G$1,$B$1)</f>
        <v>140.43</v>
      </c>
      <c r="H12" s="100">
        <f>_xll.EQNXTDZ($A$1,$B12,H$1,$B$1)</f>
        <v>184.19</v>
      </c>
      <c r="I12" s="100">
        <f>_xll.EQNXTDZ($A$1,$B12,I$1,$B$1)</f>
        <v>253.76</v>
      </c>
      <c r="J12" s="100">
        <f>_xll.EQNXTDZ($A$1,$B12,J$1,$B$1)</f>
        <v>278.19</v>
      </c>
      <c r="K12" s="100">
        <f>_xll.EQNXTDZ($A$1,$B12,K$1,$B$1)</f>
        <v>277.22000000000003</v>
      </c>
      <c r="L12" s="100">
        <f>_xll.EQNXTDZ($A$1,$B12,L$1,$B$1)</f>
        <v>254.69</v>
      </c>
      <c r="M12" s="100">
        <f>_xll.EQNXTDZ($A$1,$B12,M$1,$B$1)</f>
        <v>296.52</v>
      </c>
      <c r="N12" s="100">
        <f>_xll.EQNXTDZ($A$1,$B12,N$1,$B$1)</f>
        <v>362.57</v>
      </c>
      <c r="O12" s="100">
        <f>_xll.EQNXTDZ($A$1,$B12,O$1,$B$1)</f>
        <v>381.55</v>
      </c>
      <c r="P12" s="100">
        <f>_xll.EQNXTDZ($A$1,$B12,P$1,$B$1)</f>
        <v>427.07</v>
      </c>
      <c r="Q12" s="100">
        <f>_xll.EQNXTDZ($A$1,$B12,Q$1,$B$1)</f>
        <v>443.09</v>
      </c>
      <c r="R12" s="100">
        <f>_xll.EQNXTDZ($A$1,$B12,R$1,$B$1)</f>
        <v>366.93</v>
      </c>
      <c r="S12" s="100">
        <f>_xll.EQNXTDZ($A$1,$B12,S$1,$B$1)</f>
        <v>363.95</v>
      </c>
      <c r="T12" s="100">
        <f>_xll.EQNXTDZ($A$1,$B12,T$1,$B$1)</f>
        <v>376.44</v>
      </c>
      <c r="U12" s="100">
        <f>_xll.EQNXTDZ($A$1,$B12,U$1,$B$1)</f>
        <v>404.05</v>
      </c>
      <c r="V12" s="100">
        <f>_xll.EQNXTDZ($A$1,$B12,V$1,$B$1)</f>
        <v>370.56</v>
      </c>
      <c r="W12" s="100">
        <f>_xll.EQNXTDZ($A$1,$B12,W$1,$B$1)</f>
        <v>143.82</v>
      </c>
      <c r="X12" s="100">
        <f>_xll.EQNXTDZ($A$1,$B12,X$1,$B$1)</f>
        <v>257.23</v>
      </c>
      <c r="Y12" s="100">
        <f>_xll.EQNXTDZ($A$1,$B12,Y$1,$B$1)</f>
        <v>472.89</v>
      </c>
      <c r="Z12" s="100">
        <f>_xll.EQNXTDZ($A$1,$B12,Z$1,$B$1)</f>
        <v>520.83000000000004</v>
      </c>
      <c r="AA12" s="100">
        <f>_xll.EQNXTDZ($A$1,$B12,AA$1,$B$1)</f>
        <v>773.75</v>
      </c>
      <c r="AB12" s="100">
        <f>_xll.EQNXTDZ($A$1,$B12,AB$1,$B$1)</f>
        <v>950.89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60.81</v>
      </c>
      <c r="D13" s="100">
        <f>_xll.EQNXTDZ($A$1,$B13,D$1,$B$1)</f>
        <v>65.64</v>
      </c>
      <c r="E13" s="100">
        <f>_xll.EQNXTDZ($A$1,$B13,E$1,$B$1)</f>
        <v>74.87</v>
      </c>
      <c r="F13" s="100">
        <f>_xll.EQNXTDZ($A$1,$B13,F$1,$B$1)</f>
        <v>77.66</v>
      </c>
      <c r="G13" s="100">
        <f>_xll.EQNXTDZ($A$1,$B13,G$1,$B$1)</f>
        <v>88.34</v>
      </c>
      <c r="H13" s="100">
        <f>_xll.EQNXTDZ($A$1,$B13,H$1,$B$1)</f>
        <v>105.9</v>
      </c>
      <c r="I13" s="100">
        <f>_xll.EQNXTDZ($A$1,$B13,I$1,$B$1)</f>
        <v>132.83000000000001</v>
      </c>
      <c r="J13" s="100">
        <f>_xll.EQNXTDZ($A$1,$B13,J$1,$B$1)</f>
        <v>154.68</v>
      </c>
      <c r="K13" s="100">
        <f>_xll.EQNXTDZ($A$1,$B13,K$1,$B$1)</f>
        <v>167.74</v>
      </c>
      <c r="L13" s="100">
        <f>_xll.EQNXTDZ($A$1,$B13,L$1,$B$1)</f>
        <v>172.96</v>
      </c>
      <c r="M13" s="100">
        <f>_xll.EQNXTDZ($A$1,$B13,M$1,$B$1)</f>
        <v>194.3</v>
      </c>
      <c r="N13" s="100">
        <f>_xll.EQNXTDZ($A$1,$B13,N$1,$B$1)</f>
        <v>245.68</v>
      </c>
      <c r="O13" s="100">
        <f>_xll.EQNXTDZ($A$1,$B13,O$1,$B$1)</f>
        <v>288.8</v>
      </c>
      <c r="P13" s="100">
        <f>_xll.EQNXTDZ($A$1,$B13,P$1,$B$1)</f>
        <v>311.14999999999998</v>
      </c>
      <c r="Q13" s="100">
        <f>_xll.EQNXTDZ($A$1,$B13,Q$1,$B$1)</f>
        <v>320.43</v>
      </c>
      <c r="R13" s="100">
        <f>_xll.EQNXTDZ($A$1,$B13,R$1,$B$1)</f>
        <v>275.43</v>
      </c>
      <c r="S13" s="100">
        <f>_xll.EQNXTDZ($A$1,$B13,S$1,$B$1)</f>
        <v>258.61</v>
      </c>
      <c r="T13" s="100">
        <f>_xll.EQNXTDZ($A$1,$B13,T$1,$B$1)</f>
        <v>259.11</v>
      </c>
      <c r="U13" s="100">
        <f>_xll.EQNXTDZ($A$1,$B13,U$1,$B$1)</f>
        <v>273.57</v>
      </c>
      <c r="V13" s="100">
        <f>_xll.EQNXTDZ($A$1,$B13,V$1,$B$1)</f>
        <v>269.87</v>
      </c>
      <c r="W13" s="100">
        <f>_xll.EQNXTDZ($A$1,$B13,W$1,$B$1)</f>
        <v>172.85</v>
      </c>
      <c r="X13" s="100">
        <f>_xll.EQNXTDZ($A$1,$B13,X$1,$B$1)</f>
        <v>224.79</v>
      </c>
      <c r="Y13" s="100">
        <f>_xll.EQNXTDZ($A$1,$B13,Y$1,$B$1)</f>
        <v>303.08999999999997</v>
      </c>
      <c r="Z13" s="100">
        <f>_xll.EQNXTDZ($A$1,$B13,Z$1,$B$1)</f>
        <v>308.99</v>
      </c>
      <c r="AA13" s="100">
        <f>_xll.EQNXTDZ($A$1,$B13,AA$1,$B$1)</f>
        <v>360.66</v>
      </c>
      <c r="AB13" s="100">
        <f>_xll.EQNXTDZ($A$1,$B13,AB$1,$B$1)</f>
        <v>377.1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132.22</v>
      </c>
      <c r="D14" s="100">
        <f>_xll.EQNXTDZ($A$1,$B14,D$1,$B$1)</f>
        <v>207.99</v>
      </c>
      <c r="E14" s="100">
        <f>_xll.EQNXTDZ($A$1,$B14,E$1,$B$1)</f>
        <v>225.62</v>
      </c>
      <c r="F14" s="100">
        <f>_xll.EQNXTDZ($A$1,$B14,F$1,$B$1)</f>
        <v>263.55</v>
      </c>
      <c r="G14" s="100">
        <f>_xll.EQNXTDZ($A$1,$B14,G$1,$B$1)</f>
        <v>336.14</v>
      </c>
      <c r="H14" s="100">
        <f>_xll.EQNXTDZ($A$1,$B14,H$1,$B$1)</f>
        <v>479.73</v>
      </c>
      <c r="I14" s="100">
        <f>_xll.EQNXTDZ($A$1,$B14,I$1,$B$1)</f>
        <v>647.42999999999995</v>
      </c>
      <c r="J14" s="100">
        <f>_xll.EQNXTDZ($A$1,$B14,J$1,$B$1)</f>
        <v>759.28</v>
      </c>
      <c r="K14" s="100">
        <f>_xll.EQNXTDZ($A$1,$B14,K$1,$B$1)</f>
        <v>847.94</v>
      </c>
      <c r="L14" s="100">
        <f>_xll.EQNXTDZ($A$1,$B14,L$1,$B$1)</f>
        <v>835.38</v>
      </c>
      <c r="M14" s="100">
        <f>_xll.EQNXTDZ($A$1,$B14,M$1,$B$1)</f>
        <v>962.98</v>
      </c>
      <c r="N14" s="100">
        <f>_xll.EQNXTDZ($A$1,$B14,N$1,$B$1)</f>
        <v>1148.77</v>
      </c>
      <c r="O14" s="100">
        <f>_xll.EQNXTDZ($A$1,$B14,O$1,$B$1)</f>
        <v>1271.75</v>
      </c>
      <c r="P14" s="100">
        <f>_xll.EQNXTDZ($A$1,$B14,P$1,$B$1)</f>
        <v>1372.19</v>
      </c>
      <c r="Q14" s="100">
        <f>_xll.EQNXTDZ($A$1,$B14,Q$1,$B$1)</f>
        <v>1462.46</v>
      </c>
      <c r="R14" s="100">
        <f>_xll.EQNXTDZ($A$1,$B14,R$1,$B$1)</f>
        <v>1423.26</v>
      </c>
      <c r="S14" s="100">
        <f>_xll.EQNXTDZ($A$1,$B14,S$1,$B$1)</f>
        <v>1364.65</v>
      </c>
      <c r="T14" s="100">
        <f>_xll.EQNXTDZ($A$1,$B14,T$1,$B$1)</f>
        <v>1346.62</v>
      </c>
      <c r="U14" s="100">
        <f>_xll.EQNXTDZ($A$1,$B14,U$1,$B$1)</f>
        <v>1470.79</v>
      </c>
      <c r="V14" s="100">
        <f>_xll.EQNXTDZ($A$1,$B14,V$1,$B$1)</f>
        <v>1494.6</v>
      </c>
      <c r="W14" s="100">
        <f>_xll.EQNXTDZ($A$1,$B14,W$1,$B$1)</f>
        <v>894.01</v>
      </c>
      <c r="X14" s="100">
        <f>_xll.EQNXTDZ($A$1,$B14,X$1,$B$1)</f>
        <v>1150.24</v>
      </c>
      <c r="Y14" s="100">
        <f>_xll.EQNXTDZ($A$1,$B14,Y$1,$B$1)</f>
        <v>1582.25</v>
      </c>
      <c r="Z14" s="100">
        <f>_xll.EQNXTDZ($A$1,$B14,Z$1,$B$1)</f>
        <v>1805.21</v>
      </c>
      <c r="AA14" s="100">
        <f>_xll.EQNXTDZ($A$1,$B14,AA$1,$B$1)</f>
        <v>2150.6799999999998</v>
      </c>
      <c r="AB14" s="100">
        <f>_xll.EQNXTDZ($A$1,$B14,AB$1,$B$1)</f>
        <v>2486.65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54.77</v>
      </c>
      <c r="D15" s="100">
        <f>_xll.EQNXTDZ($A$1,$B15,D$1,$B$1)</f>
        <v>71.599999999999994</v>
      </c>
      <c r="E15" s="100">
        <f>_xll.EQNXTDZ($A$1,$B15,E$1,$B$1)</f>
        <v>75.84</v>
      </c>
      <c r="F15" s="100">
        <f>_xll.EQNXTDZ($A$1,$B15,F$1,$B$1)</f>
        <v>78.349999999999994</v>
      </c>
      <c r="G15" s="100">
        <f>_xll.EQNXTDZ($A$1,$B15,G$1,$B$1)</f>
        <v>94.19</v>
      </c>
      <c r="H15" s="100">
        <f>_xll.EQNXTDZ($A$1,$B15,H$1,$B$1)</f>
        <v>172.23</v>
      </c>
      <c r="I15" s="100">
        <f>_xll.EQNXTDZ($A$1,$B15,I$1,$B$1)</f>
        <v>260.39999999999998</v>
      </c>
      <c r="J15" s="100">
        <f>_xll.EQNXTDZ($A$1,$B15,J$1,$B$1)</f>
        <v>300.58999999999997</v>
      </c>
      <c r="K15" s="100">
        <f>_xll.EQNXTDZ($A$1,$B15,K$1,$B$1)</f>
        <v>310.81</v>
      </c>
      <c r="L15" s="100">
        <f>_xll.EQNXTDZ($A$1,$B15,L$1,$B$1)</f>
        <v>275.94</v>
      </c>
      <c r="M15" s="100">
        <f>_xll.EQNXTDZ($A$1,$B15,M$1,$B$1)</f>
        <v>327.24</v>
      </c>
      <c r="N15" s="100">
        <f>_xll.EQNXTDZ($A$1,$B15,N$1,$B$1)</f>
        <v>431.98</v>
      </c>
      <c r="O15" s="100">
        <f>_xll.EQNXTDZ($A$1,$B15,O$1,$B$1)</f>
        <v>502.64</v>
      </c>
      <c r="P15" s="100">
        <f>_xll.EQNXTDZ($A$1,$B15,P$1,$B$1)</f>
        <v>573</v>
      </c>
      <c r="Q15" s="100">
        <f>_xll.EQNXTDZ($A$1,$B15,Q$1,$B$1)</f>
        <v>595.37</v>
      </c>
      <c r="R15" s="100">
        <f>_xll.EQNXTDZ($A$1,$B15,R$1,$B$1)</f>
        <v>561.85</v>
      </c>
      <c r="S15" s="100">
        <f>_xll.EQNXTDZ($A$1,$B15,S$1,$B$1)</f>
        <v>578.55999999999995</v>
      </c>
      <c r="T15" s="100">
        <f>_xll.EQNXTDZ($A$1,$B15,T$1,$B$1)</f>
        <v>585.84</v>
      </c>
      <c r="U15" s="100">
        <f>_xll.EQNXTDZ($A$1,$B15,U$1,$B$1)</f>
        <v>647.62</v>
      </c>
      <c r="V15" s="100">
        <f>_xll.EQNXTDZ($A$1,$B15,V$1,$B$1)</f>
        <v>633.01</v>
      </c>
      <c r="W15" s="100">
        <f>_xll.EQNXTDZ($A$1,$B15,W$1,$B$1)</f>
        <v>301.62</v>
      </c>
      <c r="X15" s="100">
        <f>_xll.EQNXTDZ($A$1,$B15,X$1,$B$1)</f>
        <v>473.26</v>
      </c>
      <c r="Y15" s="100">
        <f>_xll.EQNXTDZ($A$1,$B15,Y$1,$B$1)</f>
        <v>809.76</v>
      </c>
      <c r="Z15" s="100">
        <f>_xll.EQNXTDZ($A$1,$B15,Z$1,$B$1)</f>
        <v>944.67</v>
      </c>
      <c r="AA15" s="100">
        <f>_xll.EQNXTDZ($A$1,$B15,AA$1,$B$1)</f>
        <v>1078.3800000000001</v>
      </c>
      <c r="AB15" s="100">
        <f>_xll.EQNXTDZ($A$1,$B15,AB$1,$B$1)</f>
        <v>1248.42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147.07</v>
      </c>
      <c r="D17" s="100">
        <f>_xll.EQNXTDZ($A$1,$B17,D$1,$B$1)</f>
        <v>191.86</v>
      </c>
      <c r="E17" s="100">
        <f>_xll.EQNXTDZ($A$1,$B17,E$1,$B$1)</f>
        <v>220.88</v>
      </c>
      <c r="F17" s="100">
        <f>_xll.EQNXTDZ($A$1,$B17,F$1,$B$1)</f>
        <v>274.85000000000002</v>
      </c>
      <c r="G17" s="100">
        <f>_xll.EQNXTDZ($A$1,$B17,G$1,$B$1)</f>
        <v>284.36</v>
      </c>
      <c r="H17" s="100">
        <f>_xll.EQNXTDZ($A$1,$B17,H$1,$B$1)</f>
        <v>349.54</v>
      </c>
      <c r="I17" s="100">
        <f>_xll.EQNXTDZ($A$1,$B17,I$1,$B$1)</f>
        <v>416.84</v>
      </c>
      <c r="J17" s="100">
        <f>_xll.EQNXTDZ($A$1,$B17,J$1,$B$1)</f>
        <v>456.05</v>
      </c>
      <c r="K17" s="100">
        <f>_xll.EQNXTDZ($A$1,$B17,K$1,$B$1)</f>
        <v>454.21</v>
      </c>
      <c r="L17" s="100">
        <f>_xll.EQNXTDZ($A$1,$B17,L$1,$B$1)</f>
        <v>470.26</v>
      </c>
      <c r="M17" s="100">
        <f>_xll.EQNXTDZ($A$1,$B17,M$1,$B$1)</f>
        <v>491.78</v>
      </c>
      <c r="N17" s="100">
        <f>_xll.EQNXTDZ($A$1,$B17,N$1,$B$1)</f>
        <v>546.59</v>
      </c>
      <c r="O17" s="100">
        <f>_xll.EQNXTDZ($A$1,$B17,O$1,$B$1)</f>
        <v>577</v>
      </c>
      <c r="P17" s="100">
        <f>_xll.EQNXTDZ($A$1,$B17,P$1,$B$1)</f>
        <v>638.64</v>
      </c>
      <c r="Q17" s="100">
        <f>_xll.EQNXTDZ($A$1,$B17,Q$1,$B$1)</f>
        <v>684.38</v>
      </c>
      <c r="R17" s="100">
        <f>_xll.EQNXTDZ($A$1,$B17,R$1,$B$1)</f>
        <v>668.8</v>
      </c>
      <c r="S17" s="100">
        <f>_xll.EQNXTDZ($A$1,$B17,S$1,$B$1)</f>
        <v>674.82</v>
      </c>
      <c r="T17" s="100">
        <f>_xll.EQNXTDZ($A$1,$B17,T$1,$B$1)</f>
        <v>674.41</v>
      </c>
      <c r="U17" s="100">
        <f>_xll.EQNXTDZ($A$1,$B17,U$1,$B$1)</f>
        <v>703.97</v>
      </c>
      <c r="V17" s="100">
        <f>_xll.EQNXTDZ($A$1,$B17,V$1,$B$1)</f>
        <v>559.39</v>
      </c>
      <c r="W17" s="100">
        <f>_xll.EQNXTDZ($A$1,$B17,W$1,$B$1)</f>
        <v>355.34</v>
      </c>
      <c r="X17" s="100">
        <f>_xll.EQNXTDZ($A$1,$B17,X$1,$B$1)</f>
        <v>447.88</v>
      </c>
      <c r="Y17" s="100">
        <f>_xll.EQNXTDZ($A$1,$B17,Y$1,$B$1)</f>
        <v>671.67</v>
      </c>
      <c r="Z17" s="100">
        <f>_xll.EQNXTDZ($A$1,$B17,Z$1,$B$1)</f>
        <v>806.51</v>
      </c>
      <c r="AA17" s="100">
        <f>_xll.EQNXTDZ($A$1,$B17,AA$1,$B$1)</f>
        <v>952.74</v>
      </c>
      <c r="AB17" s="100">
        <f>_xll.EQNXTDZ($A$1,$B17,AB$1,$B$1)</f>
        <v>1168.29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21.56</v>
      </c>
      <c r="D18" s="100">
        <f>_xll.EQNXTDZ($A$1,$B18,D$1,$B$1)</f>
        <v>32.25</v>
      </c>
      <c r="E18" s="100">
        <f>_xll.EQNXTDZ($A$1,$B18,E$1,$B$1)</f>
        <v>34.89</v>
      </c>
      <c r="F18" s="100">
        <f>_xll.EQNXTDZ($A$1,$B18,F$1,$B$1)</f>
        <v>40.51</v>
      </c>
      <c r="G18" s="100">
        <f>_xll.EQNXTDZ($A$1,$B18,G$1,$B$1)</f>
        <v>34.61</v>
      </c>
      <c r="H18" s="100">
        <f>_xll.EQNXTDZ($A$1,$B18,H$1,$B$1)</f>
        <v>42.42</v>
      </c>
      <c r="I18" s="100">
        <f>_xll.EQNXTDZ($A$1,$B18,I$1,$B$1)</f>
        <v>75.540000000000006</v>
      </c>
      <c r="J18" s="100">
        <f>_xll.EQNXTDZ($A$1,$B18,J$1,$B$1)</f>
        <v>83.75</v>
      </c>
      <c r="K18" s="100">
        <f>_xll.EQNXTDZ($A$1,$B18,K$1,$B$1)</f>
        <v>88.86</v>
      </c>
      <c r="L18" s="100">
        <f>_xll.EQNXTDZ($A$1,$B18,L$1,$B$1)</f>
        <v>117.54</v>
      </c>
      <c r="M18" s="100">
        <f>_xll.EQNXTDZ($A$1,$B18,M$1,$B$1)</f>
        <v>130.6</v>
      </c>
      <c r="N18" s="100">
        <f>_xll.EQNXTDZ($A$1,$B18,N$1,$B$1)</f>
        <v>152.32</v>
      </c>
      <c r="O18" s="100">
        <f>_xll.EQNXTDZ($A$1,$B18,O$1,$B$1)</f>
        <v>170.51</v>
      </c>
      <c r="P18" s="100">
        <f>_xll.EQNXTDZ($A$1,$B18,P$1,$B$1)</f>
        <v>177.62</v>
      </c>
      <c r="Q18" s="100">
        <f>_xll.EQNXTDZ($A$1,$B18,Q$1,$B$1)</f>
        <v>177.87</v>
      </c>
      <c r="R18" s="100">
        <f>_xll.EQNXTDZ($A$1,$B18,R$1,$B$1)</f>
        <v>163.03</v>
      </c>
      <c r="S18" s="100">
        <f>_xll.EQNXTDZ($A$1,$B18,S$1,$B$1)</f>
        <v>159.79</v>
      </c>
      <c r="T18" s="100">
        <f>_xll.EQNXTDZ($A$1,$B18,T$1,$B$1)</f>
        <v>168.05</v>
      </c>
      <c r="U18" s="100">
        <f>_xll.EQNXTDZ($A$1,$B18,U$1,$B$1)</f>
        <v>159.38999999999999</v>
      </c>
      <c r="V18" s="100">
        <f>_xll.EQNXTDZ($A$1,$B18,V$1,$B$1)</f>
        <v>152.93</v>
      </c>
      <c r="W18" s="100">
        <f>_xll.EQNXTDZ($A$1,$B18,W$1,$B$1)</f>
        <v>42.73</v>
      </c>
      <c r="X18" s="100">
        <f>_xll.EQNXTDZ($A$1,$B18,X$1,$B$1)</f>
        <v>93.59</v>
      </c>
      <c r="Y18" s="100">
        <f>_xll.EQNXTDZ($A$1,$B18,Y$1,$B$1)</f>
        <v>164.88</v>
      </c>
      <c r="Z18" s="100">
        <f>_xll.EQNXTDZ($A$1,$B18,Z$1,$B$1)</f>
        <v>209.8</v>
      </c>
      <c r="AA18" s="100">
        <f>_xll.EQNXTDZ($A$1,$B18,AA$1,$B$1)</f>
        <v>221.67</v>
      </c>
      <c r="AB18" s="100">
        <f>_xll.EQNXTDZ($A$1,$B18,AB$1,$B$1)</f>
        <v>219.52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5.0599999999999996</v>
      </c>
      <c r="D19" s="100">
        <f>_xll.EQNXTDZ($A$1,$B19,D$1,$B$1)</f>
        <v>10.44</v>
      </c>
      <c r="E19" s="100">
        <f>_xll.EQNXTDZ($A$1,$B19,E$1,$B$1)</f>
        <v>4.1100000000000003</v>
      </c>
      <c r="F19" s="100">
        <f>_xll.EQNXTDZ($A$1,$B19,F$1,$B$1)</f>
        <v>7.42</v>
      </c>
      <c r="G19" s="100">
        <f>_xll.EQNXTDZ($A$1,$B19,G$1,$B$1)</f>
        <v>3.41</v>
      </c>
      <c r="H19" s="100">
        <f>_xll.EQNXTDZ($A$1,$B19,H$1,$B$1)</f>
        <v>4.47</v>
      </c>
      <c r="I19" s="100">
        <f>_xll.EQNXTDZ($A$1,$B19,I$1,$B$1)</f>
        <v>7.25</v>
      </c>
      <c r="J19" s="100">
        <f>_xll.EQNXTDZ($A$1,$B19,J$1,$B$1)</f>
        <v>14.36</v>
      </c>
      <c r="K19" s="100">
        <f>_xll.EQNXTDZ($A$1,$B19,K$1,$B$1)</f>
        <v>51.39</v>
      </c>
      <c r="L19" s="100">
        <f>_xll.EQNXTDZ($A$1,$B19,L$1,$B$1)</f>
        <v>8.26</v>
      </c>
      <c r="M19" s="100">
        <f>_xll.EQNXTDZ($A$1,$B19,M$1,$B$1)</f>
        <v>8.23</v>
      </c>
      <c r="N19" s="100">
        <f>_xll.EQNXTDZ($A$1,$B19,N$1,$B$1)</f>
        <v>10.36</v>
      </c>
      <c r="O19" s="100">
        <f>_xll.EQNXTDZ($A$1,$B19,O$1,$B$1)</f>
        <v>13.47</v>
      </c>
      <c r="P19" s="100">
        <f>_xll.EQNXTDZ($A$1,$B19,P$1,$B$1)</f>
        <v>6.95</v>
      </c>
      <c r="Q19" s="100">
        <f>_xll.EQNXTDZ($A$1,$B19,Q$1,$B$1)</f>
        <v>16.46</v>
      </c>
      <c r="R19" s="100">
        <f>_xll.EQNXTDZ($A$1,$B19,R$1,$B$1)</f>
        <v>11.56</v>
      </c>
      <c r="S19" s="100">
        <f>_xll.EQNXTDZ($A$1,$B19,S$1,$B$1)</f>
        <v>10.57</v>
      </c>
      <c r="T19" s="100">
        <f>_xll.EQNXTDZ($A$1,$B19,T$1,$B$1)</f>
        <v>22.73</v>
      </c>
      <c r="U19" s="100">
        <f>_xll.EQNXTDZ($A$1,$B19,U$1,$B$1)</f>
        <v>22.88</v>
      </c>
      <c r="V19" s="100">
        <f>_xll.EQNXTDZ($A$1,$B19,V$1,$B$1)</f>
        <v>15.25</v>
      </c>
      <c r="W19" s="100">
        <f>_xll.EQNXTDZ($A$1,$B19,W$1,$B$1)</f>
        <v>26.55</v>
      </c>
      <c r="X19" s="100">
        <f>_xll.EQNXTDZ($A$1,$B19,X$1,$B$1)</f>
        <v>4.4800000000000004</v>
      </c>
      <c r="Y19" s="100">
        <f>_xll.EQNXTDZ($A$1,$B19,Y$1,$B$1)</f>
        <v>0.94</v>
      </c>
      <c r="Z19" s="100">
        <f>_xll.EQNXTDZ($A$1,$B19,Z$1,$B$1)</f>
        <v>15.61</v>
      </c>
      <c r="AA19" s="100">
        <f>_xll.EQNXTDZ($A$1,$B19,AA$1,$B$1)</f>
        <v>27.33</v>
      </c>
      <c r="AB19" s="100">
        <f>_xll.EQNXTDZ($A$1,$B19,AB$1,$B$1)</f>
        <v>43.7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1.75</v>
      </c>
      <c r="D20" s="100">
        <f>_xll.EQNXTDZ($A$1,$B20,D$1,$B$1)</f>
        <v>14.97</v>
      </c>
      <c r="E20" s="100">
        <f>_xll.EQNXTDZ($A$1,$B20,E$1,$B$1)</f>
        <v>11.1</v>
      </c>
      <c r="F20" s="100">
        <f>_xll.EQNXTDZ($A$1,$B20,F$1,$B$1)</f>
        <v>21.27</v>
      </c>
      <c r="G20" s="100">
        <f>_xll.EQNXTDZ($A$1,$B20,G$1,$B$1)</f>
        <v>0.08</v>
      </c>
      <c r="H20" s="100">
        <f>_xll.EQNXTDZ($A$1,$B20,H$1,$B$1)</f>
        <v>9.5299999999999994</v>
      </c>
      <c r="I20" s="100">
        <f>_xll.EQNXTDZ($A$1,$B20,I$1,$B$1)</f>
        <v>8.2899999999999991</v>
      </c>
      <c r="J20" s="100">
        <f>_xll.EQNXTDZ($A$1,$B20,J$1,$B$1)</f>
        <v>18.899999999999999</v>
      </c>
      <c r="K20" s="100">
        <f>_xll.EQNXTDZ($A$1,$B20,K$1,$B$1)</f>
        <v>22.55</v>
      </c>
      <c r="L20" s="100">
        <f>_xll.EQNXTDZ($A$1,$B20,L$1,$B$1)</f>
        <v>12.16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502.74</v>
      </c>
      <c r="D21" s="100">
        <f>_xll.EQNXTDZ($A$1,$B21,D$1,$B$1)</f>
        <v>656.28</v>
      </c>
      <c r="E21" s="100">
        <f>_xll.EQNXTDZ($A$1,$B21,E$1,$B$1)</f>
        <v>722.92</v>
      </c>
      <c r="F21" s="100">
        <f>_xll.EQNXTDZ($A$1,$B21,F$1,$B$1)</f>
        <v>826.67</v>
      </c>
      <c r="G21" s="100">
        <f>_xll.EQNXTDZ($A$1,$B21,G$1,$B$1)</f>
        <v>981.4</v>
      </c>
      <c r="H21" s="100">
        <f>_xll.EQNXTDZ($A$1,$B21,H$1,$B$1)</f>
        <v>1328.95</v>
      </c>
      <c r="I21" s="100">
        <f>_xll.EQNXTDZ($A$1,$B21,I$1,$B$1)</f>
        <v>1785.76</v>
      </c>
      <c r="J21" s="100">
        <f>_xll.EQNXTDZ($A$1,$B21,J$1,$B$1)</f>
        <v>2028</v>
      </c>
      <c r="K21" s="100">
        <f>_xll.EQNXTDZ($A$1,$B21,K$1,$B$1)</f>
        <v>2175.62</v>
      </c>
      <c r="L21" s="100">
        <f>_xll.EQNXTDZ($A$1,$B21,L$1,$B$1)</f>
        <v>2122.87</v>
      </c>
      <c r="M21" s="100">
        <f>_xll.EQNXTDZ($A$1,$B21,M$1,$B$1)</f>
        <v>2411.65</v>
      </c>
      <c r="N21" s="100">
        <f>_xll.EQNXTDZ($A$1,$B21,N$1,$B$1)</f>
        <v>2898.27</v>
      </c>
      <c r="O21" s="100">
        <f>_xll.EQNXTDZ($A$1,$B21,O$1,$B$1)</f>
        <v>3205.72</v>
      </c>
      <c r="P21" s="100">
        <f>_xll.EQNXTDZ($A$1,$B21,P$1,$B$1)</f>
        <v>3506.62</v>
      </c>
      <c r="Q21" s="100">
        <f>_xll.EQNXTDZ($A$1,$B21,Q$1,$B$1)</f>
        <v>3700.06</v>
      </c>
      <c r="R21" s="100">
        <f>_xll.EQNXTDZ($A$1,$B21,R$1,$B$1)</f>
        <v>3470.86</v>
      </c>
      <c r="S21" s="100">
        <f>_xll.EQNXTDZ($A$1,$B21,S$1,$B$1)</f>
        <v>3410.95</v>
      </c>
      <c r="T21" s="100">
        <f>_xll.EQNXTDZ($A$1,$B21,T$1,$B$1)</f>
        <v>3433.2</v>
      </c>
      <c r="U21" s="100">
        <f>_xll.EQNXTDZ($A$1,$B21,U$1,$B$1)</f>
        <v>3682.27</v>
      </c>
      <c r="V21" s="100">
        <f>_xll.EQNXTDZ($A$1,$B21,V$1,$B$1)</f>
        <v>3495.61</v>
      </c>
      <c r="W21" s="100">
        <f>_xll.EQNXTDZ($A$1,$B21,W$1,$B$1)</f>
        <v>1936.92</v>
      </c>
      <c r="X21" s="100">
        <f>_xll.EQNXTDZ($A$1,$B21,X$1,$B$1)</f>
        <v>2651.47</v>
      </c>
      <c r="Y21" s="100">
        <f>_xll.EQNXTDZ($A$1,$B21,Y$1,$B$1)</f>
        <v>4005.48</v>
      </c>
      <c r="Z21" s="100">
        <f>_xll.EQNXTDZ($A$1,$B21,Z$1,$B$1)</f>
        <v>4611.62</v>
      </c>
      <c r="AA21" s="100">
        <f>_xll.EQNXTDZ($A$1,$B21,AA$1,$B$1)</f>
        <v>5565.21</v>
      </c>
      <c r="AB21" s="100">
        <f>_xll.EQNXTDZ($A$1,$B21,AB$1,$B$1)</f>
        <v>6494.57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184.76</v>
      </c>
      <c r="D22" s="100">
        <f>_xll.EQNXTDZ($A$1,$B22,D$1,$B$1)</f>
        <v>135.94</v>
      </c>
      <c r="E22" s="100">
        <f>_xll.EQNXTDZ($A$1,$B22,E$1,$B$1)</f>
        <v>143.69</v>
      </c>
      <c r="F22" s="100">
        <f>_xll.EQNXTDZ($A$1,$B22,F$1,$B$1)</f>
        <v>175.67</v>
      </c>
      <c r="G22" s="100">
        <f>_xll.EQNXTDZ($A$1,$B22,G$1,$B$1)</f>
        <v>332.13</v>
      </c>
      <c r="H22" s="100">
        <f>_xll.EQNXTDZ($A$1,$B22,H$1,$B$1)</f>
        <v>508.36</v>
      </c>
      <c r="I22" s="100">
        <f>_xll.EQNXTDZ($A$1,$B22,I$1,$B$1)</f>
        <v>720.49</v>
      </c>
      <c r="J22" s="100">
        <f>_xll.EQNXTDZ($A$1,$B22,J$1,$B$1)</f>
        <v>892.03</v>
      </c>
      <c r="K22" s="100">
        <f>_xll.EQNXTDZ($A$1,$B22,K$1,$B$1)</f>
        <v>510.51</v>
      </c>
      <c r="L22" s="100">
        <f>_xll.EQNXTDZ($A$1,$B22,L$1,$B$1)</f>
        <v>398.15</v>
      </c>
      <c r="M22" s="100">
        <f>_xll.EQNXTDZ($A$1,$B22,M$1,$B$1)</f>
        <v>450.82</v>
      </c>
      <c r="N22" s="100">
        <f>_xll.EQNXTDZ($A$1,$B22,N$1,$B$1)</f>
        <v>545.25</v>
      </c>
      <c r="O22" s="100">
        <f>_xll.EQNXTDZ($A$1,$B22,O$1,$B$1)</f>
        <v>537.64</v>
      </c>
      <c r="P22" s="100">
        <f>_xll.EQNXTDZ($A$1,$B22,P$1,$B$1)</f>
        <v>559.57000000000005</v>
      </c>
      <c r="Q22" s="100">
        <f>_xll.EQNXTDZ($A$1,$B22,Q$1,$B$1)</f>
        <v>488.58</v>
      </c>
      <c r="R22" s="100">
        <f>_xll.EQNXTDZ($A$1,$B22,R$1,$B$1)</f>
        <v>552.16</v>
      </c>
      <c r="S22" s="100">
        <f>_xll.EQNXTDZ($A$1,$B22,S$1,$B$1)</f>
        <v>609.62</v>
      </c>
      <c r="T22" s="100">
        <f>_xll.EQNXTDZ($A$1,$B22,T$1,$B$1)</f>
        <v>670.35</v>
      </c>
      <c r="U22" s="100">
        <f>_xll.EQNXTDZ($A$1,$B22,U$1,$B$1)</f>
        <v>829.73</v>
      </c>
      <c r="V22" s="100">
        <f>_xll.EQNXTDZ($A$1,$B22,V$1,$B$1)</f>
        <v>967.53</v>
      </c>
      <c r="W22" s="100">
        <f>_xll.EQNXTDZ($A$1,$B22,W$1,$B$1)</f>
        <v>-361.76</v>
      </c>
      <c r="X22" s="100">
        <f>_xll.EQNXTDZ($A$1,$B22,X$1,$B$1)</f>
        <v>404.75</v>
      </c>
      <c r="Y22" s="100">
        <f>_xll.EQNXTDZ($A$1,$B22,Y$1,$B$1)</f>
        <v>1804.43</v>
      </c>
      <c r="Z22" s="100">
        <f>_xll.EQNXTDZ($A$1,$B22,Z$1,$B$1)</f>
        <v>2157.13</v>
      </c>
      <c r="AA22" s="100">
        <f>_xll.EQNXTDZ($A$1,$B22,AA$1,$B$1)</f>
        <v>2769.33</v>
      </c>
      <c r="AB22" s="100">
        <f>_xll.EQNXTDZ($A$1,$B22,AB$1,$B$1)</f>
        <v>3194.65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55.42</v>
      </c>
      <c r="D23" s="100">
        <f>_xll.EQNXTDZ($A$1,$B23,D$1,$B$1)</f>
        <v>50.31</v>
      </c>
      <c r="E23" s="100">
        <f>_xll.EQNXTDZ($A$1,$B23,E$1,$B$1)</f>
        <v>51.66</v>
      </c>
      <c r="F23" s="100">
        <f>_xll.EQNXTDZ($A$1,$B23,F$1,$B$1)</f>
        <v>57.79</v>
      </c>
      <c r="G23" s="100">
        <f>_xll.EQNXTDZ($A$1,$B23,G$1,$B$1)</f>
        <v>54.64</v>
      </c>
      <c r="H23" s="100">
        <f>_xll.EQNXTDZ($A$1,$B23,H$1,$B$1)</f>
        <v>78.63</v>
      </c>
      <c r="I23" s="100">
        <f>_xll.EQNXTDZ($A$1,$B23,I$1,$B$1)</f>
        <v>142.82</v>
      </c>
      <c r="J23" s="100">
        <f>_xll.EQNXTDZ($A$1,$B23,J$1,$B$1)</f>
        <v>110.56</v>
      </c>
      <c r="K23" s="100">
        <f>_xll.EQNXTDZ($A$1,$B23,K$1,$B$1)</f>
        <v>111.13</v>
      </c>
      <c r="L23" s="100">
        <f>_xll.EQNXTDZ($A$1,$B23,L$1,$B$1)</f>
        <v>74.349999999999994</v>
      </c>
      <c r="M23" s="100">
        <f>_xll.EQNXTDZ($A$1,$B23,M$1,$B$1)</f>
        <v>82.09</v>
      </c>
      <c r="N23" s="100">
        <f>_xll.EQNXTDZ($A$1,$B23,N$1,$B$1)</f>
        <v>107.5</v>
      </c>
      <c r="O23" s="100">
        <f>_xll.EQNXTDZ($A$1,$B23,O$1,$B$1)</f>
        <v>94.29</v>
      </c>
      <c r="P23" s="100">
        <f>_xll.EQNXTDZ($A$1,$B23,P$1,$B$1)</f>
        <v>90.05</v>
      </c>
      <c r="Q23" s="100">
        <f>_xll.EQNXTDZ($A$1,$B23,Q$1,$B$1)</f>
        <v>129.33000000000001</v>
      </c>
      <c r="R23" s="100">
        <f>_xll.EQNXTDZ($A$1,$B23,R$1,$B$1)</f>
        <v>99.76</v>
      </c>
      <c r="S23" s="100">
        <f>_xll.EQNXTDZ($A$1,$B23,S$1,$B$1)</f>
        <v>62.9</v>
      </c>
      <c r="T23" s="100">
        <f>_xll.EQNXTDZ($A$1,$B23,T$1,$B$1)</f>
        <v>71.260000000000005</v>
      </c>
      <c r="U23" s="100">
        <f>_xll.EQNXTDZ($A$1,$B23,U$1,$B$1)</f>
        <v>86.98</v>
      </c>
      <c r="V23" s="100">
        <f>_xll.EQNXTDZ($A$1,$B23,V$1,$B$1)</f>
        <v>132.41999999999999</v>
      </c>
      <c r="W23" s="100">
        <f>_xll.EQNXTDZ($A$1,$B23,W$1,$B$1)</f>
        <v>164.72</v>
      </c>
      <c r="X23" s="100">
        <f>_xll.EQNXTDZ($A$1,$B23,X$1,$B$1)</f>
        <v>155.16</v>
      </c>
      <c r="Y23" s="100">
        <f>_xll.EQNXTDZ($A$1,$B23,Y$1,$B$1)</f>
        <v>139.03</v>
      </c>
      <c r="Z23" s="100">
        <f>_xll.EQNXTDZ($A$1,$B23,Z$1,$B$1)</f>
        <v>182.92</v>
      </c>
      <c r="AA23" s="100">
        <f>_xll.EQNXTDZ($A$1,$B23,AA$1,$B$1)</f>
        <v>230.46</v>
      </c>
      <c r="AB23" s="100">
        <f>_xll.EQNXTDZ($A$1,$B23,AB$1,$B$1)</f>
        <v>282.20999999999998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240.18</v>
      </c>
      <c r="D24" s="100">
        <f>_xll.EQNXTDZ($A$1,$B24,D$1,$B$1)</f>
        <v>186.25</v>
      </c>
      <c r="E24" s="100">
        <f>_xll.EQNXTDZ($A$1,$B24,E$1,$B$1)</f>
        <v>195.35</v>
      </c>
      <c r="F24" s="100">
        <f>_xll.EQNXTDZ($A$1,$B24,F$1,$B$1)</f>
        <v>233.46</v>
      </c>
      <c r="G24" s="100">
        <f>_xll.EQNXTDZ($A$1,$B24,G$1,$B$1)</f>
        <v>386.77</v>
      </c>
      <c r="H24" s="100">
        <f>_xll.EQNXTDZ($A$1,$B24,H$1,$B$1)</f>
        <v>586.99</v>
      </c>
      <c r="I24" s="100">
        <f>_xll.EQNXTDZ($A$1,$B24,I$1,$B$1)</f>
        <v>863.31</v>
      </c>
      <c r="J24" s="100">
        <f>_xll.EQNXTDZ($A$1,$B24,J$1,$B$1)</f>
        <v>1002.59</v>
      </c>
      <c r="K24" s="100">
        <f>_xll.EQNXTDZ($A$1,$B24,K$1,$B$1)</f>
        <v>621.64</v>
      </c>
      <c r="L24" s="100">
        <f>_xll.EQNXTDZ($A$1,$B24,L$1,$B$1)</f>
        <v>472.5</v>
      </c>
      <c r="M24" s="100">
        <f>_xll.EQNXTDZ($A$1,$B24,M$1,$B$1)</f>
        <v>532.91</v>
      </c>
      <c r="N24" s="100">
        <f>_xll.EQNXTDZ($A$1,$B24,N$1,$B$1)</f>
        <v>652.75</v>
      </c>
      <c r="O24" s="100">
        <f>_xll.EQNXTDZ($A$1,$B24,O$1,$B$1)</f>
        <v>631.92999999999995</v>
      </c>
      <c r="P24" s="100">
        <f>_xll.EQNXTDZ($A$1,$B24,P$1,$B$1)</f>
        <v>649.62</v>
      </c>
      <c r="Q24" s="100">
        <f>_xll.EQNXTDZ($A$1,$B24,Q$1,$B$1)</f>
        <v>617.91</v>
      </c>
      <c r="R24" s="100">
        <f>_xll.EQNXTDZ($A$1,$B24,R$1,$B$1)</f>
        <v>651.91999999999996</v>
      </c>
      <c r="S24" s="100">
        <f>_xll.EQNXTDZ($A$1,$B24,S$1,$B$1)</f>
        <v>672.52</v>
      </c>
      <c r="T24" s="100">
        <f>_xll.EQNXTDZ($A$1,$B24,T$1,$B$1)</f>
        <v>741.61</v>
      </c>
      <c r="U24" s="100">
        <f>_xll.EQNXTDZ($A$1,$B24,U$1,$B$1)</f>
        <v>916.71</v>
      </c>
      <c r="V24" s="100">
        <f>_xll.EQNXTDZ($A$1,$B24,V$1,$B$1)</f>
        <v>1099.95</v>
      </c>
      <c r="W24" s="100">
        <f>_xll.EQNXTDZ($A$1,$B24,W$1,$B$1)</f>
        <v>-197.04</v>
      </c>
      <c r="X24" s="100">
        <f>_xll.EQNXTDZ($A$1,$B24,X$1,$B$1)</f>
        <v>559.91</v>
      </c>
      <c r="Y24" s="100">
        <f>_xll.EQNXTDZ($A$1,$B24,Y$1,$B$1)</f>
        <v>1943.46</v>
      </c>
      <c r="Z24" s="100">
        <f>_xll.EQNXTDZ($A$1,$B24,Z$1,$B$1)</f>
        <v>2340.0500000000002</v>
      </c>
      <c r="AA24" s="100">
        <f>_xll.EQNXTDZ($A$1,$B24,AA$1,$B$1)</f>
        <v>2999.79</v>
      </c>
      <c r="AB24" s="100">
        <f>_xll.EQNXTDZ($A$1,$B24,AB$1,$B$1)</f>
        <v>3476.86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57.73</v>
      </c>
      <c r="D25" s="100">
        <f>_xll.EQNXTDZ($A$1,$B25,D$1,$B$1)</f>
        <v>105.14</v>
      </c>
      <c r="E25" s="100">
        <f>_xll.EQNXTDZ($A$1,$B25,E$1,$B$1)</f>
        <v>101.37</v>
      </c>
      <c r="F25" s="100">
        <f>_xll.EQNXTDZ($A$1,$B25,F$1,$B$1)</f>
        <v>89.01</v>
      </c>
      <c r="G25" s="100">
        <f>_xll.EQNXTDZ($A$1,$B25,G$1,$B$1)</f>
        <v>135.55000000000001</v>
      </c>
      <c r="H25" s="100">
        <f>_xll.EQNXTDZ($A$1,$B25,H$1,$B$1)</f>
        <v>145.57</v>
      </c>
      <c r="I25" s="100">
        <f>_xll.EQNXTDZ($A$1,$B25,I$1,$B$1)</f>
        <v>170.09</v>
      </c>
      <c r="J25" s="100">
        <f>_xll.EQNXTDZ($A$1,$B25,J$1,$B$1)</f>
        <v>220.29</v>
      </c>
      <c r="K25" s="100">
        <f>_xll.EQNXTDZ($A$1,$B25,K$1,$B$1)</f>
        <v>269.83999999999997</v>
      </c>
      <c r="L25" s="100">
        <f>_xll.EQNXTDZ($A$1,$B25,L$1,$B$1)</f>
        <v>338.98</v>
      </c>
      <c r="M25" s="100">
        <f>_xll.EQNXTDZ($A$1,$B25,M$1,$B$1)</f>
        <v>293.72000000000003</v>
      </c>
      <c r="N25" s="100">
        <f>_xll.EQNXTDZ($A$1,$B25,N$1,$B$1)</f>
        <v>248.59</v>
      </c>
      <c r="O25" s="100">
        <f>_xll.EQNXTDZ($A$1,$B25,O$1,$B$1)</f>
        <v>204.87</v>
      </c>
      <c r="P25" s="100">
        <f>_xll.EQNXTDZ($A$1,$B25,P$1,$B$1)</f>
        <v>198.81</v>
      </c>
      <c r="Q25" s="100">
        <f>_xll.EQNXTDZ($A$1,$B25,Q$1,$B$1)</f>
        <v>206.19</v>
      </c>
      <c r="R25" s="100">
        <f>_xll.EQNXTDZ($A$1,$B25,R$1,$B$1)</f>
        <v>375.59</v>
      </c>
      <c r="S25" s="100">
        <f>_xll.EQNXTDZ($A$1,$B25,S$1,$B$1)</f>
        <v>331.79</v>
      </c>
      <c r="T25" s="100">
        <f>_xll.EQNXTDZ($A$1,$B25,T$1,$B$1)</f>
        <v>278.57</v>
      </c>
      <c r="U25" s="100">
        <f>_xll.EQNXTDZ($A$1,$B25,U$1,$B$1)</f>
        <v>193.73</v>
      </c>
      <c r="V25" s="100">
        <f>_xll.EQNXTDZ($A$1,$B25,V$1,$B$1)</f>
        <v>341.12</v>
      </c>
      <c r="W25" s="100">
        <f>_xll.EQNXTDZ($A$1,$B25,W$1,$B$1)</f>
        <v>402.82</v>
      </c>
      <c r="X25" s="100">
        <f>_xll.EQNXTDZ($A$1,$B25,X$1,$B$1)</f>
        <v>427.66</v>
      </c>
      <c r="Y25" s="100">
        <f>_xll.EQNXTDZ($A$1,$B25,Y$1,$B$1)</f>
        <v>236.05</v>
      </c>
      <c r="Z25" s="100">
        <f>_xll.EQNXTDZ($A$1,$B25,Z$1,$B$1)</f>
        <v>220.22</v>
      </c>
      <c r="AA25" s="100">
        <f>_xll.EQNXTDZ($A$1,$B25,AA$1,$B$1)</f>
        <v>208.38</v>
      </c>
      <c r="AB25" s="100">
        <f>_xll.EQNXTDZ($A$1,$B25,AB$1,$B$1)</f>
        <v>221.35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182.45</v>
      </c>
      <c r="D26" s="100">
        <f>_xll.EQNXTDZ($A$1,$B26,D$1,$B$1)</f>
        <v>81.11</v>
      </c>
      <c r="E26" s="100">
        <f>_xll.EQNXTDZ($A$1,$B26,E$1,$B$1)</f>
        <v>93.98</v>
      </c>
      <c r="F26" s="100">
        <f>_xll.EQNXTDZ($A$1,$B26,F$1,$B$1)</f>
        <v>144.44999999999999</v>
      </c>
      <c r="G26" s="100">
        <f>_xll.EQNXTDZ($A$1,$B26,G$1,$B$1)</f>
        <v>251.22</v>
      </c>
      <c r="H26" s="100">
        <f>_xll.EQNXTDZ($A$1,$B26,H$1,$B$1)</f>
        <v>441.42</v>
      </c>
      <c r="I26" s="100">
        <f>_xll.EQNXTDZ($A$1,$B26,I$1,$B$1)</f>
        <v>693.22</v>
      </c>
      <c r="J26" s="100">
        <f>_xll.EQNXTDZ($A$1,$B26,J$1,$B$1)</f>
        <v>782.3</v>
      </c>
      <c r="K26" s="100">
        <f>_xll.EQNXTDZ($A$1,$B26,K$1,$B$1)</f>
        <v>351.8</v>
      </c>
      <c r="L26" s="100">
        <f>_xll.EQNXTDZ($A$1,$B26,L$1,$B$1)</f>
        <v>133.52000000000001</v>
      </c>
      <c r="M26" s="100">
        <f>_xll.EQNXTDZ($A$1,$B26,M$1,$B$1)</f>
        <v>239.19</v>
      </c>
      <c r="N26" s="100">
        <f>_xll.EQNXTDZ($A$1,$B26,N$1,$B$1)</f>
        <v>404.16</v>
      </c>
      <c r="O26" s="100">
        <f>_xll.EQNXTDZ($A$1,$B26,O$1,$B$1)</f>
        <v>427.06</v>
      </c>
      <c r="P26" s="100">
        <f>_xll.EQNXTDZ($A$1,$B26,P$1,$B$1)</f>
        <v>450.81</v>
      </c>
      <c r="Q26" s="100">
        <f>_xll.EQNXTDZ($A$1,$B26,Q$1,$B$1)</f>
        <v>411.72</v>
      </c>
      <c r="R26" s="100">
        <f>_xll.EQNXTDZ($A$1,$B26,R$1,$B$1)</f>
        <v>276.33</v>
      </c>
      <c r="S26" s="100">
        <f>_xll.EQNXTDZ($A$1,$B26,S$1,$B$1)</f>
        <v>340.73</v>
      </c>
      <c r="T26" s="100">
        <f>_xll.EQNXTDZ($A$1,$B26,T$1,$B$1)</f>
        <v>463.04</v>
      </c>
      <c r="U26" s="100">
        <f>_xll.EQNXTDZ($A$1,$B26,U$1,$B$1)</f>
        <v>722.98</v>
      </c>
      <c r="V26" s="100">
        <f>_xll.EQNXTDZ($A$1,$B26,V$1,$B$1)</f>
        <v>758.83</v>
      </c>
      <c r="W26" s="100">
        <f>_xll.EQNXTDZ($A$1,$B26,W$1,$B$1)</f>
        <v>-599.86</v>
      </c>
      <c r="X26" s="100">
        <f>_xll.EQNXTDZ($A$1,$B26,X$1,$B$1)</f>
        <v>132.25</v>
      </c>
      <c r="Y26" s="100">
        <f>_xll.EQNXTDZ($A$1,$B26,Y$1,$B$1)</f>
        <v>1707.41</v>
      </c>
      <c r="Z26" s="100">
        <f>_xll.EQNXTDZ($A$1,$B26,Z$1,$B$1)</f>
        <v>2119.83</v>
      </c>
      <c r="AA26" s="100">
        <f>_xll.EQNXTDZ($A$1,$B26,AA$1,$B$1)</f>
        <v>2791.41</v>
      </c>
      <c r="AB26" s="100">
        <f>_xll.EQNXTDZ($A$1,$B26,AB$1,$B$1)</f>
        <v>3255.51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45.16</v>
      </c>
      <c r="D27" s="100">
        <f>_xll.EQNXTDZ($A$1,$B27,D$1,$B$1)</f>
        <v>78.849999999999994</v>
      </c>
      <c r="E27" s="100">
        <f>_xll.EQNXTDZ($A$1,$B27,E$1,$B$1)</f>
        <v>75.650000000000006</v>
      </c>
      <c r="F27" s="100">
        <f>_xll.EQNXTDZ($A$1,$B27,F$1,$B$1)</f>
        <v>87.83</v>
      </c>
      <c r="G27" s="100">
        <f>_xll.EQNXTDZ($A$1,$B27,G$1,$B$1)</f>
        <v>111.73</v>
      </c>
      <c r="H27" s="100">
        <f>_xll.EQNXTDZ($A$1,$B27,H$1,$B$1)</f>
        <v>127.35</v>
      </c>
      <c r="I27" s="100">
        <f>_xll.EQNXTDZ($A$1,$B27,I$1,$B$1)</f>
        <v>160.66999999999999</v>
      </c>
      <c r="J27" s="100">
        <f>_xll.EQNXTDZ($A$1,$B27,J$1,$B$1)</f>
        <v>167.62</v>
      </c>
      <c r="K27" s="100">
        <f>_xll.EQNXTDZ($A$1,$B27,K$1,$B$1)</f>
        <v>188.53</v>
      </c>
      <c r="L27" s="100">
        <f>_xll.EQNXTDZ($A$1,$B27,L$1,$B$1)</f>
        <v>218.54</v>
      </c>
      <c r="M27" s="100">
        <f>_xll.EQNXTDZ($A$1,$B27,M$1,$B$1)</f>
        <v>227.89</v>
      </c>
      <c r="N27" s="100">
        <f>_xll.EQNXTDZ($A$1,$B27,N$1,$B$1)</f>
        <v>255.07</v>
      </c>
      <c r="O27" s="100">
        <f>_xll.EQNXTDZ($A$1,$B27,O$1,$B$1)</f>
        <v>288.42</v>
      </c>
      <c r="P27" s="100">
        <f>_xll.EQNXTDZ($A$1,$B27,P$1,$B$1)</f>
        <v>308.13</v>
      </c>
      <c r="Q27" s="100">
        <f>_xll.EQNXTDZ($A$1,$B27,Q$1,$B$1)</f>
        <v>291.29000000000002</v>
      </c>
      <c r="R27" s="100">
        <f>_xll.EQNXTDZ($A$1,$B27,R$1,$B$1)</f>
        <v>284.82</v>
      </c>
      <c r="S27" s="100">
        <f>_xll.EQNXTDZ($A$1,$B27,S$1,$B$1)</f>
        <v>299.37</v>
      </c>
      <c r="T27" s="100">
        <f>_xll.EQNXTDZ($A$1,$B27,T$1,$B$1)</f>
        <v>301.2</v>
      </c>
      <c r="U27" s="100">
        <f>_xll.EQNXTDZ($A$1,$B27,U$1,$B$1)</f>
        <v>327.85</v>
      </c>
      <c r="V27" s="100">
        <f>_xll.EQNXTDZ($A$1,$B27,V$1,$B$1)</f>
        <v>404.24</v>
      </c>
      <c r="W27" s="100">
        <f>_xll.EQNXTDZ($A$1,$B27,W$1,$B$1)</f>
        <v>409.63</v>
      </c>
      <c r="X27" s="100">
        <f>_xll.EQNXTDZ($A$1,$B27,X$1,$B$1)</f>
        <v>406.05</v>
      </c>
      <c r="Y27" s="100">
        <f>_xll.EQNXTDZ($A$1,$B27,Y$1,$B$1)</f>
        <v>416.06</v>
      </c>
      <c r="Z27" s="100">
        <f>_xll.EQNXTDZ($A$1,$B27,Z$1,$B$1)</f>
        <v>454.3</v>
      </c>
      <c r="AA27" s="100">
        <f>_xll.EQNXTDZ($A$1,$B27,AA$1,$B$1)</f>
        <v>518.16</v>
      </c>
      <c r="AB27" s="100">
        <f>_xll.EQNXTDZ($A$1,$B27,AB$1,$B$1)</f>
        <v>605.16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28.73</v>
      </c>
      <c r="E29" s="100">
        <f>_xll.EQNXTDZ($A$1,$B29,E$1,$B$1)</f>
        <v>8.6300000000000008</v>
      </c>
      <c r="F29" s="100">
        <f>_xll.EQNXTDZ($A$1,$B29,F$1,$B$1)</f>
        <v>23.89</v>
      </c>
      <c r="G29" s="100">
        <f>_xll.EQNXTDZ($A$1,$B29,G$1,$B$1)</f>
        <v>0.18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-54.16</v>
      </c>
      <c r="K29" s="100">
        <f>_xll.EQNXTDZ($A$1,$B29,K$1,$B$1)</f>
        <v>-4.76</v>
      </c>
      <c r="L29" s="100">
        <f>_xll.EQNXTDZ($A$1,$B29,L$1,$B$1)</f>
        <v>51.33</v>
      </c>
      <c r="M29" s="100">
        <f>_xll.EQNXTDZ($A$1,$B29,M$1,$B$1)</f>
        <v>11.93</v>
      </c>
      <c r="N29" s="100">
        <f>_xll.EQNXTDZ($A$1,$B29,N$1,$B$1)</f>
        <v>-1.52</v>
      </c>
      <c r="O29" s="100">
        <f>_xll.EQNXTDZ($A$1,$B29,O$1,$B$1)</f>
        <v>-430.43</v>
      </c>
      <c r="P29" s="100">
        <f>_xll.EQNXTDZ($A$1,$B29,P$1,$B$1)</f>
        <v>-554.84</v>
      </c>
      <c r="Q29" s="100">
        <f>_xll.EQNXTDZ($A$1,$B29,Q$1,$B$1)</f>
        <v>-352.91</v>
      </c>
      <c r="R29" s="100">
        <f>_xll.EQNXTDZ($A$1,$B29,R$1,$B$1)</f>
        <v>-82.68</v>
      </c>
      <c r="S29" s="100">
        <f>_xll.EQNXTDZ($A$1,$B29,S$1,$B$1)</f>
        <v>-10.78</v>
      </c>
      <c r="T29" s="100">
        <f>_xll.EQNXTDZ($A$1,$B29,T$1,$B$1)</f>
        <v>22.45</v>
      </c>
      <c r="U29" s="100">
        <f>_xll.EQNXTDZ($A$1,$B29,U$1,$B$1)</f>
        <v>6.58</v>
      </c>
      <c r="V29" s="100">
        <f>_xll.EQNXTDZ($A$1,$B29,V$1,$B$1)</f>
        <v>40.950000000000003</v>
      </c>
      <c r="W29" s="100">
        <f>_xll.EQNXTDZ($A$1,$B29,W$1,$B$1)</f>
        <v>159.94999999999999</v>
      </c>
      <c r="X29" s="100">
        <f>_xll.EQNXTDZ($A$1,$B29,X$1,$B$1)</f>
        <v>15.62</v>
      </c>
      <c r="Y29" s="100">
        <f>_xll.EQNXTDZ($A$1,$B29,Y$1,$B$1)</f>
        <v>3.29</v>
      </c>
      <c r="Z29" s="100">
        <f>_xll.EQNXTDZ($A$1,$B29,Z$1,$B$1)</f>
        <v>0</v>
      </c>
      <c r="AA29" s="100">
        <f>_xll.EQNXTDZ($A$1,$B29,AA$1,$B$1)</f>
        <v>304.8</v>
      </c>
      <c r="AB29" s="100">
        <f>_xll.EQNXTDZ($A$1,$B29,AB$1,$B$1)</f>
        <v>275.51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20.5</v>
      </c>
      <c r="D30" s="100">
        <f>_xll.EQNXTDZ($A$1,$B30,D$1,$B$1)</f>
        <v>17.670000000000002</v>
      </c>
      <c r="E30" s="100">
        <f>_xll.EQNXTDZ($A$1,$B30,E$1,$B$1)</f>
        <v>18.03</v>
      </c>
      <c r="F30" s="100">
        <f>_xll.EQNXTDZ($A$1,$B30,F$1,$B$1)</f>
        <v>28.34</v>
      </c>
      <c r="G30" s="100">
        <f>_xll.EQNXTDZ($A$1,$B30,G$1,$B$1)</f>
        <v>60.23</v>
      </c>
      <c r="H30" s="100">
        <f>_xll.EQNXTDZ($A$1,$B30,H$1,$B$1)</f>
        <v>90.35</v>
      </c>
      <c r="I30" s="100">
        <f>_xll.EQNXTDZ($A$1,$B30,I$1,$B$1)</f>
        <v>196.52</v>
      </c>
      <c r="J30" s="100">
        <f>_xll.EQNXTDZ($A$1,$B30,J$1,$B$1)</f>
        <v>246.98</v>
      </c>
      <c r="K30" s="100">
        <f>_xll.EQNXTDZ($A$1,$B30,K$1,$B$1)</f>
        <v>155.77000000000001</v>
      </c>
      <c r="L30" s="100">
        <f>_xll.EQNXTDZ($A$1,$B30,L$1,$B$1)</f>
        <v>84.71</v>
      </c>
      <c r="M30" s="100">
        <f>_xll.EQNXTDZ($A$1,$B30,M$1,$B$1)</f>
        <v>92.1</v>
      </c>
      <c r="N30" s="100">
        <f>_xll.EQNXTDZ($A$1,$B30,N$1,$B$1)</f>
        <v>121.75</v>
      </c>
      <c r="O30" s="100">
        <f>_xll.EQNXTDZ($A$1,$B30,O$1,$B$1)</f>
        <v>98.96</v>
      </c>
      <c r="P30" s="100">
        <f>_xll.EQNXTDZ($A$1,$B30,P$1,$B$1)</f>
        <v>110.95</v>
      </c>
      <c r="Q30" s="100">
        <f>_xll.EQNXTDZ($A$1,$B30,Q$1,$B$1)</f>
        <v>114.6</v>
      </c>
      <c r="R30" s="100">
        <f>_xll.EQNXTDZ($A$1,$B30,R$1,$B$1)</f>
        <v>90.63</v>
      </c>
      <c r="S30" s="100">
        <f>_xll.EQNXTDZ($A$1,$B30,S$1,$B$1)</f>
        <v>113.74</v>
      </c>
      <c r="T30" s="100">
        <f>_xll.EQNXTDZ($A$1,$B30,T$1,$B$1)</f>
        <v>121.06</v>
      </c>
      <c r="U30" s="100">
        <f>_xll.EQNXTDZ($A$1,$B30,U$1,$B$1)</f>
        <v>157.12</v>
      </c>
      <c r="V30" s="100">
        <f>_xll.EQNXTDZ($A$1,$B30,V$1,$B$1)</f>
        <v>44.77</v>
      </c>
      <c r="W30" s="100">
        <f>_xll.EQNXTDZ($A$1,$B30,W$1,$B$1)</f>
        <v>-155.33000000000001</v>
      </c>
      <c r="X30" s="100">
        <f>_xll.EQNXTDZ($A$1,$B30,X$1,$B$1)</f>
        <v>-35.78</v>
      </c>
      <c r="Y30" s="100">
        <f>_xll.EQNXTDZ($A$1,$B30,Y$1,$B$1)</f>
        <v>323.20999999999998</v>
      </c>
      <c r="Z30" s="100">
        <f>_xll.EQNXTDZ($A$1,$B30,Z$1,$B$1)</f>
        <v>463.94</v>
      </c>
      <c r="AA30" s="100">
        <f>_xll.EQNXTDZ($A$1,$B30,AA$1,$B$1)</f>
        <v>616.79999999999995</v>
      </c>
      <c r="AB30" s="100">
        <f>_xll.EQNXTDZ($A$1,$B30,AB$1,$B$1)</f>
        <v>730.72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8.48</v>
      </c>
      <c r="E32" s="100">
        <f>_xll.EQNXTDZ($A$1,$B32,E$1,$B$1)</f>
        <v>9.42</v>
      </c>
      <c r="F32" s="100">
        <f>_xll.EQNXTDZ($A$1,$B32,F$1,$B$1)</f>
        <v>8.68</v>
      </c>
      <c r="G32" s="100">
        <f>_xll.EQNXTDZ($A$1,$B32,G$1,$B$1)</f>
        <v>21.26</v>
      </c>
      <c r="H32" s="100">
        <f>_xll.EQNXTDZ($A$1,$B32,H$1,$B$1)</f>
        <v>-14.43</v>
      </c>
      <c r="I32" s="100">
        <f>_xll.EQNXTDZ($A$1,$B32,I$1,$B$1)</f>
        <v>-20.11</v>
      </c>
      <c r="J32" s="100">
        <f>_xll.EQNXTDZ($A$1,$B32,J$1,$B$1)</f>
        <v>-22.74</v>
      </c>
      <c r="K32" s="100">
        <f>_xll.EQNXTDZ($A$1,$B32,K$1,$B$1)</f>
        <v>-15.77</v>
      </c>
      <c r="L32" s="100">
        <f>_xll.EQNXTDZ($A$1,$B32,L$1,$B$1)</f>
        <v>-13.91</v>
      </c>
      <c r="M32" s="100">
        <f>_xll.EQNXTDZ($A$1,$B32,M$1,$B$1)</f>
        <v>-11.66</v>
      </c>
      <c r="N32" s="100">
        <f>_xll.EQNXTDZ($A$1,$B32,N$1,$B$1)</f>
        <v>-38.4</v>
      </c>
      <c r="O32" s="100">
        <f>_xll.EQNXTDZ($A$1,$B32,O$1,$B$1)</f>
        <v>-40.86</v>
      </c>
      <c r="P32" s="100">
        <f>_xll.EQNXTDZ($A$1,$B32,P$1,$B$1)</f>
        <v>-17.489999999999998</v>
      </c>
      <c r="Q32" s="100">
        <f>_xll.EQNXTDZ($A$1,$B32,Q$1,$B$1)</f>
        <v>-30.98</v>
      </c>
      <c r="R32" s="100">
        <f>_xll.EQNXTDZ($A$1,$B32,R$1,$B$1)</f>
        <v>-27.87</v>
      </c>
      <c r="S32" s="100">
        <f>_xll.EQNXTDZ($A$1,$B32,S$1,$B$1)</f>
        <v>-17.600000000000001</v>
      </c>
      <c r="T32" s="100">
        <f>_xll.EQNXTDZ($A$1,$B32,T$1,$B$1)</f>
        <v>-2.65</v>
      </c>
      <c r="U32" s="100">
        <f>_xll.EQNXTDZ($A$1,$B32,U$1,$B$1)</f>
        <v>-9.3000000000000007</v>
      </c>
      <c r="V32" s="100">
        <f>_xll.EQNXTDZ($A$1,$B32,V$1,$B$1)</f>
        <v>-9.32</v>
      </c>
      <c r="W32" s="100">
        <f>_xll.EQNXTDZ($A$1,$B32,W$1,$B$1)</f>
        <v>75.52</v>
      </c>
      <c r="X32" s="100">
        <f>_xll.EQNXTDZ($A$1,$B32,X$1,$B$1)</f>
        <v>17.25</v>
      </c>
      <c r="Y32" s="100">
        <f>_xll.EQNXTDZ($A$1,$B32,Y$1,$B$1)</f>
        <v>-50.24</v>
      </c>
      <c r="Z32" s="100">
        <f>_xll.EQNXTDZ($A$1,$B32,Z$1,$B$1)</f>
        <v>-71.17</v>
      </c>
      <c r="AA32" s="100">
        <f>_xll.EQNXTDZ($A$1,$B32,AA$1,$B$1)</f>
        <v>-130.5</v>
      </c>
      <c r="AB32" s="100">
        <f>_xll.EQNXTDZ($A$1,$B32,AB$1,$B$1)</f>
        <v>-162.87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9.7200000000000006</v>
      </c>
      <c r="F33" s="100">
        <f>_xll.EQNXTDZ($A$1,$B33,F$1,$B$1)</f>
        <v>11.14</v>
      </c>
      <c r="G33" s="100">
        <f>_xll.EQNXTDZ($A$1,$B33,G$1,$B$1)</f>
        <v>27.8</v>
      </c>
      <c r="H33" s="100">
        <f>_xll.EQNXTDZ($A$1,$B33,H$1,$B$1)</f>
        <v>39.450000000000003</v>
      </c>
      <c r="I33" s="100">
        <f>_xll.EQNXTDZ($A$1,$B33,I$1,$B$1)</f>
        <v>54.39</v>
      </c>
      <c r="J33" s="100">
        <f>_xll.EQNXTDZ($A$1,$B33,J$1,$B$1)</f>
        <v>64.180000000000007</v>
      </c>
      <c r="K33" s="100">
        <f>_xll.EQNXTDZ($A$1,$B33,K$1,$B$1)</f>
        <v>25.49</v>
      </c>
      <c r="L33" s="100">
        <f>_xll.EQNXTDZ($A$1,$B33,L$1,$B$1)</f>
        <v>-4.57</v>
      </c>
      <c r="M33" s="100">
        <f>_xll.EQNXTDZ($A$1,$B33,M$1,$B$1)</f>
        <v>-6.73</v>
      </c>
      <c r="N33" s="100">
        <f>_xll.EQNXTDZ($A$1,$B33,N$1,$B$1)</f>
        <v>15.64</v>
      </c>
      <c r="O33" s="100">
        <f>_xll.EQNXTDZ($A$1,$B33,O$1,$B$1)</f>
        <v>1.37</v>
      </c>
      <c r="P33" s="100">
        <f>_xll.EQNXTDZ($A$1,$B33,P$1,$B$1)</f>
        <v>-13.25</v>
      </c>
      <c r="Q33" s="100">
        <f>_xll.EQNXTDZ($A$1,$B33,Q$1,$B$1)</f>
        <v>-0.04</v>
      </c>
      <c r="R33" s="100">
        <f>_xll.EQNXTDZ($A$1,$B33,R$1,$B$1)</f>
        <v>-21.41</v>
      </c>
      <c r="S33" s="100">
        <f>_xll.EQNXTDZ($A$1,$B33,S$1,$B$1)</f>
        <v>37.56</v>
      </c>
      <c r="T33" s="100">
        <f>_xll.EQNXTDZ($A$1,$B33,T$1,$B$1)</f>
        <v>40.29</v>
      </c>
      <c r="U33" s="100">
        <f>_xll.EQNXTDZ($A$1,$B33,U$1,$B$1)</f>
        <v>51.53</v>
      </c>
      <c r="V33" s="100">
        <f>_xll.EQNXTDZ($A$1,$B33,V$1,$B$1)</f>
        <v>12.97</v>
      </c>
      <c r="W33" s="100">
        <f>_xll.EQNXTDZ($A$1,$B33,W$1,$B$1)</f>
        <v>-101.42</v>
      </c>
      <c r="X33" s="100">
        <f>_xll.EQNXTDZ($A$1,$B33,X$1,$B$1)</f>
        <v>-42.57</v>
      </c>
      <c r="Y33" s="100">
        <f>_xll.EQNXTDZ($A$1,$B33,Y$1,$B$1)</f>
        <v>81.400000000000006</v>
      </c>
      <c r="Z33" s="100">
        <f>_xll.EQNXTDZ($A$1,$B33,Z$1,$B$1)</f>
        <v>128.65</v>
      </c>
      <c r="AA33" s="100">
        <f>_xll.EQNXTDZ($A$1,$B33,AA$1,$B$1)</f>
        <v>76.84</v>
      </c>
      <c r="AB33" s="100">
        <f>_xll.EQNXTDZ($A$1,$B33,AB$1,$B$1)</f>
        <v>52.11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116.79</v>
      </c>
      <c r="D35" s="100">
        <f>_xll.EQNXTDZ($A$1,$B35,D$1,$B$1)</f>
        <v>21.8</v>
      </c>
      <c r="E35" s="100">
        <f>_xll.EQNXTDZ($A$1,$B35,E$1,$B$1)</f>
        <v>28.07</v>
      </c>
      <c r="F35" s="100">
        <f>_xll.EQNXTDZ($A$1,$B35,F$1,$B$1)</f>
        <v>71.989999999999995</v>
      </c>
      <c r="G35" s="100">
        <f>_xll.EQNXTDZ($A$1,$B35,G$1,$B$1)</f>
        <v>128.5</v>
      </c>
      <c r="H35" s="100">
        <f>_xll.EQNXTDZ($A$1,$B35,H$1,$B$1)</f>
        <v>248.74</v>
      </c>
      <c r="I35" s="100">
        <f>_xll.EQNXTDZ($A$1,$B35,I$1,$B$1)</f>
        <v>370.31</v>
      </c>
      <c r="J35" s="100">
        <f>_xll.EQNXTDZ($A$1,$B35,J$1,$B$1)</f>
        <v>354.98</v>
      </c>
      <c r="K35" s="100">
        <f>_xll.EQNXTDZ($A$1,$B35,K$1,$B$1)</f>
        <v>12.46</v>
      </c>
      <c r="L35" s="100">
        <f>_xll.EQNXTDZ($A$1,$B35,L$1,$B$1)</f>
        <v>-136.88</v>
      </c>
      <c r="M35" s="100">
        <f>_xll.EQNXTDZ($A$1,$B35,M$1,$B$1)</f>
        <v>-87.26</v>
      </c>
      <c r="N35" s="100">
        <f>_xll.EQNXTDZ($A$1,$B35,N$1,$B$1)</f>
        <v>3.06</v>
      </c>
      <c r="O35" s="100">
        <f>_xll.EQNXTDZ($A$1,$B35,O$1,$B$1)</f>
        <v>-430.24</v>
      </c>
      <c r="P35" s="100">
        <f>_xll.EQNXTDZ($A$1,$B35,P$1,$B$1)</f>
        <v>-553.85</v>
      </c>
      <c r="Q35" s="100">
        <f>_xll.EQNXTDZ($A$1,$B35,Q$1,$B$1)</f>
        <v>-378.1</v>
      </c>
      <c r="R35" s="100">
        <f>_xll.EQNXTDZ($A$1,$B35,R$1,$B$1)</f>
        <v>-231.08</v>
      </c>
      <c r="S35" s="100">
        <f>_xll.EQNXTDZ($A$1,$B35,S$1,$B$1)</f>
        <v>-63.2</v>
      </c>
      <c r="T35" s="100">
        <f>_xll.EQNXTDZ($A$1,$B35,T$1,$B$1)</f>
        <v>100.87</v>
      </c>
      <c r="U35" s="100">
        <f>_xll.EQNXTDZ($A$1,$B35,U$1,$B$1)</f>
        <v>286.82</v>
      </c>
      <c r="V35" s="100">
        <f>_xll.EQNXTDZ($A$1,$B35,V$1,$B$1)</f>
        <v>354.42</v>
      </c>
      <c r="W35" s="100">
        <f>_xll.EQNXTDZ($A$1,$B35,W$1,$B$1)</f>
        <v>-720.11</v>
      </c>
      <c r="X35" s="100">
        <f>_xll.EQNXTDZ($A$1,$B35,X$1,$B$1)</f>
        <v>-247.72</v>
      </c>
      <c r="Y35" s="100">
        <f>_xll.EQNXTDZ($A$1,$B35,Y$1,$B$1)</f>
        <v>1002.59</v>
      </c>
      <c r="Z35" s="100">
        <f>_xll.EQNXTDZ($A$1,$B35,Z$1,$B$1)</f>
        <v>1259.07</v>
      </c>
      <c r="AA35" s="100">
        <f>_xll.EQNXTDZ($A$1,$B35,AA$1,$B$1)</f>
        <v>1907.59</v>
      </c>
      <c r="AB35" s="100">
        <f>_xll.EQNXTDZ($A$1,$B35,AB$1,$B$1)</f>
        <v>2084.38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45.12</v>
      </c>
      <c r="D41" s="55">
        <f>_xll.EQNXTDZ($A$1,$B41,D$1,$B$1)</f>
        <v>45.12</v>
      </c>
      <c r="E41" s="55">
        <f>_xll.EQNXTDZ($A$1,$B41,E$1,$B$1)</f>
        <v>45.12</v>
      </c>
      <c r="F41" s="55">
        <f>_xll.EQNXTDZ($A$1,$B41,F$1,$B$1)</f>
        <v>45.12</v>
      </c>
      <c r="G41" s="55">
        <f>_xll.EQNXTDZ($A$1,$B41,G$1,$B$1)</f>
        <v>46.41</v>
      </c>
      <c r="H41" s="55">
        <f>_xll.EQNXTDZ($A$1,$B41,H$1,$B$1)</f>
        <v>56.67</v>
      </c>
      <c r="I41" s="55">
        <f>_xll.EQNXTDZ($A$1,$B41,I$1,$B$1)</f>
        <v>58.67</v>
      </c>
      <c r="J41" s="55">
        <f>_xll.EQNXTDZ($A$1,$B41,J$1,$B$1)</f>
        <v>60.29</v>
      </c>
      <c r="K41" s="55">
        <f>_xll.EQNXTDZ($A$1,$B41,K$1,$B$1)</f>
        <v>192.34</v>
      </c>
      <c r="L41" s="55">
        <f>_xll.EQNXTDZ($A$1,$B41,L$1,$B$1)</f>
        <v>192.35</v>
      </c>
      <c r="M41" s="55">
        <f>_xll.EQNXTDZ($A$1,$B41,M$1,$B$1)</f>
        <v>215.95</v>
      </c>
      <c r="N41" s="55">
        <f>_xll.EQNXTDZ($A$1,$B41,N$1,$B$1)</f>
        <v>75.61</v>
      </c>
      <c r="O41" s="55">
        <f>_xll.EQNXTDZ($A$1,$B41,O$1,$B$1)</f>
        <v>80.75</v>
      </c>
      <c r="P41" s="55">
        <f>_xll.EQNXTDZ($A$1,$B41,P$1,$B$1)</f>
        <v>80.75</v>
      </c>
      <c r="Q41" s="55">
        <f>_xll.EQNXTDZ($A$1,$B41,Q$1,$B$1)</f>
        <v>80.75</v>
      </c>
      <c r="R41" s="55">
        <f>_xll.EQNXTDZ($A$1,$B41,R$1,$B$1)</f>
        <v>98.93</v>
      </c>
      <c r="S41" s="55">
        <f>_xll.EQNXTDZ($A$1,$B41,S$1,$B$1)</f>
        <v>98.93</v>
      </c>
      <c r="T41" s="55">
        <f>_xll.EQNXTDZ($A$1,$B41,T$1,$B$1)</f>
        <v>118.93</v>
      </c>
      <c r="U41" s="55">
        <f>_xll.EQNXTDZ($A$1,$B41,U$1,$B$1)</f>
        <v>118.93</v>
      </c>
      <c r="V41" s="55">
        <f>_xll.EQNXTDZ($A$1,$B41,V$1,$B$1)</f>
        <v>118.93</v>
      </c>
      <c r="W41" s="55">
        <f>_xll.EQNXTDZ($A$1,$B41,W$1,$B$1)</f>
        <v>118.93</v>
      </c>
      <c r="X41" s="55">
        <f>_xll.EQNXTDZ($A$1,$B41,X$1,$B$1)</f>
        <v>142.04</v>
      </c>
      <c r="Y41" s="55">
        <f>_xll.EQNXTDZ($A$1,$B41,Y$1,$B$1)</f>
        <v>142.04</v>
      </c>
      <c r="Z41" s="55">
        <f>_xll.EQNXTDZ($A$1,$B41,Z$1,$B$1)</f>
        <v>142.34</v>
      </c>
      <c r="AA41" s="55">
        <f>_xll.EQNXTDZ($A$1,$B41,AA$1,$B$1)</f>
        <v>142.34</v>
      </c>
      <c r="AB41" s="55">
        <f>_xll.EQNXTDZ($A$1,$B41,AB$1,$B$1)</f>
        <v>142.34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3.84</v>
      </c>
      <c r="H42" s="55">
        <f>_xll.EQNXTDZ($A$1,$B42,H$1,$B$1)</f>
        <v>1.74</v>
      </c>
      <c r="I42" s="55">
        <f>_xll.EQNXTDZ($A$1,$B42,I$1,$B$1)</f>
        <v>1.62</v>
      </c>
      <c r="J42" s="55">
        <f>_xll.EQNXTDZ($A$1,$B42,J$1,$B$1)</f>
        <v>19.97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124.37</v>
      </c>
      <c r="N42" s="55">
        <f>_xll.EQNXTDZ($A$1,$B42,N$1,$B$1)</f>
        <v>124.37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980.1</v>
      </c>
      <c r="D43" s="55">
        <f>_xll.EQNXTDZ($A$1,$B43,D$1,$B$1)</f>
        <v>981.09</v>
      </c>
      <c r="E43" s="55">
        <f>_xll.EQNXTDZ($A$1,$B43,E$1,$B$1)</f>
        <v>1023.08</v>
      </c>
      <c r="F43" s="55">
        <f>_xll.EQNXTDZ($A$1,$B43,F$1,$B$1)</f>
        <v>1025.4000000000001</v>
      </c>
      <c r="G43" s="55">
        <f>_xll.EQNXTDZ($A$1,$B43,G$1,$B$1)</f>
        <v>1269.92</v>
      </c>
      <c r="H43" s="55">
        <f>_xll.EQNXTDZ($A$1,$B43,H$1,$B$1)</f>
        <v>1873.73</v>
      </c>
      <c r="I43" s="55">
        <f>_xll.EQNXTDZ($A$1,$B43,I$1,$B$1)</f>
        <v>2036.33</v>
      </c>
      <c r="J43" s="55">
        <f>_xll.EQNXTDZ($A$1,$B43,J$1,$B$1)</f>
        <v>2188.83</v>
      </c>
      <c r="K43" s="55">
        <f>_xll.EQNXTDZ($A$1,$B43,K$1,$B$1)</f>
        <v>3105.55</v>
      </c>
      <c r="L43" s="55">
        <f>_xll.EQNXTDZ($A$1,$B43,L$1,$B$1)</f>
        <v>2352.8000000000002</v>
      </c>
      <c r="M43" s="55">
        <f>_xll.EQNXTDZ($A$1,$B43,M$1,$B$1)</f>
        <v>2570.13</v>
      </c>
      <c r="N43" s="55">
        <f>_xll.EQNXTDZ($A$1,$B43,N$1,$B$1)</f>
        <v>2893.72</v>
      </c>
      <c r="O43" s="55">
        <f>_xll.EQNXTDZ($A$1,$B43,O$1,$B$1)</f>
        <v>2898.53</v>
      </c>
      <c r="P43" s="55">
        <f>_xll.EQNXTDZ($A$1,$B43,P$1,$B$1)</f>
        <v>2555.71</v>
      </c>
      <c r="Q43" s="55">
        <f>_xll.EQNXTDZ($A$1,$B43,Q$1,$B$1)</f>
        <v>2146.4699999999998</v>
      </c>
      <c r="R43" s="55">
        <f>_xll.EQNXTDZ($A$1,$B43,R$1,$B$1)</f>
        <v>2481.3200000000002</v>
      </c>
      <c r="S43" s="55">
        <f>_xll.EQNXTDZ($A$1,$B43,S$1,$B$1)</f>
        <v>2418.7600000000002</v>
      </c>
      <c r="T43" s="55">
        <f>_xll.EQNXTDZ($A$1,$B43,T$1,$B$1)</f>
        <v>4062.17</v>
      </c>
      <c r="U43" s="55">
        <f>_xll.EQNXTDZ($A$1,$B43,U$1,$B$1)</f>
        <v>4229.07</v>
      </c>
      <c r="V43" s="55">
        <f>_xll.EQNXTDZ($A$1,$B43,V$1,$B$1)</f>
        <v>4237.88</v>
      </c>
      <c r="W43" s="55">
        <f>_xll.EQNXTDZ($A$1,$B43,W$1,$B$1)</f>
        <v>3529.51</v>
      </c>
      <c r="X43" s="55">
        <f>_xll.EQNXTDZ($A$1,$B43,X$1,$B$1)</f>
        <v>6920.21</v>
      </c>
      <c r="Y43" s="55">
        <f>_xll.EQNXTDZ($A$1,$B43,Y$1,$B$1)</f>
        <v>7839.92</v>
      </c>
      <c r="Z43" s="55">
        <f>_xll.EQNXTDZ($A$1,$B43,Z$1,$B$1)</f>
        <v>9314.31</v>
      </c>
      <c r="AA43" s="55">
        <f>_xll.EQNXTDZ($A$1,$B43,AA$1,$B$1)</f>
        <v>11018.37</v>
      </c>
      <c r="AB43" s="55">
        <f>_xll.EQNXTDZ($A$1,$B43,AB$1,$B$1)</f>
        <v>12909.95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1025.22</v>
      </c>
      <c r="D44" s="55">
        <f>_xll.EQNXTDZ($A$1,$B44,D$1,$B$1)</f>
        <v>1026.21</v>
      </c>
      <c r="E44" s="55">
        <f>_xll.EQNXTDZ($A$1,$B44,E$1,$B$1)</f>
        <v>1068.2</v>
      </c>
      <c r="F44" s="55">
        <f>_xll.EQNXTDZ($A$1,$B44,F$1,$B$1)</f>
        <v>1070.52</v>
      </c>
      <c r="G44" s="55">
        <f>_xll.EQNXTDZ($A$1,$B44,G$1,$B$1)</f>
        <v>1320.17</v>
      </c>
      <c r="H44" s="55">
        <f>_xll.EQNXTDZ($A$1,$B44,H$1,$B$1)</f>
        <v>1932.14</v>
      </c>
      <c r="I44" s="55">
        <f>_xll.EQNXTDZ($A$1,$B44,I$1,$B$1)</f>
        <v>2096.62</v>
      </c>
      <c r="J44" s="55">
        <f>_xll.EQNXTDZ($A$1,$B44,J$1,$B$1)</f>
        <v>2269.09</v>
      </c>
      <c r="K44" s="55">
        <f>_xll.EQNXTDZ($A$1,$B44,K$1,$B$1)</f>
        <v>3297.89</v>
      </c>
      <c r="L44" s="55">
        <f>_xll.EQNXTDZ($A$1,$B44,L$1,$B$1)</f>
        <v>2545.15</v>
      </c>
      <c r="M44" s="55">
        <f>_xll.EQNXTDZ($A$1,$B44,M$1,$B$1)</f>
        <v>2910.45</v>
      </c>
      <c r="N44" s="55">
        <f>_xll.EQNXTDZ($A$1,$B44,N$1,$B$1)</f>
        <v>3093.7</v>
      </c>
      <c r="O44" s="55">
        <f>_xll.EQNXTDZ($A$1,$B44,O$1,$B$1)</f>
        <v>2979.28</v>
      </c>
      <c r="P44" s="55">
        <f>_xll.EQNXTDZ($A$1,$B44,P$1,$B$1)</f>
        <v>2636.46</v>
      </c>
      <c r="Q44" s="55">
        <f>_xll.EQNXTDZ($A$1,$B44,Q$1,$B$1)</f>
        <v>2227.2199999999998</v>
      </c>
      <c r="R44" s="55">
        <f>_xll.EQNXTDZ($A$1,$B44,R$1,$B$1)</f>
        <v>2580.25</v>
      </c>
      <c r="S44" s="55">
        <f>_xll.EQNXTDZ($A$1,$B44,S$1,$B$1)</f>
        <v>2517.69</v>
      </c>
      <c r="T44" s="55">
        <f>_xll.EQNXTDZ($A$1,$B44,T$1,$B$1)</f>
        <v>4181.1000000000004</v>
      </c>
      <c r="U44" s="55">
        <f>_xll.EQNXTDZ($A$1,$B44,U$1,$B$1)</f>
        <v>4348</v>
      </c>
      <c r="V44" s="55">
        <f>_xll.EQNXTDZ($A$1,$B44,V$1,$B$1)</f>
        <v>4356.8100000000004</v>
      </c>
      <c r="W44" s="55">
        <f>_xll.EQNXTDZ($A$1,$B44,W$1,$B$1)</f>
        <v>3648.44</v>
      </c>
      <c r="X44" s="55">
        <f>_xll.EQNXTDZ($A$1,$B44,X$1,$B$1)</f>
        <v>7062.25</v>
      </c>
      <c r="Y44" s="55">
        <f>_xll.EQNXTDZ($A$1,$B44,Y$1,$B$1)</f>
        <v>7981.96</v>
      </c>
      <c r="Z44" s="55">
        <f>_xll.EQNXTDZ($A$1,$B44,Z$1,$B$1)</f>
        <v>9456.65</v>
      </c>
      <c r="AA44" s="55">
        <f>_xll.EQNXTDZ($A$1,$B44,AA$1,$B$1)</f>
        <v>11160.71</v>
      </c>
      <c r="AB44" s="55">
        <f>_xll.EQNXTDZ($A$1,$B44,AB$1,$B$1)</f>
        <v>13052.29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196.93</v>
      </c>
      <c r="E45" s="55">
        <f>_xll.EQNXTDZ($A$1,$B45,E$1,$B$1)</f>
        <v>175.91</v>
      </c>
      <c r="F45" s="55">
        <f>_xll.EQNXTDZ($A$1,$B45,F$1,$B$1)</f>
        <v>178.4</v>
      </c>
      <c r="G45" s="55">
        <f>_xll.EQNXTDZ($A$1,$B45,G$1,$B$1)</f>
        <v>230.04</v>
      </c>
      <c r="H45" s="55">
        <f>_xll.EQNXTDZ($A$1,$B45,H$1,$B$1)</f>
        <v>239.86</v>
      </c>
      <c r="I45" s="55">
        <f>_xll.EQNXTDZ($A$1,$B45,I$1,$B$1)</f>
        <v>275.83999999999997</v>
      </c>
      <c r="J45" s="55">
        <f>_xll.EQNXTDZ($A$1,$B45,J$1,$B$1)</f>
        <v>282.01</v>
      </c>
      <c r="K45" s="55">
        <f>_xll.EQNXTDZ($A$1,$B45,K$1,$B$1)</f>
        <v>274.11</v>
      </c>
      <c r="L45" s="55">
        <f>_xll.EQNXTDZ($A$1,$B45,L$1,$B$1)</f>
        <v>272.74</v>
      </c>
      <c r="M45" s="55">
        <f>_xll.EQNXTDZ($A$1,$B45,M$1,$B$1)</f>
        <v>296.72000000000003</v>
      </c>
      <c r="N45" s="55">
        <f>_xll.EQNXTDZ($A$1,$B45,N$1,$B$1)</f>
        <v>646.9</v>
      </c>
      <c r="O45" s="55">
        <f>_xll.EQNXTDZ($A$1,$B45,O$1,$B$1)</f>
        <v>707.72</v>
      </c>
      <c r="P45" s="55">
        <f>_xll.EQNXTDZ($A$1,$B45,P$1,$B$1)</f>
        <v>735.86</v>
      </c>
      <c r="Q45" s="55">
        <f>_xll.EQNXTDZ($A$1,$B45,Q$1,$B$1)</f>
        <v>737.84</v>
      </c>
      <c r="R45" s="55">
        <f>_xll.EQNXTDZ($A$1,$B45,R$1,$B$1)</f>
        <v>742.93</v>
      </c>
      <c r="S45" s="55">
        <f>_xll.EQNXTDZ($A$1,$B45,S$1,$B$1)</f>
        <v>737.82</v>
      </c>
      <c r="T45" s="55">
        <f>_xll.EQNXTDZ($A$1,$B45,T$1,$B$1)</f>
        <v>777.39</v>
      </c>
      <c r="U45" s="55">
        <f>_xll.EQNXTDZ($A$1,$B45,U$1,$B$1)</f>
        <v>799.86</v>
      </c>
      <c r="V45" s="55">
        <f>_xll.EQNXTDZ($A$1,$B45,V$1,$B$1)</f>
        <v>764.9</v>
      </c>
      <c r="W45" s="55">
        <f>_xll.EQNXTDZ($A$1,$B45,W$1,$B$1)</f>
        <v>634.57000000000005</v>
      </c>
      <c r="X45" s="55">
        <f>_xll.EQNXTDZ($A$1,$B45,X$1,$B$1)</f>
        <v>593.01</v>
      </c>
      <c r="Y45" s="55">
        <f>_xll.EQNXTDZ($A$1,$B45,Y$1,$B$1)</f>
        <v>660.09</v>
      </c>
      <c r="Z45" s="55">
        <f>_xll.EQNXTDZ($A$1,$B45,Z$1,$B$1)</f>
        <v>672.06</v>
      </c>
      <c r="AA45" s="55">
        <f>_xll.EQNXTDZ($A$1,$B45,AA$1,$B$1)</f>
        <v>1254.9000000000001</v>
      </c>
      <c r="AB45" s="55">
        <f>_xll.EQNXTDZ($A$1,$B45,AB$1,$B$1)</f>
        <v>1887.03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381.55</v>
      </c>
      <c r="D47" s="55">
        <f>_xll.EQNXTDZ($A$1,$B47,D$1,$B$1)</f>
        <v>1299.82</v>
      </c>
      <c r="E47" s="55">
        <f>_xll.EQNXTDZ($A$1,$B47,E$1,$B$1)</f>
        <v>1245.6500000000001</v>
      </c>
      <c r="F47" s="55">
        <f>_xll.EQNXTDZ($A$1,$B47,F$1,$B$1)</f>
        <v>1103.8599999999999</v>
      </c>
      <c r="G47" s="55">
        <f>_xll.EQNXTDZ($A$1,$B47,G$1,$B$1)</f>
        <v>1343.78</v>
      </c>
      <c r="H47" s="55">
        <f>_xll.EQNXTDZ($A$1,$B47,H$1,$B$1)</f>
        <v>1353.06</v>
      </c>
      <c r="I47" s="55">
        <f>_xll.EQNXTDZ($A$1,$B47,I$1,$B$1)</f>
        <v>1701.56</v>
      </c>
      <c r="J47" s="55">
        <f>_xll.EQNXTDZ($A$1,$B47,J$1,$B$1)</f>
        <v>1631.57</v>
      </c>
      <c r="K47" s="55">
        <f>_xll.EQNXTDZ($A$1,$B47,K$1,$B$1)</f>
        <v>2659.6</v>
      </c>
      <c r="L47" s="55">
        <f>_xll.EQNXTDZ($A$1,$B47,L$1,$B$1)</f>
        <v>2566.41</v>
      </c>
      <c r="M47" s="55">
        <f>_xll.EQNXTDZ($A$1,$B47,M$1,$B$1)</f>
        <v>872.59</v>
      </c>
      <c r="N47" s="55">
        <f>_xll.EQNXTDZ($A$1,$B47,N$1,$B$1)</f>
        <v>1999.14</v>
      </c>
      <c r="O47" s="55">
        <f>_xll.EQNXTDZ($A$1,$B47,O$1,$B$1)</f>
        <v>2012.58</v>
      </c>
      <c r="P47" s="55">
        <f>_xll.EQNXTDZ($A$1,$B47,P$1,$B$1)</f>
        <v>1661.49</v>
      </c>
      <c r="Q47" s="55">
        <f>_xll.EQNXTDZ($A$1,$B47,Q$1,$B$1)</f>
        <v>2401.4699999999998</v>
      </c>
      <c r="R47" s="55">
        <f>_xll.EQNXTDZ($A$1,$B47,R$1,$B$1)</f>
        <v>2058.79</v>
      </c>
      <c r="S47" s="55">
        <f>_xll.EQNXTDZ($A$1,$B47,S$1,$B$1)</f>
        <v>1795.59</v>
      </c>
      <c r="T47" s="55">
        <f>_xll.EQNXTDZ($A$1,$B47,T$1,$B$1)</f>
        <v>1593.08</v>
      </c>
      <c r="U47" s="55">
        <f>_xll.EQNXTDZ($A$1,$B47,U$1,$B$1)</f>
        <v>957.67</v>
      </c>
      <c r="V47" s="55">
        <f>_xll.EQNXTDZ($A$1,$B47,V$1,$B$1)</f>
        <v>1922.18</v>
      </c>
      <c r="W47" s="55">
        <f>_xll.EQNXTDZ($A$1,$B47,W$1,$B$1)</f>
        <v>1775.05</v>
      </c>
      <c r="X47" s="55">
        <f>_xll.EQNXTDZ($A$1,$B47,X$1,$B$1)</f>
        <v>938.2</v>
      </c>
      <c r="Y47" s="55">
        <f>_xll.EQNXTDZ($A$1,$B47,Y$1,$B$1)</f>
        <v>280.83</v>
      </c>
      <c r="Z47" s="55">
        <f>_xll.EQNXTDZ($A$1,$B47,Z$1,$B$1)</f>
        <v>0</v>
      </c>
      <c r="AA47" s="55">
        <f>_xll.EQNXTDZ($A$1,$B47,AA$1,$B$1)</f>
        <v>159.13999999999999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173.76</v>
      </c>
      <c r="D48" s="55">
        <f>_xll.EQNXTDZ($A$1,$B48,D$1,$B$1)</f>
        <v>179.74</v>
      </c>
      <c r="E48" s="55">
        <f>_xll.EQNXTDZ($A$1,$B48,E$1,$B$1)</f>
        <v>221.1</v>
      </c>
      <c r="F48" s="55">
        <f>_xll.EQNXTDZ($A$1,$B48,F$1,$B$1)</f>
        <v>1011.02</v>
      </c>
      <c r="G48" s="55">
        <f>_xll.EQNXTDZ($A$1,$B48,G$1,$B$1)</f>
        <v>672.75</v>
      </c>
      <c r="H48" s="55">
        <f>_xll.EQNXTDZ($A$1,$B48,H$1,$B$1)</f>
        <v>181.27</v>
      </c>
      <c r="I48" s="55">
        <f>_xll.EQNXTDZ($A$1,$B48,I$1,$B$1)</f>
        <v>368.86</v>
      </c>
      <c r="J48" s="55">
        <f>_xll.EQNXTDZ($A$1,$B48,J$1,$B$1)</f>
        <v>1858.89</v>
      </c>
      <c r="K48" s="55">
        <f>_xll.EQNXTDZ($A$1,$B48,K$1,$B$1)</f>
        <v>2011.08</v>
      </c>
      <c r="L48" s="55">
        <f>_xll.EQNXTDZ($A$1,$B48,L$1,$B$1)</f>
        <v>1916.19</v>
      </c>
      <c r="M48" s="55">
        <f>_xll.EQNXTDZ($A$1,$B48,M$1,$B$1)</f>
        <v>1206.79</v>
      </c>
      <c r="N48" s="55">
        <f>_xll.EQNXTDZ($A$1,$B48,N$1,$B$1)</f>
        <v>1084.6400000000001</v>
      </c>
      <c r="O48" s="55">
        <f>_xll.EQNXTDZ($A$1,$B48,O$1,$B$1)</f>
        <v>1418.6</v>
      </c>
      <c r="P48" s="55">
        <f>_xll.EQNXTDZ($A$1,$B48,P$1,$B$1)</f>
        <v>1362.39</v>
      </c>
      <c r="Q48" s="55">
        <f>_xll.EQNXTDZ($A$1,$B48,Q$1,$B$1)</f>
        <v>2196.1999999999998</v>
      </c>
      <c r="R48" s="55">
        <f>_xll.EQNXTDZ($A$1,$B48,R$1,$B$1)</f>
        <v>1360.22</v>
      </c>
      <c r="S48" s="55">
        <f>_xll.EQNXTDZ($A$1,$B48,S$1,$B$1)</f>
        <v>994.27</v>
      </c>
      <c r="T48" s="55">
        <f>_xll.EQNXTDZ($A$1,$B48,T$1,$B$1)</f>
        <v>736.13</v>
      </c>
      <c r="U48" s="55">
        <f>_xll.EQNXTDZ($A$1,$B48,U$1,$B$1)</f>
        <v>729.85</v>
      </c>
      <c r="V48" s="55">
        <f>_xll.EQNXTDZ($A$1,$B48,V$1,$B$1)</f>
        <v>203.62</v>
      </c>
      <c r="W48" s="55">
        <f>_xll.EQNXTDZ($A$1,$B48,W$1,$B$1)</f>
        <v>448.78</v>
      </c>
      <c r="X48" s="55">
        <f>_xll.EQNXTDZ($A$1,$B48,X$1,$B$1)</f>
        <v>449.71</v>
      </c>
      <c r="Y48" s="55">
        <f>_xll.EQNXTDZ($A$1,$B48,Y$1,$B$1)</f>
        <v>50.15</v>
      </c>
      <c r="Z48" s="55">
        <f>_xll.EQNXTDZ($A$1,$B48,Z$1,$B$1)</f>
        <v>46.74</v>
      </c>
      <c r="AA48" s="55">
        <f>_xll.EQNXTDZ($A$1,$B48,AA$1,$B$1)</f>
        <v>44.01</v>
      </c>
      <c r="AB48" s="55">
        <f>_xll.EQNXTDZ($A$1,$B48,AB$1,$B$1)</f>
        <v>46.6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61.64</v>
      </c>
      <c r="E49" s="55">
        <f>_xll.EQNXTDZ($A$1,$B49,E$1,$B$1)</f>
        <v>61.68</v>
      </c>
      <c r="F49" s="55">
        <f>_xll.EQNXTDZ($A$1,$B49,F$1,$B$1)</f>
        <v>68.27</v>
      </c>
      <c r="G49" s="55">
        <f>_xll.EQNXTDZ($A$1,$B49,G$1,$B$1)</f>
        <v>101.77</v>
      </c>
      <c r="H49" s="55">
        <f>_xll.EQNXTDZ($A$1,$B49,H$1,$B$1)</f>
        <v>71.930000000000007</v>
      </c>
      <c r="I49" s="55">
        <f>_xll.EQNXTDZ($A$1,$B49,I$1,$B$1)</f>
        <v>146.6</v>
      </c>
      <c r="J49" s="55">
        <f>_xll.EQNXTDZ($A$1,$B49,J$1,$B$1)</f>
        <v>148.53</v>
      </c>
      <c r="K49" s="55">
        <f>_xll.EQNXTDZ($A$1,$B49,K$1,$B$1)</f>
        <v>160.15</v>
      </c>
      <c r="L49" s="55">
        <f>_xll.EQNXTDZ($A$1,$B49,L$1,$B$1)</f>
        <v>-14.36</v>
      </c>
      <c r="M49" s="55">
        <f>_xll.EQNXTDZ($A$1,$B49,M$1,$B$1)</f>
        <v>44.06</v>
      </c>
      <c r="N49" s="55">
        <f>_xll.EQNXTDZ($A$1,$B49,N$1,$B$1)</f>
        <v>127.69</v>
      </c>
      <c r="O49" s="55">
        <f>_xll.EQNXTDZ($A$1,$B49,O$1,$B$1)</f>
        <v>124.34</v>
      </c>
      <c r="P49" s="55">
        <f>_xll.EQNXTDZ($A$1,$B49,P$1,$B$1)</f>
        <v>161.49</v>
      </c>
      <c r="Q49" s="55">
        <f>_xll.EQNXTDZ($A$1,$B49,Q$1,$B$1)</f>
        <v>248.54</v>
      </c>
      <c r="R49" s="55">
        <f>_xll.EQNXTDZ($A$1,$B49,R$1,$B$1)</f>
        <v>238.22</v>
      </c>
      <c r="S49" s="55">
        <f>_xll.EQNXTDZ($A$1,$B49,S$1,$B$1)</f>
        <v>282.04000000000002</v>
      </c>
      <c r="T49" s="55">
        <f>_xll.EQNXTDZ($A$1,$B49,T$1,$B$1)</f>
        <v>296.16000000000003</v>
      </c>
      <c r="U49" s="55">
        <f>_xll.EQNXTDZ($A$1,$B49,U$1,$B$1)</f>
        <v>307.33</v>
      </c>
      <c r="V49" s="55">
        <f>_xll.EQNXTDZ($A$1,$B49,V$1,$B$1)</f>
        <v>110.35</v>
      </c>
      <c r="W49" s="55">
        <f>_xll.EQNXTDZ($A$1,$B49,W$1,$B$1)</f>
        <v>-39.93</v>
      </c>
      <c r="X49" s="55">
        <f>_xll.EQNXTDZ($A$1,$B49,X$1,$B$1)</f>
        <v>-70.42</v>
      </c>
      <c r="Y49" s="55">
        <f>_xll.EQNXTDZ($A$1,$B49,Y$1,$B$1)</f>
        <v>-1.47</v>
      </c>
      <c r="Z49" s="55">
        <f>_xll.EQNXTDZ($A$1,$B49,Z$1,$B$1)</f>
        <v>21.3</v>
      </c>
      <c r="AA49" s="55">
        <f>_xll.EQNXTDZ($A$1,$B49,AA$1,$B$1)</f>
        <v>59.53</v>
      </c>
      <c r="AB49" s="55">
        <f>_xll.EQNXTDZ($A$1,$B49,AB$1,$B$1)</f>
        <v>84.38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23.26</v>
      </c>
      <c r="N50" s="55">
        <f>_xll.EQNXTDZ($A$1,$B50,N$1,$B$1)</f>
        <v>72.849999999999994</v>
      </c>
      <c r="O50" s="55">
        <f>_xll.EQNXTDZ($A$1,$B50,O$1,$B$1)</f>
        <v>72.2</v>
      </c>
      <c r="P50" s="55">
        <f>_xll.EQNXTDZ($A$1,$B50,P$1,$B$1)</f>
        <v>635.70000000000005</v>
      </c>
      <c r="Q50" s="55">
        <f>_xll.EQNXTDZ($A$1,$B50,Q$1,$B$1)</f>
        <v>584.97</v>
      </c>
      <c r="R50" s="55">
        <f>_xll.EQNXTDZ($A$1,$B50,R$1,$B$1)</f>
        <v>324.91000000000003</v>
      </c>
      <c r="S50" s="55">
        <f>_xll.EQNXTDZ($A$1,$B50,S$1,$B$1)</f>
        <v>353.29</v>
      </c>
      <c r="T50" s="55">
        <f>_xll.EQNXTDZ($A$1,$B50,T$1,$B$1)</f>
        <v>252.06</v>
      </c>
      <c r="U50" s="55">
        <f>_xll.EQNXTDZ($A$1,$B50,U$1,$B$1)</f>
        <v>177.08</v>
      </c>
      <c r="V50" s="55">
        <f>_xll.EQNXTDZ($A$1,$B50,V$1,$B$1)</f>
        <v>2060.7600000000002</v>
      </c>
      <c r="W50" s="55">
        <f>_xll.EQNXTDZ($A$1,$B50,W$1,$B$1)</f>
        <v>1888.02</v>
      </c>
      <c r="X50" s="55">
        <f>_xll.EQNXTDZ($A$1,$B50,X$1,$B$1)</f>
        <v>1900.02</v>
      </c>
      <c r="Y50" s="55">
        <f>_xll.EQNXTDZ($A$1,$B50,Y$1,$B$1)</f>
        <v>2312.98</v>
      </c>
      <c r="Z50" s="55">
        <f>_xll.EQNXTDZ($A$1,$B50,Z$1,$B$1)</f>
        <v>2440.6799999999998</v>
      </c>
      <c r="AA50" s="55">
        <f>_xll.EQNXTDZ($A$1,$B50,AA$1,$B$1)</f>
        <v>2811.25</v>
      </c>
      <c r="AB50" s="55">
        <f>_xll.EQNXTDZ($A$1,$B50,AB$1,$B$1)</f>
        <v>2729.51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3.76</v>
      </c>
      <c r="O51" s="55">
        <f>_xll.EQNXTDZ($A$1,$B51,O$1,$B$1)</f>
        <v>4.0199999999999996</v>
      </c>
      <c r="P51" s="55">
        <f>_xll.EQNXTDZ($A$1,$B51,P$1,$B$1)</f>
        <v>4.0599999999999996</v>
      </c>
      <c r="Q51" s="55">
        <f>_xll.EQNXTDZ($A$1,$B51,Q$1,$B$1)</f>
        <v>0.94</v>
      </c>
      <c r="R51" s="55">
        <f>_xll.EQNXTDZ($A$1,$B51,R$1,$B$1)</f>
        <v>4.38</v>
      </c>
      <c r="S51" s="55">
        <f>_xll.EQNXTDZ($A$1,$B51,S$1,$B$1)</f>
        <v>3.54</v>
      </c>
      <c r="T51" s="55">
        <f>_xll.EQNXTDZ($A$1,$B51,T$1,$B$1)</f>
        <v>1.49</v>
      </c>
      <c r="U51" s="55">
        <f>_xll.EQNXTDZ($A$1,$B51,U$1,$B$1)</f>
        <v>2.74</v>
      </c>
      <c r="V51" s="55">
        <f>_xll.EQNXTDZ($A$1,$B51,V$1,$B$1)</f>
        <v>1.23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592.78</v>
      </c>
      <c r="N52" s="55">
        <f>_xll.EQNXTDZ($A$1,$B52,N$1,$B$1)</f>
        <v>604.03</v>
      </c>
      <c r="O52" s="55">
        <f>_xll.EQNXTDZ($A$1,$B52,O$1,$B$1)</f>
        <v>695.98</v>
      </c>
      <c r="P52" s="55">
        <f>_xll.EQNXTDZ($A$1,$B52,P$1,$B$1)</f>
        <v>42.43</v>
      </c>
      <c r="Q52" s="55">
        <f>_xll.EQNXTDZ($A$1,$B52,Q$1,$B$1)</f>
        <v>54.44</v>
      </c>
      <c r="R52" s="55">
        <f>_xll.EQNXTDZ($A$1,$B52,R$1,$B$1)</f>
        <v>71.81</v>
      </c>
      <c r="S52" s="55">
        <f>_xll.EQNXTDZ($A$1,$B52,S$1,$B$1)</f>
        <v>75.56</v>
      </c>
      <c r="T52" s="55">
        <f>_xll.EQNXTDZ($A$1,$B52,T$1,$B$1)</f>
        <v>83.55</v>
      </c>
      <c r="U52" s="55">
        <f>_xll.EQNXTDZ($A$1,$B52,U$1,$B$1)</f>
        <v>102.33</v>
      </c>
      <c r="V52" s="55">
        <f>_xll.EQNXTDZ($A$1,$B52,V$1,$B$1)</f>
        <v>121.09</v>
      </c>
      <c r="W52" s="55">
        <f>_xll.EQNXTDZ($A$1,$B52,W$1,$B$1)</f>
        <v>91.74</v>
      </c>
      <c r="X52" s="55">
        <f>_xll.EQNXTDZ($A$1,$B52,X$1,$B$1)</f>
        <v>95.11</v>
      </c>
      <c r="Y52" s="55">
        <f>_xll.EQNXTDZ($A$1,$B52,Y$1,$B$1)</f>
        <v>106.88</v>
      </c>
      <c r="Z52" s="55">
        <f>_xll.EQNXTDZ($A$1,$B52,Z$1,$B$1)</f>
        <v>97.73</v>
      </c>
      <c r="AA52" s="55">
        <f>_xll.EQNXTDZ($A$1,$B52,AA$1,$B$1)</f>
        <v>130.29</v>
      </c>
      <c r="AB52" s="55">
        <f>_xll.EQNXTDZ($A$1,$B52,AB$1,$B$1)</f>
        <v>185.72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555.30999999999995</v>
      </c>
      <c r="D53" s="55">
        <f>_xll.EQNXTDZ($A$1,$B53,D$1,$B$1)</f>
        <v>1541.2</v>
      </c>
      <c r="E53" s="55">
        <f>_xll.EQNXTDZ($A$1,$B53,E$1,$B$1)</f>
        <v>1528.43</v>
      </c>
      <c r="F53" s="55">
        <f>_xll.EQNXTDZ($A$1,$B53,F$1,$B$1)</f>
        <v>2183.15</v>
      </c>
      <c r="G53" s="55">
        <f>_xll.EQNXTDZ($A$1,$B53,G$1,$B$1)</f>
        <v>2118.3000000000002</v>
      </c>
      <c r="H53" s="55">
        <f>_xll.EQNXTDZ($A$1,$B53,H$1,$B$1)</f>
        <v>1606.26</v>
      </c>
      <c r="I53" s="55">
        <f>_xll.EQNXTDZ($A$1,$B53,I$1,$B$1)</f>
        <v>2217.02</v>
      </c>
      <c r="J53" s="55">
        <f>_xll.EQNXTDZ($A$1,$B53,J$1,$B$1)</f>
        <v>3638.99</v>
      </c>
      <c r="K53" s="55">
        <f>_xll.EQNXTDZ($A$1,$B53,K$1,$B$1)</f>
        <v>4830.83</v>
      </c>
      <c r="L53" s="55">
        <f>_xll.EQNXTDZ($A$1,$B53,L$1,$B$1)</f>
        <v>4468.24</v>
      </c>
      <c r="M53" s="55">
        <f>_xll.EQNXTDZ($A$1,$B53,M$1,$B$1)</f>
        <v>2739.48</v>
      </c>
      <c r="N53" s="55">
        <f>_xll.EQNXTDZ($A$1,$B53,N$1,$B$1)</f>
        <v>3892.11</v>
      </c>
      <c r="O53" s="55">
        <f>_xll.EQNXTDZ($A$1,$B53,O$1,$B$1)</f>
        <v>4327.72</v>
      </c>
      <c r="P53" s="55">
        <f>_xll.EQNXTDZ($A$1,$B53,P$1,$B$1)</f>
        <v>3867.56</v>
      </c>
      <c r="Q53" s="55">
        <f>_xll.EQNXTDZ($A$1,$B53,Q$1,$B$1)</f>
        <v>5486.56</v>
      </c>
      <c r="R53" s="55">
        <f>_xll.EQNXTDZ($A$1,$B53,R$1,$B$1)</f>
        <v>4058.33</v>
      </c>
      <c r="S53" s="55">
        <f>_xll.EQNXTDZ($A$1,$B53,S$1,$B$1)</f>
        <v>3504.29</v>
      </c>
      <c r="T53" s="55">
        <f>_xll.EQNXTDZ($A$1,$B53,T$1,$B$1)</f>
        <v>2962.47</v>
      </c>
      <c r="U53" s="55">
        <f>_xll.EQNXTDZ($A$1,$B53,U$1,$B$1)</f>
        <v>2277</v>
      </c>
      <c r="V53" s="55">
        <f>_xll.EQNXTDZ($A$1,$B53,V$1,$B$1)</f>
        <v>4419.2299999999996</v>
      </c>
      <c r="W53" s="55">
        <f>_xll.EQNXTDZ($A$1,$B53,W$1,$B$1)</f>
        <v>4163.66</v>
      </c>
      <c r="X53" s="55">
        <f>_xll.EQNXTDZ($A$1,$B53,X$1,$B$1)</f>
        <v>3312.62</v>
      </c>
      <c r="Y53" s="55">
        <f>_xll.EQNXTDZ($A$1,$B53,Y$1,$B$1)</f>
        <v>2749.37</v>
      </c>
      <c r="Z53" s="55">
        <f>_xll.EQNXTDZ($A$1,$B53,Z$1,$B$1)</f>
        <v>2606.4499999999998</v>
      </c>
      <c r="AA53" s="55">
        <f>_xll.EQNXTDZ($A$1,$B53,AA$1,$B$1)</f>
        <v>3204.22</v>
      </c>
      <c r="AB53" s="55">
        <f>_xll.EQNXTDZ($A$1,$B53,AB$1,$B$1)</f>
        <v>3046.21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66.349999999999994</v>
      </c>
      <c r="D54" s="55">
        <f>_xll.EQNXTDZ($A$1,$B54,D$1,$B$1)</f>
        <v>80.44</v>
      </c>
      <c r="E54" s="55">
        <f>_xll.EQNXTDZ($A$1,$B54,E$1,$B$1)</f>
        <v>119.89</v>
      </c>
      <c r="F54" s="55">
        <f>_xll.EQNXTDZ($A$1,$B54,F$1,$B$1)</f>
        <v>119.08</v>
      </c>
      <c r="G54" s="55">
        <f>_xll.EQNXTDZ($A$1,$B54,G$1,$B$1)</f>
        <v>142.65</v>
      </c>
      <c r="H54" s="55">
        <f>_xll.EQNXTDZ($A$1,$B54,H$1,$B$1)</f>
        <v>199.66</v>
      </c>
      <c r="I54" s="55">
        <f>_xll.EQNXTDZ($A$1,$B54,I$1,$B$1)</f>
        <v>280.08999999999997</v>
      </c>
      <c r="J54" s="55">
        <f>_xll.EQNXTDZ($A$1,$B54,J$1,$B$1)</f>
        <v>260.22000000000003</v>
      </c>
      <c r="K54" s="55">
        <f>_xll.EQNXTDZ($A$1,$B54,K$1,$B$1)</f>
        <v>296.77999999999997</v>
      </c>
      <c r="L54" s="55">
        <f>_xll.EQNXTDZ($A$1,$B54,L$1,$B$1)</f>
        <v>336.15</v>
      </c>
      <c r="M54" s="55">
        <f>_xll.EQNXTDZ($A$1,$B54,M$1,$B$1)</f>
        <v>227.7</v>
      </c>
      <c r="N54" s="55">
        <f>_xll.EQNXTDZ($A$1,$B54,N$1,$B$1)</f>
        <v>313.89999999999998</v>
      </c>
      <c r="O54" s="55">
        <f>_xll.EQNXTDZ($A$1,$B54,O$1,$B$1)</f>
        <v>319.13</v>
      </c>
      <c r="P54" s="55">
        <f>_xll.EQNXTDZ($A$1,$B54,P$1,$B$1)</f>
        <v>341.33</v>
      </c>
      <c r="Q54" s="55">
        <f>_xll.EQNXTDZ($A$1,$B54,Q$1,$B$1)</f>
        <v>331.15</v>
      </c>
      <c r="R54" s="55">
        <f>_xll.EQNXTDZ($A$1,$B54,R$1,$B$1)</f>
        <v>287.27999999999997</v>
      </c>
      <c r="S54" s="55">
        <f>_xll.EQNXTDZ($A$1,$B54,S$1,$B$1)</f>
        <v>293.06</v>
      </c>
      <c r="T54" s="55">
        <f>_xll.EQNXTDZ($A$1,$B54,T$1,$B$1)</f>
        <v>339.95</v>
      </c>
      <c r="U54" s="55">
        <f>_xll.EQNXTDZ($A$1,$B54,U$1,$B$1)</f>
        <v>325.25</v>
      </c>
      <c r="V54" s="55">
        <f>_xll.EQNXTDZ($A$1,$B54,V$1,$B$1)</f>
        <v>389.32</v>
      </c>
      <c r="W54" s="55">
        <f>_xll.EQNXTDZ($A$1,$B54,W$1,$B$1)</f>
        <v>317.81</v>
      </c>
      <c r="X54" s="55">
        <f>_xll.EQNXTDZ($A$1,$B54,X$1,$B$1)</f>
        <v>387.33</v>
      </c>
      <c r="Y54" s="55">
        <f>_xll.EQNXTDZ($A$1,$B54,Y$1,$B$1)</f>
        <v>476.58</v>
      </c>
      <c r="Z54" s="55">
        <f>_xll.EQNXTDZ($A$1,$B54,Z$1,$B$1)</f>
        <v>519.37</v>
      </c>
      <c r="AA54" s="55">
        <f>_xll.EQNXTDZ($A$1,$B54,AA$1,$B$1)</f>
        <v>578.39</v>
      </c>
      <c r="AB54" s="55">
        <f>_xll.EQNXTDZ($A$1,$B54,AB$1,$B$1)</f>
        <v>719.78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61.71</v>
      </c>
      <c r="D55" s="55">
        <f>_xll.EQNXTDZ($A$1,$B55,D$1,$B$1)</f>
        <v>62.65</v>
      </c>
      <c r="E55" s="55">
        <f>_xll.EQNXTDZ($A$1,$B55,E$1,$B$1)</f>
        <v>88.33</v>
      </c>
      <c r="F55" s="55">
        <f>_xll.EQNXTDZ($A$1,$B55,F$1,$B$1)</f>
        <v>87.38</v>
      </c>
      <c r="G55" s="55">
        <f>_xll.EQNXTDZ($A$1,$B55,G$1,$B$1)</f>
        <v>104.65</v>
      </c>
      <c r="H55" s="55">
        <f>_xll.EQNXTDZ($A$1,$B55,H$1,$B$1)</f>
        <v>128.75</v>
      </c>
      <c r="I55" s="55">
        <f>_xll.EQNXTDZ($A$1,$B55,I$1,$B$1)</f>
        <v>178.86</v>
      </c>
      <c r="J55" s="55">
        <f>_xll.EQNXTDZ($A$1,$B55,J$1,$B$1)</f>
        <v>311.98</v>
      </c>
      <c r="K55" s="55">
        <f>_xll.EQNXTDZ($A$1,$B55,K$1,$B$1)</f>
        <v>258.77</v>
      </c>
      <c r="L55" s="55">
        <f>_xll.EQNXTDZ($A$1,$B55,L$1,$B$1)</f>
        <v>247.03</v>
      </c>
      <c r="M55" s="55">
        <f>_xll.EQNXTDZ($A$1,$B55,M$1,$B$1)</f>
        <v>2156.5700000000002</v>
      </c>
      <c r="N55" s="55">
        <f>_xll.EQNXTDZ($A$1,$B55,N$1,$B$1)</f>
        <v>965.43</v>
      </c>
      <c r="O55" s="55">
        <f>_xll.EQNXTDZ($A$1,$B55,O$1,$B$1)</f>
        <v>547.08000000000004</v>
      </c>
      <c r="P55" s="55">
        <f>_xll.EQNXTDZ($A$1,$B55,P$1,$B$1)</f>
        <v>1534.97</v>
      </c>
      <c r="Q55" s="55">
        <f>_xll.EQNXTDZ($A$1,$B55,Q$1,$B$1)</f>
        <v>961.63</v>
      </c>
      <c r="R55" s="55">
        <f>_xll.EQNXTDZ($A$1,$B55,R$1,$B$1)</f>
        <v>1905.5</v>
      </c>
      <c r="S55" s="55">
        <f>_xll.EQNXTDZ($A$1,$B55,S$1,$B$1)</f>
        <v>1392.59</v>
      </c>
      <c r="T55" s="55">
        <f>_xll.EQNXTDZ($A$1,$B55,T$1,$B$1)</f>
        <v>885.53</v>
      </c>
      <c r="U55" s="55">
        <f>_xll.EQNXTDZ($A$1,$B55,U$1,$B$1)</f>
        <v>1548.05</v>
      </c>
      <c r="V55" s="55">
        <f>_xll.EQNXTDZ($A$1,$B55,V$1,$B$1)</f>
        <v>1157.02</v>
      </c>
      <c r="W55" s="55">
        <f>_xll.EQNXTDZ($A$1,$B55,W$1,$B$1)</f>
        <v>2182.0100000000002</v>
      </c>
      <c r="X55" s="55">
        <f>_xll.EQNXTDZ($A$1,$B55,X$1,$B$1)</f>
        <v>1273.27</v>
      </c>
      <c r="Y55" s="55">
        <f>_xll.EQNXTDZ($A$1,$B55,Y$1,$B$1)</f>
        <v>1361.48</v>
      </c>
      <c r="Z55" s="55">
        <f>_xll.EQNXTDZ($A$1,$B55,Z$1,$B$1)</f>
        <v>1203.99</v>
      </c>
      <c r="AA55" s="55">
        <f>_xll.EQNXTDZ($A$1,$B55,AA$1,$B$1)</f>
        <v>1125.79</v>
      </c>
      <c r="AB55" s="55">
        <f>_xll.EQNXTDZ($A$1,$B55,AB$1,$B$1)</f>
        <v>1180.6600000000001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388.6</v>
      </c>
      <c r="N56" s="55">
        <f>_xll.EQNXTDZ($A$1,$B56,N$1,$B$1)</f>
        <v>170.02</v>
      </c>
      <c r="O56" s="55">
        <f>_xll.EQNXTDZ($A$1,$B56,O$1,$B$1)</f>
        <v>247.67</v>
      </c>
      <c r="P56" s="55">
        <f>_xll.EQNXTDZ($A$1,$B56,P$1,$B$1)</f>
        <v>221.25</v>
      </c>
      <c r="Q56" s="55">
        <f>_xll.EQNXTDZ($A$1,$B56,Q$1,$B$1)</f>
        <v>33.39</v>
      </c>
      <c r="R56" s="55">
        <f>_xll.EQNXTDZ($A$1,$B56,R$1,$B$1)</f>
        <v>93.59</v>
      </c>
      <c r="S56" s="55">
        <f>_xll.EQNXTDZ($A$1,$B56,S$1,$B$1)</f>
        <v>18.16</v>
      </c>
      <c r="T56" s="55">
        <f>_xll.EQNXTDZ($A$1,$B56,T$1,$B$1)</f>
        <v>5</v>
      </c>
      <c r="U56" s="55">
        <f>_xll.EQNXTDZ($A$1,$B56,U$1,$B$1)</f>
        <v>35.68</v>
      </c>
      <c r="V56" s="55">
        <f>_xll.EQNXTDZ($A$1,$B56,V$1,$B$1)</f>
        <v>166.25</v>
      </c>
      <c r="W56" s="55">
        <f>_xll.EQNXTDZ($A$1,$B56,W$1,$B$1)</f>
        <v>242.53</v>
      </c>
      <c r="X56" s="55">
        <f>_xll.EQNXTDZ($A$1,$B56,X$1,$B$1)</f>
        <v>72.61</v>
      </c>
      <c r="Y56" s="55">
        <f>_xll.EQNXTDZ($A$1,$B56,Y$1,$B$1)</f>
        <v>33.47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92.49</v>
      </c>
      <c r="D57" s="55">
        <f>_xll.EQNXTDZ($A$1,$B57,D$1,$B$1)</f>
        <v>50</v>
      </c>
      <c r="E57" s="55">
        <f>_xll.EQNXTDZ($A$1,$B57,E$1,$B$1)</f>
        <v>49.06</v>
      </c>
      <c r="F57" s="55">
        <f>_xll.EQNXTDZ($A$1,$B57,F$1,$B$1)</f>
        <v>106.63</v>
      </c>
      <c r="G57" s="55">
        <f>_xll.EQNXTDZ($A$1,$B57,G$1,$B$1)</f>
        <v>188.49</v>
      </c>
      <c r="H57" s="55">
        <f>_xll.EQNXTDZ($A$1,$B57,H$1,$B$1)</f>
        <v>319.04000000000002</v>
      </c>
      <c r="I57" s="55">
        <f>_xll.EQNXTDZ($A$1,$B57,I$1,$B$1)</f>
        <v>193.7</v>
      </c>
      <c r="J57" s="55">
        <f>_xll.EQNXTDZ($A$1,$B57,J$1,$B$1)</f>
        <v>86.12</v>
      </c>
      <c r="K57" s="55">
        <f>_xll.EQNXTDZ($A$1,$B57,K$1,$B$1)</f>
        <v>201.47</v>
      </c>
      <c r="L57" s="55">
        <f>_xll.EQNXTDZ($A$1,$B57,L$1,$B$1)</f>
        <v>745.41</v>
      </c>
      <c r="M57" s="55">
        <f>_xll.EQNXTDZ($A$1,$B57,M$1,$B$1)</f>
        <v>157.13</v>
      </c>
      <c r="N57" s="55">
        <f>_xll.EQNXTDZ($A$1,$B57,N$1,$B$1)</f>
        <v>147.59</v>
      </c>
      <c r="O57" s="55">
        <f>_xll.EQNXTDZ($A$1,$B57,O$1,$B$1)</f>
        <v>162.68</v>
      </c>
      <c r="P57" s="55">
        <f>_xll.EQNXTDZ($A$1,$B57,P$1,$B$1)</f>
        <v>177.05</v>
      </c>
      <c r="Q57" s="55">
        <f>_xll.EQNXTDZ($A$1,$B57,Q$1,$B$1)</f>
        <v>106.09</v>
      </c>
      <c r="R57" s="55">
        <f>_xll.EQNXTDZ($A$1,$B57,R$1,$B$1)</f>
        <v>129.5</v>
      </c>
      <c r="S57" s="55">
        <f>_xll.EQNXTDZ($A$1,$B57,S$1,$B$1)</f>
        <v>135.46</v>
      </c>
      <c r="T57" s="55">
        <f>_xll.EQNXTDZ($A$1,$B57,T$1,$B$1)</f>
        <v>162.96</v>
      </c>
      <c r="U57" s="55">
        <f>_xll.EQNXTDZ($A$1,$B57,U$1,$B$1)</f>
        <v>180.48</v>
      </c>
      <c r="V57" s="55">
        <f>_xll.EQNXTDZ($A$1,$B57,V$1,$B$1)</f>
        <v>188.23</v>
      </c>
      <c r="W57" s="55">
        <f>_xll.EQNXTDZ($A$1,$B57,W$1,$B$1)</f>
        <v>205.71</v>
      </c>
      <c r="X57" s="55">
        <f>_xll.EQNXTDZ($A$1,$B57,X$1,$B$1)</f>
        <v>230.53</v>
      </c>
      <c r="Y57" s="55">
        <f>_xll.EQNXTDZ($A$1,$B57,Y$1,$B$1)</f>
        <v>247.62</v>
      </c>
      <c r="Z57" s="55">
        <f>_xll.EQNXTDZ($A$1,$B57,Z$1,$B$1)</f>
        <v>274.89999999999998</v>
      </c>
      <c r="AA57" s="55">
        <f>_xll.EQNXTDZ($A$1,$B57,AA$1,$B$1)</f>
        <v>291.97000000000003</v>
      </c>
      <c r="AB57" s="55">
        <f>_xll.EQNXTDZ($A$1,$B57,AB$1,$B$1)</f>
        <v>334.75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220.55</v>
      </c>
      <c r="D59" s="55">
        <f>_xll.EQNXTDZ($A$1,$B59,D$1,$B$1)</f>
        <v>193.09</v>
      </c>
      <c r="E59" s="55">
        <f>_xll.EQNXTDZ($A$1,$B59,E$1,$B$1)</f>
        <v>257.27999999999997</v>
      </c>
      <c r="F59" s="55">
        <f>_xll.EQNXTDZ($A$1,$B59,F$1,$B$1)</f>
        <v>313.08999999999997</v>
      </c>
      <c r="G59" s="55">
        <f>_xll.EQNXTDZ($A$1,$B59,G$1,$B$1)</f>
        <v>435.79</v>
      </c>
      <c r="H59" s="55">
        <f>_xll.EQNXTDZ($A$1,$B59,H$1,$B$1)</f>
        <v>647.45000000000005</v>
      </c>
      <c r="I59" s="55">
        <f>_xll.EQNXTDZ($A$1,$B59,I$1,$B$1)</f>
        <v>652.65</v>
      </c>
      <c r="J59" s="55">
        <f>_xll.EQNXTDZ($A$1,$B59,J$1,$B$1)</f>
        <v>658.32</v>
      </c>
      <c r="K59" s="55">
        <f>_xll.EQNXTDZ($A$1,$B59,K$1,$B$1)</f>
        <v>757.02</v>
      </c>
      <c r="L59" s="55">
        <f>_xll.EQNXTDZ($A$1,$B59,L$1,$B$1)</f>
        <v>1328.59</v>
      </c>
      <c r="M59" s="55">
        <f>_xll.EQNXTDZ($A$1,$B59,M$1,$B$1)</f>
        <v>2930</v>
      </c>
      <c r="N59" s="55">
        <f>_xll.EQNXTDZ($A$1,$B59,N$1,$B$1)</f>
        <v>1596.94</v>
      </c>
      <c r="O59" s="55">
        <f>_xll.EQNXTDZ($A$1,$B59,O$1,$B$1)</f>
        <v>1276.56</v>
      </c>
      <c r="P59" s="55">
        <f>_xll.EQNXTDZ($A$1,$B59,P$1,$B$1)</f>
        <v>2274.6</v>
      </c>
      <c r="Q59" s="55">
        <f>_xll.EQNXTDZ($A$1,$B59,Q$1,$B$1)</f>
        <v>1432.26</v>
      </c>
      <c r="R59" s="55">
        <f>_xll.EQNXTDZ($A$1,$B59,R$1,$B$1)</f>
        <v>2415.87</v>
      </c>
      <c r="S59" s="55">
        <f>_xll.EQNXTDZ($A$1,$B59,S$1,$B$1)</f>
        <v>1839.27</v>
      </c>
      <c r="T59" s="55">
        <f>_xll.EQNXTDZ($A$1,$B59,T$1,$B$1)</f>
        <v>1393.44</v>
      </c>
      <c r="U59" s="55">
        <f>_xll.EQNXTDZ($A$1,$B59,U$1,$B$1)</f>
        <v>2089.46</v>
      </c>
      <c r="V59" s="55">
        <f>_xll.EQNXTDZ($A$1,$B59,V$1,$B$1)</f>
        <v>1900.82</v>
      </c>
      <c r="W59" s="55">
        <f>_xll.EQNXTDZ($A$1,$B59,W$1,$B$1)</f>
        <v>2948.06</v>
      </c>
      <c r="X59" s="55">
        <f>_xll.EQNXTDZ($A$1,$B59,X$1,$B$1)</f>
        <v>1963.74</v>
      </c>
      <c r="Y59" s="55">
        <f>_xll.EQNXTDZ($A$1,$B59,Y$1,$B$1)</f>
        <v>2119.15</v>
      </c>
      <c r="Z59" s="55">
        <f>_xll.EQNXTDZ($A$1,$B59,Z$1,$B$1)</f>
        <v>1998.26</v>
      </c>
      <c r="AA59" s="55">
        <f>_xll.EQNXTDZ($A$1,$B59,AA$1,$B$1)</f>
        <v>1996.15</v>
      </c>
      <c r="AB59" s="55">
        <f>_xll.EQNXTDZ($A$1,$B59,AB$1,$B$1)</f>
        <v>2235.19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1801.08</v>
      </c>
      <c r="D60" s="55">
        <f>_xll.EQNXTDZ($A$1,$B60,D$1,$B$1)</f>
        <v>2957.43</v>
      </c>
      <c r="E60" s="55">
        <f>_xll.EQNXTDZ($A$1,$B60,E$1,$B$1)</f>
        <v>3029.82</v>
      </c>
      <c r="F60" s="55">
        <f>_xll.EQNXTDZ($A$1,$B60,F$1,$B$1)</f>
        <v>3745.16</v>
      </c>
      <c r="G60" s="55">
        <f>_xll.EQNXTDZ($A$1,$B60,G$1,$B$1)</f>
        <v>4104.3</v>
      </c>
      <c r="H60" s="55">
        <f>_xll.EQNXTDZ($A$1,$B60,H$1,$B$1)</f>
        <v>4425.71</v>
      </c>
      <c r="I60" s="55">
        <f>_xll.EQNXTDZ($A$1,$B60,I$1,$B$1)</f>
        <v>5242.13</v>
      </c>
      <c r="J60" s="55">
        <f>_xll.EQNXTDZ($A$1,$B60,J$1,$B$1)</f>
        <v>6848.41</v>
      </c>
      <c r="K60" s="55">
        <f>_xll.EQNXTDZ($A$1,$B60,K$1,$B$1)</f>
        <v>9159.85</v>
      </c>
      <c r="L60" s="55">
        <f>_xll.EQNXTDZ($A$1,$B60,L$1,$B$1)</f>
        <v>8614.7199999999993</v>
      </c>
      <c r="M60" s="55">
        <f>_xll.EQNXTDZ($A$1,$B60,M$1,$B$1)</f>
        <v>8876.65</v>
      </c>
      <c r="N60" s="55">
        <f>_xll.EQNXTDZ($A$1,$B60,N$1,$B$1)</f>
        <v>9229.65</v>
      </c>
      <c r="O60" s="55">
        <f>_xll.EQNXTDZ($A$1,$B60,O$1,$B$1)</f>
        <v>9291.2800000000007</v>
      </c>
      <c r="P60" s="55">
        <f>_xll.EQNXTDZ($A$1,$B60,P$1,$B$1)</f>
        <v>9514.48</v>
      </c>
      <c r="Q60" s="55">
        <f>_xll.EQNXTDZ($A$1,$B60,Q$1,$B$1)</f>
        <v>9883.8799999999992</v>
      </c>
      <c r="R60" s="55">
        <f>_xll.EQNXTDZ($A$1,$B60,R$1,$B$1)</f>
        <v>9797.3799999999992</v>
      </c>
      <c r="S60" s="55">
        <f>_xll.EQNXTDZ($A$1,$B60,S$1,$B$1)</f>
        <v>8599.07</v>
      </c>
      <c r="T60" s="55">
        <f>_xll.EQNXTDZ($A$1,$B60,T$1,$B$1)</f>
        <v>9314.4</v>
      </c>
      <c r="U60" s="55">
        <f>_xll.EQNXTDZ($A$1,$B60,U$1,$B$1)</f>
        <v>9514.32</v>
      </c>
      <c r="V60" s="55">
        <f>_xll.EQNXTDZ($A$1,$B60,V$1,$B$1)</f>
        <v>11441.76</v>
      </c>
      <c r="W60" s="55">
        <f>_xll.EQNXTDZ($A$1,$B60,W$1,$B$1)</f>
        <v>11394.73</v>
      </c>
      <c r="X60" s="55">
        <f>_xll.EQNXTDZ($A$1,$B60,X$1,$B$1)</f>
        <v>12931.62</v>
      </c>
      <c r="Y60" s="55">
        <f>_xll.EQNXTDZ($A$1,$B60,Y$1,$B$1)</f>
        <v>13510.57</v>
      </c>
      <c r="Z60" s="55">
        <f>_xll.EQNXTDZ($A$1,$B60,Z$1,$B$1)</f>
        <v>14733.42</v>
      </c>
      <c r="AA60" s="55">
        <f>_xll.EQNXTDZ($A$1,$B60,AA$1,$B$1)</f>
        <v>17615.98</v>
      </c>
      <c r="AB60" s="55">
        <f>_xll.EQNXTDZ($A$1,$B60,AB$1,$B$1)</f>
        <v>20220.72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879.89</v>
      </c>
      <c r="D62" s="55">
        <f>_xll.EQNXTDZ($A$1,$B62,D$1,$B$1)</f>
        <v>2190.7199999999998</v>
      </c>
      <c r="E62" s="55">
        <f>_xll.EQNXTDZ($A$1,$B62,E$1,$B$1)</f>
        <v>2291.48</v>
      </c>
      <c r="F62" s="55">
        <f>_xll.EQNXTDZ($A$1,$B62,F$1,$B$1)</f>
        <v>2428.6799999999998</v>
      </c>
      <c r="G62" s="55">
        <f>_xll.EQNXTDZ($A$1,$B62,G$1,$B$1)</f>
        <v>3235.68</v>
      </c>
      <c r="H62" s="55">
        <f>_xll.EQNXTDZ($A$1,$B62,H$1,$B$1)</f>
        <v>3495.96</v>
      </c>
      <c r="I62" s="55">
        <f>_xll.EQNXTDZ($A$1,$B62,I$1,$B$1)</f>
        <v>4730.21</v>
      </c>
      <c r="J62" s="55">
        <f>_xll.EQNXTDZ($A$1,$B62,J$1,$B$1)</f>
        <v>4943.4799999999996</v>
      </c>
      <c r="K62" s="55">
        <f>_xll.EQNXTDZ($A$1,$B62,K$1,$B$1)</f>
        <v>5737.26</v>
      </c>
      <c r="L62" s="55">
        <f>_xll.EQNXTDZ($A$1,$B62,L$1,$B$1)</f>
        <v>6144.53</v>
      </c>
      <c r="M62" s="55">
        <f>_xll.EQNXTDZ($A$1,$B62,M$1,$B$1)</f>
        <v>6445.97</v>
      </c>
      <c r="N62" s="55">
        <f>_xll.EQNXTDZ($A$1,$B62,N$1,$B$1)</f>
        <v>7766.45</v>
      </c>
      <c r="O62" s="55">
        <f>_xll.EQNXTDZ($A$1,$B62,O$1,$B$1)</f>
        <v>8248.84</v>
      </c>
      <c r="P62" s="55">
        <f>_xll.EQNXTDZ($A$1,$B62,P$1,$B$1)</f>
        <v>8937.99</v>
      </c>
      <c r="Q62" s="55">
        <f>_xll.EQNXTDZ($A$1,$B62,Q$1,$B$1)</f>
        <v>9171.89</v>
      </c>
      <c r="R62" s="55">
        <f>_xll.EQNXTDZ($A$1,$B62,R$1,$B$1)</f>
        <v>7048.74</v>
      </c>
      <c r="S62" s="55">
        <f>_xll.EQNXTDZ($A$1,$B62,S$1,$B$1)</f>
        <v>6347.89</v>
      </c>
      <c r="T62" s="55">
        <f>_xll.EQNXTDZ($A$1,$B62,T$1,$B$1)</f>
        <v>6981.34</v>
      </c>
      <c r="U62" s="55">
        <f>_xll.EQNXTDZ($A$1,$B62,U$1,$B$1)</f>
        <v>7563.82</v>
      </c>
      <c r="V62" s="55">
        <f>_xll.EQNXTDZ($A$1,$B62,V$1,$B$1)</f>
        <v>9608.52</v>
      </c>
      <c r="W62" s="55">
        <f>_xll.EQNXTDZ($A$1,$B62,W$1,$B$1)</f>
        <v>10485.48</v>
      </c>
      <c r="X62" s="55">
        <f>_xll.EQNXTDZ($A$1,$B62,X$1,$B$1)</f>
        <v>10869.55</v>
      </c>
      <c r="Y62" s="55">
        <f>_xll.EQNXTDZ($A$1,$B62,Y$1,$B$1)</f>
        <v>11674.72</v>
      </c>
      <c r="Z62" s="55">
        <f>_xll.EQNXTDZ($A$1,$B62,Z$1,$B$1)</f>
        <v>12613.48</v>
      </c>
      <c r="AA62" s="55">
        <f>_xll.EQNXTDZ($A$1,$B62,AA$1,$B$1)</f>
        <v>14895.15</v>
      </c>
      <c r="AB62" s="55">
        <f>_xll.EQNXTDZ($A$1,$B62,AB$1,$B$1)</f>
        <v>16927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276.48</v>
      </c>
      <c r="D63" s="55">
        <f>_xll.EQNXTDZ($A$1,$B63,D$1,$B$1)</f>
        <v>395.96</v>
      </c>
      <c r="E63" s="55">
        <f>_xll.EQNXTDZ($A$1,$B63,E$1,$B$1)</f>
        <v>432.68</v>
      </c>
      <c r="F63" s="55">
        <f>_xll.EQNXTDZ($A$1,$B63,F$1,$B$1)</f>
        <v>512.47</v>
      </c>
      <c r="G63" s="55">
        <f>_xll.EQNXTDZ($A$1,$B63,G$1,$B$1)</f>
        <v>686.7</v>
      </c>
      <c r="H63" s="55">
        <f>_xll.EQNXTDZ($A$1,$B63,H$1,$B$1)</f>
        <v>826.39</v>
      </c>
      <c r="I63" s="55">
        <f>_xll.EQNXTDZ($A$1,$B63,I$1,$B$1)</f>
        <v>1034.01</v>
      </c>
      <c r="J63" s="55">
        <f>_xll.EQNXTDZ($A$1,$B63,J$1,$B$1)</f>
        <v>1132.08</v>
      </c>
      <c r="K63" s="55">
        <f>_xll.EQNXTDZ($A$1,$B63,K$1,$B$1)</f>
        <v>1304.08</v>
      </c>
      <c r="L63" s="55">
        <f>_xll.EQNXTDZ($A$1,$B63,L$1,$B$1)</f>
        <v>1440.66</v>
      </c>
      <c r="M63" s="55">
        <f>_xll.EQNXTDZ($A$1,$B63,M$1,$B$1)</f>
        <v>1590.74</v>
      </c>
      <c r="N63" s="55">
        <f>_xll.EQNXTDZ($A$1,$B63,N$1,$B$1)</f>
        <v>2060.85</v>
      </c>
      <c r="O63" s="55">
        <f>_xll.EQNXTDZ($A$1,$B63,O$1,$B$1)</f>
        <v>2353.0700000000002</v>
      </c>
      <c r="P63" s="55">
        <f>_xll.EQNXTDZ($A$1,$B63,P$1,$B$1)</f>
        <v>2723.2</v>
      </c>
      <c r="Q63" s="55">
        <f>_xll.EQNXTDZ($A$1,$B63,Q$1,$B$1)</f>
        <v>2872.7</v>
      </c>
      <c r="R63" s="55">
        <f>_xll.EQNXTDZ($A$1,$B63,R$1,$B$1)</f>
        <v>287.12</v>
      </c>
      <c r="S63" s="55">
        <f>_xll.EQNXTDZ($A$1,$B63,S$1,$B$1)</f>
        <v>532.5</v>
      </c>
      <c r="T63" s="55">
        <f>_xll.EQNXTDZ($A$1,$B63,T$1,$B$1)</f>
        <v>818.71</v>
      </c>
      <c r="U63" s="55">
        <f>_xll.EQNXTDZ($A$1,$B63,U$1,$B$1)</f>
        <v>1141.57</v>
      </c>
      <c r="V63" s="55">
        <f>_xll.EQNXTDZ($A$1,$B63,V$1,$B$1)</f>
        <v>1549.67</v>
      </c>
      <c r="W63" s="55">
        <f>_xll.EQNXTDZ($A$1,$B63,W$1,$B$1)</f>
        <v>2047.78</v>
      </c>
      <c r="X63" s="55">
        <f>_xll.EQNXTDZ($A$1,$B63,X$1,$B$1)</f>
        <v>2454.21</v>
      </c>
      <c r="Y63" s="55">
        <f>_xll.EQNXTDZ($A$1,$B63,Y$1,$B$1)</f>
        <v>2856.19</v>
      </c>
      <c r="Z63" s="55">
        <f>_xll.EQNXTDZ($A$1,$B63,Z$1,$B$1)</f>
        <v>3302.14</v>
      </c>
      <c r="AA63" s="55">
        <f>_xll.EQNXTDZ($A$1,$B63,AA$1,$B$1)</f>
        <v>3976.97</v>
      </c>
      <c r="AB63" s="55">
        <f>_xll.EQNXTDZ($A$1,$B63,AB$1,$B$1)</f>
        <v>4716.9399999999996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603.41</v>
      </c>
      <c r="D65" s="55">
        <f>_xll.EQNXTDZ($A$1,$B65,D$1,$B$1)</f>
        <v>1794.76</v>
      </c>
      <c r="E65" s="55">
        <f>_xll.EQNXTDZ($A$1,$B65,E$1,$B$1)</f>
        <v>1858.8</v>
      </c>
      <c r="F65" s="55">
        <f>_xll.EQNXTDZ($A$1,$B65,F$1,$B$1)</f>
        <v>1916.21</v>
      </c>
      <c r="G65" s="55">
        <f>_xll.EQNXTDZ($A$1,$B65,G$1,$B$1)</f>
        <v>2548.98</v>
      </c>
      <c r="H65" s="55">
        <f>_xll.EQNXTDZ($A$1,$B65,H$1,$B$1)</f>
        <v>2669.57</v>
      </c>
      <c r="I65" s="55">
        <f>_xll.EQNXTDZ($A$1,$B65,I$1,$B$1)</f>
        <v>3696.2</v>
      </c>
      <c r="J65" s="55">
        <f>_xll.EQNXTDZ($A$1,$B65,J$1,$B$1)</f>
        <v>3811.4</v>
      </c>
      <c r="K65" s="55">
        <f>_xll.EQNXTDZ($A$1,$B65,K$1,$B$1)</f>
        <v>4433.18</v>
      </c>
      <c r="L65" s="55">
        <f>_xll.EQNXTDZ($A$1,$B65,L$1,$B$1)</f>
        <v>4703.87</v>
      </c>
      <c r="M65" s="55">
        <f>_xll.EQNXTDZ($A$1,$B65,M$1,$B$1)</f>
        <v>4855.2299999999996</v>
      </c>
      <c r="N65" s="55">
        <f>_xll.EQNXTDZ($A$1,$B65,N$1,$B$1)</f>
        <v>5705.6</v>
      </c>
      <c r="O65" s="55">
        <f>_xll.EQNXTDZ($A$1,$B65,O$1,$B$1)</f>
        <v>5895.77</v>
      </c>
      <c r="P65" s="55">
        <f>_xll.EQNXTDZ($A$1,$B65,P$1,$B$1)</f>
        <v>6214.79</v>
      </c>
      <c r="Q65" s="55">
        <f>_xll.EQNXTDZ($A$1,$B65,Q$1,$B$1)</f>
        <v>6299.19</v>
      </c>
      <c r="R65" s="55">
        <f>_xll.EQNXTDZ($A$1,$B65,R$1,$B$1)</f>
        <v>6761.62</v>
      </c>
      <c r="S65" s="55">
        <f>_xll.EQNXTDZ($A$1,$B65,S$1,$B$1)</f>
        <v>5815.39</v>
      </c>
      <c r="T65" s="55">
        <f>_xll.EQNXTDZ($A$1,$B65,T$1,$B$1)</f>
        <v>6162.63</v>
      </c>
      <c r="U65" s="55">
        <f>_xll.EQNXTDZ($A$1,$B65,U$1,$B$1)</f>
        <v>6422.25</v>
      </c>
      <c r="V65" s="55">
        <f>_xll.EQNXTDZ($A$1,$B65,V$1,$B$1)</f>
        <v>8058.85</v>
      </c>
      <c r="W65" s="55">
        <f>_xll.EQNXTDZ($A$1,$B65,W$1,$B$1)</f>
        <v>8437.7000000000007</v>
      </c>
      <c r="X65" s="55">
        <f>_xll.EQNXTDZ($A$1,$B65,X$1,$B$1)</f>
        <v>8415.34</v>
      </c>
      <c r="Y65" s="55">
        <f>_xll.EQNXTDZ($A$1,$B65,Y$1,$B$1)</f>
        <v>8818.5300000000007</v>
      </c>
      <c r="Z65" s="55">
        <f>_xll.EQNXTDZ($A$1,$B65,Z$1,$B$1)</f>
        <v>9311.34</v>
      </c>
      <c r="AA65" s="55">
        <f>_xll.EQNXTDZ($A$1,$B65,AA$1,$B$1)</f>
        <v>10918.18</v>
      </c>
      <c r="AB65" s="55">
        <f>_xll.EQNXTDZ($A$1,$B65,AB$1,$B$1)</f>
        <v>12210.06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60.52</v>
      </c>
      <c r="D67" s="55">
        <f>_xll.EQNXTDZ($A$1,$B67,D$1,$B$1)</f>
        <v>80.39</v>
      </c>
      <c r="E67" s="55">
        <f>_xll.EQNXTDZ($A$1,$B67,E$1,$B$1)</f>
        <v>133.74</v>
      </c>
      <c r="F67" s="55">
        <f>_xll.EQNXTDZ($A$1,$B67,F$1,$B$1)</f>
        <v>226.73</v>
      </c>
      <c r="G67" s="55">
        <f>_xll.EQNXTDZ($A$1,$B67,G$1,$B$1)</f>
        <v>108.99</v>
      </c>
      <c r="H67" s="55">
        <f>_xll.EQNXTDZ($A$1,$B67,H$1,$B$1)</f>
        <v>124.46</v>
      </c>
      <c r="I67" s="55">
        <f>_xll.EQNXTDZ($A$1,$B67,I$1,$B$1)</f>
        <v>174.53</v>
      </c>
      <c r="J67" s="55">
        <f>_xll.EQNXTDZ($A$1,$B67,J$1,$B$1)</f>
        <v>435.17</v>
      </c>
      <c r="K67" s="55">
        <f>_xll.EQNXTDZ($A$1,$B67,K$1,$B$1)</f>
        <v>743.54</v>
      </c>
      <c r="L67" s="55">
        <f>_xll.EQNXTDZ($A$1,$B67,L$1,$B$1)</f>
        <v>429.99</v>
      </c>
      <c r="M67" s="55">
        <f>_xll.EQNXTDZ($A$1,$B67,M$1,$B$1)</f>
        <v>393.6</v>
      </c>
      <c r="N67" s="55">
        <f>_xll.EQNXTDZ($A$1,$B67,N$1,$B$1)</f>
        <v>330.88</v>
      </c>
      <c r="O67" s="55">
        <f>_xll.EQNXTDZ($A$1,$B67,O$1,$B$1)</f>
        <v>400.57</v>
      </c>
      <c r="P67" s="55">
        <f>_xll.EQNXTDZ($A$1,$B67,P$1,$B$1)</f>
        <v>548.96</v>
      </c>
      <c r="Q67" s="55">
        <f>_xll.EQNXTDZ($A$1,$B67,Q$1,$B$1)</f>
        <v>302.76</v>
      </c>
      <c r="R67" s="55">
        <f>_xll.EQNXTDZ($A$1,$B67,R$1,$B$1)</f>
        <v>289.23</v>
      </c>
      <c r="S67" s="55">
        <f>_xll.EQNXTDZ($A$1,$B67,S$1,$B$1)</f>
        <v>222.25</v>
      </c>
      <c r="T67" s="55">
        <f>_xll.EQNXTDZ($A$1,$B67,T$1,$B$1)</f>
        <v>195.31</v>
      </c>
      <c r="U67" s="55">
        <f>_xll.EQNXTDZ($A$1,$B67,U$1,$B$1)</f>
        <v>115.93</v>
      </c>
      <c r="V67" s="55">
        <f>_xll.EQNXTDZ($A$1,$B67,V$1,$B$1)</f>
        <v>243.15</v>
      </c>
      <c r="W67" s="55">
        <f>_xll.EQNXTDZ($A$1,$B67,W$1,$B$1)</f>
        <v>164.99</v>
      </c>
      <c r="X67" s="55">
        <f>_xll.EQNXTDZ($A$1,$B67,X$1,$B$1)</f>
        <v>193.31</v>
      </c>
      <c r="Y67" s="55">
        <f>_xll.EQNXTDZ($A$1,$B67,Y$1,$B$1)</f>
        <v>324.17</v>
      </c>
      <c r="Z67" s="55">
        <f>_xll.EQNXTDZ($A$1,$B67,Z$1,$B$1)</f>
        <v>230.99</v>
      </c>
      <c r="AA67" s="55">
        <f>_xll.EQNXTDZ($A$1,$B67,AA$1,$B$1)</f>
        <v>575.80999999999995</v>
      </c>
      <c r="AB67" s="55">
        <f>_xll.EQNXTDZ($A$1,$B67,AB$1,$B$1)</f>
        <v>764.33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17.03</v>
      </c>
      <c r="N68" s="55">
        <f>_xll.EQNXTDZ($A$1,$B68,N$1,$B$1)</f>
        <v>20.52</v>
      </c>
      <c r="O68" s="55">
        <f>_xll.EQNXTDZ($A$1,$B68,O$1,$B$1)</f>
        <v>20.93</v>
      </c>
      <c r="P68" s="55">
        <f>_xll.EQNXTDZ($A$1,$B68,P$1,$B$1)</f>
        <v>5.23</v>
      </c>
      <c r="Q68" s="55">
        <f>_xll.EQNXTDZ($A$1,$B68,Q$1,$B$1)</f>
        <v>2.97</v>
      </c>
      <c r="R68" s="55">
        <f>_xll.EQNXTDZ($A$1,$B68,R$1,$B$1)</f>
        <v>0.74</v>
      </c>
      <c r="S68" s="55">
        <f>_xll.EQNXTDZ($A$1,$B68,S$1,$B$1)</f>
        <v>0.42</v>
      </c>
      <c r="T68" s="55">
        <f>_xll.EQNXTDZ($A$1,$B68,T$1,$B$1)</f>
        <v>1.67</v>
      </c>
      <c r="U68" s="55">
        <f>_xll.EQNXTDZ($A$1,$B68,U$1,$B$1)</f>
        <v>0.25</v>
      </c>
      <c r="V68" s="55">
        <f>_xll.EQNXTDZ($A$1,$B68,V$1,$B$1)</f>
        <v>0.93</v>
      </c>
      <c r="W68" s="55">
        <f>_xll.EQNXTDZ($A$1,$B68,W$1,$B$1)</f>
        <v>0</v>
      </c>
      <c r="X68" s="55">
        <f>_xll.EQNXTDZ($A$1,$B68,X$1,$B$1)</f>
        <v>0.23</v>
      </c>
      <c r="Y68" s="55">
        <f>_xll.EQNXTDZ($A$1,$B68,Y$1,$B$1)</f>
        <v>7.88</v>
      </c>
      <c r="Z68" s="55">
        <f>_xll.EQNXTDZ($A$1,$B68,Z$1,$B$1)</f>
        <v>24.53</v>
      </c>
      <c r="AA68" s="55">
        <f>_xll.EQNXTDZ($A$1,$B68,AA$1,$B$1)</f>
        <v>56.76</v>
      </c>
      <c r="AB68" s="55">
        <f>_xll.EQNXTDZ($A$1,$B68,AB$1,$B$1)</f>
        <v>22.98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422.13</v>
      </c>
      <c r="D71" s="55">
        <f>_xll.EQNXTDZ($A$1,$B71,D$1,$B$1)</f>
        <v>404.47</v>
      </c>
      <c r="E71" s="55">
        <f>_xll.EQNXTDZ($A$1,$B71,E$1,$B$1)</f>
        <v>390.08</v>
      </c>
      <c r="F71" s="55">
        <f>_xll.EQNXTDZ($A$1,$B71,F$1,$B$1)</f>
        <v>432.12</v>
      </c>
      <c r="G71" s="55">
        <f>_xll.EQNXTDZ($A$1,$B71,G$1,$B$1)</f>
        <v>457.06</v>
      </c>
      <c r="H71" s="55">
        <f>_xll.EQNXTDZ($A$1,$B71,H$1,$B$1)</f>
        <v>524.95000000000005</v>
      </c>
      <c r="I71" s="55">
        <f>_xll.EQNXTDZ($A$1,$B71,I$1,$B$1)</f>
        <v>501.19</v>
      </c>
      <c r="J71" s="55">
        <f>_xll.EQNXTDZ($A$1,$B71,J$1,$B$1)</f>
        <v>1539.33</v>
      </c>
      <c r="K71" s="55">
        <f>_xll.EQNXTDZ($A$1,$B71,K$1,$B$1)</f>
        <v>1981.95</v>
      </c>
      <c r="L71" s="55">
        <f>_xll.EQNXTDZ($A$1,$B71,L$1,$B$1)</f>
        <v>1882.14</v>
      </c>
      <c r="M71" s="55">
        <f>_xll.EQNXTDZ($A$1,$B71,M$1,$B$1)</f>
        <v>1851.47</v>
      </c>
      <c r="N71" s="55">
        <f>_xll.EQNXTDZ($A$1,$B71,N$1,$B$1)</f>
        <v>1841.15</v>
      </c>
      <c r="O71" s="55">
        <f>_xll.EQNXTDZ($A$1,$B71,O$1,$B$1)</f>
        <v>1522.61</v>
      </c>
      <c r="P71" s="55">
        <f>_xll.EQNXTDZ($A$1,$B71,P$1,$B$1)</f>
        <v>1319.28</v>
      </c>
      <c r="Q71" s="55">
        <f>_xll.EQNXTDZ($A$1,$B71,Q$1,$B$1)</f>
        <v>1040.5899999999999</v>
      </c>
      <c r="R71" s="55">
        <f>_xll.EQNXTDZ($A$1,$B71,R$1,$B$1)</f>
        <v>1344.63</v>
      </c>
      <c r="S71" s="55">
        <f>_xll.EQNXTDZ($A$1,$B71,S$1,$B$1)</f>
        <v>1152.9100000000001</v>
      </c>
      <c r="T71" s="55">
        <f>_xll.EQNXTDZ($A$1,$B71,T$1,$B$1)</f>
        <v>1180.8900000000001</v>
      </c>
      <c r="U71" s="55">
        <f>_xll.EQNXTDZ($A$1,$B71,U$1,$B$1)</f>
        <v>1123.93</v>
      </c>
      <c r="V71" s="55">
        <f>_xll.EQNXTDZ($A$1,$B71,V$1,$B$1)</f>
        <v>990.35</v>
      </c>
      <c r="W71" s="55">
        <f>_xll.EQNXTDZ($A$1,$B71,W$1,$B$1)</f>
        <v>1034.54</v>
      </c>
      <c r="X71" s="55">
        <f>_xll.EQNXTDZ($A$1,$B71,X$1,$B$1)</f>
        <v>1064.33</v>
      </c>
      <c r="Y71" s="55">
        <f>_xll.EQNXTDZ($A$1,$B71,Y$1,$B$1)</f>
        <v>1133.71</v>
      </c>
      <c r="Z71" s="55">
        <f>_xll.EQNXTDZ($A$1,$B71,Z$1,$B$1)</f>
        <v>1537.05</v>
      </c>
      <c r="AA71" s="55">
        <f>_xll.EQNXTDZ($A$1,$B71,AA$1,$B$1)</f>
        <v>1379.89</v>
      </c>
      <c r="AB71" s="55">
        <f>_xll.EQNXTDZ($A$1,$B71,AB$1,$B$1)</f>
        <v>1106.57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350.89</v>
      </c>
      <c r="N72" s="55">
        <f>_xll.EQNXTDZ($A$1,$B72,N$1,$B$1)</f>
        <v>431.9</v>
      </c>
      <c r="O72" s="55">
        <f>_xll.EQNXTDZ($A$1,$B72,O$1,$B$1)</f>
        <v>476.42</v>
      </c>
      <c r="P72" s="55">
        <f>_xll.EQNXTDZ($A$1,$B72,P$1,$B$1)</f>
        <v>459.89</v>
      </c>
      <c r="Q72" s="55">
        <f>_xll.EQNXTDZ($A$1,$B72,Q$1,$B$1)</f>
        <v>497.55</v>
      </c>
      <c r="R72" s="55">
        <f>_xll.EQNXTDZ($A$1,$B72,R$1,$B$1)</f>
        <v>213.5</v>
      </c>
      <c r="S72" s="55">
        <f>_xll.EQNXTDZ($A$1,$B72,S$1,$B$1)</f>
        <v>245.26</v>
      </c>
      <c r="T72" s="55">
        <f>_xll.EQNXTDZ($A$1,$B72,T$1,$B$1)</f>
        <v>326.88</v>
      </c>
      <c r="U72" s="55">
        <f>_xll.EQNXTDZ($A$1,$B72,U$1,$B$1)</f>
        <v>389.06</v>
      </c>
      <c r="V72" s="55">
        <f>_xll.EQNXTDZ($A$1,$B72,V$1,$B$1)</f>
        <v>497.28</v>
      </c>
      <c r="W72" s="55">
        <f>_xll.EQNXTDZ($A$1,$B72,W$1,$B$1)</f>
        <v>419.5</v>
      </c>
      <c r="X72" s="55">
        <f>_xll.EQNXTDZ($A$1,$B72,X$1,$B$1)</f>
        <v>426.43</v>
      </c>
      <c r="Y72" s="55">
        <f>_xll.EQNXTDZ($A$1,$B72,Y$1,$B$1)</f>
        <v>461.77</v>
      </c>
      <c r="Z72" s="55">
        <f>_xll.EQNXTDZ($A$1,$B72,Z$1,$B$1)</f>
        <v>388.09</v>
      </c>
      <c r="AA72" s="55">
        <f>_xll.EQNXTDZ($A$1,$B72,AA$1,$B$1)</f>
        <v>446.62</v>
      </c>
      <c r="AB72" s="55">
        <f>_xll.EQNXTDZ($A$1,$B72,AB$1,$B$1)</f>
        <v>454.36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9.02</v>
      </c>
      <c r="N73" s="55">
        <f>_xll.EQNXTDZ($A$1,$B73,N$1,$B$1)</f>
        <v>52.3</v>
      </c>
      <c r="O73" s="55">
        <f>_xll.EQNXTDZ($A$1,$B73,O$1,$B$1)</f>
        <v>26.49</v>
      </c>
      <c r="P73" s="55">
        <f>_xll.EQNXTDZ($A$1,$B73,P$1,$B$1)</f>
        <v>28.95</v>
      </c>
      <c r="Q73" s="55">
        <f>_xll.EQNXTDZ($A$1,$B73,Q$1,$B$1)</f>
        <v>17.09</v>
      </c>
      <c r="R73" s="55">
        <f>_xll.EQNXTDZ($A$1,$B73,R$1,$B$1)</f>
        <v>243.17</v>
      </c>
      <c r="S73" s="55">
        <f>_xll.EQNXTDZ($A$1,$B73,S$1,$B$1)</f>
        <v>236.5</v>
      </c>
      <c r="T73" s="55">
        <f>_xll.EQNXTDZ($A$1,$B73,T$1,$B$1)</f>
        <v>227.49</v>
      </c>
      <c r="U73" s="55">
        <f>_xll.EQNXTDZ($A$1,$B73,U$1,$B$1)</f>
        <v>304.12</v>
      </c>
      <c r="V73" s="55">
        <f>_xll.EQNXTDZ($A$1,$B73,V$1,$B$1)</f>
        <v>213.89</v>
      </c>
      <c r="W73" s="55">
        <f>_xll.EQNXTDZ($A$1,$B73,W$1,$B$1)</f>
        <v>184.12</v>
      </c>
      <c r="X73" s="55">
        <f>_xll.EQNXTDZ($A$1,$B73,X$1,$B$1)</f>
        <v>157.88</v>
      </c>
      <c r="Y73" s="55">
        <f>_xll.EQNXTDZ($A$1,$B73,Y$1,$B$1)</f>
        <v>174.17</v>
      </c>
      <c r="Z73" s="55">
        <f>_xll.EQNXTDZ($A$1,$B73,Z$1,$B$1)</f>
        <v>173.03</v>
      </c>
      <c r="AA73" s="55">
        <f>_xll.EQNXTDZ($A$1,$B73,AA$1,$B$1)</f>
        <v>68.78</v>
      </c>
      <c r="AB73" s="55">
        <f>_xll.EQNXTDZ($A$1,$B73,AB$1,$B$1)</f>
        <v>85.88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1086.06</v>
      </c>
      <c r="D74" s="55">
        <f>_xll.EQNXTDZ($A$1,$B74,D$1,$B$1)</f>
        <v>2279.62</v>
      </c>
      <c r="E74" s="55">
        <f>_xll.EQNXTDZ($A$1,$B74,E$1,$B$1)</f>
        <v>2382.62</v>
      </c>
      <c r="F74" s="55">
        <f>_xll.EQNXTDZ($A$1,$B74,F$1,$B$1)</f>
        <v>2575.06</v>
      </c>
      <c r="G74" s="55">
        <f>_xll.EQNXTDZ($A$1,$B74,G$1,$B$1)</f>
        <v>3115.03</v>
      </c>
      <c r="H74" s="55">
        <f>_xll.EQNXTDZ($A$1,$B74,H$1,$B$1)</f>
        <v>3318.98</v>
      </c>
      <c r="I74" s="55">
        <f>_xll.EQNXTDZ($A$1,$B74,I$1,$B$1)</f>
        <v>4371.92</v>
      </c>
      <c r="J74" s="55">
        <f>_xll.EQNXTDZ($A$1,$B74,J$1,$B$1)</f>
        <v>5785.9</v>
      </c>
      <c r="K74" s="55">
        <f>_xll.EQNXTDZ($A$1,$B74,K$1,$B$1)</f>
        <v>7158.67</v>
      </c>
      <c r="L74" s="55">
        <f>_xll.EQNXTDZ($A$1,$B74,L$1,$B$1)</f>
        <v>7016</v>
      </c>
      <c r="M74" s="55">
        <f>_xll.EQNXTDZ($A$1,$B74,M$1,$B$1)</f>
        <v>7477.24</v>
      </c>
      <c r="N74" s="55">
        <f>_xll.EQNXTDZ($A$1,$B74,N$1,$B$1)</f>
        <v>8382.35</v>
      </c>
      <c r="O74" s="55">
        <f>_xll.EQNXTDZ($A$1,$B74,O$1,$B$1)</f>
        <v>8342.7900000000009</v>
      </c>
      <c r="P74" s="55">
        <f>_xll.EQNXTDZ($A$1,$B74,P$1,$B$1)</f>
        <v>8577.1</v>
      </c>
      <c r="Q74" s="55">
        <f>_xll.EQNXTDZ($A$1,$B74,Q$1,$B$1)</f>
        <v>8160.15</v>
      </c>
      <c r="R74" s="55">
        <f>_xll.EQNXTDZ($A$1,$B74,R$1,$B$1)</f>
        <v>8852.89</v>
      </c>
      <c r="S74" s="55">
        <f>_xll.EQNXTDZ($A$1,$B74,S$1,$B$1)</f>
        <v>7672.73</v>
      </c>
      <c r="T74" s="55">
        <f>_xll.EQNXTDZ($A$1,$B74,T$1,$B$1)</f>
        <v>8094.87</v>
      </c>
      <c r="U74" s="55">
        <f>_xll.EQNXTDZ($A$1,$B74,U$1,$B$1)</f>
        <v>8355.5400000000009</v>
      </c>
      <c r="V74" s="55">
        <f>_xll.EQNXTDZ($A$1,$B74,V$1,$B$1)</f>
        <v>10004.450000000001</v>
      </c>
      <c r="W74" s="55">
        <f>_xll.EQNXTDZ($A$1,$B74,W$1,$B$1)</f>
        <v>10240.85</v>
      </c>
      <c r="X74" s="55">
        <f>_xll.EQNXTDZ($A$1,$B74,X$1,$B$1)</f>
        <v>10257.52</v>
      </c>
      <c r="Y74" s="55">
        <f>_xll.EQNXTDZ($A$1,$B74,Y$1,$B$1)</f>
        <v>10920.23</v>
      </c>
      <c r="Z74" s="55">
        <f>_xll.EQNXTDZ($A$1,$B74,Z$1,$B$1)</f>
        <v>11665.03</v>
      </c>
      <c r="AA74" s="55">
        <f>_xll.EQNXTDZ($A$1,$B74,AA$1,$B$1)</f>
        <v>13446.04</v>
      </c>
      <c r="AB74" s="55">
        <f>_xll.EQNXTDZ($A$1,$B74,AB$1,$B$1)</f>
        <v>14644.18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0.14000000000000001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56.98</v>
      </c>
      <c r="I75" s="55">
        <f>_xll.EQNXTDZ($A$1,$B75,I$1,$B$1)</f>
        <v>13.08</v>
      </c>
      <c r="J75" s="55">
        <f>_xll.EQNXTDZ($A$1,$B75,J$1,$B$1)</f>
        <v>2.61</v>
      </c>
      <c r="K75" s="55">
        <f>_xll.EQNXTDZ($A$1,$B75,K$1,$B$1)</f>
        <v>425.73</v>
      </c>
      <c r="L75" s="55">
        <f>_xll.EQNXTDZ($A$1,$B75,L$1,$B$1)</f>
        <v>23.28</v>
      </c>
      <c r="M75" s="55">
        <f>_xll.EQNXTDZ($A$1,$B75,M$1,$B$1)</f>
        <v>654.34</v>
      </c>
      <c r="N75" s="55">
        <f>_xll.EQNXTDZ($A$1,$B75,N$1,$B$1)</f>
        <v>62.75</v>
      </c>
      <c r="O75" s="55">
        <f>_xll.EQNXTDZ($A$1,$B75,O$1,$B$1)</f>
        <v>40.69</v>
      </c>
      <c r="P75" s="55">
        <f>_xll.EQNXTDZ($A$1,$B75,P$1,$B$1)</f>
        <v>107.93</v>
      </c>
      <c r="Q75" s="55">
        <f>_xll.EQNXTDZ($A$1,$B75,Q$1,$B$1)</f>
        <v>546.30999999999995</v>
      </c>
      <c r="R75" s="55">
        <f>_xll.EQNXTDZ($A$1,$B75,R$1,$B$1)</f>
        <v>170.61</v>
      </c>
      <c r="S75" s="55">
        <f>_xll.EQNXTDZ($A$1,$B75,S$1,$B$1)</f>
        <v>90.8</v>
      </c>
      <c r="T75" s="55">
        <f>_xll.EQNXTDZ($A$1,$B75,T$1,$B$1)</f>
        <v>330.53</v>
      </c>
      <c r="U75" s="55">
        <f>_xll.EQNXTDZ($A$1,$B75,U$1,$B$1)</f>
        <v>211.21</v>
      </c>
      <c r="V75" s="55">
        <f>_xll.EQNXTDZ($A$1,$B75,V$1,$B$1)</f>
        <v>436.24</v>
      </c>
      <c r="W75" s="55">
        <f>_xll.EQNXTDZ($A$1,$B75,W$1,$B$1)</f>
        <v>448.63</v>
      </c>
      <c r="X75" s="55">
        <f>_xll.EQNXTDZ($A$1,$B75,X$1,$B$1)</f>
        <v>902.47</v>
      </c>
      <c r="Y75" s="55">
        <f>_xll.EQNXTDZ($A$1,$B75,Y$1,$B$1)</f>
        <v>757.33</v>
      </c>
      <c r="Z75" s="55">
        <f>_xll.EQNXTDZ($A$1,$B75,Z$1,$B$1)</f>
        <v>724.15</v>
      </c>
      <c r="AA75" s="55">
        <f>_xll.EQNXTDZ($A$1,$B75,AA$1,$B$1)</f>
        <v>898.87</v>
      </c>
      <c r="AB75" s="55">
        <f>_xll.EQNXTDZ($A$1,$B75,AB$1,$B$1)</f>
        <v>2499.86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18.07</v>
      </c>
      <c r="D76" s="55">
        <f>_xll.EQNXTDZ($A$1,$B76,D$1,$B$1)</f>
        <v>18.45</v>
      </c>
      <c r="E76" s="55">
        <f>_xll.EQNXTDZ($A$1,$B76,E$1,$B$1)</f>
        <v>21.83</v>
      </c>
      <c r="F76" s="55">
        <f>_xll.EQNXTDZ($A$1,$B76,F$1,$B$1)</f>
        <v>24.87</v>
      </c>
      <c r="G76" s="55">
        <f>_xll.EQNXTDZ($A$1,$B76,G$1,$B$1)</f>
        <v>29.01</v>
      </c>
      <c r="H76" s="55">
        <f>_xll.EQNXTDZ($A$1,$B76,H$1,$B$1)</f>
        <v>34.89</v>
      </c>
      <c r="I76" s="55">
        <f>_xll.EQNXTDZ($A$1,$B76,I$1,$B$1)</f>
        <v>44.91</v>
      </c>
      <c r="J76" s="55">
        <f>_xll.EQNXTDZ($A$1,$B76,J$1,$B$1)</f>
        <v>53.33</v>
      </c>
      <c r="K76" s="55">
        <f>_xll.EQNXTDZ($A$1,$B76,K$1,$B$1)</f>
        <v>64.099999999999994</v>
      </c>
      <c r="L76" s="55">
        <f>_xll.EQNXTDZ($A$1,$B76,L$1,$B$1)</f>
        <v>59.65</v>
      </c>
      <c r="M76" s="55">
        <f>_xll.EQNXTDZ($A$1,$B76,M$1,$B$1)</f>
        <v>58.53</v>
      </c>
      <c r="N76" s="55">
        <f>_xll.EQNXTDZ($A$1,$B76,N$1,$B$1)</f>
        <v>86.35</v>
      </c>
      <c r="O76" s="55">
        <f>_xll.EQNXTDZ($A$1,$B76,O$1,$B$1)</f>
        <v>96.74</v>
      </c>
      <c r="P76" s="55">
        <f>_xll.EQNXTDZ($A$1,$B76,P$1,$B$1)</f>
        <v>102.07</v>
      </c>
      <c r="Q76" s="55">
        <f>_xll.EQNXTDZ($A$1,$B76,Q$1,$B$1)</f>
        <v>102.96</v>
      </c>
      <c r="R76" s="55">
        <f>_xll.EQNXTDZ($A$1,$B76,R$1,$B$1)</f>
        <v>80.239999999999995</v>
      </c>
      <c r="S76" s="55">
        <f>_xll.EQNXTDZ($A$1,$B76,S$1,$B$1)</f>
        <v>80.44</v>
      </c>
      <c r="T76" s="55">
        <f>_xll.EQNXTDZ($A$1,$B76,T$1,$B$1)</f>
        <v>85.72</v>
      </c>
      <c r="U76" s="55">
        <f>_xll.EQNXTDZ($A$1,$B76,U$1,$B$1)</f>
        <v>80.400000000000006</v>
      </c>
      <c r="V76" s="55">
        <f>_xll.EQNXTDZ($A$1,$B76,V$1,$B$1)</f>
        <v>93.61</v>
      </c>
      <c r="W76" s="55">
        <f>_xll.EQNXTDZ($A$1,$B76,W$1,$B$1)</f>
        <v>92.88</v>
      </c>
      <c r="X76" s="55">
        <f>_xll.EQNXTDZ($A$1,$B76,X$1,$B$1)</f>
        <v>100.83</v>
      </c>
      <c r="Y76" s="55">
        <f>_xll.EQNXTDZ($A$1,$B76,Y$1,$B$1)</f>
        <v>109.21</v>
      </c>
      <c r="Z76" s="55">
        <f>_xll.EQNXTDZ($A$1,$B76,Z$1,$B$1)</f>
        <v>116.44</v>
      </c>
      <c r="AA76" s="55">
        <f>_xll.EQNXTDZ($A$1,$B76,AA$1,$B$1)</f>
        <v>135.47</v>
      </c>
      <c r="AB76" s="55">
        <f>_xll.EQNXTDZ($A$1,$B76,AB$1,$B$1)</f>
        <v>149.72999999999999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98.51</v>
      </c>
      <c r="D77" s="55">
        <f>_xll.EQNXTDZ($A$1,$B77,D$1,$B$1)</f>
        <v>112.97</v>
      </c>
      <c r="E77" s="55">
        <f>_xll.EQNXTDZ($A$1,$B77,E$1,$B$1)</f>
        <v>109.87</v>
      </c>
      <c r="F77" s="55">
        <f>_xll.EQNXTDZ($A$1,$B77,F$1,$B$1)</f>
        <v>107.52</v>
      </c>
      <c r="G77" s="55">
        <f>_xll.EQNXTDZ($A$1,$B77,G$1,$B$1)</f>
        <v>99.9</v>
      </c>
      <c r="H77" s="55">
        <f>_xll.EQNXTDZ($A$1,$B77,H$1,$B$1)</f>
        <v>134.16</v>
      </c>
      <c r="I77" s="55">
        <f>_xll.EQNXTDZ($A$1,$B77,I$1,$B$1)</f>
        <v>204.75</v>
      </c>
      <c r="J77" s="55">
        <f>_xll.EQNXTDZ($A$1,$B77,J$1,$B$1)</f>
        <v>207.91</v>
      </c>
      <c r="K77" s="55">
        <f>_xll.EQNXTDZ($A$1,$B77,K$1,$B$1)</f>
        <v>177.77</v>
      </c>
      <c r="L77" s="55">
        <f>_xll.EQNXTDZ($A$1,$B77,L$1,$B$1)</f>
        <v>205.5</v>
      </c>
      <c r="M77" s="55">
        <f>_xll.EQNXTDZ($A$1,$B77,M$1,$B$1)</f>
        <v>201.97</v>
      </c>
      <c r="N77" s="55">
        <f>_xll.EQNXTDZ($A$1,$B77,N$1,$B$1)</f>
        <v>290.38</v>
      </c>
      <c r="O77" s="55">
        <f>_xll.EQNXTDZ($A$1,$B77,O$1,$B$1)</f>
        <v>273.98</v>
      </c>
      <c r="P77" s="55">
        <f>_xll.EQNXTDZ($A$1,$B77,P$1,$B$1)</f>
        <v>280.49</v>
      </c>
      <c r="Q77" s="55">
        <f>_xll.EQNXTDZ($A$1,$B77,Q$1,$B$1)</f>
        <v>299.82</v>
      </c>
      <c r="R77" s="55">
        <f>_xll.EQNXTDZ($A$1,$B77,R$1,$B$1)</f>
        <v>241.98</v>
      </c>
      <c r="S77" s="55">
        <f>_xll.EQNXTDZ($A$1,$B77,S$1,$B$1)</f>
        <v>272.06</v>
      </c>
      <c r="T77" s="55">
        <f>_xll.EQNXTDZ($A$1,$B77,T$1,$B$1)</f>
        <v>328.56</v>
      </c>
      <c r="U77" s="55">
        <f>_xll.EQNXTDZ($A$1,$B77,U$1,$B$1)</f>
        <v>321.38</v>
      </c>
      <c r="V77" s="55">
        <f>_xll.EQNXTDZ($A$1,$B77,V$1,$B$1)</f>
        <v>290.02</v>
      </c>
      <c r="W77" s="55">
        <f>_xll.EQNXTDZ($A$1,$B77,W$1,$B$1)</f>
        <v>219.84</v>
      </c>
      <c r="X77" s="55">
        <f>_xll.EQNXTDZ($A$1,$B77,X$1,$B$1)</f>
        <v>255.34</v>
      </c>
      <c r="Y77" s="55">
        <f>_xll.EQNXTDZ($A$1,$B77,Y$1,$B$1)</f>
        <v>446.45</v>
      </c>
      <c r="Z77" s="55">
        <f>_xll.EQNXTDZ($A$1,$B77,Z$1,$B$1)</f>
        <v>476.46</v>
      </c>
      <c r="AA77" s="55">
        <f>_xll.EQNXTDZ($A$1,$B77,AA$1,$B$1)</f>
        <v>650.88</v>
      </c>
      <c r="AB77" s="55">
        <f>_xll.EQNXTDZ($A$1,$B77,AB$1,$B$1)</f>
        <v>726.82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24.04</v>
      </c>
      <c r="D78" s="55">
        <f>_xll.EQNXTDZ($A$1,$B78,D$1,$B$1)</f>
        <v>110.29</v>
      </c>
      <c r="E78" s="55">
        <f>_xll.EQNXTDZ($A$1,$B78,E$1,$B$1)</f>
        <v>54.69</v>
      </c>
      <c r="F78" s="55">
        <f>_xll.EQNXTDZ($A$1,$B78,F$1,$B$1)</f>
        <v>661.14</v>
      </c>
      <c r="G78" s="55">
        <f>_xll.EQNXTDZ($A$1,$B78,G$1,$B$1)</f>
        <v>471.4</v>
      </c>
      <c r="H78" s="55">
        <f>_xll.EQNXTDZ($A$1,$B78,H$1,$B$1)</f>
        <v>389.85</v>
      </c>
      <c r="I78" s="55">
        <f>_xll.EQNXTDZ($A$1,$B78,I$1,$B$1)</f>
        <v>177.15</v>
      </c>
      <c r="J78" s="55">
        <f>_xll.EQNXTDZ($A$1,$B78,J$1,$B$1)</f>
        <v>257.60000000000002</v>
      </c>
      <c r="K78" s="55">
        <f>_xll.EQNXTDZ($A$1,$B78,K$1,$B$1)</f>
        <v>252.84</v>
      </c>
      <c r="L78" s="55">
        <f>_xll.EQNXTDZ($A$1,$B78,L$1,$B$1)</f>
        <v>548.76</v>
      </c>
      <c r="M78" s="55">
        <f>_xll.EQNXTDZ($A$1,$B78,M$1,$B$1)</f>
        <v>190.77</v>
      </c>
      <c r="N78" s="55">
        <f>_xll.EQNXTDZ($A$1,$B78,N$1,$B$1)</f>
        <v>159.72</v>
      </c>
      <c r="O78" s="55">
        <f>_xll.EQNXTDZ($A$1,$B78,O$1,$B$1)</f>
        <v>210.06</v>
      </c>
      <c r="P78" s="55">
        <f>_xll.EQNXTDZ($A$1,$B78,P$1,$B$1)</f>
        <v>183.55</v>
      </c>
      <c r="Q78" s="55">
        <f>_xll.EQNXTDZ($A$1,$B78,Q$1,$B$1)</f>
        <v>503.57</v>
      </c>
      <c r="R78" s="55">
        <f>_xll.EQNXTDZ($A$1,$B78,R$1,$B$1)</f>
        <v>182.55</v>
      </c>
      <c r="S78" s="55">
        <f>_xll.EQNXTDZ($A$1,$B78,S$1,$B$1)</f>
        <v>247.06</v>
      </c>
      <c r="T78" s="55">
        <f>_xll.EQNXTDZ($A$1,$B78,T$1,$B$1)</f>
        <v>270.32</v>
      </c>
      <c r="U78" s="55">
        <f>_xll.EQNXTDZ($A$1,$B78,U$1,$B$1)</f>
        <v>240.94</v>
      </c>
      <c r="V78" s="55">
        <f>_xll.EQNXTDZ($A$1,$B78,V$1,$B$1)</f>
        <v>315.58</v>
      </c>
      <c r="W78" s="55">
        <f>_xll.EQNXTDZ($A$1,$B78,W$1,$B$1)</f>
        <v>153.63</v>
      </c>
      <c r="X78" s="55">
        <f>_xll.EQNXTDZ($A$1,$B78,X$1,$B$1)</f>
        <v>1187.81</v>
      </c>
      <c r="Y78" s="55">
        <f>_xll.EQNXTDZ($A$1,$B78,Y$1,$B$1)</f>
        <v>1053.43</v>
      </c>
      <c r="Z78" s="55">
        <f>_xll.EQNXTDZ($A$1,$B78,Z$1,$B$1)</f>
        <v>1485.5</v>
      </c>
      <c r="AA78" s="55">
        <f>_xll.EQNXTDZ($A$1,$B78,AA$1,$B$1)</f>
        <v>2181.56</v>
      </c>
      <c r="AB78" s="55">
        <f>_xll.EQNXTDZ($A$1,$B78,AB$1,$B$1)</f>
        <v>1831.19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32.35</v>
      </c>
      <c r="D79" s="55">
        <f>_xll.EQNXTDZ($A$1,$B79,D$1,$B$1)</f>
        <v>40.29</v>
      </c>
      <c r="E79" s="55">
        <f>_xll.EQNXTDZ($A$1,$B79,E$1,$B$1)</f>
        <v>38.57</v>
      </c>
      <c r="F79" s="55">
        <f>_xll.EQNXTDZ($A$1,$B79,F$1,$B$1)</f>
        <v>44.57</v>
      </c>
      <c r="G79" s="55">
        <f>_xll.EQNXTDZ($A$1,$B79,G$1,$B$1)</f>
        <v>37.36</v>
      </c>
      <c r="H79" s="55">
        <f>_xll.EQNXTDZ($A$1,$B79,H$1,$B$1)</f>
        <v>31.51</v>
      </c>
      <c r="I79" s="55">
        <f>_xll.EQNXTDZ($A$1,$B79,I$1,$B$1)</f>
        <v>37.68</v>
      </c>
      <c r="J79" s="55">
        <f>_xll.EQNXTDZ($A$1,$B79,J$1,$B$1)</f>
        <v>39.94</v>
      </c>
      <c r="K79" s="55">
        <f>_xll.EQNXTDZ($A$1,$B79,K$1,$B$1)</f>
        <v>43.21</v>
      </c>
      <c r="L79" s="55">
        <f>_xll.EQNXTDZ($A$1,$B79,L$1,$B$1)</f>
        <v>47.95</v>
      </c>
      <c r="M79" s="55">
        <f>_xll.EQNXTDZ($A$1,$B79,M$1,$B$1)</f>
        <v>35.94</v>
      </c>
      <c r="N79" s="55">
        <f>_xll.EQNXTDZ($A$1,$B79,N$1,$B$1)</f>
        <v>80.209999999999994</v>
      </c>
      <c r="O79" s="55">
        <f>_xll.EQNXTDZ($A$1,$B79,O$1,$B$1)</f>
        <v>127.02</v>
      </c>
      <c r="P79" s="55">
        <f>_xll.EQNXTDZ($A$1,$B79,P$1,$B$1)</f>
        <v>83.86</v>
      </c>
      <c r="Q79" s="55">
        <f>_xll.EQNXTDZ($A$1,$B79,Q$1,$B$1)</f>
        <v>85.33</v>
      </c>
      <c r="R79" s="55">
        <f>_xll.EQNXTDZ($A$1,$B79,R$1,$B$1)</f>
        <v>147.34</v>
      </c>
      <c r="S79" s="55">
        <f>_xll.EQNXTDZ($A$1,$B79,S$1,$B$1)</f>
        <v>140.49</v>
      </c>
      <c r="T79" s="55">
        <f>_xll.EQNXTDZ($A$1,$B79,T$1,$B$1)</f>
        <v>162.57</v>
      </c>
      <c r="U79" s="55">
        <f>_xll.EQNXTDZ($A$1,$B79,U$1,$B$1)</f>
        <v>254.55</v>
      </c>
      <c r="V79" s="55">
        <f>_xll.EQNXTDZ($A$1,$B79,V$1,$B$1)</f>
        <v>206.99</v>
      </c>
      <c r="W79" s="55">
        <f>_xll.EQNXTDZ($A$1,$B79,W$1,$B$1)</f>
        <v>140.72</v>
      </c>
      <c r="X79" s="55">
        <f>_xll.EQNXTDZ($A$1,$B79,X$1,$B$1)</f>
        <v>143.94</v>
      </c>
      <c r="Y79" s="55">
        <f>_xll.EQNXTDZ($A$1,$B79,Y$1,$B$1)</f>
        <v>126.85</v>
      </c>
      <c r="Z79" s="55">
        <f>_xll.EQNXTDZ($A$1,$B79,Z$1,$B$1)</f>
        <v>155.41</v>
      </c>
      <c r="AA79" s="55">
        <f>_xll.EQNXTDZ($A$1,$B79,AA$1,$B$1)</f>
        <v>195.45</v>
      </c>
      <c r="AB79" s="55">
        <f>_xll.EQNXTDZ($A$1,$B79,AB$1,$B$1)</f>
        <v>222.59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478.09</v>
      </c>
      <c r="D80" s="55">
        <f>_xll.EQNXTDZ($A$1,$B80,D$1,$B$1)</f>
        <v>395.81</v>
      </c>
      <c r="E80" s="55">
        <f>_xll.EQNXTDZ($A$1,$B80,E$1,$B$1)</f>
        <v>422.1</v>
      </c>
      <c r="F80" s="55">
        <f>_xll.EQNXTDZ($A$1,$B80,F$1,$B$1)</f>
        <v>327</v>
      </c>
      <c r="G80" s="55">
        <f>_xll.EQNXTDZ($A$1,$B80,G$1,$B$1)</f>
        <v>347.22</v>
      </c>
      <c r="H80" s="55">
        <f>_xll.EQNXTDZ($A$1,$B80,H$1,$B$1)</f>
        <v>448.83</v>
      </c>
      <c r="I80" s="55">
        <f>_xll.EQNXTDZ($A$1,$B80,I$1,$B$1)</f>
        <v>379.9</v>
      </c>
      <c r="J80" s="55">
        <f>_xll.EQNXTDZ($A$1,$B80,J$1,$B$1)</f>
        <v>491.97</v>
      </c>
      <c r="K80" s="55">
        <f>_xll.EQNXTDZ($A$1,$B80,K$1,$B$1)</f>
        <v>1029.8900000000001</v>
      </c>
      <c r="L80" s="55">
        <f>_xll.EQNXTDZ($A$1,$B80,L$1,$B$1)</f>
        <v>690.99</v>
      </c>
      <c r="M80" s="55">
        <f>_xll.EQNXTDZ($A$1,$B80,M$1,$B$1)</f>
        <v>257.86</v>
      </c>
      <c r="N80" s="55">
        <f>_xll.EQNXTDZ($A$1,$B80,N$1,$B$1)</f>
        <v>167.89</v>
      </c>
      <c r="O80" s="55">
        <f>_xll.EQNXTDZ($A$1,$B80,O$1,$B$1)</f>
        <v>200</v>
      </c>
      <c r="P80" s="55">
        <f>_xll.EQNXTDZ($A$1,$B80,P$1,$B$1)</f>
        <v>179.48</v>
      </c>
      <c r="Q80" s="55">
        <f>_xll.EQNXTDZ($A$1,$B80,Q$1,$B$1)</f>
        <v>185.74</v>
      </c>
      <c r="R80" s="55">
        <f>_xll.EQNXTDZ($A$1,$B80,R$1,$B$1)</f>
        <v>121.77</v>
      </c>
      <c r="S80" s="55">
        <f>_xll.EQNXTDZ($A$1,$B80,S$1,$B$1)</f>
        <v>95.49</v>
      </c>
      <c r="T80" s="55">
        <f>_xll.EQNXTDZ($A$1,$B80,T$1,$B$1)</f>
        <v>41.83</v>
      </c>
      <c r="U80" s="55">
        <f>_xll.EQNXTDZ($A$1,$B80,U$1,$B$1)</f>
        <v>41.87</v>
      </c>
      <c r="V80" s="55">
        <f>_xll.EQNXTDZ($A$1,$B80,V$1,$B$1)</f>
        <v>91.13</v>
      </c>
      <c r="W80" s="55">
        <f>_xll.EQNXTDZ($A$1,$B80,W$1,$B$1)</f>
        <v>97.11</v>
      </c>
      <c r="X80" s="55">
        <f>_xll.EQNXTDZ($A$1,$B80,X$1,$B$1)</f>
        <v>82.66</v>
      </c>
      <c r="Y80" s="55">
        <f>_xll.EQNXTDZ($A$1,$B80,Y$1,$B$1)</f>
        <v>96.38</v>
      </c>
      <c r="Z80" s="55">
        <f>_xll.EQNXTDZ($A$1,$B80,Z$1,$B$1)</f>
        <v>110.43</v>
      </c>
      <c r="AA80" s="55">
        <f>_xll.EQNXTDZ($A$1,$B80,AA$1,$B$1)</f>
        <v>107.71</v>
      </c>
      <c r="AB80" s="55">
        <f>_xll.EQNXTDZ($A$1,$B80,AB$1,$B$1)</f>
        <v>146.35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8.43</v>
      </c>
      <c r="V81" s="55">
        <f>_xll.EQNXTDZ($A$1,$B81,V$1,$B$1)</f>
        <v>3.74</v>
      </c>
      <c r="W81" s="55">
        <f>_xll.EQNXTDZ($A$1,$B81,W$1,$B$1)</f>
        <v>1.07</v>
      </c>
      <c r="X81" s="55">
        <f>_xll.EQNXTDZ($A$1,$B81,X$1,$B$1)</f>
        <v>1.05</v>
      </c>
      <c r="Y81" s="55">
        <f>_xll.EQNXTDZ($A$1,$B81,Y$1,$B$1)</f>
        <v>0.69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651.05999999999995</v>
      </c>
      <c r="D82" s="55">
        <f>_xll.EQNXTDZ($A$1,$B82,D$1,$B$1)</f>
        <v>677.81</v>
      </c>
      <c r="E82" s="55">
        <f>_xll.EQNXTDZ($A$1,$B82,E$1,$B$1)</f>
        <v>647.20000000000005</v>
      </c>
      <c r="F82" s="55">
        <f>_xll.EQNXTDZ($A$1,$B82,F$1,$B$1)</f>
        <v>1165.0999999999999</v>
      </c>
      <c r="G82" s="55">
        <f>_xll.EQNXTDZ($A$1,$B82,G$1,$B$1)</f>
        <v>984.89</v>
      </c>
      <c r="H82" s="55">
        <f>_xll.EQNXTDZ($A$1,$B82,H$1,$B$1)</f>
        <v>1096.22</v>
      </c>
      <c r="I82" s="55">
        <f>_xll.EQNXTDZ($A$1,$B82,I$1,$B$1)</f>
        <v>857.47</v>
      </c>
      <c r="J82" s="55">
        <f>_xll.EQNXTDZ($A$1,$B82,J$1,$B$1)</f>
        <v>1053.3599999999999</v>
      </c>
      <c r="K82" s="55">
        <f>_xll.EQNXTDZ($A$1,$B82,K$1,$B$1)</f>
        <v>1993.54</v>
      </c>
      <c r="L82" s="55">
        <f>_xll.EQNXTDZ($A$1,$B82,L$1,$B$1)</f>
        <v>1576.13</v>
      </c>
      <c r="M82" s="55">
        <f>_xll.EQNXTDZ($A$1,$B82,M$1,$B$1)</f>
        <v>1399.41</v>
      </c>
      <c r="N82" s="55">
        <f>_xll.EQNXTDZ($A$1,$B82,N$1,$B$1)</f>
        <v>847.3</v>
      </c>
      <c r="O82" s="55">
        <f>_xll.EQNXTDZ($A$1,$B82,O$1,$B$1)</f>
        <v>948.49</v>
      </c>
      <c r="P82" s="55">
        <f>_xll.EQNXTDZ($A$1,$B82,P$1,$B$1)</f>
        <v>937.38</v>
      </c>
      <c r="Q82" s="55">
        <f>_xll.EQNXTDZ($A$1,$B82,Q$1,$B$1)</f>
        <v>1723.73</v>
      </c>
      <c r="R82" s="55">
        <f>_xll.EQNXTDZ($A$1,$B82,R$1,$B$1)</f>
        <v>944.49</v>
      </c>
      <c r="S82" s="55">
        <f>_xll.EQNXTDZ($A$1,$B82,S$1,$B$1)</f>
        <v>926.34</v>
      </c>
      <c r="T82" s="55">
        <f>_xll.EQNXTDZ($A$1,$B82,T$1,$B$1)</f>
        <v>1219.53</v>
      </c>
      <c r="U82" s="55">
        <f>_xll.EQNXTDZ($A$1,$B82,U$1,$B$1)</f>
        <v>1150.3499999999999</v>
      </c>
      <c r="V82" s="55">
        <f>_xll.EQNXTDZ($A$1,$B82,V$1,$B$1)</f>
        <v>1433.57</v>
      </c>
      <c r="W82" s="55">
        <f>_xll.EQNXTDZ($A$1,$B82,W$1,$B$1)</f>
        <v>1152.81</v>
      </c>
      <c r="X82" s="55">
        <f>_xll.EQNXTDZ($A$1,$B82,X$1,$B$1)</f>
        <v>2673.05</v>
      </c>
      <c r="Y82" s="55">
        <f>_xll.EQNXTDZ($A$1,$B82,Y$1,$B$1)</f>
        <v>2589.65</v>
      </c>
      <c r="Z82" s="55">
        <f>_xll.EQNXTDZ($A$1,$B82,Z$1,$B$1)</f>
        <v>3068.39</v>
      </c>
      <c r="AA82" s="55">
        <f>_xll.EQNXTDZ($A$1,$B82,AA$1,$B$1)</f>
        <v>4169.9399999999996</v>
      </c>
      <c r="AB82" s="55">
        <f>_xll.EQNXTDZ($A$1,$B82,AB$1,$B$1)</f>
        <v>5576.54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63.96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5</v>
      </c>
      <c r="G83" s="55">
        <f>_xll.EQNXTDZ($A$1,$B83,G$1,$B$1)</f>
        <v>4.38</v>
      </c>
      <c r="H83" s="55">
        <f>_xll.EQNXTDZ($A$1,$B83,H$1,$B$1)</f>
        <v>10.51</v>
      </c>
      <c r="I83" s="55">
        <f>_xll.EQNXTDZ($A$1,$B83,I$1,$B$1)</f>
        <v>12.74</v>
      </c>
      <c r="J83" s="55">
        <f>_xll.EQNXTDZ($A$1,$B83,J$1,$B$1)</f>
        <v>9.15</v>
      </c>
      <c r="K83" s="55">
        <f>_xll.EQNXTDZ($A$1,$B83,K$1,$B$1)</f>
        <v>7.64</v>
      </c>
      <c r="L83" s="55">
        <f>_xll.EQNXTDZ($A$1,$B83,L$1,$B$1)</f>
        <v>22.59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1801.08</v>
      </c>
      <c r="D84" s="55">
        <f>_xll.EQNXTDZ($A$1,$B84,D$1,$B$1)</f>
        <v>2957.43</v>
      </c>
      <c r="E84" s="55">
        <f>_xll.EQNXTDZ($A$1,$B84,E$1,$B$1)</f>
        <v>3029.82</v>
      </c>
      <c r="F84" s="55">
        <f>_xll.EQNXTDZ($A$1,$B84,F$1,$B$1)</f>
        <v>3745.16</v>
      </c>
      <c r="G84" s="55">
        <f>_xll.EQNXTDZ($A$1,$B84,G$1,$B$1)</f>
        <v>4104.3</v>
      </c>
      <c r="H84" s="55">
        <f>_xll.EQNXTDZ($A$1,$B84,H$1,$B$1)</f>
        <v>4425.71</v>
      </c>
      <c r="I84" s="55">
        <f>_xll.EQNXTDZ($A$1,$B84,I$1,$B$1)</f>
        <v>5242.13</v>
      </c>
      <c r="J84" s="55">
        <f>_xll.EQNXTDZ($A$1,$B84,J$1,$B$1)</f>
        <v>6848.41</v>
      </c>
      <c r="K84" s="55">
        <f>_xll.EQNXTDZ($A$1,$B84,K$1,$B$1)</f>
        <v>9159.85</v>
      </c>
      <c r="L84" s="55">
        <f>_xll.EQNXTDZ($A$1,$B84,L$1,$B$1)</f>
        <v>8614.7199999999993</v>
      </c>
      <c r="M84" s="55">
        <f>_xll.EQNXTDZ($A$1,$B84,M$1,$B$1)</f>
        <v>8876.65</v>
      </c>
      <c r="N84" s="55">
        <f>_xll.EQNXTDZ($A$1,$B84,N$1,$B$1)</f>
        <v>9229.65</v>
      </c>
      <c r="O84" s="55">
        <f>_xll.EQNXTDZ($A$1,$B84,O$1,$B$1)</f>
        <v>9291.2800000000007</v>
      </c>
      <c r="P84" s="55">
        <f>_xll.EQNXTDZ($A$1,$B84,P$1,$B$1)</f>
        <v>9514.48</v>
      </c>
      <c r="Q84" s="55">
        <f>_xll.EQNXTDZ($A$1,$B84,Q$1,$B$1)</f>
        <v>9883.8799999999992</v>
      </c>
      <c r="R84" s="55">
        <f>_xll.EQNXTDZ($A$1,$B84,R$1,$B$1)</f>
        <v>9797.3799999999992</v>
      </c>
      <c r="S84" s="55">
        <f>_xll.EQNXTDZ($A$1,$B84,S$1,$B$1)</f>
        <v>8599.07</v>
      </c>
      <c r="T84" s="55">
        <f>_xll.EQNXTDZ($A$1,$B84,T$1,$B$1)</f>
        <v>9314.4</v>
      </c>
      <c r="U84" s="55">
        <f>_xll.EQNXTDZ($A$1,$B84,U$1,$B$1)</f>
        <v>9514.32</v>
      </c>
      <c r="V84" s="55">
        <f>_xll.EQNXTDZ($A$1,$B84,V$1,$B$1)</f>
        <v>11441.76</v>
      </c>
      <c r="W84" s="55">
        <f>_xll.EQNXTDZ($A$1,$B84,W$1,$B$1)</f>
        <v>11394.73</v>
      </c>
      <c r="X84" s="55">
        <f>_xll.EQNXTDZ($A$1,$B84,X$1,$B$1)</f>
        <v>12931.62</v>
      </c>
      <c r="Y84" s="55">
        <f>_xll.EQNXTDZ($A$1,$B84,Y$1,$B$1)</f>
        <v>13510.57</v>
      </c>
      <c r="Z84" s="55">
        <f>_xll.EQNXTDZ($A$1,$B84,Z$1,$B$1)</f>
        <v>14733.42</v>
      </c>
      <c r="AA84" s="55">
        <f>_xll.EQNXTDZ($A$1,$B84,AA$1,$B$1)</f>
        <v>17615.98</v>
      </c>
      <c r="AB84" s="55">
        <f>_xll.EQNXTDZ($A$1,$B84,AB$1,$B$1)</f>
        <v>20220.72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300.29000000000002</v>
      </c>
      <c r="D85" s="55">
        <f>_xll.EQNXTDZ($A$1,$B85,D$1,$B$1)</f>
        <v>369.53</v>
      </c>
      <c r="E85" s="55">
        <f>_xll.EQNXTDZ($A$1,$B85,E$1,$B$1)</f>
        <v>393.46</v>
      </c>
      <c r="F85" s="55">
        <f>_xll.EQNXTDZ($A$1,$B85,F$1,$B$1)</f>
        <v>153.13</v>
      </c>
      <c r="G85" s="55">
        <f>_xll.EQNXTDZ($A$1,$B85,G$1,$B$1)</f>
        <v>228.47</v>
      </c>
      <c r="H85" s="55">
        <f>_xll.EQNXTDZ($A$1,$B85,H$1,$B$1)</f>
        <v>220.32</v>
      </c>
      <c r="I85" s="55">
        <f>_xll.EQNXTDZ($A$1,$B85,I$1,$B$1)</f>
        <v>179.85</v>
      </c>
      <c r="J85" s="55">
        <f>_xll.EQNXTDZ($A$1,$B85,J$1,$B$1)</f>
        <v>239.88</v>
      </c>
      <c r="K85" s="55">
        <f>_xll.EQNXTDZ($A$1,$B85,K$1,$B$1)</f>
        <v>282.93</v>
      </c>
      <c r="L85" s="55">
        <f>_xll.EQNXTDZ($A$1,$B85,L$1,$B$1)</f>
        <v>294.7</v>
      </c>
      <c r="M85" s="55">
        <f>_xll.EQNXTDZ($A$1,$B85,M$1,$B$1)</f>
        <v>261.27</v>
      </c>
      <c r="N85" s="55">
        <f>_xll.EQNXTDZ($A$1,$B85,N$1,$B$1)</f>
        <v>321.95</v>
      </c>
      <c r="O85" s="55">
        <f>_xll.EQNXTDZ($A$1,$B85,O$1,$B$1)</f>
        <v>433.77</v>
      </c>
      <c r="P85" s="55">
        <f>_xll.EQNXTDZ($A$1,$B85,P$1,$B$1)</f>
        <v>2508.4899999999998</v>
      </c>
      <c r="Q85" s="55">
        <f>_xll.EQNXTDZ($A$1,$B85,Q$1,$B$1)</f>
        <v>629.5</v>
      </c>
      <c r="R85" s="55">
        <f>_xll.EQNXTDZ($A$1,$B85,R$1,$B$1)</f>
        <v>587.09</v>
      </c>
      <c r="S85" s="55">
        <f>_xll.EQNXTDZ($A$1,$B85,S$1,$B$1)</f>
        <v>297.92</v>
      </c>
      <c r="T85" s="55">
        <f>_xll.EQNXTDZ($A$1,$B85,T$1,$B$1)</f>
        <v>458.11</v>
      </c>
      <c r="U85" s="55">
        <f>_xll.EQNXTDZ($A$1,$B85,U$1,$B$1)</f>
        <v>478.89</v>
      </c>
      <c r="V85" s="55">
        <f>_xll.EQNXTDZ($A$1,$B85,V$1,$B$1)</f>
        <v>536.66</v>
      </c>
      <c r="W85" s="55">
        <f>_xll.EQNXTDZ($A$1,$B85,W$1,$B$1)</f>
        <v>579.02</v>
      </c>
      <c r="X85" s="55">
        <f>_xll.EQNXTDZ($A$1,$B85,X$1,$B$1)</f>
        <v>545.99</v>
      </c>
      <c r="Y85" s="55">
        <f>_xll.EQNXTDZ($A$1,$B85,Y$1,$B$1)</f>
        <v>1972.7</v>
      </c>
      <c r="Z85" s="55">
        <f>_xll.EQNXTDZ($A$1,$B85,Z$1,$B$1)</f>
        <v>2235.6799999999998</v>
      </c>
      <c r="AA85" s="55">
        <f>_xll.EQNXTDZ($A$1,$B85,AA$1,$B$1)</f>
        <v>2639.81</v>
      </c>
      <c r="AB85" s="55">
        <f>_xll.EQNXTDZ($A$1,$B85,AB$1,$B$1)</f>
        <v>2737.23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4.03</v>
      </c>
      <c r="D86" s="55">
        <f>_xll.EQNXTDZ($A$1,$B86,D$1,$B$1)</f>
        <v>327.38</v>
      </c>
      <c r="E86" s="55">
        <f>_xll.EQNXTDZ($A$1,$B86,E$1,$B$1)</f>
        <v>345.08</v>
      </c>
      <c r="F86" s="55">
        <f>_xll.EQNXTDZ($A$1,$B86,F$1,$B$1)</f>
        <v>270.69</v>
      </c>
      <c r="G86" s="55">
        <f>_xll.EQNXTDZ($A$1,$B86,G$1,$B$1)</f>
        <v>286.60000000000002</v>
      </c>
      <c r="H86" s="55">
        <f>_xll.EQNXTDZ($A$1,$B86,H$1,$B$1)</f>
        <v>337.26</v>
      </c>
      <c r="I86" s="55">
        <f>_xll.EQNXTDZ($A$1,$B86,I$1,$B$1)</f>
        <v>314.12</v>
      </c>
      <c r="J86" s="55">
        <f>_xll.EQNXTDZ($A$1,$B86,J$1,$B$1)</f>
        <v>297.02999999999997</v>
      </c>
      <c r="K86" s="55">
        <f>_xll.EQNXTDZ($A$1,$B86,K$1,$B$1)</f>
        <v>361.15</v>
      </c>
      <c r="L86" s="55">
        <f>_xll.EQNXTDZ($A$1,$B86,L$1,$B$1)</f>
        <v>330.38</v>
      </c>
      <c r="M86" s="55">
        <f>_xll.EQNXTDZ($A$1,$B86,M$1,$B$1)</f>
        <v>325.72000000000003</v>
      </c>
      <c r="N86" s="55">
        <f>_xll.EQNXTDZ($A$1,$B86,N$1,$B$1)</f>
        <v>489.51</v>
      </c>
      <c r="O86" s="55">
        <f>_xll.EQNXTDZ($A$1,$B86,O$1,$B$1)</f>
        <v>512.83000000000004</v>
      </c>
      <c r="P86" s="55">
        <f>_xll.EQNXTDZ($A$1,$B86,P$1,$B$1)</f>
        <v>580.09</v>
      </c>
      <c r="Q86" s="55">
        <f>_xll.EQNXTDZ($A$1,$B86,Q$1,$B$1)</f>
        <v>478.45</v>
      </c>
      <c r="R86" s="55">
        <f>_xll.EQNXTDZ($A$1,$B86,R$1,$B$1)</f>
        <v>573.65</v>
      </c>
      <c r="S86" s="55">
        <f>_xll.EQNXTDZ($A$1,$B86,S$1,$B$1)</f>
        <v>555.55999999999995</v>
      </c>
      <c r="T86" s="55">
        <f>_xll.EQNXTDZ($A$1,$B86,T$1,$B$1)</f>
        <v>565.52</v>
      </c>
      <c r="U86" s="55">
        <f>_xll.EQNXTDZ($A$1,$B86,U$1,$B$1)</f>
        <v>583.47</v>
      </c>
      <c r="V86" s="55">
        <f>_xll.EQNXTDZ($A$1,$B86,V$1,$B$1)</f>
        <v>614.58000000000004</v>
      </c>
      <c r="W86" s="55">
        <f>_xll.EQNXTDZ($A$1,$B86,W$1,$B$1)</f>
        <v>610.97</v>
      </c>
      <c r="X86" s="55">
        <f>_xll.EQNXTDZ($A$1,$B86,X$1,$B$1)</f>
        <v>622.91</v>
      </c>
      <c r="Y86" s="55">
        <f>_xll.EQNXTDZ($A$1,$B86,Y$1,$B$1)</f>
        <v>653.62</v>
      </c>
      <c r="Z86" s="55">
        <f>_xll.EQNXTDZ($A$1,$B86,Z$1,$B$1)</f>
        <v>662.32</v>
      </c>
      <c r="AA86" s="55">
        <f>_xll.EQNXTDZ($A$1,$B86,AA$1,$B$1)</f>
        <v>710.75</v>
      </c>
      <c r="AB86" s="55">
        <f>_xll.EQNXTDZ($A$1,$B86,AB$1,$B$1)</f>
        <v>1121.95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1002.77</v>
      </c>
      <c r="N87" s="55">
        <f>_xll.EQNXTDZ($A$1,$B87,N$1,$B$1)</f>
        <v>90</v>
      </c>
      <c r="O87" s="55">
        <f>_xll.EQNXTDZ($A$1,$B87,O$1,$B$1)</f>
        <v>60</v>
      </c>
      <c r="P87" s="55">
        <f>_xll.EQNXTDZ($A$1,$B87,P$1,$B$1)</f>
        <v>210</v>
      </c>
      <c r="Q87" s="55">
        <f>_xll.EQNXTDZ($A$1,$B87,Q$1,$B$1)</f>
        <v>90</v>
      </c>
      <c r="R87" s="55">
        <f>_xll.EQNXTDZ($A$1,$B87,R$1,$B$1)</f>
        <v>372.32</v>
      </c>
      <c r="S87" s="55">
        <f>_xll.EQNXTDZ($A$1,$B87,S$1,$B$1)</f>
        <v>292.73</v>
      </c>
      <c r="T87" s="55">
        <f>_xll.EQNXTDZ($A$1,$B87,T$1,$B$1)</f>
        <v>0</v>
      </c>
      <c r="U87" s="55">
        <f>_xll.EQNXTDZ($A$1,$B87,U$1,$B$1)</f>
        <v>529.45000000000005</v>
      </c>
      <c r="V87" s="55">
        <f>_xll.EQNXTDZ($A$1,$B87,V$1,$B$1)</f>
        <v>199.96</v>
      </c>
      <c r="W87" s="55">
        <f>_xll.EQNXTDZ($A$1,$B87,W$1,$B$1)</f>
        <v>550</v>
      </c>
      <c r="X87" s="55">
        <f>_xll.EQNXTDZ($A$1,$B87,X$1,$B$1)</f>
        <v>495.01</v>
      </c>
      <c r="Y87" s="55">
        <f>_xll.EQNXTDZ($A$1,$B87,Y$1,$B$1)</f>
        <v>449.49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772.26</v>
      </c>
      <c r="N88" s="55">
        <f>_xll.EQNXTDZ($A$1,$B88,N$1,$B$1)</f>
        <v>459.46</v>
      </c>
      <c r="O88" s="55">
        <f>_xll.EQNXTDZ($A$1,$B88,O$1,$B$1)</f>
        <v>78.31</v>
      </c>
      <c r="P88" s="55">
        <f>_xll.EQNXTDZ($A$1,$B88,P$1,$B$1)</f>
        <v>796.27</v>
      </c>
      <c r="Q88" s="55">
        <f>_xll.EQNXTDZ($A$1,$B88,Q$1,$B$1)</f>
        <v>353.07</v>
      </c>
      <c r="R88" s="55">
        <f>_xll.EQNXTDZ($A$1,$B88,R$1,$B$1)</f>
        <v>641.16999999999996</v>
      </c>
      <c r="S88" s="55">
        <f>_xll.EQNXTDZ($A$1,$B88,S$1,$B$1)</f>
        <v>282.23</v>
      </c>
      <c r="T88" s="55">
        <f>_xll.EQNXTDZ($A$1,$B88,T$1,$B$1)</f>
        <v>93.22</v>
      </c>
      <c r="U88" s="55">
        <f>_xll.EQNXTDZ($A$1,$B88,U$1,$B$1)</f>
        <v>73.33</v>
      </c>
      <c r="V88" s="55">
        <f>_xll.EQNXTDZ($A$1,$B88,V$1,$B$1)</f>
        <v>110.06</v>
      </c>
      <c r="W88" s="55">
        <f>_xll.EQNXTDZ($A$1,$B88,W$1,$B$1)</f>
        <v>616.48</v>
      </c>
      <c r="X88" s="55">
        <f>_xll.EQNXTDZ($A$1,$B88,X$1,$B$1)</f>
        <v>29.23</v>
      </c>
      <c r="Y88" s="55">
        <f>_xll.EQNXTDZ($A$1,$B88,Y$1,$B$1)</f>
        <v>4.32</v>
      </c>
      <c r="Z88" s="55">
        <f>_xll.EQNXTDZ($A$1,$B88,Z$1,$B$1)</f>
        <v>213.75</v>
      </c>
      <c r="AA88" s="55">
        <f>_xll.EQNXTDZ($A$1,$B88,AA$1,$B$1)</f>
        <v>21.55</v>
      </c>
      <c r="AB88" s="55">
        <f>_xll.EQNXTDZ($A$1,$B88,AB$1,$B$1)</f>
        <v>4.68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0.02</v>
      </c>
      <c r="O90" s="55">
        <f>_xll.EQNXTDZ($A$1,$B90,O$1,$B$1)</f>
        <v>0.48</v>
      </c>
      <c r="P90" s="55">
        <f>_xll.EQNXTDZ($A$1,$B90,P$1,$B$1)</f>
        <v>0.61</v>
      </c>
      <c r="Q90" s="55">
        <f>_xll.EQNXTDZ($A$1,$B90,Q$1,$B$1)</f>
        <v>0.35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4.34</v>
      </c>
      <c r="D91" s="55">
        <f>_xll.EQNXTDZ($A$1,$B91,D$1,$B$1)</f>
        <v>350.35</v>
      </c>
      <c r="E91" s="55">
        <f>_xll.EQNXTDZ($A$1,$B91,E$1,$B$1)</f>
        <v>373.58</v>
      </c>
      <c r="F91" s="55">
        <f>_xll.EQNXTDZ($A$1,$B91,F$1,$B$1)</f>
        <v>270.69</v>
      </c>
      <c r="G91" s="55">
        <f>_xll.EQNXTDZ($A$1,$B91,G$1,$B$1)</f>
        <v>286.60000000000002</v>
      </c>
      <c r="H91" s="55">
        <f>_xll.EQNXTDZ($A$1,$B91,H$1,$B$1)</f>
        <v>337.26</v>
      </c>
      <c r="I91" s="55">
        <f>_xll.EQNXTDZ($A$1,$B91,I$1,$B$1)</f>
        <v>314.12</v>
      </c>
      <c r="J91" s="55">
        <f>_xll.EQNXTDZ($A$1,$B91,J$1,$B$1)</f>
        <v>297.02999999999997</v>
      </c>
      <c r="K91" s="55">
        <f>_xll.EQNXTDZ($A$1,$B91,K$1,$B$1)</f>
        <v>361.15</v>
      </c>
      <c r="L91" s="55">
        <f>_xll.EQNXTDZ($A$1,$B91,L$1,$B$1)</f>
        <v>330.38</v>
      </c>
      <c r="M91" s="55">
        <f>_xll.EQNXTDZ($A$1,$B91,M$1,$B$1)</f>
        <v>325.72000000000003</v>
      </c>
      <c r="N91" s="55">
        <f>_xll.EQNXTDZ($A$1,$B91,N$1,$B$1)</f>
        <v>494.27</v>
      </c>
      <c r="O91" s="55">
        <f>_xll.EQNXTDZ($A$1,$B91,O$1,$B$1)</f>
        <v>517.59</v>
      </c>
      <c r="P91" s="55">
        <f>_xll.EQNXTDZ($A$1,$B91,P$1,$B$1)</f>
        <v>584.85</v>
      </c>
      <c r="Q91" s="55">
        <f>_xll.EQNXTDZ($A$1,$B91,Q$1,$B$1)</f>
        <v>483.21</v>
      </c>
      <c r="R91" s="55">
        <f>_xll.EQNXTDZ($A$1,$B91,R$1,$B$1)</f>
        <v>573.65</v>
      </c>
      <c r="S91" s="55">
        <f>_xll.EQNXTDZ($A$1,$B91,S$1,$B$1)</f>
        <v>555.55999999999995</v>
      </c>
      <c r="T91" s="55">
        <f>_xll.EQNXTDZ($A$1,$B91,T$1,$B$1)</f>
        <v>565.52</v>
      </c>
      <c r="U91" s="55">
        <f>_xll.EQNXTDZ($A$1,$B91,U$1,$B$1)</f>
        <v>583.47</v>
      </c>
      <c r="V91" s="55">
        <f>_xll.EQNXTDZ($A$1,$B91,V$1,$B$1)</f>
        <v>614.58000000000004</v>
      </c>
      <c r="W91" s="55">
        <f>_xll.EQNXTDZ($A$1,$B91,W$1,$B$1)</f>
        <v>610.97</v>
      </c>
      <c r="X91" s="55">
        <f>_xll.EQNXTDZ($A$1,$B91,X$1,$B$1)</f>
        <v>622.91</v>
      </c>
      <c r="Y91" s="55">
        <f>_xll.EQNXTDZ($A$1,$B91,Y$1,$B$1)</f>
        <v>653.62</v>
      </c>
      <c r="Z91" s="55">
        <f>_xll.EQNXTDZ($A$1,$B91,Z$1,$B$1)</f>
        <v>662.32</v>
      </c>
      <c r="AA91" s="55">
        <f>_xll.EQNXTDZ($A$1,$B91,AA$1,$B$1)</f>
        <v>710.75</v>
      </c>
      <c r="AB91" s="55">
        <f>_xll.EQNXTDZ($A$1,$B91,AB$1,$B$1)</f>
        <v>1121.95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0.31</v>
      </c>
      <c r="D92" s="55">
        <f>_xll.EQNXTDZ($A$1,$B92,D$1,$B$1)</f>
        <v>22.97</v>
      </c>
      <c r="E92" s="55">
        <f>_xll.EQNXTDZ($A$1,$B92,E$1,$B$1)</f>
        <v>28.5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4.76</v>
      </c>
      <c r="O92" s="55">
        <f>_xll.EQNXTDZ($A$1,$B92,O$1,$B$1)</f>
        <v>4.76</v>
      </c>
      <c r="P92" s="55">
        <f>_xll.EQNXTDZ($A$1,$B92,P$1,$B$1)</f>
        <v>4.76</v>
      </c>
      <c r="Q92" s="55">
        <f>_xll.EQNXTDZ($A$1,$B92,Q$1,$B$1)</f>
        <v>4.76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135.63999999999999</v>
      </c>
      <c r="D93" s="55">
        <f>_xll.EQNXTDZ($A$1,$B93,D$1,$B$1)</f>
        <v>137.85</v>
      </c>
      <c r="E93" s="55">
        <f>_xll.EQNXTDZ($A$1,$B93,E$1,$B$1)</f>
        <v>142.68</v>
      </c>
      <c r="F93" s="55">
        <f>_xll.EQNXTDZ($A$1,$B93,F$1,$B$1)</f>
        <v>145.32</v>
      </c>
      <c r="G93" s="55">
        <f>_xll.EQNXTDZ($A$1,$B93,G$1,$B$1)</f>
        <v>147.04</v>
      </c>
      <c r="H93" s="55">
        <f>_xll.EQNXTDZ($A$1,$B93,H$1,$B$1)</f>
        <v>139.12</v>
      </c>
      <c r="I93" s="55">
        <f>_xll.EQNXTDZ($A$1,$B93,I$1,$B$1)</f>
        <v>147.02000000000001</v>
      </c>
      <c r="J93" s="55">
        <f>_xll.EQNXTDZ($A$1,$B93,J$1,$B$1)</f>
        <v>206.84</v>
      </c>
      <c r="K93" s="55">
        <f>_xll.EQNXTDZ($A$1,$B93,K$1,$B$1)</f>
        <v>245.29</v>
      </c>
      <c r="L93" s="55">
        <f>_xll.EQNXTDZ($A$1,$B93,L$1,$B$1)</f>
        <v>238.29</v>
      </c>
      <c r="M93" s="55">
        <f>_xll.EQNXTDZ($A$1,$B93,M$1,$B$1)</f>
        <v>215.09</v>
      </c>
      <c r="N93" s="55">
        <f>_xll.EQNXTDZ($A$1,$B93,N$1,$B$1)</f>
        <v>128.13999999999999</v>
      </c>
      <c r="O93" s="55">
        <f>_xll.EQNXTDZ($A$1,$B93,O$1,$B$1)</f>
        <v>409.72</v>
      </c>
      <c r="P93" s="55">
        <f>_xll.EQNXTDZ($A$1,$B93,P$1,$B$1)</f>
        <v>506.91</v>
      </c>
      <c r="Q93" s="55">
        <f>_xll.EQNXTDZ($A$1,$B93,Q$1,$B$1)</f>
        <v>557.55999999999995</v>
      </c>
      <c r="R93" s="55">
        <f>_xll.EQNXTDZ($A$1,$B93,R$1,$B$1)</f>
        <v>576.29999999999995</v>
      </c>
      <c r="S93" s="55">
        <f>_xll.EQNXTDZ($A$1,$B93,S$1,$B$1)</f>
        <v>284.98</v>
      </c>
      <c r="T93" s="55">
        <f>_xll.EQNXTDZ($A$1,$B93,T$1,$B$1)</f>
        <v>445.17</v>
      </c>
      <c r="U93" s="55">
        <f>_xll.EQNXTDZ($A$1,$B93,U$1,$B$1)</f>
        <v>466.11</v>
      </c>
      <c r="V93" s="55">
        <f>_xll.EQNXTDZ($A$1,$B93,V$1,$B$1)</f>
        <v>523.41</v>
      </c>
      <c r="W93" s="55">
        <f>_xll.EQNXTDZ($A$1,$B93,W$1,$B$1)</f>
        <v>565.71</v>
      </c>
      <c r="X93" s="55">
        <f>_xll.EQNXTDZ($A$1,$B93,X$1,$B$1)</f>
        <v>532.67999999999995</v>
      </c>
      <c r="Y93" s="55">
        <f>_xll.EQNXTDZ($A$1,$B93,Y$1,$B$1)</f>
        <v>1972.7</v>
      </c>
      <c r="Z93" s="55">
        <f>_xll.EQNXTDZ($A$1,$B93,Z$1,$B$1)</f>
        <v>2180.98</v>
      </c>
      <c r="AA93" s="55">
        <f>_xll.EQNXTDZ($A$1,$B93,AA$1,$B$1)</f>
        <v>2490.94</v>
      </c>
      <c r="AB93" s="55">
        <f>_xll.EQNXTDZ($A$1,$B93,AB$1,$B$1)</f>
        <v>2737.23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10.23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164.65</v>
      </c>
      <c r="D95" s="55">
        <f>_xll.EQNXTDZ($A$1,$B95,D$1,$B$1)</f>
        <v>231.68</v>
      </c>
      <c r="E95" s="55">
        <f>_xll.EQNXTDZ($A$1,$B95,E$1,$B$1)</f>
        <v>250.78</v>
      </c>
      <c r="F95" s="55">
        <f>_xll.EQNXTDZ($A$1,$B95,F$1,$B$1)</f>
        <v>7.81</v>
      </c>
      <c r="G95" s="55">
        <f>_xll.EQNXTDZ($A$1,$B95,G$1,$B$1)</f>
        <v>81.430000000000007</v>
      </c>
      <c r="H95" s="55">
        <f>_xll.EQNXTDZ($A$1,$B95,H$1,$B$1)</f>
        <v>81.2</v>
      </c>
      <c r="I95" s="55">
        <f>_xll.EQNXTDZ($A$1,$B95,I$1,$B$1)</f>
        <v>32.83</v>
      </c>
      <c r="J95" s="55">
        <f>_xll.EQNXTDZ($A$1,$B95,J$1,$B$1)</f>
        <v>33.04</v>
      </c>
      <c r="K95" s="55">
        <f>_xll.EQNXTDZ($A$1,$B95,K$1,$B$1)</f>
        <v>37.64</v>
      </c>
      <c r="L95" s="55">
        <f>_xll.EQNXTDZ($A$1,$B95,L$1,$B$1)</f>
        <v>46.18</v>
      </c>
      <c r="M95" s="55">
        <f>_xll.EQNXTDZ($A$1,$B95,M$1,$B$1)</f>
        <v>46.18</v>
      </c>
      <c r="N95" s="55">
        <f>_xll.EQNXTDZ($A$1,$B95,N$1,$B$1)</f>
        <v>32.549999999999997</v>
      </c>
      <c r="O95" s="55">
        <f>_xll.EQNXTDZ($A$1,$B95,O$1,$B$1)</f>
        <v>24.05</v>
      </c>
      <c r="P95" s="55">
        <f>_xll.EQNXTDZ($A$1,$B95,P$1,$B$1)</f>
        <v>2001.58</v>
      </c>
      <c r="Q95" s="55">
        <f>_xll.EQNXTDZ($A$1,$B95,Q$1,$B$1)</f>
        <v>71.94</v>
      </c>
      <c r="R95" s="55">
        <f>_xll.EQNXTDZ($A$1,$B95,R$1,$B$1)</f>
        <v>10.79</v>
      </c>
      <c r="S95" s="55">
        <f>_xll.EQNXTDZ($A$1,$B95,S$1,$B$1)</f>
        <v>12.94</v>
      </c>
      <c r="T95" s="55">
        <f>_xll.EQNXTDZ($A$1,$B95,T$1,$B$1)</f>
        <v>12.94</v>
      </c>
      <c r="U95" s="55">
        <f>_xll.EQNXTDZ($A$1,$B95,U$1,$B$1)</f>
        <v>12.78</v>
      </c>
      <c r="V95" s="55">
        <f>_xll.EQNXTDZ($A$1,$B95,V$1,$B$1)</f>
        <v>13.25</v>
      </c>
      <c r="W95" s="55">
        <f>_xll.EQNXTDZ($A$1,$B95,W$1,$B$1)</f>
        <v>13.31</v>
      </c>
      <c r="X95" s="55">
        <f>_xll.EQNXTDZ($A$1,$B95,X$1,$B$1)</f>
        <v>13.31</v>
      </c>
      <c r="Y95" s="55">
        <f>_xll.EQNXTDZ($A$1,$B95,Y$1,$B$1)</f>
        <v>0</v>
      </c>
      <c r="Z95" s="55">
        <f>_xll.EQNXTDZ($A$1,$B95,Z$1,$B$1)</f>
        <v>54.7</v>
      </c>
      <c r="AA95" s="55">
        <f>_xll.EQNXTDZ($A$1,$B95,AA$1,$B$1)</f>
        <v>148.87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161.26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45.12</v>
      </c>
      <c r="D104" s="55">
        <f>_xll.EQNXTDZ($A$1,$B104,D$1,$B$1)</f>
        <v>45.12</v>
      </c>
      <c r="E104" s="55">
        <f>_xll.EQNXTDZ($A$1,$B104,E$1,$B$1)</f>
        <v>45.12</v>
      </c>
      <c r="F104" s="55">
        <f>_xll.EQNXTDZ($A$1,$B104,F$1,$B$1)</f>
        <v>45.12</v>
      </c>
      <c r="G104" s="55">
        <f>_xll.EQNXTDZ($A$1,$B104,G$1,$B$1)</f>
        <v>46.41</v>
      </c>
      <c r="H104" s="55">
        <f>_xll.EQNXTDZ($A$1,$B104,H$1,$B$1)</f>
        <v>56.67</v>
      </c>
      <c r="I104" s="55">
        <f>_xll.EQNXTDZ($A$1,$B104,I$1,$B$1)</f>
        <v>58.67</v>
      </c>
      <c r="J104" s="55">
        <f>_xll.EQNXTDZ($A$1,$B104,J$1,$B$1)</f>
        <v>60.29</v>
      </c>
      <c r="K104" s="55">
        <f>_xll.EQNXTDZ($A$1,$B104,K$1,$B$1)</f>
        <v>72.34</v>
      </c>
      <c r="L104" s="55">
        <f>_xll.EQNXTDZ($A$1,$B104,L$1,$B$1)</f>
        <v>72.349999999999994</v>
      </c>
      <c r="M104" s="55">
        <f>_xll.EQNXTDZ($A$1,$B104,M$1,$B$1)</f>
        <v>75.95</v>
      </c>
      <c r="N104" s="55">
        <f>_xll.EQNXTDZ($A$1,$B104,N$1,$B$1)</f>
        <v>75.61</v>
      </c>
      <c r="O104" s="55">
        <f>_xll.EQNXTDZ($A$1,$B104,O$1,$B$1)</f>
        <v>80.75</v>
      </c>
      <c r="P104" s="55">
        <f>_xll.EQNXTDZ($A$1,$B104,P$1,$B$1)</f>
        <v>80.75</v>
      </c>
      <c r="Q104" s="55">
        <f>_xll.EQNXTDZ($A$1,$B104,Q$1,$B$1)</f>
        <v>80.75</v>
      </c>
      <c r="R104" s="55">
        <f>_xll.EQNXTDZ($A$1,$B104,R$1,$B$1)</f>
        <v>98.93</v>
      </c>
      <c r="S104" s="55">
        <f>_xll.EQNXTDZ($A$1,$B104,S$1,$B$1)</f>
        <v>98.93</v>
      </c>
      <c r="T104" s="55">
        <f>_xll.EQNXTDZ($A$1,$B104,T$1,$B$1)</f>
        <v>118.93</v>
      </c>
      <c r="U104" s="55">
        <f>_xll.EQNXTDZ($A$1,$B104,U$1,$B$1)</f>
        <v>118.93</v>
      </c>
      <c r="V104" s="55">
        <f>_xll.EQNXTDZ($A$1,$B104,V$1,$B$1)</f>
        <v>118.93</v>
      </c>
      <c r="W104" s="55">
        <f>_xll.EQNXTDZ($A$1,$B104,W$1,$B$1)</f>
        <v>118.93</v>
      </c>
      <c r="X104" s="55">
        <f>_xll.EQNXTDZ($A$1,$B104,X$1,$B$1)</f>
        <v>142.04</v>
      </c>
      <c r="Y104" s="55">
        <f>_xll.EQNXTDZ($A$1,$B104,Y$1,$B$1)</f>
        <v>142.04</v>
      </c>
      <c r="Z104" s="55">
        <f>_xll.EQNXTDZ($A$1,$B104,Z$1,$B$1)</f>
        <v>142.34</v>
      </c>
      <c r="AA104" s="55">
        <f>_xll.EQNXTDZ($A$1,$B104,AA$1,$B$1)</f>
        <v>142.34</v>
      </c>
      <c r="AB104" s="55">
        <f>_xll.EQNXTDZ($A$1,$B104,AB$1,$B$1)</f>
        <v>142.34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</v>
      </c>
      <c r="J105" s="55">
        <f>_xll.EQNXTDZ($A$1,$B105,J$1,$B$1)</f>
        <v>1</v>
      </c>
      <c r="K105" s="55">
        <f>_xll.EQNXTDZ($A$1,$B105,K$1,$B$1)</f>
        <v>1</v>
      </c>
      <c r="L105" s="55">
        <f>_xll.EQNXTDZ($A$1,$B105,L$1,$B$1)</f>
        <v>1</v>
      </c>
      <c r="M105" s="55">
        <f>_xll.EQNXTDZ($A$1,$B105,M$1,$B$1)</f>
        <v>1</v>
      </c>
      <c r="N105" s="55">
        <f>_xll.EQNXTDZ($A$1,$B105,N$1,$B$1)</f>
        <v>1</v>
      </c>
      <c r="O105" s="55">
        <f>_xll.EQNXTDZ($A$1,$B105,O$1,$B$1)</f>
        <v>1</v>
      </c>
      <c r="P105" s="55">
        <f>_xll.EQNXTDZ($A$1,$B105,P$1,$B$1)</f>
        <v>1</v>
      </c>
      <c r="Q105" s="55">
        <f>_xll.EQNXTDZ($A$1,$B105,Q$1,$B$1)</f>
        <v>1</v>
      </c>
      <c r="R105" s="55">
        <f>_xll.EQNXTDZ($A$1,$B105,R$1,$B$1)</f>
        <v>1</v>
      </c>
      <c r="S105" s="55">
        <f>_xll.EQNXTDZ($A$1,$B105,S$1,$B$1)</f>
        <v>1</v>
      </c>
      <c r="T105" s="55">
        <f>_xll.EQNXTDZ($A$1,$B105,T$1,$B$1)</f>
        <v>1</v>
      </c>
      <c r="U105" s="55">
        <f>_xll.EQNXTDZ($A$1,$B105,U$1,$B$1)</f>
        <v>1</v>
      </c>
      <c r="V105" s="55">
        <f>_xll.EQNXTDZ($A$1,$B105,V$1,$B$1)</f>
        <v>1</v>
      </c>
      <c r="W105" s="55">
        <f>_xll.EQNXTDZ($A$1,$B105,W$1,$B$1)</f>
        <v>1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21.290735432645199</v>
      </c>
      <c r="D106" s="55">
        <f>_xll.EQNXTDZ($A$1,$B106,D$1,$B$1)</f>
        <v>14.63685816355</v>
      </c>
      <c r="E106" s="55">
        <f>_xll.EQNXTDZ($A$1,$B106,E$1,$B$1)</f>
        <v>15.217818553251099</v>
      </c>
      <c r="F106" s="55">
        <f>_xll.EQNXTDZ($A$1,$B106,F$1,$B$1)</f>
        <v>35.020626656877603</v>
      </c>
      <c r="G106" s="55">
        <f>_xll.EQNXTDZ($A$1,$B106,G$1,$B$1)</f>
        <v>52.637519049613999</v>
      </c>
      <c r="H106" s="55">
        <f>_xll.EQNXTDZ($A$1,$B106,H$1,$B$1)</f>
        <v>113.42520183964</v>
      </c>
      <c r="I106" s="55">
        <f>_xll.EQNXTDZ($A$1,$B106,I$1,$B$1)</f>
        <v>121.54192901086</v>
      </c>
      <c r="J106" s="55">
        <f>_xll.EQNXTDZ($A$1,$B106,J$1,$B$1)</f>
        <v>101.485533657239</v>
      </c>
      <c r="K106" s="55">
        <f>_xll.EQNXTDZ($A$1,$B106,K$1,$B$1)</f>
        <v>35.749039124677701</v>
      </c>
      <c r="L106" s="55">
        <f>_xll.EQNXTDZ($A$1,$B106,L$1,$B$1)</f>
        <v>93.047308686185204</v>
      </c>
      <c r="M106" s="55">
        <f>_xll.EQNXTDZ($A$1,$B106,M$1,$B$1)</f>
        <v>76.397692748676704</v>
      </c>
      <c r="N106" s="55">
        <f>_xll.EQNXTDZ($A$1,$B106,N$1,$B$1)</f>
        <v>57.933404774382502</v>
      </c>
      <c r="O106" s="55">
        <f>_xll.EQNXTDZ($A$1,$B106,O$1,$B$1)</f>
        <v>48.542476984016702</v>
      </c>
      <c r="P106" s="55">
        <f>_xll.EQNXTDZ($A$1,$B106,P$1,$B$1)</f>
        <v>65.600394129801998</v>
      </c>
      <c r="Q106" s="55">
        <f>_xll.EQNXTDZ($A$1,$B106,Q$1,$B$1)</f>
        <v>106.022213749203</v>
      </c>
      <c r="R106" s="55">
        <f>_xll.EQNXTDZ($A$1,$B106,R$1,$B$1)</f>
        <v>90.098466626408495</v>
      </c>
      <c r="S106" s="55">
        <f>_xll.EQNXTDZ($A$1,$B106,S$1,$B$1)</f>
        <v>115.23167433589001</v>
      </c>
      <c r="T106" s="55">
        <f>_xll.EQNXTDZ($A$1,$B106,T$1,$B$1)</f>
        <v>123.460797638342</v>
      </c>
      <c r="U106" s="55">
        <f>_xll.EQNXTDZ($A$1,$B106,U$1,$B$1)</f>
        <v>149.63623176661301</v>
      </c>
      <c r="V106" s="55">
        <f>_xll.EQNXTDZ($A$1,$B106,V$1,$B$1)</f>
        <v>72.612593192868701</v>
      </c>
      <c r="W106" s="55">
        <f>_xll.EQNXTDZ($A$1,$B106,W$1,$B$1)</f>
        <v>107.513172030563</v>
      </c>
      <c r="X106" s="55">
        <f>_xll.EQNXTDZ($A$1,$B106,X$1,$B$1)</f>
        <v>238.4</v>
      </c>
      <c r="Y106" s="55">
        <f>_xll.EQNXTDZ($A$1,$B106,Y$1,$B$1)</f>
        <v>324.39999999999998</v>
      </c>
      <c r="Z106" s="55">
        <f>_xll.EQNXTDZ($A$1,$B106,Z$1,$B$1)</f>
        <v>591.35</v>
      </c>
      <c r="AA106" s="55">
        <f>_xll.EQNXTDZ($A$1,$B106,AA$1,$B$1)</f>
        <v>786.65</v>
      </c>
      <c r="AB106" s="55">
        <f>_xll.EQNXTDZ($A$1,$B106,AB$1,$B$1)</f>
        <v>570.75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26.824487633827498</v>
      </c>
      <c r="D107" s="55">
        <f>_xll.EQNXTDZ($A$1,$B107,D$1,$B$1)</f>
        <v>21.8507979666017</v>
      </c>
      <c r="E107" s="55">
        <f>_xll.EQNXTDZ($A$1,$B107,E$1,$B$1)</f>
        <v>18.900020735457701</v>
      </c>
      <c r="F107" s="55">
        <f>_xll.EQNXTDZ($A$1,$B107,F$1,$B$1)</f>
        <v>41.377754374398798</v>
      </c>
      <c r="G107" s="55">
        <f>_xll.EQNXTDZ($A$1,$B107,G$1,$B$1)</f>
        <v>58.004088404839102</v>
      </c>
      <c r="H107" s="55">
        <f>_xll.EQNXTDZ($A$1,$B107,H$1,$B$1)</f>
        <v>115.088671156914</v>
      </c>
      <c r="I107" s="55">
        <f>_xll.EQNXTDZ($A$1,$B107,I$1,$B$1)</f>
        <v>137.006342261898</v>
      </c>
      <c r="J107" s="55">
        <f>_xll.EQNXTDZ($A$1,$B107,J$1,$B$1)</f>
        <v>148.62555005592199</v>
      </c>
      <c r="K107" s="55">
        <f>_xll.EQNXTDZ($A$1,$B107,K$1,$B$1)</f>
        <v>110.694994243926</v>
      </c>
      <c r="L107" s="55">
        <f>_xll.EQNXTDZ($A$1,$B107,L$1,$B$1)</f>
        <v>99.353294014015404</v>
      </c>
      <c r="M107" s="55">
        <f>_xll.EQNXTDZ($A$1,$B107,M$1,$B$1)</f>
        <v>107.38321777679199</v>
      </c>
      <c r="N107" s="55">
        <f>_xll.EQNXTDZ($A$1,$B107,N$1,$B$1)</f>
        <v>85.652520136283599</v>
      </c>
      <c r="O107" s="55">
        <f>_xll.EQNXTDZ($A$1,$B107,O$1,$B$1)</f>
        <v>65.101359319685898</v>
      </c>
      <c r="P107" s="55">
        <f>_xll.EQNXTDZ($A$1,$B107,P$1,$B$1)</f>
        <v>67.142865361069795</v>
      </c>
      <c r="Q107" s="55">
        <f>_xll.EQNXTDZ($A$1,$B107,Q$1,$B$1)</f>
        <v>115.458508340488</v>
      </c>
      <c r="R107" s="55">
        <f>_xll.EQNXTDZ($A$1,$B107,R$1,$B$1)</f>
        <v>113.235535095426</v>
      </c>
      <c r="S107" s="55">
        <f>_xll.EQNXTDZ($A$1,$B107,S$1,$B$1)</f>
        <v>129.74905063017499</v>
      </c>
      <c r="T107" s="55">
        <f>_xll.EQNXTDZ($A$1,$B107,T$1,$B$1)</f>
        <v>155.69536003704599</v>
      </c>
      <c r="U107" s="55">
        <f>_xll.EQNXTDZ($A$1,$B107,U$1,$B$1)</f>
        <v>151.67209886547801</v>
      </c>
      <c r="V107" s="55">
        <f>_xll.EQNXTDZ($A$1,$B107,V$1,$B$1)</f>
        <v>159.088471868488</v>
      </c>
      <c r="W107" s="55">
        <f>_xll.EQNXTDZ($A$1,$B107,W$1,$B$1)</f>
        <v>134.75501273442899</v>
      </c>
      <c r="X107" s="55">
        <f>_xll.EQNXTDZ($A$1,$B107,X$1,$B$1)</f>
        <v>245.45</v>
      </c>
      <c r="Y107" s="55">
        <f>_xll.EQNXTDZ($A$1,$B107,Y$1,$B$1)</f>
        <v>348.7</v>
      </c>
      <c r="Z107" s="55">
        <f>_xll.EQNXTDZ($A$1,$B107,Z$1,$B$1)</f>
        <v>602.75</v>
      </c>
      <c r="AA107" s="55">
        <f>_xll.EQNXTDZ($A$1,$B107,AA$1,$B$1)</f>
        <v>894.15</v>
      </c>
      <c r="AB107" s="55">
        <f>_xll.EQNXTDZ($A$1,$B107,AB$1,$B$1)</f>
        <v>853.3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15.5605433874633</v>
      </c>
      <c r="D108" s="55">
        <f>_xll.EQNXTDZ($A$1,$B108,D$1,$B$1)</f>
        <v>9.6589889251753291</v>
      </c>
      <c r="E108" s="55">
        <f>_xll.EQNXTDZ($A$1,$B108,E$1,$B$1)</f>
        <v>11.619207794023101</v>
      </c>
      <c r="F108" s="55">
        <f>_xll.EQNXTDZ($A$1,$B108,F$1,$B$1)</f>
        <v>14.2648763312953</v>
      </c>
      <c r="G108" s="55">
        <f>_xll.EQNXTDZ($A$1,$B108,G$1,$B$1)</f>
        <v>26.916438199103901</v>
      </c>
      <c r="H108" s="55">
        <f>_xll.EQNXTDZ($A$1,$B108,H$1,$B$1)</f>
        <v>50.163212929448001</v>
      </c>
      <c r="I108" s="55">
        <f>_xll.EQNXTDZ($A$1,$B108,I$1,$B$1)</f>
        <v>69.004719668820698</v>
      </c>
      <c r="J108" s="55">
        <f>_xll.EQNXTDZ($A$1,$B108,J$1,$B$1)</f>
        <v>84.427337208369394</v>
      </c>
      <c r="K108" s="55">
        <f>_xll.EQNXTDZ($A$1,$B108,K$1,$B$1)</f>
        <v>30.849424625356399</v>
      </c>
      <c r="L108" s="55">
        <f>_xll.EQNXTDZ($A$1,$B108,L$1,$B$1)</f>
        <v>35.386104717320599</v>
      </c>
      <c r="M108" s="55">
        <f>_xll.EQNXTDZ($A$1,$B108,M$1,$B$1)</f>
        <v>69.048270999694694</v>
      </c>
      <c r="N108" s="55">
        <f>_xll.EQNXTDZ($A$1,$B108,N$1,$B$1)</f>
        <v>46.274136938034601</v>
      </c>
      <c r="O108" s="55">
        <f>_xll.EQNXTDZ($A$1,$B108,O$1,$B$1)</f>
        <v>46.5463377435524</v>
      </c>
      <c r="P108" s="55">
        <f>_xll.EQNXTDZ($A$1,$B108,P$1,$B$1)</f>
        <v>34.070467490650998</v>
      </c>
      <c r="Q108" s="55">
        <f>_xll.EQNXTDZ($A$1,$B108,Q$1,$B$1)</f>
        <v>61.698849250712797</v>
      </c>
      <c r="R108" s="55">
        <f>_xll.EQNXTDZ($A$1,$B108,R$1,$B$1)</f>
        <v>73.267383485221401</v>
      </c>
      <c r="S108" s="55">
        <f>_xll.EQNXTDZ($A$1,$B108,S$1,$B$1)</f>
        <v>80.571438433283703</v>
      </c>
      <c r="T108" s="55">
        <f>_xll.EQNXTDZ($A$1,$B108,T$1,$B$1)</f>
        <v>98.309857592863693</v>
      </c>
      <c r="U108" s="55">
        <f>_xll.EQNXTDZ($A$1,$B108,U$1,$B$1)</f>
        <v>106.64065755962</v>
      </c>
      <c r="V108" s="55">
        <f>_xll.EQNXTDZ($A$1,$B108,V$1,$B$1)</f>
        <v>69.7042116230609</v>
      </c>
      <c r="W108" s="55">
        <f>_xll.EQNXTDZ($A$1,$B108,W$1,$B$1)</f>
        <v>60.203498495021996</v>
      </c>
      <c r="X108" s="55">
        <f>_xll.EQNXTDZ($A$1,$B108,X$1,$B$1)</f>
        <v>90.935397082658</v>
      </c>
      <c r="Y108" s="55">
        <f>_xll.EQNXTDZ($A$1,$B108,Y$1,$B$1)</f>
        <v>207.25</v>
      </c>
      <c r="Z108" s="55">
        <f>_xll.EQNXTDZ($A$1,$B108,Z$1,$B$1)</f>
        <v>318.3</v>
      </c>
      <c r="AA108" s="55">
        <f>_xll.EQNXTDZ($A$1,$B108,AA$1,$B$1)</f>
        <v>507.45</v>
      </c>
      <c r="AB108" s="55">
        <f>_xll.EQNXTDZ($A$1,$B108,AB$1,$B$1)</f>
        <v>569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1149.2064</v>
      </c>
      <c r="D109" s="55">
        <f>_xll.EQNXTDZ($A$1,$B109,D$1,$B$1)</f>
        <v>790.05119999999999</v>
      </c>
      <c r="E109" s="55">
        <f>_xll.EQNXTDZ($A$1,$B109,E$1,$B$1)</f>
        <v>821.40959999999995</v>
      </c>
      <c r="F109" s="55">
        <f>_xll.EQNXTDZ($A$1,$B109,F$1,$B$1)</f>
        <v>1890.3024</v>
      </c>
      <c r="G109" s="55">
        <f>_xll.EQNXTDZ($A$1,$B109,G$1,$B$1)</f>
        <v>2922.4376999999999</v>
      </c>
      <c r="H109" s="55">
        <f>_xll.EQNXTDZ($A$1,$B109,H$1,$B$1)</f>
        <v>7689.5523000000003</v>
      </c>
      <c r="I109" s="55">
        <f>_xll.EQNXTDZ($A$1,$B109,I$1,$B$1)</f>
        <v>8530.6180000000004</v>
      </c>
      <c r="J109" s="55">
        <f>_xll.EQNXTDZ($A$1,$B109,J$1,$B$1)</f>
        <v>6743.4364999999998</v>
      </c>
      <c r="K109" s="55">
        <f>_xll.EQNXTDZ($A$1,$B109,K$1,$B$1)</f>
        <v>2850.1959999999999</v>
      </c>
      <c r="L109" s="55">
        <f>_xll.EQNXTDZ($A$1,$B109,L$1,$B$1)</f>
        <v>7419.4925000000003</v>
      </c>
      <c r="M109" s="55">
        <f>_xll.EQNXTDZ($A$1,$B109,M$1,$B$1)</f>
        <v>6394.99</v>
      </c>
      <c r="N109" s="55">
        <f>_xll.EQNXTDZ($A$1,$B109,N$1,$B$1)</f>
        <v>4827.6985000000004</v>
      </c>
      <c r="O109" s="55">
        <f>_xll.EQNXTDZ($A$1,$B109,O$1,$B$1)</f>
        <v>4320.125</v>
      </c>
      <c r="P109" s="55">
        <f>_xll.EQNXTDZ($A$1,$B109,P$1,$B$1)</f>
        <v>5838.2250000000004</v>
      </c>
      <c r="Q109" s="55">
        <f>_xll.EQNXTDZ($A$1,$B109,Q$1,$B$1)</f>
        <v>9435.6375000000007</v>
      </c>
      <c r="R109" s="55">
        <f>_xll.EQNXTDZ($A$1,$B109,R$1,$B$1)</f>
        <v>9823.7489999999998</v>
      </c>
      <c r="S109" s="55">
        <f>_xll.EQNXTDZ($A$1,$B109,S$1,$B$1)</f>
        <v>12564.11</v>
      </c>
      <c r="T109" s="55">
        <f>_xll.EQNXTDZ($A$1,$B109,T$1,$B$1)</f>
        <v>15145.735500000001</v>
      </c>
      <c r="U109" s="55">
        <f>_xll.EQNXTDZ($A$1,$B109,U$1,$B$1)</f>
        <v>18356.845499999999</v>
      </c>
      <c r="V109" s="55">
        <f>_xll.EQNXTDZ($A$1,$B109,V$1,$B$1)</f>
        <v>8907.857</v>
      </c>
      <c r="W109" s="55">
        <f>_xll.EQNXTDZ($A$1,$B109,W$1,$B$1)</f>
        <v>13189.337</v>
      </c>
      <c r="X109" s="55">
        <f>_xll.EQNXTDZ($A$1,$B109,X$1,$B$1)</f>
        <v>33862.336000000003</v>
      </c>
      <c r="Y109" s="55">
        <f>_xll.EQNXTDZ($A$1,$B109,Y$1,$B$1)</f>
        <v>46077.775999999998</v>
      </c>
      <c r="Z109" s="55">
        <f>_xll.EQNXTDZ($A$1,$B109,Z$1,$B$1)</f>
        <v>84172.759000000005</v>
      </c>
      <c r="AA109" s="55">
        <f>_xll.EQNXTDZ($A$1,$B109,AA$1,$B$1)</f>
        <v>111971.761</v>
      </c>
      <c r="AB109" s="55">
        <f>_xll.EQNXTDZ($A$1,$B109,AB$1,$B$1)</f>
        <v>81240.554999999993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0.83612040133779297</v>
      </c>
      <c r="D110" s="55">
        <f>_xll.EQNXTDZ($A$1,$B110,D$1,$B$1)</f>
        <v>0.668896321070234</v>
      </c>
      <c r="E110" s="55">
        <f>_xll.EQNXTDZ($A$1,$B110,E$1,$B$1)</f>
        <v>0.58528428093645501</v>
      </c>
      <c r="F110" s="55">
        <f>_xll.EQNXTDZ($A$1,$B110,F$1,$B$1)</f>
        <v>0.668896321070234</v>
      </c>
      <c r="G110" s="55">
        <f>_xll.EQNXTDZ($A$1,$B110,G$1,$B$1)</f>
        <v>0.83612040133779297</v>
      </c>
      <c r="H110" s="55">
        <f>_xll.EQNXTDZ($A$1,$B110,H$1,$B$1)</f>
        <v>1.0869565217391299</v>
      </c>
      <c r="I110" s="55">
        <f>_xll.EQNXTDZ($A$1,$B110,I$1,$B$1)</f>
        <v>1.3333333333333299</v>
      </c>
      <c r="J110" s="55">
        <f>_xll.EQNXTDZ($A$1,$B110,J$1,$B$1)</f>
        <v>1.72727272727273</v>
      </c>
      <c r="K110" s="55">
        <f>_xll.EQNXTDZ($A$1,$B110,K$1,$B$1)</f>
        <v>1.0909090909090899</v>
      </c>
      <c r="L110" s="55">
        <f>_xll.EQNXTDZ($A$1,$B110,L$1,$B$1)</f>
        <v>0.90909090909090895</v>
      </c>
      <c r="M110" s="55">
        <f>_xll.EQNXTDZ($A$1,$B110,M$1,$B$1)</f>
        <v>0.90909090909090895</v>
      </c>
      <c r="N110" s="55">
        <f>_xll.EQNXTDZ($A$1,$B110,N$1,$B$1)</f>
        <v>0.90909090909090895</v>
      </c>
      <c r="O110" s="55">
        <f>_xll.EQNXTDZ($A$1,$B110,O$1,$B$1)</f>
        <v>0.72727272727272696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0.27272727272727298</v>
      </c>
      <c r="S110" s="55">
        <f>_xll.EQNXTDZ($A$1,$B110,S$1,$B$1)</f>
        <v>0.31818181818181801</v>
      </c>
      <c r="T110" s="55">
        <f>_xll.EQNXTDZ($A$1,$B110,T$1,$B$1)</f>
        <v>0.38834951456310701</v>
      </c>
      <c r="U110" s="55">
        <f>_xll.EQNXTDZ($A$1,$B110,U$1,$B$1)</f>
        <v>0.485436893203884</v>
      </c>
      <c r="V110" s="55">
        <f>_xll.EQNXTDZ($A$1,$B110,V$1,$B$1)</f>
        <v>0.485436893203884</v>
      </c>
      <c r="W110" s="55">
        <f>_xll.EQNXTDZ($A$1,$B110,W$1,$B$1)</f>
        <v>0.38778420930771001</v>
      </c>
      <c r="X110" s="55">
        <f>_xll.EQNXTDZ($A$1,$B110,X$1,$B$1)</f>
        <v>0.4</v>
      </c>
      <c r="Y110" s="55">
        <f>_xll.EQNXTDZ($A$1,$B110,Y$1,$B$1)</f>
        <v>1</v>
      </c>
      <c r="Z110" s="55">
        <f>_xll.EQNXTDZ($A$1,$B110,Z$1,$B$1)</f>
        <v>1.75</v>
      </c>
      <c r="AA110" s="55">
        <f>_xll.EQNXTDZ($A$1,$B110,AA$1,$B$1)</f>
        <v>2.25</v>
      </c>
      <c r="AB110" s="55">
        <f>_xll.EQNXTDZ($A$1,$B110,AB$1,$B$1)</f>
        <v>3.25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35.380000000000003</v>
      </c>
      <c r="D112" s="56">
        <f>_xll.EQNXTDZ($A$1,$B112,D$5)</f>
        <v>37.380000000000003</v>
      </c>
      <c r="E112" s="56">
        <f>_xll.EQNXTDZ($A$1,$B112,E$5)</f>
        <v>37.380000000000003</v>
      </c>
      <c r="F112" s="56">
        <f>_xll.EQNXTDZ($A$1,$B112,F$5)</f>
        <v>37.06</v>
      </c>
      <c r="G112" s="56">
        <f>_xll.EQNXTDZ($A$1,$B112,G$5)</f>
        <v>35.81</v>
      </c>
      <c r="H112" s="56">
        <f>_xll.EQNXTDZ($A$1,$B112,H$5)</f>
        <v>29.28</v>
      </c>
      <c r="I112" s="56">
        <f>_xll.EQNXTDZ($A$1,$B112,I$5)</f>
        <v>28.28</v>
      </c>
      <c r="J112" s="56">
        <f>_xll.EQNXTDZ($A$1,$B112,J$5)</f>
        <v>29.18</v>
      </c>
      <c r="K112" s="56">
        <f>_xll.EQNXTDZ($A$1,$B112,K$5)</f>
        <v>29.53</v>
      </c>
      <c r="L112" s="56">
        <f>_xll.EQNXTDZ($A$1,$B112,L$5)</f>
        <v>29.46</v>
      </c>
      <c r="M112" s="56">
        <f>_xll.EQNXTDZ($A$1,$B112,M$5)</f>
        <v>33.58</v>
      </c>
      <c r="N112" s="56">
        <f>_xll.EQNXTDZ($A$1,$B112,N$5)</f>
        <v>33.58</v>
      </c>
      <c r="O112" s="56">
        <f>_xll.EQNXTDZ($A$1,$B112,O$5)</f>
        <v>37.53</v>
      </c>
      <c r="P112" s="56">
        <f>_xll.EQNXTDZ($A$1,$B112,P$5)</f>
        <v>37.53</v>
      </c>
      <c r="Q112" s="56">
        <f>_xll.EQNXTDZ($A$1,$B112,Q$5)</f>
        <v>37.53</v>
      </c>
      <c r="R112" s="56">
        <f>_xll.EQNXTDZ($A$1,$B112,R$5)</f>
        <v>38.65</v>
      </c>
      <c r="S112" s="56">
        <f>_xll.EQNXTDZ($A$1,$B112,S$5)</f>
        <v>38.65</v>
      </c>
      <c r="T112" s="56">
        <f>_xll.EQNXTDZ($A$1,$B112,T$5)</f>
        <v>39.090000000000003</v>
      </c>
      <c r="U112" s="56">
        <f>_xll.EQNXTDZ($A$1,$B112,U$5)</f>
        <v>39.090000000000003</v>
      </c>
      <c r="V112" s="56">
        <f>_xll.EQNXTDZ($A$1,$B112,V$5)</f>
        <v>40.75</v>
      </c>
      <c r="W112" s="56">
        <f>_xll.EQNXTDZ($A$1,$B112,W$5)</f>
        <v>40.75</v>
      </c>
      <c r="X112" s="56">
        <f>_xll.EQNXTDZ($A$1,$B112,X$5)</f>
        <v>38.19</v>
      </c>
      <c r="Y112" s="56">
        <f>_xll.EQNXTDZ($A$1,$B112,Y$5)</f>
        <v>38.19</v>
      </c>
      <c r="Z112" s="56">
        <f>_xll.EQNXTDZ($A$1,$B112,Z$5)</f>
        <v>38.119999999999997</v>
      </c>
      <c r="AA112" s="56">
        <f>_xll.EQNXTDZ($A$1,$B112,AA$5)</f>
        <v>38.119999999999997</v>
      </c>
      <c r="AB112" s="56">
        <f>_xll.EQNXTDZ($A$1,$B112,AB$5)</f>
        <v>38.119999999999997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11.7</v>
      </c>
      <c r="L113" s="56">
        <f>_xll.EQNXTDZ($A$1,$B113,L$5)</f>
        <v>4.6900000000000004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100850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49.685158703139301</v>
      </c>
      <c r="D6" cm="1">
        <f t="array" ref="D6">_xll.EQNXTDZ($A$1,$B6,D$1)</f>
        <v>56.899715994280101</v>
      </c>
      <c r="E6" cm="1">
        <f t="array" ref="E6">_xll.EQNXTDZ($A$1,$B6,E$1)</f>
        <v>53.814244951528003</v>
      </c>
      <c r="F6" cm="1">
        <f t="array" ref="F6">_xll.EQNXTDZ($A$1,$B6,F$1)</f>
        <v>54.449488989741702</v>
      </c>
      <c r="G6" cm="1">
        <f t="array" ref="G6">_xll.EQNXTDZ($A$1,$B6,G$1)</f>
        <v>61.255675113459397</v>
      </c>
      <c r="H6" cm="1">
        <f t="array" ref="H6">_xll.EQNXTDZ($A$1,$B6,H$1)</f>
        <v>57.2173380133869</v>
      </c>
      <c r="I6" cm="1">
        <f t="array" ref="I6">_xll.EQNXTDZ($A$1,$B6,I$1)</f>
        <v>56.899715994280101</v>
      </c>
      <c r="J6" cm="1">
        <f t="array" ref="J6">_xll.EQNXTDZ($A$1,$B6,J$1)</f>
        <v>57.308087161703099</v>
      </c>
      <c r="K6" cm="1">
        <f t="array" ref="K6">_xll.EQNXTDZ($A$1,$B6,K$1)</f>
        <v>56.309846530224497</v>
      </c>
      <c r="L6" cm="1">
        <f t="array" ref="L6">_xll.EQNXTDZ($A$1,$B6,L$1)</f>
        <v>49.594409554823002</v>
      </c>
      <c r="M6" cm="1">
        <f t="array" ref="M6">_xll.EQNXTDZ($A$1,$B6,M$1)</f>
        <v>49.186038387400004</v>
      </c>
      <c r="N6" cm="1">
        <f t="array" ref="N6">_xll.EQNXTDZ($A$1,$B6,N$1)</f>
        <v>51.727014540254601</v>
      </c>
      <c r="O6" cm="1">
        <f t="array" ref="O6">_xll.EQNXTDZ($A$1,$B6,O$1)</f>
        <v>47.1895571244428</v>
      </c>
      <c r="P6" cm="1">
        <f t="array" ref="P6">_xll.EQNXTDZ($A$1,$B6,P$1)</f>
        <v>43.604965765951498</v>
      </c>
      <c r="Q6" cm="1">
        <f t="array" ref="Q6">_xll.EQNXTDZ($A$1,$B6,Q$1)</f>
        <v>40.791742168148097</v>
      </c>
      <c r="R6" cm="1">
        <f t="array" ref="R6">_xll.EQNXTDZ($A$1,$B6,R$1)</f>
        <v>40.8371167423063</v>
      </c>
      <c r="S6" cm="1">
        <f t="array" ref="S6">_xll.EQNXTDZ($A$1,$B6,S$1)</f>
        <v>43.922587785058298</v>
      </c>
      <c r="T6" cm="1">
        <f t="array" ref="T6">_xll.EQNXTDZ($A$1,$B6,T$1)</f>
        <v>44.6032063974301</v>
      </c>
      <c r="U6" cm="1">
        <f t="array" ref="U6">_xll.EQNXTDZ($A$1,$B6,U$1)</f>
        <v>43.559591191793302</v>
      </c>
      <c r="V6" cm="1">
        <f t="array" ref="V6">_xll.EQNXTDZ($A$1,$B6,V$1)</f>
        <v>55.447729621220297</v>
      </c>
      <c r="W6" cm="1">
        <f t="array" ref="W6">_xll.EQNXTDZ($A$1,$B6,W$1)</f>
        <v>52.725255171733203</v>
      </c>
      <c r="X6" cm="1">
        <f t="array" ref="X6">_xll.EQNXTDZ($A$1,$B6,X$1)</f>
        <v>62.208541170779903</v>
      </c>
      <c r="Y6" cm="1">
        <f t="array" ref="Y6">_xll.EQNXTDZ($A$1,$B6,Y$1)</f>
        <v>65.974630825903702</v>
      </c>
      <c r="Z6" cm="1">
        <f t="array" ref="Z6">_xll.EQNXTDZ($A$1,$B6,Z$1)</f>
        <v>65.203263065215694</v>
      </c>
      <c r="AA6" cm="1">
        <f t="array" ref="AA6">_xll.EQNXTDZ($A$1,$B6,AA$1)</f>
        <v>80.403745408185202</v>
      </c>
      <c r="AB6" cm="1">
        <f t="array" ref="AB6">_xll.EQNXTDZ($A$1,$B6,AB$1)</f>
        <v>94.832859990466702</v>
      </c>
      <c r="AC6" cm="1">
        <f t="array" ref="AC6">_xll.EQNXTDZ($A$1,$B6,AC$1)</f>
        <v>85.304199417261998</v>
      </c>
      <c r="AD6" cm="1">
        <f t="array" ref="AD6">_xll.EQNXTDZ($A$1,$B6,AD$1)</f>
        <v>87.981299292590904</v>
      </c>
      <c r="AE6" cm="1">
        <f t="array" ref="AE6">_xll.EQNXTDZ($A$1,$B6,AE$1)</f>
        <v>88.026673866748993</v>
      </c>
      <c r="AF6" cm="1">
        <f t="array" ref="AF6">_xll.EQNXTDZ($A$1,$B6,AF$1)</f>
        <v>95.286605732047903</v>
      </c>
      <c r="AG6" cm="1">
        <f t="array" ref="AG6">_xll.EQNXTDZ($A$1,$B6,AG$1)</f>
        <v>101.094551224287</v>
      </c>
      <c r="AH6" cm="1">
        <f t="array" ref="AH6">_xll.EQNXTDZ($A$1,$B6,AH$1)</f>
        <v>114.34392687845801</v>
      </c>
      <c r="AI6" cm="1">
        <f t="array" ref="AI6">_xll.EQNXTDZ($A$1,$B6,AI$1)</f>
        <v>109.352723721065</v>
      </c>
      <c r="AJ6" cm="1">
        <f t="array" ref="AJ6">_xll.EQNXTDZ($A$1,$B6,AJ$1)</f>
        <v>102.546537597347</v>
      </c>
      <c r="AK6" cm="1">
        <f t="array" ref="AK6">_xll.EQNXTDZ($A$1,$B6,AK$1)</f>
        <v>105.26901204683401</v>
      </c>
      <c r="AL6" cm="1">
        <f t="array" ref="AL6">_xll.EQNXTDZ($A$1,$B6,AL$1)</f>
        <v>98.9165716646974</v>
      </c>
      <c r="AM6" cm="1">
        <f t="array" ref="AM6">_xll.EQNXTDZ($A$1,$B6,AM$1)</f>
        <v>92.564131282560794</v>
      </c>
      <c r="AN6" cm="1">
        <f t="array" ref="AN6">_xll.EQNXTDZ($A$1,$B6,AN$1)</f>
        <v>83.489216450937207</v>
      </c>
      <c r="AO6" cm="1">
        <f t="array" ref="AO6">_xll.EQNXTDZ($A$1,$B6,AO$1)</f>
        <v>85.485697713894396</v>
      </c>
      <c r="AP6" cm="1">
        <f t="array" ref="AP6">_xll.EQNXTDZ($A$1,$B6,AP$1)</f>
        <v>78.044267551963102</v>
      </c>
      <c r="AQ6" cm="1">
        <f t="array" ref="AQ6">_xll.EQNXTDZ($A$1,$B6,AQ$1)</f>
        <v>78.8610098868092</v>
      </c>
      <c r="AR6" cm="1">
        <f t="array" ref="AR6">_xll.EQNXTDZ($A$1,$B6,AR$1)</f>
        <v>89.161038220701997</v>
      </c>
      <c r="AS6" cm="1">
        <f t="array" ref="AS6">_xll.EQNXTDZ($A$1,$B6,AS$1)</f>
        <v>85.803319733001203</v>
      </c>
      <c r="AT6" cm="1">
        <f t="array" ref="AT6">_xll.EQNXTDZ($A$1,$B6,AT$1)</f>
        <v>106.494125549103</v>
      </c>
      <c r="AU6" cm="1">
        <f t="array" ref="AU6">_xll.EQNXTDZ($A$1,$B6,AU$1)</f>
        <v>101.59367154002599</v>
      </c>
      <c r="AV6" cm="1">
        <f t="array" ref="AV6">_xll.EQNXTDZ($A$1,$B6,AV$1)</f>
        <v>89.024914498227602</v>
      </c>
      <c r="AW6" cm="1">
        <f t="array" ref="AW6">_xll.EQNXTDZ($A$1,$B6,AW$1)</f>
        <v>89.841656833073799</v>
      </c>
      <c r="AX6" cm="1">
        <f t="array" ref="AX6">_xll.EQNXTDZ($A$1,$B6,AX$1)</f>
        <v>95.468104028680401</v>
      </c>
      <c r="AY6" cm="1">
        <f t="array" ref="AY6">_xll.EQNXTDZ($A$1,$B6,AY$1)</f>
        <v>105.087513750201</v>
      </c>
      <c r="AZ6" cm="1">
        <f t="array" ref="AZ6">_xll.EQNXTDZ($A$1,$B6,AZ$1)</f>
        <v>116.612655586363</v>
      </c>
      <c r="BA6" cm="1">
        <f t="array" ref="BA6">_xll.EQNXTDZ($A$1,$B6,BA$1)</f>
        <v>122.420601078603</v>
      </c>
      <c r="BB6" cm="1">
        <f t="array" ref="BB6">_xll.EQNXTDZ($A$1,$B6,BB$1)</f>
        <v>118.881384294269</v>
      </c>
      <c r="BC6" cm="1">
        <f t="array" ref="BC6">_xll.EQNXTDZ($A$1,$B6,BC$1)</f>
        <v>119.92499949990599</v>
      </c>
      <c r="BD6" cm="1">
        <f t="array" ref="BD6">_xll.EQNXTDZ($A$1,$B6,BD$1)</f>
        <v>107.083995013159</v>
      </c>
      <c r="BE6" cm="1">
        <f t="array" ref="BE6">_xll.EQNXTDZ($A$1,$B6,BE$1)</f>
        <v>93.017877024141995</v>
      </c>
      <c r="BF6" cm="1">
        <f t="array" ref="BF6">_xll.EQNXTDZ($A$1,$B6,BF$1)</f>
        <v>89.705533110599404</v>
      </c>
      <c r="BG6" cm="1">
        <f t="array" ref="BG6">_xll.EQNXTDZ($A$1,$B6,BG$1)</f>
        <v>98.099829329851204</v>
      </c>
      <c r="BH6" cm="1">
        <f t="array" ref="BH6">_xll.EQNXTDZ($A$1,$B6,BH$1)</f>
        <v>115.932036973992</v>
      </c>
      <c r="BI6" cm="1">
        <f t="array" ref="BI6">_xll.EQNXTDZ($A$1,$B6,BI$1)</f>
        <v>115.20604378746199</v>
      </c>
      <c r="BJ6" cm="1">
        <f t="array" ref="BJ6">_xll.EQNXTDZ($A$1,$B6,BJ$1)</f>
        <v>117.066401327945</v>
      </c>
      <c r="BK6" cm="1">
        <f t="array" ref="BK6">_xll.EQNXTDZ($A$1,$B6,BK$1)</f>
        <v>123.464216284239</v>
      </c>
      <c r="BL6" cm="1">
        <f t="array" ref="BL6">_xll.EQNXTDZ($A$1,$B6,BL$1)</f>
        <v>122.51135022691901</v>
      </c>
      <c r="BM6" cm="1">
        <f t="array" ref="BM6">_xll.EQNXTDZ($A$1,$B6,BM$1)</f>
        <v>112.256696467184</v>
      </c>
      <c r="BN6" cm="1">
        <f t="array" ref="BN6">_xll.EQNXTDZ($A$1,$B6,BN$1)</f>
        <v>108.03686107047901</v>
      </c>
      <c r="BO6" cm="1">
        <f t="array" ref="BO6">_xll.EQNXTDZ($A$1,$B6,BO$1)</f>
        <v>107.083995013159</v>
      </c>
      <c r="BP6" cm="1">
        <f t="array" ref="BP6">_xll.EQNXTDZ($A$1,$B6,BP$1)</f>
        <v>109.96060380863899</v>
      </c>
      <c r="BQ6" cm="1">
        <f t="array" ref="BQ6">_xll.EQNXTDZ($A$1,$B6,BQ$1)</f>
        <v>121.160294937297</v>
      </c>
      <c r="BR6" cm="1">
        <f t="array" ref="BR6">_xll.EQNXTDZ($A$1,$B6,BR$1)</f>
        <v>113.54838365072</v>
      </c>
      <c r="BS6" cm="1">
        <f t="array" ref="BS6">_xll.EQNXTDZ($A$1,$B6,BS$1)</f>
        <v>135.365963771482</v>
      </c>
      <c r="BT6" cm="1">
        <f t="array" ref="BT6">_xll.EQNXTDZ($A$1,$B6,BT$1)</f>
        <v>132.650887134231</v>
      </c>
      <c r="BU6" cm="1">
        <f t="array" ref="BU6">_xll.EQNXTDZ($A$1,$B6,BU$1)</f>
        <v>127.220733859731</v>
      </c>
      <c r="BV6" cm="1">
        <f t="array" ref="BV6">_xll.EQNXTDZ($A$1,$B6,BV$1)</f>
        <v>144.91721551323701</v>
      </c>
      <c r="BW6" cm="1">
        <f t="array" ref="BW6">_xll.EQNXTDZ($A$1,$B6,BW$1)</f>
        <v>137.54772178355799</v>
      </c>
      <c r="BX6" cm="1">
        <f t="array" ref="BX6">_xll.EQNXTDZ($A$1,$B6,BX$1)</f>
        <v>128.86917324663301</v>
      </c>
      <c r="BY6" cm="1">
        <f t="array" ref="BY6">_xll.EQNXTDZ($A$1,$B6,BY$1)</f>
        <v>128.96614026939201</v>
      </c>
      <c r="BZ6" cm="1">
        <f t="array" ref="BZ6">_xll.EQNXTDZ($A$1,$B6,BZ$1)</f>
        <v>134.05690896423599</v>
      </c>
      <c r="CA6" cm="1">
        <f t="array" ref="CA6">_xll.EQNXTDZ($A$1,$B6,CA$1)</f>
        <v>135.462930794241</v>
      </c>
      <c r="CB6" cm="1">
        <f t="array" ref="CB6">_xll.EQNXTDZ($A$1,$B6,CB$1)</f>
        <v>124.166272642824</v>
      </c>
      <c r="CC6" cm="1">
        <f t="array" ref="CC6">_xll.EQNXTDZ($A$1,$B6,CC$1)</f>
        <v>139.87493032977201</v>
      </c>
      <c r="CD6" cm="1">
        <f t="array" ref="CD6">_xll.EQNXTDZ($A$1,$B6,CD$1)</f>
        <v>143.70512772875099</v>
      </c>
      <c r="CE6" cm="1">
        <f t="array" ref="CE6">_xll.EQNXTDZ($A$1,$B6,CE$1)</f>
        <v>137.935589874594</v>
      </c>
      <c r="CF6" cm="1">
        <f t="array" ref="CF6">_xll.EQNXTDZ($A$1,$B6,CF$1)</f>
        <v>134.78416163492801</v>
      </c>
      <c r="CG6" cm="1">
        <f t="array" ref="CG6">_xll.EQNXTDZ($A$1,$B6,CG$1)</f>
        <v>151.559456572225</v>
      </c>
      <c r="CH6" cm="1">
        <f t="array" ref="CH6">_xll.EQNXTDZ($A$1,$B6,CH$1)</f>
        <v>152.238225731537</v>
      </c>
      <c r="CI6" cm="1">
        <f t="array" ref="CI6">_xll.EQNXTDZ($A$1,$B6,CI$1)</f>
        <v>153.207895959127</v>
      </c>
      <c r="CJ6" cm="1">
        <f t="array" ref="CJ6">_xll.EQNXTDZ($A$1,$B6,CJ$1)</f>
        <v>153.83818160705999</v>
      </c>
      <c r="CK6" cm="1">
        <f t="array" ref="CK6">_xll.EQNXTDZ($A$1,$B6,CK$1)</f>
        <v>138.12952392011101</v>
      </c>
      <c r="CL6" cm="1">
        <f t="array" ref="CL6">_xll.EQNXTDZ($A$1,$B6,CL$1)</f>
        <v>132.94178820250801</v>
      </c>
      <c r="CM6" cm="1">
        <f t="array" ref="CM6">_xll.EQNXTDZ($A$1,$B6,CM$1)</f>
        <v>155.14723641430601</v>
      </c>
      <c r="CN6" cm="1">
        <f t="array" ref="CN6">_xll.EQNXTDZ($A$1,$B6,CN$1)</f>
        <v>148.21409428704101</v>
      </c>
      <c r="CO6" cm="1">
        <f t="array" ref="CO6">_xll.EQNXTDZ($A$1,$B6,CO$1)</f>
        <v>144.48086391082199</v>
      </c>
      <c r="CP6" cm="1">
        <f t="array" ref="CP6">_xll.EQNXTDZ($A$1,$B6,CP$1)</f>
        <v>140.60218300046401</v>
      </c>
      <c r="CQ6" cm="1">
        <f t="array" ref="CQ6">_xll.EQNXTDZ($A$1,$B6,CQ$1)</f>
        <v>138.662842545286</v>
      </c>
      <c r="CR6" cm="1">
        <f t="array" ref="CR6">_xll.EQNXTDZ($A$1,$B6,CR$1)</f>
        <v>130.081261031119</v>
      </c>
      <c r="CS6" cm="1">
        <f t="array" ref="CS6">_xll.EQNXTDZ($A$1,$B6,CS$1)</f>
        <v>72.240431955410997</v>
      </c>
      <c r="CT6" cm="1">
        <f t="array" ref="CT6">_xll.EQNXTDZ($A$1,$B6,CT$1)</f>
        <v>74.664607524384607</v>
      </c>
      <c r="CU6" cm="1">
        <f t="array" ref="CU6">_xll.EQNXTDZ($A$1,$B6,CU$1)</f>
        <v>77.476651184393901</v>
      </c>
      <c r="CV6" cm="1">
        <f t="array" ref="CV6">_xll.EQNXTDZ($A$1,$B6,CV$1)</f>
        <v>77.137266604737604</v>
      </c>
      <c r="CW6" cm="1">
        <f t="array" ref="CW6">_xll.EQNXTDZ($A$1,$B6,CW$1)</f>
        <v>74.082805387830902</v>
      </c>
      <c r="CX6" cm="1">
        <f t="array" ref="CX6">_xll.EQNXTDZ($A$1,$B6,CX$1)</f>
        <v>101.766890385509</v>
      </c>
      <c r="CY6" cm="1">
        <f t="array" ref="CY6">_xll.EQNXTDZ($A$1,$B6,CY$1)</f>
        <v>96.191286576869501</v>
      </c>
      <c r="CZ6" cm="1">
        <f t="array" ref="CZ6">_xll.EQNXTDZ($A$1,$B6,CZ$1)</f>
        <v>92.506539712029706</v>
      </c>
      <c r="DA6" cm="1">
        <f t="array" ref="DA6">_xll.EQNXTDZ($A$1,$B6,DA$1)</f>
        <v>116.36042731072899</v>
      </c>
      <c r="DB6" cm="1">
        <f t="array" ref="DB6">_xll.EQNXTDZ($A$1,$B6,DB$1)</f>
        <v>116.457394333488</v>
      </c>
      <c r="DC6" cm="1">
        <f t="array" ref="DC6">_xll.EQNXTDZ($A$1,$B6,DC$1)</f>
        <v>118.639152345564</v>
      </c>
      <c r="DD6" cm="1">
        <f t="array" ref="DD6">_xll.EQNXTDZ($A$1,$B6,DD$1)</f>
        <v>120.23910822108699</v>
      </c>
      <c r="DE6" cm="1">
        <f t="array" ref="DE6">_xll.EQNXTDZ($A$1,$B6,DE$1)</f>
        <v>107.633395262425</v>
      </c>
      <c r="DF6" cm="1">
        <f t="array" ref="DF6">_xll.EQNXTDZ($A$1,$B6,DF$1)</f>
        <v>106.663725034835</v>
      </c>
      <c r="DG6" cm="1">
        <f t="array" ref="DG6">_xll.EQNXTDZ($A$1,$B6,DG$1)</f>
        <v>136.52956804458901</v>
      </c>
      <c r="DH6" cm="1">
        <f t="array" ref="DH6">_xll.EQNXTDZ($A$1,$B6,DH$1)</f>
        <v>137.20833720390101</v>
      </c>
      <c r="DI6" cm="1">
        <f t="array" ref="DI6">_xll.EQNXTDZ($A$1,$B6,DI$1)</f>
        <v>140.65066651184401</v>
      </c>
      <c r="DJ6" cm="1">
        <f t="array" ref="DJ6">_xll.EQNXTDZ($A$1,$B6,DJ$1)</f>
        <v>135.317480260102</v>
      </c>
      <c r="DK6" cm="1">
        <f t="array" ref="DK6">_xll.EQNXTDZ($A$1,$B6,DK$1)</f>
        <v>174.443673943335</v>
      </c>
      <c r="DL6" cm="1">
        <f t="array" ref="DL6">_xll.EQNXTDZ($A$1,$B6,DL$1)</f>
        <v>187.63118903855101</v>
      </c>
      <c r="DM6" cm="1">
        <f t="array" ref="DM6">_xll.EQNXTDZ($A$1,$B6,DM$1)</f>
        <v>179.95</v>
      </c>
      <c r="DN6" cm="1">
        <f t="array" ref="DN6">_xll.EQNXTDZ($A$1,$B6,DN$1)</f>
        <v>179.8</v>
      </c>
      <c r="DO6" cm="1">
        <f t="array" ref="DO6">_xll.EQNXTDZ($A$1,$B6,DO$1)</f>
        <v>219</v>
      </c>
      <c r="DP6" cm="1">
        <f t="array" ref="DP6">_xll.EQNXTDZ($A$1,$B6,DP$1)</f>
        <v>197.4</v>
      </c>
      <c r="DQ6" cm="1">
        <f t="array" ref="DQ6">_xll.EQNXTDZ($A$1,$B6,DQ$1)</f>
        <v>238.7</v>
      </c>
      <c r="DR6" cm="1">
        <f t="array" ref="DR6">_xll.EQNXTDZ($A$1,$B6,DR$1)</f>
        <v>253.85</v>
      </c>
      <c r="DS6" cm="1">
        <f t="array" ref="DS6">_xll.EQNXTDZ($A$1,$B6,DS$1)</f>
        <v>236</v>
      </c>
      <c r="DT6" cm="1">
        <f t="array" ref="DT6">_xll.EQNXTDZ($A$1,$B6,DT$1)</f>
        <v>222.1</v>
      </c>
      <c r="DU6" cm="1">
        <f t="array" ref="DU6">_xll.EQNXTDZ($A$1,$B6,DU$1)</f>
        <v>264.45</v>
      </c>
      <c r="DV6" cm="1">
        <f t="array" ref="DV6">_xll.EQNXTDZ($A$1,$B6,DV$1)</f>
        <v>284.7</v>
      </c>
      <c r="DW6" cm="1">
        <f t="array" ref="DW6">_xll.EQNXTDZ($A$1,$B6,DW$1)</f>
        <v>333.9</v>
      </c>
      <c r="DX6" cm="1">
        <f t="array" ref="DX6">_xll.EQNXTDZ($A$1,$B6,DX$1)</f>
        <v>334.85</v>
      </c>
      <c r="DY6" cm="1">
        <f t="array" ref="DY6">_xll.EQNXTDZ($A$1,$B6,DY$1)</f>
        <v>321.5</v>
      </c>
      <c r="DZ6" cm="1">
        <f t="array" ref="DZ6">_xll.EQNXTDZ($A$1,$B6,DZ$1)</f>
        <v>318.64999999999998</v>
      </c>
      <c r="EA6" cm="1">
        <f t="array" ref="EA6">_xll.EQNXTDZ($A$1,$B6,EA$1)</f>
        <v>318</v>
      </c>
      <c r="EB6" cm="1">
        <f t="array" ref="EB6">_xll.EQNXTDZ($A$1,$B6,EB$1)</f>
        <v>312</v>
      </c>
      <c r="EC6" cm="1">
        <f t="array" ref="EC6">_xll.EQNXTDZ($A$1,$B6,EC$1)</f>
        <v>324.8</v>
      </c>
      <c r="ED6" cm="1">
        <f t="array" ref="ED6">_xll.EQNXTDZ($A$1,$B6,ED$1)</f>
        <v>342.2</v>
      </c>
      <c r="EE6" cm="1">
        <f t="array" ref="EE6">_xll.EQNXTDZ($A$1,$B6,EE$1)</f>
        <v>389.7</v>
      </c>
      <c r="EF6" cm="1">
        <f t="array" ref="EF6">_xll.EQNXTDZ($A$1,$B6,EF$1)</f>
        <v>394.9</v>
      </c>
      <c r="EG6" cm="1">
        <f t="array" ref="EG6">_xll.EQNXTDZ($A$1,$B6,EG$1)</f>
        <v>395</v>
      </c>
      <c r="EH6" cm="1">
        <f t="array" ref="EH6">_xll.EQNXTDZ($A$1,$B6,EH$1)</f>
        <v>421.9</v>
      </c>
      <c r="EI6" cm="1">
        <f t="array" ref="EI6">_xll.EQNXTDZ($A$1,$B6,EI$1)</f>
        <v>412</v>
      </c>
      <c r="EJ6" cm="1">
        <f t="array" ref="EJ6">_xll.EQNXTDZ($A$1,$B6,EJ$1)</f>
        <v>384</v>
      </c>
      <c r="EK6" cm="1">
        <f t="array" ref="EK6">_xll.EQNXTDZ($A$1,$B6,EK$1)</f>
        <v>422</v>
      </c>
      <c r="EL6" cm="1">
        <f t="array" ref="EL6">_xll.EQNXTDZ($A$1,$B6,EL$1)</f>
        <v>440</v>
      </c>
      <c r="EM6" cm="1">
        <f t="array" ref="EM6">_xll.EQNXTDZ($A$1,$B6,EM$1)</f>
        <v>495.45</v>
      </c>
      <c r="EN6" cm="1">
        <f t="array" ref="EN6">_xll.EQNXTDZ($A$1,$B6,EN$1)</f>
        <v>589.9</v>
      </c>
      <c r="EO6" cm="1">
        <f t="array" ref="EO6">_xll.EQNXTDZ($A$1,$B6,EO$1)</f>
        <v>600</v>
      </c>
      <c r="EP6" cm="1">
        <f t="array" ref="EP6">_xll.EQNXTDZ($A$1,$B6,EP$1)</f>
        <v>578.54999999999995</v>
      </c>
      <c r="EQ6" cm="1">
        <f t="array" ref="EQ6">_xll.EQNXTDZ($A$1,$B6,EQ$1)</f>
        <v>577</v>
      </c>
      <c r="ER6" cm="1">
        <f t="array" ref="ER6">_xll.EQNXTDZ($A$1,$B6,ER$1)</f>
        <v>625.1</v>
      </c>
      <c r="ES6" cm="1">
        <f t="array" ref="ES6">_xll.EQNXTDZ($A$1,$B6,ES$1)</f>
        <v>642.04999999999995</v>
      </c>
      <c r="ET6" cm="1">
        <f t="array" ref="ET6">_xll.EQNXTDZ($A$1,$B6,ET$1)</f>
        <v>650.1</v>
      </c>
      <c r="EU6" cm="1">
        <f t="array" ref="EU6">_xll.EQNXTDZ($A$1,$B6,EU$1)</f>
        <v>690</v>
      </c>
      <c r="EV6" cm="1">
        <f t="array" ref="EV6">_xll.EQNXTDZ($A$1,$B6,EV$1)</f>
        <v>678.9</v>
      </c>
      <c r="EW6" cm="1">
        <f t="array" ref="EW6">_xll.EQNXTDZ($A$1,$B6,EW$1)</f>
        <v>795</v>
      </c>
      <c r="EX6" cm="1">
        <f t="array" ref="EX6">_xll.EQNXTDZ($A$1,$B6,EX$1)</f>
        <v>875</v>
      </c>
      <c r="EY6" cm="1">
        <f t="array" ref="EY6">_xll.EQNXTDZ($A$1,$B6,EY$1)</f>
        <v>769</v>
      </c>
      <c r="EZ6" cm="1">
        <f t="array" ref="EZ6">_xll.EQNXTDZ($A$1,$B6,EZ$1)</f>
        <v>716.5</v>
      </c>
      <c r="FA6" cm="1">
        <f t="array" ref="FA6">_xll.EQNXTDZ($A$1,$B6,FA$1)</f>
        <v>794.05</v>
      </c>
      <c r="FB6" cm="1">
        <f t="array" ref="FB6">_xll.EQNXTDZ($A$1,$B6,FB$1)</f>
        <v>789.55</v>
      </c>
      <c r="FC6" cm="1">
        <f t="array" ref="FC6">_xll.EQNXTDZ($A$1,$B6,FC$1)</f>
        <v>772</v>
      </c>
      <c r="FD6" cm="1">
        <f t="array" ref="FD6">_xll.EQNXTDZ($A$1,$B6,FD$1)</f>
        <v>759</v>
      </c>
      <c r="FE6" cm="1">
        <f t="array" ref="FE6">_xll.EQNXTDZ($A$1,$B6,FE$1)</f>
        <v>741.5</v>
      </c>
      <c r="FF6" cm="1">
        <f t="array" ref="FF6">_xll.EQNXTDZ($A$1,$B6,FF$1)</f>
        <v>759</v>
      </c>
      <c r="FG6" cm="1">
        <f t="array" ref="FG6">_xll.EQNXTDZ($A$1,$B6,FG$1)</f>
        <v>718.65</v>
      </c>
      <c r="FH6" cm="1">
        <f t="array" ref="FH6">_xll.EQNXTDZ($A$1,$B6,FH$1)</f>
        <v>741.8</v>
      </c>
      <c r="FI6" cm="1">
        <f t="array" ref="FI6">_xll.EQNXTDZ($A$1,$B6,FI$1)</f>
        <v>750</v>
      </c>
      <c r="FJ6" cm="1">
        <f t="array" ref="FJ6">_xll.EQNXTDZ($A$1,$B6,FJ$1)</f>
        <v>741.95</v>
      </c>
      <c r="FK6" cm="1">
        <f t="array" ref="FK6">_xll.EQNXTDZ($A$1,$B6,FK$1)</f>
        <v>675.6</v>
      </c>
      <c r="FL6" cm="1">
        <f t="array" ref="FL6">_xll.EQNXTDZ($A$1,$B6,FL$1)</f>
        <v>645.29999999999995</v>
      </c>
      <c r="FM6" cm="1">
        <f t="array" ref="FM6">_xll.EQNXTDZ($A$1,$B6,FM$1)</f>
        <v>597</v>
      </c>
      <c r="FN6" cm="1">
        <f t="array" ref="FN6">_xll.EQNXTDZ($A$1,$B6,FN$1)</f>
        <v>640</v>
      </c>
      <c r="FO6" cm="1">
        <f t="array" ref="FO6">_xll.EQNXTDZ($A$1,$B6,FO$1)</f>
        <v>663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56.718217697647603</v>
      </c>
      <c r="D7" s="116" cm="1">
        <f t="array" ref="D7">_xll.EQNXTDZ($A$1,$B7,D$1)</f>
        <v>59.349942998818399</v>
      </c>
      <c r="E7" s="116" cm="1">
        <f t="array" ref="E7">_xll.EQNXTDZ($A$1,$B7,E$1)</f>
        <v>58.623949812288501</v>
      </c>
      <c r="F7" s="116" cm="1">
        <f t="array" ref="F7">_xll.EQNXTDZ($A$1,$B7,F$1)</f>
        <v>61.618671706724299</v>
      </c>
      <c r="G7" s="116" cm="1">
        <f t="array" ref="G7">_xll.EQNXTDZ($A$1,$B7,G$1)</f>
        <v>65.067139342741299</v>
      </c>
      <c r="H7" s="116" cm="1">
        <f t="array" ref="H7">_xll.EQNXTDZ($A$1,$B7,H$1)</f>
        <v>59.168444702186001</v>
      </c>
      <c r="I7" s="116" cm="1">
        <f t="array" ref="I7">_xll.EQNXTDZ($A$1,$B7,I$1)</f>
        <v>60.801929371878202</v>
      </c>
      <c r="J7" s="116" cm="1">
        <f t="array" ref="J7">_xll.EQNXTDZ($A$1,$B7,J$1)</f>
        <v>61.890919151673003</v>
      </c>
      <c r="K7" s="116" cm="1">
        <f t="array" ref="K7">_xll.EQNXTDZ($A$1,$B7,K$1)</f>
        <v>57.5349600324937</v>
      </c>
      <c r="L7" s="116" cm="1">
        <f t="array" ref="L7">_xll.EQNXTDZ($A$1,$B7,L$1)</f>
        <v>53.496622932421197</v>
      </c>
      <c r="M7" s="116" cm="1">
        <f t="array" ref="M7">_xll.EQNXTDZ($A$1,$B7,M$1)</f>
        <v>53.5419975065793</v>
      </c>
      <c r="N7" s="116" cm="1">
        <f t="array" ref="N7">_xll.EQNXTDZ($A$1,$B7,N$1)</f>
        <v>54.358739841425397</v>
      </c>
      <c r="O7" s="116" cm="1">
        <f t="array" ref="O7">_xll.EQNXTDZ($A$1,$B7,O$1)</f>
        <v>47.5071791435496</v>
      </c>
      <c r="P7" s="116" cm="1">
        <f t="array" ref="P7">_xll.EQNXTDZ($A$1,$B7,P$1)</f>
        <v>48.414670626712002</v>
      </c>
      <c r="Q7" s="116" cm="1">
        <f t="array" ref="Q7">_xll.EQNXTDZ($A$1,$B7,Q$1)</f>
        <v>42.152979392891702</v>
      </c>
      <c r="R7" s="116" cm="1">
        <f t="array" ref="R7">_xll.EQNXTDZ($A$1,$B7,R$1)</f>
        <v>47.552553717707703</v>
      </c>
      <c r="S7" s="116" cm="1">
        <f t="array" ref="S7">_xll.EQNXTDZ($A$1,$B7,S$1)</f>
        <v>46.645062234545399</v>
      </c>
      <c r="T7" s="116" cm="1">
        <f t="array" ref="T7">_xll.EQNXTDZ($A$1,$B7,T$1)</f>
        <v>49.276787535716203</v>
      </c>
      <c r="U7" s="116" cm="1">
        <f t="array" ref="U7">_xll.EQNXTDZ($A$1,$B7,U$1)</f>
        <v>56.718217697647603</v>
      </c>
      <c r="V7" s="116" cm="1">
        <f t="array" ref="V7">_xll.EQNXTDZ($A$1,$B7,V$1)</f>
        <v>57.081214290912499</v>
      </c>
      <c r="W7" s="116" cm="1">
        <f t="array" ref="W7">_xll.EQNXTDZ($A$1,$B7,W$1)</f>
        <v>65.974630825903702</v>
      </c>
      <c r="X7" s="116" cm="1">
        <f t="array" ref="X7">_xll.EQNXTDZ($A$1,$B7,X$1)</f>
        <v>67.154369754014695</v>
      </c>
      <c r="Y7" s="116" cm="1">
        <f t="array" ref="Y7">_xll.EQNXTDZ($A$1,$B7,Y$1)</f>
        <v>70.149091648450494</v>
      </c>
      <c r="Z7" s="116" cm="1">
        <f t="array" ref="Z7">_xll.EQNXTDZ($A$1,$B7,Z$1)</f>
        <v>84.396707934099595</v>
      </c>
      <c r="AA7" s="116" cm="1">
        <f t="array" ref="AA7">_xll.EQNXTDZ($A$1,$B7,AA$1)</f>
        <v>101.639046114184</v>
      </c>
      <c r="AB7" s="116" cm="1">
        <f t="array" ref="AB7">_xll.EQNXTDZ($A$1,$B7,AB$1)</f>
        <v>99.642564851227306</v>
      </c>
      <c r="AC7" s="116" cm="1">
        <f t="array" ref="AC7">_xll.EQNXTDZ($A$1,$B7,AC$1)</f>
        <v>88.934165349911396</v>
      </c>
      <c r="AD7" s="116" cm="1">
        <f t="array" ref="AD7">_xll.EQNXTDZ($A$1,$B7,AD$1)</f>
        <v>96.693217530949596</v>
      </c>
      <c r="AE7" s="116" cm="1">
        <f t="array" ref="AE7">_xll.EQNXTDZ($A$1,$B7,AE$1)</f>
        <v>100.73155463102199</v>
      </c>
      <c r="AF7" s="116" cm="1">
        <f t="array" ref="AF7">_xll.EQNXTDZ($A$1,$B7,AF$1)</f>
        <v>101.639046114184</v>
      </c>
      <c r="AG7" s="116" cm="1">
        <f t="array" ref="AG7">_xll.EQNXTDZ($A$1,$B7,AG$1)</f>
        <v>115.705164103201</v>
      </c>
      <c r="AH7" s="116" cm="1">
        <f t="array" ref="AH7">_xll.EQNXTDZ($A$1,$B7,AH$1)</f>
        <v>115.160669213304</v>
      </c>
      <c r="AI7" s="116" cm="1">
        <f t="array" ref="AI7">_xll.EQNXTDZ($A$1,$B7,AI$1)</f>
        <v>115.069920064987</v>
      </c>
      <c r="AJ7" s="116" cm="1">
        <f t="array" ref="AJ7">_xll.EQNXTDZ($A$1,$B7,AJ$1)</f>
        <v>107.492366180582</v>
      </c>
      <c r="AK7" s="116" cm="1">
        <f t="array" ref="AK7">_xll.EQNXTDZ($A$1,$B7,AK$1)</f>
        <v>107.083995013159</v>
      </c>
      <c r="AL7" s="116" cm="1">
        <f t="array" ref="AL7">_xll.EQNXTDZ($A$1,$B7,AL$1)</f>
        <v>101.185300372603</v>
      </c>
      <c r="AM7" s="116" cm="1">
        <f t="array" ref="AM7">_xll.EQNXTDZ($A$1,$B7,AM$1)</f>
        <v>93.743870210671901</v>
      </c>
      <c r="AN7" s="116" cm="1">
        <f t="array" ref="AN7">_xll.EQNXTDZ($A$1,$B7,AN$1)</f>
        <v>91.429766928607904</v>
      </c>
      <c r="AO7" s="116" cm="1">
        <f t="array" ref="AO7">_xll.EQNXTDZ($A$1,$B7,AO$1)</f>
        <v>88.389670460014003</v>
      </c>
      <c r="AP7" s="116" cm="1">
        <f t="array" ref="AP7">_xll.EQNXTDZ($A$1,$B7,AP$1)</f>
        <v>84.0337113408346</v>
      </c>
      <c r="AQ7" s="116" cm="1">
        <f t="array" ref="AQ7">_xll.EQNXTDZ($A$1,$B7,AQ$1)</f>
        <v>90.703773742077999</v>
      </c>
      <c r="AR7" s="116" cm="1">
        <f t="array" ref="AR7">_xll.EQNXTDZ($A$1,$B7,AR$1)</f>
        <v>91.475141502765993</v>
      </c>
      <c r="AS7" s="116" cm="1">
        <f t="array" ref="AS7">_xll.EQNXTDZ($A$1,$B7,AS$1)</f>
        <v>109.080476276116</v>
      </c>
      <c r="AT7" s="116" cm="1">
        <f t="array" ref="AT7">_xll.EQNXTDZ($A$1,$B7,AT$1)</f>
        <v>113.118813376188</v>
      </c>
      <c r="AU7" s="116" cm="1">
        <f t="array" ref="AU7">_xll.EQNXTDZ($A$1,$B7,AU$1)</f>
        <v>104.951390027727</v>
      </c>
      <c r="AV7" s="116" cm="1">
        <f t="array" ref="AV7">_xll.EQNXTDZ($A$1,$B7,AV$1)</f>
        <v>93.426248191565094</v>
      </c>
      <c r="AW7" s="116" cm="1">
        <f t="array" ref="AW7">_xll.EQNXTDZ($A$1,$B7,AW$1)</f>
        <v>99.279568257962296</v>
      </c>
      <c r="AX7" s="116" cm="1">
        <f t="array" ref="AX7">_xll.EQNXTDZ($A$1,$B7,AX$1)</f>
        <v>109.352723721065</v>
      </c>
      <c r="AY7" s="116" cm="1">
        <f t="array" ref="AY7">_xll.EQNXTDZ($A$1,$B7,AY$1)</f>
        <v>124.41708234156</v>
      </c>
      <c r="AZ7" s="116" cm="1">
        <f t="array" ref="AZ7">_xll.EQNXTDZ($A$1,$B7,AZ$1)</f>
        <v>129.771282092218</v>
      </c>
      <c r="BA7" s="116" cm="1">
        <f t="array" ref="BA7">_xll.EQNXTDZ($A$1,$B7,BA$1)</f>
        <v>126.958058494414</v>
      </c>
      <c r="BB7" s="116" cm="1">
        <f t="array" ref="BB7">_xll.EQNXTDZ($A$1,$B7,BB$1)</f>
        <v>123.37346713592299</v>
      </c>
      <c r="BC7" s="116" cm="1">
        <f t="array" ref="BC7">_xll.EQNXTDZ($A$1,$B7,BC$1)</f>
        <v>121.60385874375601</v>
      </c>
      <c r="BD7" s="116" cm="1">
        <f t="array" ref="BD7">_xll.EQNXTDZ($A$1,$B7,BD$1)</f>
        <v>107.310867883949</v>
      </c>
      <c r="BE7" s="116" cm="1">
        <f t="array" ref="BE7">_xll.EQNXTDZ($A$1,$B7,BE$1)</f>
        <v>96.874715827582094</v>
      </c>
      <c r="BF7" s="116" cm="1">
        <f t="array" ref="BF7">_xll.EQNXTDZ($A$1,$B7,BF$1)</f>
        <v>101.956668133291</v>
      </c>
      <c r="BG7" s="116" cm="1">
        <f t="array" ref="BG7">_xll.EQNXTDZ($A$1,$B7,BG$1)</f>
        <v>115.88666239983399</v>
      </c>
      <c r="BH7" s="116" cm="1">
        <f t="array" ref="BH7">_xll.EQNXTDZ($A$1,$B7,BH$1)</f>
        <v>116.748779308838</v>
      </c>
      <c r="BI7" s="116" cm="1">
        <f t="array" ref="BI7">_xll.EQNXTDZ($A$1,$B7,BI$1)</f>
        <v>119.788875777432</v>
      </c>
      <c r="BJ7" s="116" cm="1">
        <f t="array" ref="BJ7">_xll.EQNXTDZ($A$1,$B7,BJ$1)</f>
        <v>132.04001080012401</v>
      </c>
      <c r="BK7" s="116" cm="1">
        <f t="array" ref="BK7">_xll.EQNXTDZ($A$1,$B7,BK$1)</f>
        <v>127.04880764273101</v>
      </c>
      <c r="BL7" s="116" cm="1">
        <f t="array" ref="BL7">_xll.EQNXTDZ($A$1,$B7,BL$1)</f>
        <v>122.51135022691901</v>
      </c>
      <c r="BM7" s="116" cm="1">
        <f t="array" ref="BM7">_xll.EQNXTDZ($A$1,$B7,BM$1)</f>
        <v>119.199006313376</v>
      </c>
      <c r="BN7" s="116" cm="1">
        <f t="array" ref="BN7">_xll.EQNXTDZ($A$1,$B7,BN$1)</f>
        <v>115.25141836162</v>
      </c>
      <c r="BO7" s="116" cm="1">
        <f t="array" ref="BO7">_xll.EQNXTDZ($A$1,$B7,BO$1)</f>
        <v>114.905921969345</v>
      </c>
      <c r="BP7" s="116" cm="1">
        <f t="array" ref="BP7">_xll.EQNXTDZ($A$1,$B7,BP$1)</f>
        <v>121.160294937297</v>
      </c>
      <c r="BQ7" s="116" cm="1">
        <f t="array" ref="BQ7">_xll.EQNXTDZ($A$1,$B7,BQ$1)</f>
        <v>121.208778448676</v>
      </c>
      <c r="BR7" s="116" cm="1">
        <f t="array" ref="BR7">_xll.EQNXTDZ($A$1,$B7,BR$1)</f>
        <v>156.06842313051601</v>
      </c>
      <c r="BS7" s="116" cm="1">
        <f t="array" ref="BS7">_xll.EQNXTDZ($A$1,$B7,BS$1)</f>
        <v>140.16583139804899</v>
      </c>
      <c r="BT7" s="116" cm="1">
        <f t="array" ref="BT7">_xll.EQNXTDZ($A$1,$B7,BT$1)</f>
        <v>134.396293543892</v>
      </c>
      <c r="BU7" s="116" cm="1">
        <f t="array" ref="BU7">_xll.EQNXTDZ($A$1,$B7,BU$1)</f>
        <v>151.26855550394799</v>
      </c>
      <c r="BV7" s="116" cm="1">
        <f t="array" ref="BV7">_xll.EQNXTDZ($A$1,$B7,BV$1)</f>
        <v>145.74143520668801</v>
      </c>
      <c r="BW7" s="116" cm="1">
        <f t="array" ref="BW7">_xll.EQNXTDZ($A$1,$B7,BW$1)</f>
        <v>139.584029261496</v>
      </c>
      <c r="BX7" s="116" cm="1">
        <f t="array" ref="BX7">_xll.EQNXTDZ($A$1,$B7,BX$1)</f>
        <v>130.323678588017</v>
      </c>
      <c r="BY7" s="116" cm="1">
        <f t="array" ref="BY7">_xll.EQNXTDZ($A$1,$B7,BY$1)</f>
        <v>134.20235949837399</v>
      </c>
      <c r="BZ7" s="116" cm="1">
        <f t="array" ref="BZ7">_xll.EQNXTDZ($A$1,$B7,BZ$1)</f>
        <v>135.268996748723</v>
      </c>
      <c r="CA7" s="116" cm="1">
        <f t="array" ref="CA7">_xll.EQNXTDZ($A$1,$B7,CA$1)</f>
        <v>135.55989781700001</v>
      </c>
      <c r="CB7" s="116" cm="1">
        <f t="array" ref="CB7">_xll.EQNXTDZ($A$1,$B7,CB$1)</f>
        <v>140.84460055736201</v>
      </c>
      <c r="CC7" s="116" cm="1">
        <f t="array" ref="CC7">_xll.EQNXTDZ($A$1,$B7,CC$1)</f>
        <v>148.45651184393901</v>
      </c>
      <c r="CD7" s="116" cm="1">
        <f t="array" ref="CD7">_xll.EQNXTDZ($A$1,$B7,CD$1)</f>
        <v>145.450534138411</v>
      </c>
      <c r="CE7" s="116" cm="1">
        <f t="array" ref="CE7">_xll.EQNXTDZ($A$1,$B7,CE$1)</f>
        <v>142.54152345564299</v>
      </c>
      <c r="CF7" s="116" cm="1">
        <f t="array" ref="CF7">_xll.EQNXTDZ($A$1,$B7,CF$1)</f>
        <v>151.70490710636301</v>
      </c>
      <c r="CG7" s="116" cm="1">
        <f t="array" ref="CG7">_xll.EQNXTDZ($A$1,$B7,CG$1)</f>
        <v>156.01993961913601</v>
      </c>
      <c r="CH7" s="116" cm="1">
        <f t="array" ref="CH7">_xll.EQNXTDZ($A$1,$B7,CH$1)</f>
        <v>156.11690664189501</v>
      </c>
      <c r="CI7" s="116" cm="1">
        <f t="array" ref="CI7">_xll.EQNXTDZ($A$1,$B7,CI$1)</f>
        <v>159.31681839294001</v>
      </c>
      <c r="CJ7" s="116" cm="1">
        <f t="array" ref="CJ7">_xll.EQNXTDZ($A$1,$B7,CJ$1)</f>
        <v>154.71088481189</v>
      </c>
      <c r="CK7" s="116" cm="1">
        <f t="array" ref="CK7">_xll.EQNXTDZ($A$1,$B7,CK$1)</f>
        <v>140.11734788666999</v>
      </c>
      <c r="CL7" s="116" cm="1">
        <f t="array" ref="CL7">_xll.EQNXTDZ($A$1,$B7,CL$1)</f>
        <v>158.05624709707399</v>
      </c>
      <c r="CM7" s="116" cm="1">
        <f t="array" ref="CM7">_xll.EQNXTDZ($A$1,$B7,CM$1)</f>
        <v>155.24420343706501</v>
      </c>
      <c r="CN7" s="116" cm="1">
        <f t="array" ref="CN7">_xll.EQNXTDZ($A$1,$B7,CN$1)</f>
        <v>153.207895959127</v>
      </c>
      <c r="CO7" s="116" cm="1">
        <f t="array" ref="CO7">_xll.EQNXTDZ($A$1,$B7,CO$1)</f>
        <v>146.71110543427801</v>
      </c>
      <c r="CP7" s="116" cm="1">
        <f t="array" ref="CP7">_xll.EQNXTDZ($A$1,$B7,CP$1)</f>
        <v>146.420204366001</v>
      </c>
      <c r="CQ7" s="116" cm="1">
        <f t="array" ref="CQ7">_xll.EQNXTDZ($A$1,$B7,CQ$1)</f>
        <v>138.662842545286</v>
      </c>
      <c r="CR7" s="116" cm="1">
        <f t="array" ref="CR7">_xll.EQNXTDZ($A$1,$B7,CR$1)</f>
        <v>134.444777055272</v>
      </c>
      <c r="CS7" s="116" cm="1">
        <f t="array" ref="CS7">_xll.EQNXTDZ($A$1,$B7,CS$1)</f>
        <v>82.421969345099797</v>
      </c>
      <c r="CT7" s="116" cm="1">
        <f t="array" ref="CT7">_xll.EQNXTDZ($A$1,$B7,CT$1)</f>
        <v>74.664607524384607</v>
      </c>
      <c r="CU7" s="116" cm="1">
        <f t="array" ref="CU7">_xll.EQNXTDZ($A$1,$B7,CU$1)</f>
        <v>93.573176962378099</v>
      </c>
      <c r="CV7" s="116" cm="1">
        <f t="array" ref="CV7">_xll.EQNXTDZ($A$1,$B7,CV$1)</f>
        <v>85.137045982350202</v>
      </c>
      <c r="CW7" s="116" cm="1">
        <f t="array" ref="CW7">_xll.EQNXTDZ($A$1,$B7,CW$1)</f>
        <v>109.087900603809</v>
      </c>
      <c r="CX7" s="116" cm="1">
        <f t="array" ref="CX7">_xll.EQNXTDZ($A$1,$B7,CX$1)</f>
        <v>105.015285647933</v>
      </c>
      <c r="CY7" s="116" cm="1">
        <f t="array" ref="CY7">_xll.EQNXTDZ($A$1,$B7,CY$1)</f>
        <v>99.779066418950293</v>
      </c>
      <c r="CZ7" s="116" cm="1">
        <f t="array" ref="CZ7">_xll.EQNXTDZ($A$1,$B7,CZ$1)</f>
        <v>119.0270204366</v>
      </c>
      <c r="DA7" s="116" cm="1">
        <f t="array" ref="DA7">_xll.EQNXTDZ($A$1,$B7,DA$1)</f>
        <v>135.02657919182499</v>
      </c>
      <c r="DB7" s="116" cm="1">
        <f t="array" ref="DB7">_xll.EQNXTDZ($A$1,$B7,DB$1)</f>
        <v>125.960162563864</v>
      </c>
      <c r="DC7" s="116" cm="1">
        <f t="array" ref="DC7">_xll.EQNXTDZ($A$1,$B7,DC$1)</f>
        <v>128.96614026939201</v>
      </c>
      <c r="DD7" s="116" cm="1">
        <f t="array" ref="DD7">_xll.EQNXTDZ($A$1,$B7,DD$1)</f>
        <v>126.638931723177</v>
      </c>
      <c r="DE7" s="116" cm="1">
        <f t="array" ref="DE7">_xll.EQNXTDZ($A$1,$B7,DE$1)</f>
        <v>111.899944263818</v>
      </c>
      <c r="DF7" s="116" cm="1">
        <f t="array" ref="DF7">_xll.EQNXTDZ($A$1,$B7,DF$1)</f>
        <v>136.238666976312</v>
      </c>
      <c r="DG7" s="116" cm="1">
        <f t="array" ref="DG7">_xll.EQNXTDZ($A$1,$B7,DG$1)</f>
        <v>146.12930329772399</v>
      </c>
      <c r="DH7" s="116" cm="1">
        <f t="array" ref="DH7">_xll.EQNXTDZ($A$1,$B7,DH$1)</f>
        <v>152.52912679981401</v>
      </c>
      <c r="DI7" s="116" cm="1">
        <f t="array" ref="DI7">_xll.EQNXTDZ($A$1,$B7,DI$1)</f>
        <v>144.67479795634</v>
      </c>
      <c r="DJ7" s="116" cm="1">
        <f t="array" ref="DJ7">_xll.EQNXTDZ($A$1,$B7,DJ$1)</f>
        <v>194.41888063167701</v>
      </c>
      <c r="DK7" s="116" cm="1">
        <f t="array" ref="DK7">_xll.EQNXTDZ($A$1,$B7,DK$1)</f>
        <v>230.19971202972599</v>
      </c>
      <c r="DL7" s="116" cm="1">
        <f t="array" ref="DL7">_xll.EQNXTDZ($A$1,$B7,DL$1)</f>
        <v>224.2</v>
      </c>
      <c r="DM7" s="116" cm="1">
        <f t="array" ref="DM7">_xll.EQNXTDZ($A$1,$B7,DM$1)</f>
        <v>206.5</v>
      </c>
      <c r="DN7" s="116" cm="1">
        <f t="array" ref="DN7">_xll.EQNXTDZ($A$1,$B7,DN$1)</f>
        <v>218.5</v>
      </c>
      <c r="DO7" s="116" cm="1">
        <f t="array" ref="DO7">_xll.EQNXTDZ($A$1,$B7,DO$1)</f>
        <v>226.55</v>
      </c>
      <c r="DP7" s="116" cm="1">
        <f t="array" ref="DP7">_xll.EQNXTDZ($A$1,$B7,DP$1)</f>
        <v>245.5</v>
      </c>
      <c r="DQ7" s="116" cm="1">
        <f t="array" ref="DQ7">_xll.EQNXTDZ($A$1,$B7,DQ$1)</f>
        <v>260.45</v>
      </c>
      <c r="DR7" s="116" cm="1">
        <f t="array" ref="DR7">_xll.EQNXTDZ($A$1,$B7,DR$1)</f>
        <v>268.95</v>
      </c>
      <c r="DS7" s="116" cm="1">
        <f t="array" ref="DS7">_xll.EQNXTDZ($A$1,$B7,DS$1)</f>
        <v>238.7</v>
      </c>
      <c r="DT7" s="116" cm="1">
        <f t="array" ref="DT7">_xll.EQNXTDZ($A$1,$B7,DT$1)</f>
        <v>266.89999999999998</v>
      </c>
      <c r="DU7" s="116" cm="1">
        <f t="array" ref="DU7">_xll.EQNXTDZ($A$1,$B7,DU$1)</f>
        <v>288.2</v>
      </c>
      <c r="DV7" s="116" cm="1">
        <f t="array" ref="DV7">_xll.EQNXTDZ($A$1,$B7,DV$1)</f>
        <v>337.2</v>
      </c>
      <c r="DW7" s="116" cm="1">
        <f t="array" ref="DW7">_xll.EQNXTDZ($A$1,$B7,DW$1)</f>
        <v>348.45</v>
      </c>
      <c r="DX7" s="116" cm="1">
        <f t="array" ref="DX7">_xll.EQNXTDZ($A$1,$B7,DX$1)</f>
        <v>349</v>
      </c>
      <c r="DY7" s="116" cm="1">
        <f t="array" ref="DY7">_xll.EQNXTDZ($A$1,$B7,DY$1)</f>
        <v>335.9</v>
      </c>
      <c r="DZ7" s="116" cm="1">
        <f t="array" ref="DZ7">_xll.EQNXTDZ($A$1,$B7,DZ$1)</f>
        <v>321.25</v>
      </c>
      <c r="EA7" s="116" cm="1">
        <f t="array" ref="EA7">_xll.EQNXTDZ($A$1,$B7,EA$1)</f>
        <v>330.45</v>
      </c>
      <c r="EB7" s="116" cm="1">
        <f t="array" ref="EB7">_xll.EQNXTDZ($A$1,$B7,EB$1)</f>
        <v>330.7</v>
      </c>
      <c r="EC7" s="116" cm="1">
        <f t="array" ref="EC7">_xll.EQNXTDZ($A$1,$B7,EC$1)</f>
        <v>348</v>
      </c>
      <c r="ED7" s="116" cm="1">
        <f t="array" ref="ED7">_xll.EQNXTDZ($A$1,$B7,ED$1)</f>
        <v>395</v>
      </c>
      <c r="EE7" s="116" cm="1">
        <f t="array" ref="EE7">_xll.EQNXTDZ($A$1,$B7,EE$1)</f>
        <v>406</v>
      </c>
      <c r="EF7" s="116" cm="1">
        <f t="array" ref="EF7">_xll.EQNXTDZ($A$1,$B7,EF$1)</f>
        <v>405.8</v>
      </c>
      <c r="EG7" s="116" cm="1">
        <f t="array" ref="EG7">_xll.EQNXTDZ($A$1,$B7,EG$1)</f>
        <v>425.5</v>
      </c>
      <c r="EH7" s="116" cm="1">
        <f t="array" ref="EH7">_xll.EQNXTDZ($A$1,$B7,EH$1)</f>
        <v>436.45</v>
      </c>
      <c r="EI7" s="116" cm="1">
        <f t="array" ref="EI7">_xll.EQNXTDZ($A$1,$B7,EI$1)</f>
        <v>424.75</v>
      </c>
      <c r="EJ7" s="116" cm="1">
        <f t="array" ref="EJ7">_xll.EQNXTDZ($A$1,$B7,EJ$1)</f>
        <v>426</v>
      </c>
      <c r="EK7" s="116" cm="1">
        <f t="array" ref="EK7">_xll.EQNXTDZ($A$1,$B7,EK$1)</f>
        <v>450</v>
      </c>
      <c r="EL7" s="116" cm="1">
        <f t="array" ref="EL7">_xll.EQNXTDZ($A$1,$B7,EL$1)</f>
        <v>501.05</v>
      </c>
      <c r="EM7" s="116" cm="1">
        <f t="array" ref="EM7">_xll.EQNXTDZ($A$1,$B7,EM$1)</f>
        <v>602.75</v>
      </c>
      <c r="EN7" s="116" cm="1">
        <f t="array" ref="EN7">_xll.EQNXTDZ($A$1,$B7,EN$1)</f>
        <v>597</v>
      </c>
      <c r="EO7" s="116" cm="1">
        <f t="array" ref="EO7">_xll.EQNXTDZ($A$1,$B7,EO$1)</f>
        <v>622.5</v>
      </c>
      <c r="EP7" s="116" cm="1">
        <f t="array" ref="EP7">_xll.EQNXTDZ($A$1,$B7,EP$1)</f>
        <v>586.5</v>
      </c>
      <c r="EQ7" s="116" cm="1">
        <f t="array" ref="EQ7">_xll.EQNXTDZ($A$1,$B7,EQ$1)</f>
        <v>662.95</v>
      </c>
      <c r="ER7" s="116" cm="1">
        <f t="array" ref="ER7">_xll.EQNXTDZ($A$1,$B7,ER$1)</f>
        <v>653.79999999999995</v>
      </c>
      <c r="ES7" s="116" cm="1">
        <f t="array" ref="ES7">_xll.EQNXTDZ($A$1,$B7,ES$1)</f>
        <v>671.7</v>
      </c>
      <c r="ET7" s="116" cm="1">
        <f t="array" ref="ET7">_xll.EQNXTDZ($A$1,$B7,ET$1)</f>
        <v>720.45</v>
      </c>
      <c r="EU7" s="116" cm="1">
        <f t="array" ref="EU7">_xll.EQNXTDZ($A$1,$B7,EU$1)</f>
        <v>715.4</v>
      </c>
      <c r="EV7" s="116" cm="1">
        <f t="array" ref="EV7">_xll.EQNXTDZ($A$1,$B7,EV$1)</f>
        <v>809.9</v>
      </c>
      <c r="EW7" s="116" cm="1">
        <f t="array" ref="EW7">_xll.EQNXTDZ($A$1,$B7,EW$1)</f>
        <v>894.9</v>
      </c>
      <c r="EX7" s="116" cm="1">
        <f t="array" ref="EX7">_xll.EQNXTDZ($A$1,$B7,EX$1)</f>
        <v>883.85</v>
      </c>
      <c r="EY7" s="116" cm="1">
        <f t="array" ref="EY7">_xll.EQNXTDZ($A$1,$B7,EY$1)</f>
        <v>836</v>
      </c>
      <c r="EZ7" s="116" cm="1">
        <f t="array" ref="EZ7">_xll.EQNXTDZ($A$1,$B7,EZ$1)</f>
        <v>858</v>
      </c>
      <c r="FA7" s="116" cm="1">
        <f t="array" ref="FA7">_xll.EQNXTDZ($A$1,$B7,FA$1)</f>
        <v>853.35</v>
      </c>
      <c r="FB7" s="116" cm="1">
        <f t="array" ref="FB7">_xll.EQNXTDZ($A$1,$B7,FB$1)</f>
        <v>821.65</v>
      </c>
      <c r="FC7" s="116" cm="1">
        <f t="array" ref="FC7">_xll.EQNXTDZ($A$1,$B7,FC$1)</f>
        <v>791.45</v>
      </c>
      <c r="FD7" s="116" cm="1">
        <f t="array" ref="FD7">_xll.EQNXTDZ($A$1,$B7,FD$1)</f>
        <v>777.4</v>
      </c>
      <c r="FE7" s="116" cm="1">
        <f t="array" ref="FE7">_xll.EQNXTDZ($A$1,$B7,FE$1)</f>
        <v>811.95</v>
      </c>
      <c r="FF7" s="116" cm="1">
        <f t="array" ref="FF7">_xll.EQNXTDZ($A$1,$B7,FF$1)</f>
        <v>792.55</v>
      </c>
      <c r="FG7" s="116" cm="1">
        <f t="array" ref="FG7">_xll.EQNXTDZ($A$1,$B7,FG$1)</f>
        <v>753.95</v>
      </c>
      <c r="FH7" s="116" cm="1">
        <f t="array" ref="FH7">_xll.EQNXTDZ($A$1,$B7,FH$1)</f>
        <v>749.95</v>
      </c>
      <c r="FI7" s="116" cm="1">
        <f t="array" ref="FI7">_xll.EQNXTDZ($A$1,$B7,FI$1)</f>
        <v>754</v>
      </c>
      <c r="FJ7" s="116" cm="1">
        <f t="array" ref="FJ7">_xll.EQNXTDZ($A$1,$B7,FJ$1)</f>
        <v>751.3</v>
      </c>
      <c r="FK7" s="116" cm="1">
        <f t="array" ref="FK7">_xll.EQNXTDZ($A$1,$B7,FK$1)</f>
        <v>713.9</v>
      </c>
      <c r="FL7" s="116" cm="1">
        <f t="array" ref="FL7">_xll.EQNXTDZ($A$1,$B7,FL$1)</f>
        <v>662.1</v>
      </c>
      <c r="FM7" s="116" cm="1">
        <f t="array" ref="FM7">_xll.EQNXTDZ($A$1,$B7,FM$1)</f>
        <v>668.8</v>
      </c>
      <c r="FN7" s="116" cm="1">
        <f t="array" ref="FN7">_xll.EQNXTDZ($A$1,$B7,FN$1)</f>
        <v>678.5</v>
      </c>
      <c r="FO7" s="116" cm="1">
        <f t="array" ref="FO7">_xll.EQNXTDZ($A$1,$B7,FO$1)</f>
        <v>698.9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61.618671706724299</v>
      </c>
      <c r="HQ7" s="116">
        <f>+MAX(G7:I7)</f>
        <v>65.067139342741299</v>
      </c>
      <c r="HR7" s="116">
        <f>+MAX(J7:L7)</f>
        <v>61.890919151673003</v>
      </c>
      <c r="HS7" s="116">
        <f>+MAX(M7:O7)</f>
        <v>54.358739841425397</v>
      </c>
      <c r="HT7" s="116">
        <f>+MAX(P7:R7)</f>
        <v>48.414670626712002</v>
      </c>
      <c r="HU7" s="116">
        <f>+MAX(S7:U7)</f>
        <v>56.718217697647603</v>
      </c>
      <c r="HV7" s="116">
        <f>+MAX(V7:X7)</f>
        <v>67.154369754014695</v>
      </c>
      <c r="HW7" s="116">
        <f>+MAX(Y7:AA7)</f>
        <v>101.639046114184</v>
      </c>
      <c r="HX7" s="116">
        <f>+MAX(AB7:AD7)</f>
        <v>99.642564851227306</v>
      </c>
      <c r="HY7" s="116">
        <f>+MAX(AE7:AG7)</f>
        <v>115.705164103201</v>
      </c>
      <c r="HZ7" s="116">
        <f>+MAX(AH7:AJ7)</f>
        <v>115.160669213304</v>
      </c>
      <c r="IA7" s="116">
        <f>+MAX(AK7:AM7)</f>
        <v>107.083995013159</v>
      </c>
      <c r="IB7" s="116">
        <f>+MAX(AN7:AP7)</f>
        <v>91.429766928607904</v>
      </c>
      <c r="IC7" s="116">
        <f>+MAX(AQ7:AS7)</f>
        <v>109.080476276116</v>
      </c>
      <c r="ID7" s="116">
        <f>+MAX(AT7:AV7)</f>
        <v>113.118813376188</v>
      </c>
      <c r="IE7" s="116">
        <f>+MAX(AW7:AY7)</f>
        <v>124.41708234156</v>
      </c>
      <c r="IF7" s="116">
        <f>+MAX(AZ7:BB7)</f>
        <v>129.771282092218</v>
      </c>
      <c r="IG7" s="116">
        <f>+MAX(BC7:BE7)</f>
        <v>121.60385874375601</v>
      </c>
      <c r="IH7" s="116">
        <f>+MAX(BF7:BH7)</f>
        <v>116.748779308838</v>
      </c>
      <c r="II7" s="116">
        <f>+MAX(BI7:BK7)</f>
        <v>132.04001080012401</v>
      </c>
      <c r="IJ7" s="116">
        <f>+MAX(BL7:BN7)</f>
        <v>122.51135022691901</v>
      </c>
      <c r="IK7" s="116">
        <f>+MAX(BO7:BQ7)</f>
        <v>121.208778448676</v>
      </c>
      <c r="IL7" s="116">
        <f>+MAX(BR7:BT7)</f>
        <v>156.06842313051601</v>
      </c>
      <c r="IM7" s="116">
        <f>+MAX(BU7:BW7)</f>
        <v>151.26855550394799</v>
      </c>
      <c r="IN7" s="116">
        <f>+MAX(BX7:BZ7)</f>
        <v>135.268996748723</v>
      </c>
      <c r="IO7" s="116">
        <f>+MAX(CA7:CC7)</f>
        <v>148.45651184393901</v>
      </c>
      <c r="IP7" s="116">
        <f>+MAX(CD7:CF7)</f>
        <v>151.70490710636301</v>
      </c>
      <c r="IQ7" s="116">
        <f>+MAX(CG7:CI7)</f>
        <v>159.31681839294001</v>
      </c>
      <c r="IR7" s="116">
        <f>+MAX(CJ7:CL7)</f>
        <v>158.05624709707399</v>
      </c>
      <c r="IS7" s="116">
        <f>+MAX(CM7:CO7)</f>
        <v>155.24420343706501</v>
      </c>
      <c r="IT7" s="116">
        <f>+MAX(CP7:CR7)</f>
        <v>146.420204366001</v>
      </c>
      <c r="IU7" s="116">
        <f>+MAX(CS7:CU7)</f>
        <v>93.573176962378099</v>
      </c>
      <c r="IV7" s="116">
        <f>+MAX(CV7:CX7)</f>
        <v>109.087900603809</v>
      </c>
      <c r="IW7" s="116">
        <f>+MAX(CY7:DA7)</f>
        <v>135.02657919182499</v>
      </c>
      <c r="IX7" s="116">
        <f>+MAX(DB7:DD7)</f>
        <v>128.96614026939201</v>
      </c>
      <c r="IY7" s="116">
        <f>+MAX(DE7:DG7)</f>
        <v>146.12930329772399</v>
      </c>
      <c r="IZ7" s="116">
        <f>+MAX(DH7:DJ7)</f>
        <v>194.41888063167701</v>
      </c>
      <c r="JA7" s="116">
        <f>+MAX(DK7:DM7)</f>
        <v>230.19971202972599</v>
      </c>
      <c r="JB7" s="116">
        <f>+MAX(DN7:DP7)</f>
        <v>245.5</v>
      </c>
      <c r="JC7" s="116">
        <f>+MAX(DQ7:DS7)</f>
        <v>268.95</v>
      </c>
      <c r="JD7" s="116">
        <f>+MAX(DT7:DV7)</f>
        <v>337.2</v>
      </c>
      <c r="JE7" s="116">
        <f>+MAX(DW7:DY7)</f>
        <v>349</v>
      </c>
      <c r="JF7" s="116">
        <f>+MAX(DZ7:EB7)</f>
        <v>330.7</v>
      </c>
      <c r="JG7" s="116">
        <f>+MAX(EC7:EE7)</f>
        <v>406</v>
      </c>
      <c r="JH7" s="116">
        <f>+MAX(EF7:EH7)</f>
        <v>436.45</v>
      </c>
      <c r="JI7" s="116">
        <f>+MAX(EI7:EK7)</f>
        <v>450</v>
      </c>
      <c r="JJ7" s="116">
        <f>+MAX(EL7:EN7)</f>
        <v>602.75</v>
      </c>
      <c r="JK7" s="116">
        <f>MAX(EO7:EQ7)</f>
        <v>662.95</v>
      </c>
      <c r="JL7" s="116">
        <f>MAX(ER7:ET7)</f>
        <v>720.45</v>
      </c>
      <c r="JM7" s="116">
        <f>MAX(EU7:EW7)</f>
        <v>894.9</v>
      </c>
      <c r="JN7" s="116">
        <f>MAX(EX7:EZ7)</f>
        <v>883.85</v>
      </c>
      <c r="JO7" s="116">
        <f>MAX(FA7:FC7)</f>
        <v>853.35</v>
      </c>
      <c r="JP7" s="116">
        <f>MAX(FD7:FF7)</f>
        <v>811.95</v>
      </c>
      <c r="JQ7" s="116">
        <f>MAX(FG7:FI7)</f>
        <v>754</v>
      </c>
      <c r="JR7" s="116">
        <f>MAX(FJ7:FL7)</f>
        <v>751.3</v>
      </c>
      <c r="JS7" s="116">
        <f>MAX(FM7:FO7)</f>
        <v>698.9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48.097048607605103</v>
      </c>
      <c r="D8" s="116" cm="1">
        <f t="array" ref="D8">_xll.EQNXTDZ($A$1,$B8,D$1)</f>
        <v>50.138904444720502</v>
      </c>
      <c r="E8" s="116" cm="1">
        <f t="array" ref="E8">_xll.EQNXTDZ($A$1,$B8,E$1)</f>
        <v>53.088251764998098</v>
      </c>
      <c r="F8" s="116" cm="1">
        <f t="array" ref="F8">_xll.EQNXTDZ($A$1,$B8,F$1)</f>
        <v>52.952128042523803</v>
      </c>
      <c r="G8" s="116" cm="1">
        <f t="array" ref="G8">_xll.EQNXTDZ($A$1,$B8,G$1)</f>
        <v>55.447729621220297</v>
      </c>
      <c r="H8" s="116" cm="1">
        <f t="array" ref="H8">_xll.EQNXTDZ($A$1,$B8,H$1)</f>
        <v>53.360499209946802</v>
      </c>
      <c r="I8" s="116" cm="1">
        <f t="array" ref="I8">_xll.EQNXTDZ($A$1,$B8,I$1)</f>
        <v>55.719977066169001</v>
      </c>
      <c r="J8" s="116" cm="1">
        <f t="array" ref="J8">_xll.EQNXTDZ($A$1,$B8,J$1)</f>
        <v>54.721736434690399</v>
      </c>
      <c r="K8" s="116" cm="1">
        <f t="array" ref="K8">_xll.EQNXTDZ($A$1,$B8,K$1)</f>
        <v>48.187797755921402</v>
      </c>
      <c r="L8" s="116" cm="1">
        <f t="array" ref="L8">_xll.EQNXTDZ($A$1,$B8,L$1)</f>
        <v>47.688677440182097</v>
      </c>
      <c r="M8" s="116" cm="1">
        <f t="array" ref="M8">_xll.EQNXTDZ($A$1,$B8,M$1)</f>
        <v>48.097048607605103</v>
      </c>
      <c r="N8" s="116" cm="1">
        <f t="array" ref="N8">_xll.EQNXTDZ($A$1,$B8,N$1)</f>
        <v>46.3274402154385</v>
      </c>
      <c r="O8" s="116" cm="1">
        <f t="array" ref="O8">_xll.EQNXTDZ($A$1,$B8,O$1)</f>
        <v>41.789982799626699</v>
      </c>
      <c r="P8" s="116" cm="1">
        <f t="array" ref="P8">_xll.EQNXTDZ($A$1,$B8,P$1)</f>
        <v>38.840635479349103</v>
      </c>
      <c r="Q8" s="116" cm="1">
        <f t="array" ref="Q8">_xll.EQNXTDZ($A$1,$B8,Q$1)</f>
        <v>34.030930618588499</v>
      </c>
      <c r="R8" s="116" cm="1">
        <f t="array" ref="R8">_xll.EQNXTDZ($A$1,$B8,R$1)</f>
        <v>39.612003240037097</v>
      </c>
      <c r="S8" s="116" cm="1">
        <f t="array" ref="S8">_xll.EQNXTDZ($A$1,$B8,S$1)</f>
        <v>42.652099708630999</v>
      </c>
      <c r="T8" s="116" cm="1">
        <f t="array" ref="T8">_xll.EQNXTDZ($A$1,$B8,T$1)</f>
        <v>41.789982799626699</v>
      </c>
      <c r="U8" s="116" cm="1">
        <f t="array" ref="U8">_xll.EQNXTDZ($A$1,$B8,U$1)</f>
        <v>43.559591191793302</v>
      </c>
      <c r="V8" s="116" cm="1">
        <f t="array" ref="V8">_xll.EQNXTDZ($A$1,$B8,V$1)</f>
        <v>50.910272205408504</v>
      </c>
      <c r="W8" s="116" cm="1">
        <f t="array" ref="W8">_xll.EQNXTDZ($A$1,$B8,W$1)</f>
        <v>50.819523057092198</v>
      </c>
      <c r="X8" s="116" cm="1">
        <f t="array" ref="X8">_xll.EQNXTDZ($A$1,$B8,X$1)</f>
        <v>61.255675113459397</v>
      </c>
      <c r="Y8" s="116" cm="1">
        <f t="array" ref="Y8">_xll.EQNXTDZ($A$1,$B8,Y$1)</f>
        <v>63.932774988788303</v>
      </c>
      <c r="Z8" s="116" cm="1">
        <f t="array" ref="Z8">_xll.EQNXTDZ($A$1,$B8,Z$1)</f>
        <v>61.709420855040598</v>
      </c>
      <c r="AA8" s="116" cm="1">
        <f t="array" ref="AA8">_xll.EQNXTDZ($A$1,$B8,AA$1)</f>
        <v>76.683030327219498</v>
      </c>
      <c r="AB8" s="116" cm="1">
        <f t="array" ref="AB8">_xll.EQNXTDZ($A$1,$B8,AB$1)</f>
        <v>83.897587618360305</v>
      </c>
      <c r="AC8" s="116" cm="1">
        <f t="array" ref="AC8">_xll.EQNXTDZ($A$1,$B8,AC$1)</f>
        <v>72.327071208040195</v>
      </c>
      <c r="AD8" s="116" cm="1">
        <f t="array" ref="AD8">_xll.EQNXTDZ($A$1,$B8,AD$1)</f>
        <v>82.581724967774903</v>
      </c>
      <c r="AE8" s="116" cm="1">
        <f t="array" ref="AE8">_xll.EQNXTDZ($A$1,$B8,AE$1)</f>
        <v>84.079085914992802</v>
      </c>
      <c r="AF8" s="116" cm="1">
        <f t="array" ref="AF8">_xll.EQNXTDZ($A$1,$B8,AF$1)</f>
        <v>93.471622765723197</v>
      </c>
      <c r="AG8" s="116" cm="1">
        <f t="array" ref="AG8">_xll.EQNXTDZ($A$1,$B8,AG$1)</f>
        <v>96.783966679265802</v>
      </c>
      <c r="AH8" s="116" cm="1">
        <f t="array" ref="AH8">_xll.EQNXTDZ($A$1,$B8,AH$1)</f>
        <v>101.639046114184</v>
      </c>
      <c r="AI8" s="116" cm="1">
        <f t="array" ref="AI8">_xll.EQNXTDZ($A$1,$B8,AI$1)</f>
        <v>98.009080181534998</v>
      </c>
      <c r="AJ8" s="116" cm="1">
        <f t="array" ref="AJ8">_xll.EQNXTDZ($A$1,$B8,AJ$1)</f>
        <v>92.155760115137795</v>
      </c>
      <c r="AK8" s="116" cm="1">
        <f t="array" ref="AK8">_xll.EQNXTDZ($A$1,$B8,AK$1)</f>
        <v>92.155760115137795</v>
      </c>
      <c r="AL8" s="116" cm="1">
        <f t="array" ref="AL8">_xll.EQNXTDZ($A$1,$B8,AL$1)</f>
        <v>88.026673866748993</v>
      </c>
      <c r="AM8" s="116" cm="1">
        <f t="array" ref="AM8">_xll.EQNXTDZ($A$1,$B8,AM$1)</f>
        <v>81.583484336296294</v>
      </c>
      <c r="AN8" s="116" cm="1">
        <f t="array" ref="AN8">_xll.EQNXTDZ($A$1,$B8,AN$1)</f>
        <v>80.766742001450098</v>
      </c>
      <c r="AO8" s="116" cm="1">
        <f t="array" ref="AO8">_xll.EQNXTDZ($A$1,$B8,AO$1)</f>
        <v>77.318274365433197</v>
      </c>
      <c r="AP8" s="116" cm="1">
        <f t="array" ref="AP8">_xll.EQNXTDZ($A$1,$B8,AP$1)</f>
        <v>73.506810136151302</v>
      </c>
      <c r="AQ8" s="116" cm="1">
        <f t="array" ref="AQ8">_xll.EQNXTDZ($A$1,$B8,AQ$1)</f>
        <v>77.409023513749403</v>
      </c>
      <c r="AR8" s="116" cm="1">
        <f t="array" ref="AR8">_xll.EQNXTDZ($A$1,$B8,AR$1)</f>
        <v>80.086123389078395</v>
      </c>
      <c r="AS8" s="116" cm="1">
        <f t="array" ref="AS8">_xll.EQNXTDZ($A$1,$B8,AS$1)</f>
        <v>84.8958282498389</v>
      </c>
      <c r="AT8" s="116" cm="1">
        <f t="array" ref="AT8">_xll.EQNXTDZ($A$1,$B8,AT$1)</f>
        <v>94.469863397201806</v>
      </c>
      <c r="AU8" s="116" cm="1">
        <f t="array" ref="AU8">_xll.EQNXTDZ($A$1,$B8,AU$1)</f>
        <v>86.347814622898696</v>
      </c>
      <c r="AV8" s="116" cm="1">
        <f t="array" ref="AV8">_xll.EQNXTDZ($A$1,$B8,AV$1)</f>
        <v>83.262343580146606</v>
      </c>
      <c r="AW8" s="116" cm="1">
        <f t="array" ref="AW8">_xll.EQNXTDZ($A$1,$B8,AW$1)</f>
        <v>89.070289072385805</v>
      </c>
      <c r="AX8" s="116" cm="1">
        <f t="array" ref="AX8">_xll.EQNXTDZ($A$1,$B8,AX$1)</f>
        <v>93.743870210671901</v>
      </c>
      <c r="AY8" s="116" cm="1">
        <f t="array" ref="AY8">_xll.EQNXTDZ($A$1,$B8,AY$1)</f>
        <v>105.087513750201</v>
      </c>
      <c r="AZ8" s="116" cm="1">
        <f t="array" ref="AZ8">_xll.EQNXTDZ($A$1,$B8,AZ$1)</f>
        <v>115.25141836162</v>
      </c>
      <c r="BA8" s="116" cm="1">
        <f t="array" ref="BA8">_xll.EQNXTDZ($A$1,$B8,BA$1)</f>
        <v>112.075198170552</v>
      </c>
      <c r="BB8" s="116" cm="1">
        <f t="array" ref="BB8">_xll.EQNXTDZ($A$1,$B8,BB$1)</f>
        <v>111.62145242897</v>
      </c>
      <c r="BC8" s="116" cm="1">
        <f t="array" ref="BC8">_xll.EQNXTDZ($A$1,$B8,BC$1)</f>
        <v>96.194097215210306</v>
      </c>
      <c r="BD8" s="116" cm="1">
        <f t="array" ref="BD8">_xll.EQNXTDZ($A$1,$B8,BD$1)</f>
        <v>80.494494556501394</v>
      </c>
      <c r="BE8" s="116" cm="1">
        <f t="array" ref="BE8">_xll.EQNXTDZ($A$1,$B8,BE$1)</f>
        <v>85.213450268945707</v>
      </c>
      <c r="BF8" s="116" cm="1">
        <f t="array" ref="BF8">_xll.EQNXTDZ($A$1,$B8,BF$1)</f>
        <v>86.120941752108095</v>
      </c>
      <c r="BG8" s="116" cm="1">
        <f t="array" ref="BG8">_xll.EQNXTDZ($A$1,$B8,BG$1)</f>
        <v>97.600709014111899</v>
      </c>
      <c r="BH8" s="116" cm="1">
        <f t="array" ref="BH8">_xll.EQNXTDZ($A$1,$B8,BH$1)</f>
        <v>106.993245864842</v>
      </c>
      <c r="BI8" s="116" cm="1">
        <f t="array" ref="BI8">_xll.EQNXTDZ($A$1,$B8,BI$1)</f>
        <v>112.211321893026</v>
      </c>
      <c r="BJ8" s="116" cm="1">
        <f t="array" ref="BJ8">_xll.EQNXTDZ($A$1,$B8,BJ$1)</f>
        <v>114.162428581825</v>
      </c>
      <c r="BK8" s="116" cm="1">
        <f t="array" ref="BK8">_xll.EQNXTDZ($A$1,$B8,BK$1)</f>
        <v>113.164187950346</v>
      </c>
      <c r="BL8" s="116" cm="1">
        <f t="array" ref="BL8">_xll.EQNXTDZ($A$1,$B8,BL$1)</f>
        <v>110.033342333436</v>
      </c>
      <c r="BM8" s="116" cm="1">
        <f t="array" ref="BM8">_xll.EQNXTDZ($A$1,$B8,BM$1)</f>
        <v>98.462825923116199</v>
      </c>
      <c r="BN8" s="116" cm="1">
        <f t="array" ref="BN8">_xll.EQNXTDZ($A$1,$B8,BN$1)</f>
        <v>100.32318346359899</v>
      </c>
      <c r="BO8" s="116" cm="1">
        <f t="array" ref="BO8">_xll.EQNXTDZ($A$1,$B8,BO$1)</f>
        <v>100.263901532745</v>
      </c>
      <c r="BP8" s="116" cm="1">
        <f t="array" ref="BP8">_xll.EQNXTDZ($A$1,$B8,BP$1)</f>
        <v>105.79102183000499</v>
      </c>
      <c r="BQ8" s="116" cm="1">
        <f t="array" ref="BQ8">_xll.EQNXTDZ($A$1,$B8,BQ$1)</f>
        <v>112.821130980028</v>
      </c>
      <c r="BR8" s="116" cm="1">
        <f t="array" ref="BR8">_xll.EQNXTDZ($A$1,$B8,BR$1)</f>
        <v>113.402933116581</v>
      </c>
      <c r="BS8" s="116" cm="1">
        <f t="array" ref="BS8">_xll.EQNXTDZ($A$1,$B8,BS$1)</f>
        <v>121.305745471435</v>
      </c>
      <c r="BT8" s="116" cm="1">
        <f t="array" ref="BT8">_xll.EQNXTDZ($A$1,$B8,BT$1)</f>
        <v>121.257261960056</v>
      </c>
      <c r="BU8" s="116" cm="1">
        <f t="array" ref="BU8">_xll.EQNXTDZ($A$1,$B8,BU$1)</f>
        <v>126.735898745936</v>
      </c>
      <c r="BV8" s="116" cm="1">
        <f t="array" ref="BV8">_xll.EQNXTDZ($A$1,$B8,BV$1)</f>
        <v>129.93581049698099</v>
      </c>
      <c r="BW8" s="116" cm="1">
        <f t="array" ref="BW8">_xll.EQNXTDZ($A$1,$B8,BW$1)</f>
        <v>123.681437529029</v>
      </c>
      <c r="BX8" s="116" cm="1">
        <f t="array" ref="BX8">_xll.EQNXTDZ($A$1,$B8,BX$1)</f>
        <v>120.14214119832801</v>
      </c>
      <c r="BY8" s="116" cm="1">
        <f t="array" ref="BY8">_xll.EQNXTDZ($A$1,$B8,BY$1)</f>
        <v>118.396734788667</v>
      </c>
      <c r="BZ8" s="116" cm="1">
        <f t="array" ref="BZ8">_xll.EQNXTDZ($A$1,$B8,BZ$1)</f>
        <v>118.299767765908</v>
      </c>
      <c r="CA8" s="116" cm="1">
        <f t="array" ref="CA8">_xll.EQNXTDZ($A$1,$B8,CA$1)</f>
        <v>105.984955875523</v>
      </c>
      <c r="CB8" s="116" cm="1">
        <f t="array" ref="CB8">_xll.EQNXTDZ($A$1,$B8,CB$1)</f>
        <v>124.117789131444</v>
      </c>
      <c r="CC8" s="116" cm="1">
        <f t="array" ref="CC8">_xll.EQNXTDZ($A$1,$B8,CC$1)</f>
        <v>133.81449140733901</v>
      </c>
      <c r="CD8" s="116" cm="1">
        <f t="array" ref="CD8">_xll.EQNXTDZ($A$1,$B8,CD$1)</f>
        <v>126.735898745936</v>
      </c>
      <c r="CE8" s="116" cm="1">
        <f t="array" ref="CE8">_xll.EQNXTDZ($A$1,$B8,CE$1)</f>
        <v>130.03277751973999</v>
      </c>
      <c r="CF8" s="116" cm="1">
        <f t="array" ref="CF8">_xll.EQNXTDZ($A$1,$B8,CF$1)</f>
        <v>132.844821179749</v>
      </c>
      <c r="CG8" s="116" cm="1">
        <f t="array" ref="CG8">_xll.EQNXTDZ($A$1,$B8,CG$1)</f>
        <v>145.69295169530901</v>
      </c>
      <c r="CH8" s="116" cm="1">
        <f t="array" ref="CH8">_xll.EQNXTDZ($A$1,$B8,CH$1)</f>
        <v>135.85079888527599</v>
      </c>
      <c r="CI8" s="116" cm="1">
        <f t="array" ref="CI8">_xll.EQNXTDZ($A$1,$B8,CI$1)</f>
        <v>140.02038086391099</v>
      </c>
      <c r="CJ8" s="116" cm="1">
        <f t="array" ref="CJ8">_xll.EQNXTDZ($A$1,$B8,CJ$1)</f>
        <v>134.63871110079</v>
      </c>
      <c r="CK8" s="116" cm="1">
        <f t="array" ref="CK8">_xll.EQNXTDZ($A$1,$B8,CK$1)</f>
        <v>117.62099860659499</v>
      </c>
      <c r="CL8" s="116" cm="1">
        <f t="array" ref="CL8">_xll.EQNXTDZ($A$1,$B8,CL$1)</f>
        <v>124.214756154203</v>
      </c>
      <c r="CM8" s="116" cm="1">
        <f t="array" ref="CM8">_xll.EQNXTDZ($A$1,$B8,CM$1)</f>
        <v>141.86275429633099</v>
      </c>
      <c r="CN8" s="116" cm="1">
        <f t="array" ref="CN8">_xll.EQNXTDZ($A$1,$B8,CN$1)</f>
        <v>140.21431490942899</v>
      </c>
      <c r="CO8" s="116" cm="1">
        <f t="array" ref="CO8">_xll.EQNXTDZ($A$1,$B8,CO$1)</f>
        <v>133.95994194147701</v>
      </c>
      <c r="CP8" s="116" cm="1">
        <f t="array" ref="CP8">_xll.EQNXTDZ($A$1,$B8,CP$1)</f>
        <v>132.35998606595399</v>
      </c>
      <c r="CQ8" s="116" cm="1">
        <f t="array" ref="CQ8">_xll.EQNXTDZ($A$1,$B8,CQ$1)</f>
        <v>122.857217835578</v>
      </c>
      <c r="CR8" s="116" cm="1">
        <f t="array" ref="CR8">_xll.EQNXTDZ($A$1,$B8,CR$1)</f>
        <v>69.913223409196405</v>
      </c>
      <c r="CS8" s="116" cm="1">
        <f t="array" ref="CS8">_xll.EQNXTDZ($A$1,$B8,CS$1)</f>
        <v>66.907245703669304</v>
      </c>
      <c r="CT8" s="116" cm="1">
        <f t="array" ref="CT8">_xll.EQNXTDZ($A$1,$B8,CT$1)</f>
        <v>60.2165211333024</v>
      </c>
      <c r="CU8" s="116" cm="1">
        <f t="array" ref="CU8">_xll.EQNXTDZ($A$1,$B8,CU$1)</f>
        <v>76.603947979563401</v>
      </c>
      <c r="CV8" s="116" cm="1">
        <f t="array" ref="CV8">_xll.EQNXTDZ($A$1,$B8,CV$1)</f>
        <v>73.791904319554106</v>
      </c>
      <c r="CW8" s="116" cm="1">
        <f t="array" ref="CW8">_xll.EQNXTDZ($A$1,$B8,CW$1)</f>
        <v>74.034321876451401</v>
      </c>
      <c r="CX8" s="116" cm="1">
        <f t="array" ref="CX8">_xll.EQNXTDZ($A$1,$B8,CX$1)</f>
        <v>85.961265675801201</v>
      </c>
      <c r="CY8" s="116" cm="1">
        <f t="array" ref="CY8">_xll.EQNXTDZ($A$1,$B8,CY$1)</f>
        <v>90.1793311658151</v>
      </c>
      <c r="CZ8" s="116" cm="1">
        <f t="array" ref="CZ8">_xll.EQNXTDZ($A$1,$B8,CZ$1)</f>
        <v>88.724825824430994</v>
      </c>
      <c r="DA8" s="116" cm="1">
        <f t="array" ref="DA8">_xll.EQNXTDZ($A$1,$B8,DA$1)</f>
        <v>109.766669763121</v>
      </c>
      <c r="DB8" s="116" cm="1">
        <f t="array" ref="DB8">_xll.EQNXTDZ($A$1,$B8,DB$1)</f>
        <v>116.457394333488</v>
      </c>
      <c r="DC8" s="116" cm="1">
        <f t="array" ref="DC8">_xll.EQNXTDZ($A$1,$B8,DC$1)</f>
        <v>114.42108685555</v>
      </c>
      <c r="DD8" s="116" cm="1">
        <f t="array" ref="DD8">_xll.EQNXTDZ($A$1,$B8,DD$1)</f>
        <v>99.585132373432401</v>
      </c>
      <c r="DE8" s="116" cm="1">
        <f t="array" ref="DE8">_xll.EQNXTDZ($A$1,$B8,DE$1)</f>
        <v>90.906583836507195</v>
      </c>
      <c r="DF8" s="116" cm="1">
        <f t="array" ref="DF8">_xll.EQNXTDZ($A$1,$B8,DF$1)</f>
        <v>103.754714352067</v>
      </c>
      <c r="DG8" s="116" cm="1">
        <f t="array" ref="DG8">_xll.EQNXTDZ($A$1,$B8,DG$1)</f>
        <v>121.208778448676</v>
      </c>
      <c r="DH8" s="116" cm="1">
        <f t="array" ref="DH8">_xll.EQNXTDZ($A$1,$B8,DH$1)</f>
        <v>135.99624941941499</v>
      </c>
      <c r="DI8" s="116" cm="1">
        <f t="array" ref="DI8">_xll.EQNXTDZ($A$1,$B8,DI$1)</f>
        <v>129.01462378077099</v>
      </c>
      <c r="DJ8" s="116" cm="1">
        <f t="array" ref="DJ8">_xll.EQNXTDZ($A$1,$B8,DJ$1)</f>
        <v>135.317480260102</v>
      </c>
      <c r="DK8" s="116" cm="1">
        <f t="array" ref="DK8">_xll.EQNXTDZ($A$1,$B8,DK$1)</f>
        <v>172.94068509057101</v>
      </c>
      <c r="DL8" s="116" cm="1">
        <f t="array" ref="DL8">_xll.EQNXTDZ($A$1,$B8,DL$1)</f>
        <v>171</v>
      </c>
      <c r="DM8" s="116" cm="1">
        <f t="array" ref="DM8">_xll.EQNXTDZ($A$1,$B8,DM$1)</f>
        <v>172.15</v>
      </c>
      <c r="DN8" s="116" cm="1">
        <f t="array" ref="DN8">_xll.EQNXTDZ($A$1,$B8,DN$1)</f>
        <v>178.05</v>
      </c>
      <c r="DO8" s="116" cm="1">
        <f t="array" ref="DO8">_xll.EQNXTDZ($A$1,$B8,DO$1)</f>
        <v>191.95</v>
      </c>
      <c r="DP8" s="116" cm="1">
        <f t="array" ref="DP8">_xll.EQNXTDZ($A$1,$B8,DP$1)</f>
        <v>180.6</v>
      </c>
      <c r="DQ8" s="116" cm="1">
        <f t="array" ref="DQ8">_xll.EQNXTDZ($A$1,$B8,DQ$1)</f>
        <v>228.7</v>
      </c>
      <c r="DR8" s="116" cm="1">
        <f t="array" ref="DR8">_xll.EQNXTDZ($A$1,$B8,DR$1)</f>
        <v>211.2</v>
      </c>
      <c r="DS8" s="116" cm="1">
        <f t="array" ref="DS8">_xll.EQNXTDZ($A$1,$B8,DS$1)</f>
        <v>207.25</v>
      </c>
      <c r="DT8" s="116" cm="1">
        <f t="array" ref="DT8">_xll.EQNXTDZ($A$1,$B8,DT$1)</f>
        <v>220.4</v>
      </c>
      <c r="DU8" s="116" cm="1">
        <f t="array" ref="DU8">_xll.EQNXTDZ($A$1,$B8,DU$1)</f>
        <v>263.10000000000002</v>
      </c>
      <c r="DV8" s="116" cm="1">
        <f t="array" ref="DV8">_xll.EQNXTDZ($A$1,$B8,DV$1)</f>
        <v>281.95</v>
      </c>
      <c r="DW8" s="116" cm="1">
        <f t="array" ref="DW8">_xll.EQNXTDZ($A$1,$B8,DW$1)</f>
        <v>305</v>
      </c>
      <c r="DX8" s="116" cm="1">
        <f t="array" ref="DX8">_xll.EQNXTDZ($A$1,$B8,DX$1)</f>
        <v>304.3</v>
      </c>
      <c r="DY8" s="116" cm="1">
        <f t="array" ref="DY8">_xll.EQNXTDZ($A$1,$B8,DY$1)</f>
        <v>294.8</v>
      </c>
      <c r="DZ8" s="116" cm="1">
        <f t="array" ref="DZ8">_xll.EQNXTDZ($A$1,$B8,DZ$1)</f>
        <v>280.05</v>
      </c>
      <c r="EA8" s="116" cm="1">
        <f t="array" ref="EA8">_xll.EQNXTDZ($A$1,$B8,EA$1)</f>
        <v>298.2</v>
      </c>
      <c r="EB8" s="116" cm="1">
        <f t="array" ref="EB8">_xll.EQNXTDZ($A$1,$B8,EB$1)</f>
        <v>302.10000000000002</v>
      </c>
      <c r="EC8" s="116" cm="1">
        <f t="array" ref="EC8">_xll.EQNXTDZ($A$1,$B8,EC$1)</f>
        <v>318.10000000000002</v>
      </c>
      <c r="ED8" s="116" cm="1">
        <f t="array" ref="ED8">_xll.EQNXTDZ($A$1,$B8,ED$1)</f>
        <v>340.3</v>
      </c>
      <c r="EE8" s="116" cm="1">
        <f t="array" ref="EE8">_xll.EQNXTDZ($A$1,$B8,EE$1)</f>
        <v>378.45</v>
      </c>
      <c r="EF8" s="116" cm="1">
        <f t="array" ref="EF8">_xll.EQNXTDZ($A$1,$B8,EF$1)</f>
        <v>376.65</v>
      </c>
      <c r="EG8" s="116" cm="1">
        <f t="array" ref="EG8">_xll.EQNXTDZ($A$1,$B8,EG$1)</f>
        <v>376.9</v>
      </c>
      <c r="EH8" s="116" cm="1">
        <f t="array" ref="EH8">_xll.EQNXTDZ($A$1,$B8,EH$1)</f>
        <v>400.45</v>
      </c>
      <c r="EI8" s="116" cm="1">
        <f t="array" ref="EI8">_xll.EQNXTDZ($A$1,$B8,EI$1)</f>
        <v>371.6</v>
      </c>
      <c r="EJ8" s="116" cm="1">
        <f t="array" ref="EJ8">_xll.EQNXTDZ($A$1,$B8,EJ$1)</f>
        <v>384</v>
      </c>
      <c r="EK8" s="116" cm="1">
        <f t="array" ref="EK8">_xll.EQNXTDZ($A$1,$B8,EK$1)</f>
        <v>416.9</v>
      </c>
      <c r="EL8" s="116" cm="1">
        <f t="array" ref="EL8">_xll.EQNXTDZ($A$1,$B8,EL$1)</f>
        <v>429.25</v>
      </c>
      <c r="EM8" s="116" cm="1">
        <f t="array" ref="EM8">_xll.EQNXTDZ($A$1,$B8,EM$1)</f>
        <v>486.95</v>
      </c>
      <c r="EN8" s="116" cm="1">
        <f t="array" ref="EN8">_xll.EQNXTDZ($A$1,$B8,EN$1)</f>
        <v>531.04999999999995</v>
      </c>
      <c r="EO8" s="116" cm="1">
        <f t="array" ref="EO8">_xll.EQNXTDZ($A$1,$B8,EO$1)</f>
        <v>560.35</v>
      </c>
      <c r="EP8" s="116" cm="1">
        <f t="array" ref="EP8">_xll.EQNXTDZ($A$1,$B8,EP$1)</f>
        <v>535.9</v>
      </c>
      <c r="EQ8" s="116" cm="1">
        <f t="array" ref="EQ8">_xll.EQNXTDZ($A$1,$B8,EQ$1)</f>
        <v>506.45</v>
      </c>
      <c r="ER8" s="116" cm="1">
        <f t="array" ref="ER8">_xll.EQNXTDZ($A$1,$B8,ER$1)</f>
        <v>571.04999999999995</v>
      </c>
      <c r="ES8" s="116" cm="1">
        <f t="array" ref="ES8">_xll.EQNXTDZ($A$1,$B8,ES$1)</f>
        <v>595</v>
      </c>
      <c r="ET8" s="116" cm="1">
        <f t="array" ref="ET8">_xll.EQNXTDZ($A$1,$B8,ET$1)</f>
        <v>647.1</v>
      </c>
      <c r="EU8" s="116" cm="1">
        <f t="array" ref="EU8">_xll.EQNXTDZ($A$1,$B8,EU$1)</f>
        <v>645.9</v>
      </c>
      <c r="EV8" s="116" cm="1">
        <f t="array" ref="EV8">_xll.EQNXTDZ($A$1,$B8,EV$1)</f>
        <v>650.9</v>
      </c>
      <c r="EW8" s="116" cm="1">
        <f t="array" ref="EW8">_xll.EQNXTDZ($A$1,$B8,EW$1)</f>
        <v>790.85</v>
      </c>
      <c r="EX8" s="116" cm="1">
        <f t="array" ref="EX8">_xll.EQNXTDZ($A$1,$B8,EX$1)</f>
        <v>745</v>
      </c>
      <c r="EY8" s="116" cm="1">
        <f t="array" ref="EY8">_xll.EQNXTDZ($A$1,$B8,EY$1)</f>
        <v>682.7</v>
      </c>
      <c r="EZ8" s="116" cm="1">
        <f t="array" ref="EZ8">_xll.EQNXTDZ($A$1,$B8,EZ$1)</f>
        <v>708.25</v>
      </c>
      <c r="FA8" s="116" cm="1">
        <f t="array" ref="FA8">_xll.EQNXTDZ($A$1,$B8,FA$1)</f>
        <v>735</v>
      </c>
      <c r="FB8" s="116" cm="1">
        <f t="array" ref="FB8">_xll.EQNXTDZ($A$1,$B8,FB$1)</f>
        <v>699</v>
      </c>
      <c r="FC8" s="116" cm="1">
        <f t="array" ref="FC8">_xll.EQNXTDZ($A$1,$B8,FC$1)</f>
        <v>726.95</v>
      </c>
      <c r="FD8" s="116" cm="1">
        <f t="array" ref="FD8">_xll.EQNXTDZ($A$1,$B8,FD$1)</f>
        <v>724.75</v>
      </c>
      <c r="FE8" s="116" cm="1">
        <f t="array" ref="FE8">_xll.EQNXTDZ($A$1,$B8,FE$1)</f>
        <v>732.8</v>
      </c>
      <c r="FF8" s="116" cm="1">
        <f t="array" ref="FF8">_xll.EQNXTDZ($A$1,$B8,FF$1)</f>
        <v>708.1</v>
      </c>
      <c r="FG8" s="116" cm="1">
        <f t="array" ref="FG8">_xll.EQNXTDZ($A$1,$B8,FG$1)</f>
        <v>711</v>
      </c>
      <c r="FH8" s="116" cm="1">
        <f t="array" ref="FH8">_xll.EQNXTDZ($A$1,$B8,FH$1)</f>
        <v>672.6</v>
      </c>
      <c r="FI8" s="116" cm="1">
        <f t="array" ref="FI8">_xll.EQNXTDZ($A$1,$B8,FI$1)</f>
        <v>707.8</v>
      </c>
      <c r="FJ8" s="116" cm="1">
        <f t="array" ref="FJ8">_xll.EQNXTDZ($A$1,$B8,FJ$1)</f>
        <v>633.85</v>
      </c>
      <c r="FK8" s="116" cm="1">
        <f t="array" ref="FK8">_xll.EQNXTDZ($A$1,$B8,FK$1)</f>
        <v>627.20000000000005</v>
      </c>
      <c r="FL8" s="116" cm="1">
        <f t="array" ref="FL8">_xll.EQNXTDZ($A$1,$B8,FL$1)</f>
        <v>569</v>
      </c>
      <c r="FM8" s="116" cm="1">
        <f t="array" ref="FM8">_xll.EQNXTDZ($A$1,$B8,FM$1)</f>
        <v>565</v>
      </c>
      <c r="FN8" s="116" cm="1">
        <f t="array" ref="FN8">_xll.EQNXTDZ($A$1,$B8,FN$1)</f>
        <v>622.45000000000005</v>
      </c>
      <c r="FO8" s="116" cm="1">
        <f t="array" ref="FO8">_xll.EQNXTDZ($A$1,$B8,FO$1)</f>
        <v>635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50.138904444720502</v>
      </c>
      <c r="HQ8" s="116">
        <f>+MIN(G8:I8)</f>
        <v>53.360499209946802</v>
      </c>
      <c r="HR8" s="116">
        <f>+MIN(J8:L8)</f>
        <v>47.688677440182097</v>
      </c>
      <c r="HS8" s="116">
        <f>+MIN(M8:O8)</f>
        <v>41.789982799626699</v>
      </c>
      <c r="HT8" s="116">
        <f>+MIN(P8:R8)</f>
        <v>34.030930618588499</v>
      </c>
      <c r="HU8" s="116">
        <f>+MIN(S8:U8)</f>
        <v>41.789982799626699</v>
      </c>
      <c r="HV8" s="116">
        <f>+MIN(V8:X8)</f>
        <v>50.819523057092198</v>
      </c>
      <c r="HW8" s="116">
        <f>+MIN(Y8:AA8)</f>
        <v>61.709420855040598</v>
      </c>
      <c r="HX8" s="116">
        <f>+MIN(AB8:AD8)</f>
        <v>72.327071208040195</v>
      </c>
      <c r="HY8" s="116">
        <f>+MIN(AE8:AG8)</f>
        <v>84.079085914992802</v>
      </c>
      <c r="HZ8" s="116">
        <f>+MIN(AH8:AJ8)</f>
        <v>92.155760115137795</v>
      </c>
      <c r="IA8" s="116">
        <f>+MIN(AK8:AM8)</f>
        <v>81.583484336296294</v>
      </c>
      <c r="IB8" s="116">
        <f>+MIN(AN8:AP8)</f>
        <v>73.506810136151302</v>
      </c>
      <c r="IC8" s="116">
        <f>+MIN(AQ8:AS8)</f>
        <v>77.409023513749403</v>
      </c>
      <c r="ID8" s="116">
        <f>+MIN(AT8:AV8)</f>
        <v>83.262343580146606</v>
      </c>
      <c r="IE8" s="116">
        <f>+MIN(AW8:AY8)</f>
        <v>89.070289072385805</v>
      </c>
      <c r="IF8" s="116">
        <f>+MIN(AZ8:BB8)</f>
        <v>111.62145242897</v>
      </c>
      <c r="IG8" s="116">
        <f>+MIN(BC8:BE8)</f>
        <v>80.494494556501394</v>
      </c>
      <c r="IH8" s="116">
        <f>+MIN(BF8:BH8)</f>
        <v>86.120941752108095</v>
      </c>
      <c r="II8" s="116">
        <f>+MIN(BI8:BK8)</f>
        <v>112.211321893026</v>
      </c>
      <c r="IJ8" s="116">
        <f>+MIN(BL8:BN8)</f>
        <v>98.462825923116199</v>
      </c>
      <c r="IK8" s="116">
        <f>+MIN(BO8:BQ8)</f>
        <v>100.263901532745</v>
      </c>
      <c r="IL8" s="116">
        <f>+MIN(BR8:BT8)</f>
        <v>113.402933116581</v>
      </c>
      <c r="IM8" s="116">
        <f>+MIN(BU8:BW8)</f>
        <v>123.681437529029</v>
      </c>
      <c r="IN8" s="116">
        <f>+MIN(BX8:BZ8)</f>
        <v>118.299767765908</v>
      </c>
      <c r="IO8" s="116">
        <f>+MIN(CA8:CC8)</f>
        <v>105.984955875523</v>
      </c>
      <c r="IP8" s="116">
        <f>+MIN(CD8:CF8)</f>
        <v>126.735898745936</v>
      </c>
      <c r="IQ8" s="116">
        <f>+MIN(CG8:CI8)</f>
        <v>135.85079888527599</v>
      </c>
      <c r="IR8" s="116">
        <f>+MIN(CJ8:CL8)</f>
        <v>117.62099860659499</v>
      </c>
      <c r="IS8" s="116">
        <f>+MIN(CM8:CO8)</f>
        <v>133.95994194147701</v>
      </c>
      <c r="IT8" s="116">
        <f>+MIN(CP8:CR8)</f>
        <v>69.913223409196405</v>
      </c>
      <c r="IU8" s="116">
        <f>+MIN(CS8:CU8)</f>
        <v>60.2165211333024</v>
      </c>
      <c r="IV8" s="116">
        <f>+MIN(CV8:CX8)</f>
        <v>73.791904319554106</v>
      </c>
      <c r="IW8" s="116">
        <f>+MIN(CY8:DA8)</f>
        <v>88.724825824430994</v>
      </c>
      <c r="IX8" s="116">
        <f>+MIN(DB8:DD8)</f>
        <v>99.585132373432401</v>
      </c>
      <c r="IY8" s="116">
        <f>+MIN(DE8:DG8)</f>
        <v>90.906583836507195</v>
      </c>
      <c r="IZ8" s="116">
        <f>+MIN(DH8:DJ8)</f>
        <v>129.01462378077099</v>
      </c>
      <c r="JA8" s="116">
        <f>+MIN(DK8:DM8)</f>
        <v>171</v>
      </c>
      <c r="JB8" s="116">
        <f>+MIN(DN8:DP8)</f>
        <v>178.05</v>
      </c>
      <c r="JC8" s="116">
        <f>+MIN(DQ8:DS8)</f>
        <v>207.25</v>
      </c>
      <c r="JD8" s="116">
        <f>+MIN(DT8:DV8)</f>
        <v>220.4</v>
      </c>
      <c r="JE8" s="116">
        <f>+MIN(DW8:DY8)</f>
        <v>294.8</v>
      </c>
      <c r="JF8" s="116">
        <f>+MIN(DZ8:EB8)</f>
        <v>280.05</v>
      </c>
      <c r="JG8" s="116">
        <f>+MIN(EC8:EE8)</f>
        <v>318.10000000000002</v>
      </c>
      <c r="JH8" s="116">
        <f>+MIN(EF8:EH8)</f>
        <v>376.65</v>
      </c>
      <c r="JI8" s="116">
        <f>+MIN(EI8:EK8)</f>
        <v>371.6</v>
      </c>
      <c r="JJ8" s="116">
        <f>+MIN(EL8:EN8)</f>
        <v>429.25</v>
      </c>
      <c r="JK8" s="116">
        <f>MIN(EO8:EQ8)</f>
        <v>506.45</v>
      </c>
      <c r="JL8" s="116">
        <f>MIN(ER8:ET8)</f>
        <v>571.04999999999995</v>
      </c>
      <c r="JM8" s="116">
        <f>MIN(EU8:EW8)</f>
        <v>645.9</v>
      </c>
      <c r="JN8" s="116">
        <f>MIN(EX8:EZ8)</f>
        <v>682.7</v>
      </c>
      <c r="JO8" s="116">
        <f>MIN(FA8:FC8)</f>
        <v>699</v>
      </c>
      <c r="JP8" s="116">
        <f>MIN(FD8:FF8)</f>
        <v>708.1</v>
      </c>
      <c r="JQ8" s="116">
        <f>MIN(FG8:FI8)</f>
        <v>672.6</v>
      </c>
      <c r="JR8" s="116">
        <f>MIN(FJ8:FL8)</f>
        <v>569</v>
      </c>
      <c r="JS8" s="116">
        <f>MIN(FM8:FO8)</f>
        <v>565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56.037599085275801</v>
      </c>
      <c r="D9" s="116" cm="1">
        <f t="array" ref="D9">_xll.EQNXTDZ($A$1,$B9,D$1)</f>
        <v>53.678121229053701</v>
      </c>
      <c r="E9" s="116" cm="1">
        <f t="array" ref="E9">_xll.EQNXTDZ($A$1,$B9,E$1)</f>
        <v>53.5419975065793</v>
      </c>
      <c r="F9" s="116" cm="1">
        <f t="array" ref="F9">_xll.EQNXTDZ($A$1,$B9,F$1)</f>
        <v>61.074176816826899</v>
      </c>
      <c r="G9" s="116" cm="1">
        <f t="array" ref="G9">_xll.EQNXTDZ($A$1,$B9,G$1)</f>
        <v>57.126588865070602</v>
      </c>
      <c r="H9" s="116" cm="1">
        <f t="array" ref="H9">_xll.EQNXTDZ($A$1,$B9,H$1)</f>
        <v>56.808966845963802</v>
      </c>
      <c r="I9" s="116" cm="1">
        <f t="array" ref="I9">_xll.EQNXTDZ($A$1,$B9,I$1)</f>
        <v>57.2173380133869</v>
      </c>
      <c r="J9" s="116" cm="1">
        <f t="array" ref="J9">_xll.EQNXTDZ($A$1,$B9,J$1)</f>
        <v>56.082973659433897</v>
      </c>
      <c r="K9" s="116" cm="1">
        <f t="array" ref="K9">_xll.EQNXTDZ($A$1,$B9,K$1)</f>
        <v>49.004540090767499</v>
      </c>
      <c r="L9" s="116" cm="1">
        <f t="array" ref="L9">_xll.EQNXTDZ($A$1,$B9,L$1)</f>
        <v>48.596168923344401</v>
      </c>
      <c r="M9" s="116" cm="1">
        <f t="array" ref="M9">_xll.EQNXTDZ($A$1,$B9,M$1)</f>
        <v>51.636265391938402</v>
      </c>
      <c r="N9" s="116" cm="1">
        <f t="array" ref="N9">_xll.EQNXTDZ($A$1,$B9,N$1)</f>
        <v>46.554313086229101</v>
      </c>
      <c r="O9" s="116" cm="1">
        <f t="array" ref="O9">_xll.EQNXTDZ($A$1,$B9,O$1)</f>
        <v>43.559591191793302</v>
      </c>
      <c r="P9" s="116" cm="1">
        <f t="array" ref="P9">_xll.EQNXTDZ($A$1,$B9,P$1)</f>
        <v>40.156498129934498</v>
      </c>
      <c r="Q9" s="116" cm="1">
        <f t="array" ref="Q9">_xll.EQNXTDZ($A$1,$B9,Q$1)</f>
        <v>40.8371167423063</v>
      </c>
      <c r="R9" s="116" cm="1">
        <f t="array" ref="R9">_xll.EQNXTDZ($A$1,$B9,R$1)</f>
        <v>43.514216617635199</v>
      </c>
      <c r="S9" s="116" cm="1">
        <f t="array" ref="S9">_xll.EQNXTDZ($A$1,$B9,S$1)</f>
        <v>44.6032063974301</v>
      </c>
      <c r="T9" s="116" cm="1">
        <f t="array" ref="T9">_xll.EQNXTDZ($A$1,$B9,T$1)</f>
        <v>43.559591191793302</v>
      </c>
      <c r="U9" s="116" cm="1">
        <f t="array" ref="U9">_xll.EQNXTDZ($A$1,$B9,U$1)</f>
        <v>56.037599085275801</v>
      </c>
      <c r="V9" s="116" cm="1">
        <f t="array" ref="V9">_xll.EQNXTDZ($A$1,$B9,V$1)</f>
        <v>52.589131449258801</v>
      </c>
      <c r="W9" s="116" cm="1">
        <f t="array" ref="W9">_xll.EQNXTDZ($A$1,$B9,W$1)</f>
        <v>62.798410634835399</v>
      </c>
      <c r="X9" s="116" cm="1">
        <f t="array" ref="X9">_xll.EQNXTDZ($A$1,$B9,X$1)</f>
        <v>65.974630825903702</v>
      </c>
      <c r="Y9" s="116" cm="1">
        <f t="array" ref="Y9">_xll.EQNXTDZ($A$1,$B9,Y$1)</f>
        <v>65.2940122135319</v>
      </c>
      <c r="Z9" s="116" cm="1">
        <f t="array" ref="Z9">_xll.EQNXTDZ($A$1,$B9,Z$1)</f>
        <v>81.265862317189402</v>
      </c>
      <c r="AA9" s="116" cm="1">
        <f t="array" ref="AA9">_xll.EQNXTDZ($A$1,$B9,AA$1)</f>
        <v>94.469863397201806</v>
      </c>
      <c r="AB9" s="116" cm="1">
        <f t="array" ref="AB9">_xll.EQNXTDZ($A$1,$B9,AB$1)</f>
        <v>85.576446862210702</v>
      </c>
      <c r="AC9" s="116" cm="1">
        <f t="array" ref="AC9">_xll.EQNXTDZ($A$1,$B9,AC$1)</f>
        <v>87.618302699325994</v>
      </c>
      <c r="AD9" s="116" cm="1">
        <f t="array" ref="AD9">_xll.EQNXTDZ($A$1,$B9,AD$1)</f>
        <v>88.525794182488298</v>
      </c>
      <c r="AE9" s="116" cm="1">
        <f t="array" ref="AE9">_xll.EQNXTDZ($A$1,$B9,AE$1)</f>
        <v>94.968983712941096</v>
      </c>
      <c r="AF9" s="116" cm="1">
        <f t="array" ref="AF9">_xll.EQNXTDZ($A$1,$B9,AF$1)</f>
        <v>101.049176650129</v>
      </c>
      <c r="AG9" s="116" cm="1">
        <f t="array" ref="AG9">_xll.EQNXTDZ($A$1,$B9,AG$1)</f>
        <v>113.79943198856</v>
      </c>
      <c r="AH9" s="116" cm="1">
        <f t="array" ref="AH9">_xll.EQNXTDZ($A$1,$B9,AH$1)</f>
        <v>109.80646946264601</v>
      </c>
      <c r="AI9" s="116" cm="1">
        <f t="array" ref="AI9">_xll.EQNXTDZ($A$1,$B9,AI$1)</f>
        <v>101.639046114184</v>
      </c>
      <c r="AJ9" s="116" cm="1">
        <f t="array" ref="AJ9">_xll.EQNXTDZ($A$1,$B9,AJ$1)</f>
        <v>106.08575438168</v>
      </c>
      <c r="AK9" s="116" cm="1">
        <f t="array" ref="AK9">_xll.EQNXTDZ($A$1,$B9,AK$1)</f>
        <v>99.098069961329799</v>
      </c>
      <c r="AL9" s="116" cm="1">
        <f t="array" ref="AL9">_xll.EQNXTDZ($A$1,$B9,AL$1)</f>
        <v>92.609505856718997</v>
      </c>
      <c r="AM9" s="116" cm="1">
        <f t="array" ref="AM9">_xll.EQNXTDZ($A$1,$B9,AM$1)</f>
        <v>82.899346986881696</v>
      </c>
      <c r="AN9" s="116" cm="1">
        <f t="array" ref="AN9">_xll.EQNXTDZ($A$1,$B9,AN$1)</f>
        <v>85.894068881317494</v>
      </c>
      <c r="AO9" s="116" cm="1">
        <f t="array" ref="AO9">_xll.EQNXTDZ($A$1,$B9,AO$1)</f>
        <v>78.951759035125406</v>
      </c>
      <c r="AP9" s="116" cm="1">
        <f t="array" ref="AP9">_xll.EQNXTDZ($A$1,$B9,AP$1)</f>
        <v>78.089642126121205</v>
      </c>
      <c r="AQ9" s="116" cm="1">
        <f t="array" ref="AQ9">_xll.EQNXTDZ($A$1,$B9,AQ$1)</f>
        <v>89.977780555548094</v>
      </c>
      <c r="AR9" s="116" cm="1">
        <f t="array" ref="AR9">_xll.EQNXTDZ($A$1,$B9,AR$1)</f>
        <v>85.031951972313294</v>
      </c>
      <c r="AS9" s="116" cm="1">
        <f t="array" ref="AS9">_xll.EQNXTDZ($A$1,$B9,AS$1)</f>
        <v>105.94963065920599</v>
      </c>
      <c r="AT9" s="116" cm="1">
        <f t="array" ref="AT9">_xll.EQNXTDZ($A$1,$B9,AT$1)</f>
        <v>101.59367154002599</v>
      </c>
      <c r="AU9" s="116" cm="1">
        <f t="array" ref="AU9">_xll.EQNXTDZ($A$1,$B9,AU$1)</f>
        <v>89.070289072385805</v>
      </c>
      <c r="AV9" s="116" cm="1">
        <f t="array" ref="AV9">_xll.EQNXTDZ($A$1,$B9,AV$1)</f>
        <v>89.796282258915596</v>
      </c>
      <c r="AW9" s="116" cm="1">
        <f t="array" ref="AW9">_xll.EQNXTDZ($A$1,$B9,AW$1)</f>
        <v>95.468104028680401</v>
      </c>
      <c r="AX9" s="116" cm="1">
        <f t="array" ref="AX9">_xll.EQNXTDZ($A$1,$B9,AX$1)</f>
        <v>106.720998419894</v>
      </c>
      <c r="AY9" s="116" cm="1">
        <f t="array" ref="AY9">_xll.EQNXTDZ($A$1,$B9,AY$1)</f>
        <v>115.932036973992</v>
      </c>
      <c r="AZ9" s="116" cm="1">
        <f t="array" ref="AZ9">_xll.EQNXTDZ($A$1,$B9,AZ$1)</f>
        <v>121.966855337021</v>
      </c>
      <c r="BA9" s="116" cm="1">
        <f t="array" ref="BA9">_xll.EQNXTDZ($A$1,$B9,BA$1)</f>
        <v>118.064641959423</v>
      </c>
      <c r="BB9" s="116" cm="1">
        <f t="array" ref="BB9">_xll.EQNXTDZ($A$1,$B9,BB$1)</f>
        <v>118.38226397853001</v>
      </c>
      <c r="BC9" s="116" cm="1">
        <f t="array" ref="BC9">_xll.EQNXTDZ($A$1,$B9,BC$1)</f>
        <v>106.902496716526</v>
      </c>
      <c r="BD9" s="116" cm="1">
        <f t="array" ref="BD9">_xll.EQNXTDZ($A$1,$B9,BD$1)</f>
        <v>92.518756708402705</v>
      </c>
      <c r="BE9" s="116" cm="1">
        <f t="array" ref="BE9">_xll.EQNXTDZ($A$1,$B9,BE$1)</f>
        <v>89.4332856656507</v>
      </c>
      <c r="BF9" s="116" cm="1">
        <f t="array" ref="BF9">_xll.EQNXTDZ($A$1,$B9,BF$1)</f>
        <v>98.054454755693101</v>
      </c>
      <c r="BG9" s="116" cm="1">
        <f t="array" ref="BG9">_xll.EQNXTDZ($A$1,$B9,BG$1)</f>
        <v>113.84480656271801</v>
      </c>
      <c r="BH9" s="116" cm="1">
        <f t="array" ref="BH9">_xll.EQNXTDZ($A$1,$B9,BH$1)</f>
        <v>115.160669213304</v>
      </c>
      <c r="BI9" s="116" cm="1">
        <f t="array" ref="BI9">_xll.EQNXTDZ($A$1,$B9,BI$1)</f>
        <v>116.47653186388899</v>
      </c>
      <c r="BJ9" s="116" cm="1">
        <f t="array" ref="BJ9">_xll.EQNXTDZ($A$1,$B9,BJ$1)</f>
        <v>124.41708234156</v>
      </c>
      <c r="BK9" s="116" cm="1">
        <f t="array" ref="BK9">_xll.EQNXTDZ($A$1,$B9,BK$1)</f>
        <v>121.42236044712401</v>
      </c>
      <c r="BL9" s="116" cm="1">
        <f t="array" ref="BL9">_xll.EQNXTDZ($A$1,$B9,BL$1)</f>
        <v>113.118813376188</v>
      </c>
      <c r="BM9" s="116" cm="1">
        <f t="array" ref="BM9">_xll.EQNXTDZ($A$1,$B9,BM$1)</f>
        <v>107.85536277384701</v>
      </c>
      <c r="BN9" s="116" cm="1">
        <f t="array" ref="BN9">_xll.EQNXTDZ($A$1,$B9,BN$1)</f>
        <v>105.54125949178299</v>
      </c>
      <c r="BO9" s="116" cm="1">
        <f t="array" ref="BO9">_xll.EQNXTDZ($A$1,$B9,BO$1)</f>
        <v>109.815153274501</v>
      </c>
      <c r="BP9" s="116" cm="1">
        <f t="array" ref="BP9">_xll.EQNXTDZ($A$1,$B9,BP$1)</f>
        <v>119.851240130051</v>
      </c>
      <c r="BQ9" s="116" cm="1">
        <f t="array" ref="BQ9">_xll.EQNXTDZ($A$1,$B9,BQ$1)</f>
        <v>114.227152810032</v>
      </c>
      <c r="BR9" s="116" cm="1">
        <f t="array" ref="BR9">_xll.EQNXTDZ($A$1,$B9,BR$1)</f>
        <v>134.00842545285599</v>
      </c>
      <c r="BS9" s="116" cm="1">
        <f t="array" ref="BS9">_xll.EQNXTDZ($A$1,$B9,BS$1)</f>
        <v>132.99027171388801</v>
      </c>
      <c r="BT9" s="116" cm="1">
        <f t="array" ref="BT9">_xll.EQNXTDZ($A$1,$B9,BT$1)</f>
        <v>125.47532745007</v>
      </c>
      <c r="BU9" s="116" cm="1">
        <f t="array" ref="BU9">_xll.EQNXTDZ($A$1,$B9,BU$1)</f>
        <v>143.46271017185299</v>
      </c>
      <c r="BV9" s="116" cm="1">
        <f t="array" ref="BV9">_xll.EQNXTDZ($A$1,$B9,BV$1)</f>
        <v>137.64468880631699</v>
      </c>
      <c r="BW9" s="116" cm="1">
        <f t="array" ref="BW9">_xll.EQNXTDZ($A$1,$B9,BW$1)</f>
        <v>128.04495355318201</v>
      </c>
      <c r="BX9" s="116" cm="1">
        <f t="array" ref="BX9">_xll.EQNXTDZ($A$1,$B9,BX$1)</f>
        <v>128.96614026939201</v>
      </c>
      <c r="BY9" s="116" cm="1">
        <f t="array" ref="BY9">_xll.EQNXTDZ($A$1,$B9,BY$1)</f>
        <v>133.08723873664599</v>
      </c>
      <c r="BZ9" s="116" cm="1">
        <f t="array" ref="BZ9">_xll.EQNXTDZ($A$1,$B9,BZ$1)</f>
        <v>132.74785415699</v>
      </c>
      <c r="CA9" s="116" cm="1">
        <f t="array" ref="CA9">_xll.EQNXTDZ($A$1,$B9,CA$1)</f>
        <v>124.89352531351599</v>
      </c>
      <c r="CB9" s="116" cm="1">
        <f t="array" ref="CB9">_xll.EQNXTDZ($A$1,$B9,CB$1)</f>
        <v>139.87493032977201</v>
      </c>
      <c r="CC9" s="116" cm="1">
        <f t="array" ref="CC9">_xll.EQNXTDZ($A$1,$B9,CC$1)</f>
        <v>143.22029261495601</v>
      </c>
      <c r="CD9" s="116" cm="1">
        <f t="array" ref="CD9">_xll.EQNXTDZ($A$1,$B9,CD$1)</f>
        <v>137.741655829076</v>
      </c>
      <c r="CE9" s="116" cm="1">
        <f t="array" ref="CE9">_xll.EQNXTDZ($A$1,$B9,CE$1)</f>
        <v>134.493260566651</v>
      </c>
      <c r="CF9" s="116" cm="1">
        <f t="array" ref="CF9">_xll.EQNXTDZ($A$1,$B9,CF$1)</f>
        <v>150.20191825360001</v>
      </c>
      <c r="CG9" s="116" cm="1">
        <f t="array" ref="CG9">_xll.EQNXTDZ($A$1,$B9,CG$1)</f>
        <v>149.668599628425</v>
      </c>
      <c r="CH9" s="116" cm="1">
        <f t="array" ref="CH9">_xll.EQNXTDZ($A$1,$B9,CH$1)</f>
        <v>152.383676265676</v>
      </c>
      <c r="CI9" s="116" cm="1">
        <f t="array" ref="CI9">_xll.EQNXTDZ($A$1,$B9,CI$1)</f>
        <v>152.77154435671201</v>
      </c>
      <c r="CJ9" s="116" cm="1">
        <f t="array" ref="CJ9">_xll.EQNXTDZ($A$1,$B9,CJ$1)</f>
        <v>138.95374361356201</v>
      </c>
      <c r="CK9" s="116" cm="1">
        <f t="array" ref="CK9">_xll.EQNXTDZ($A$1,$B9,CK$1)</f>
        <v>134.78416163492801</v>
      </c>
      <c r="CL9" s="116" cm="1">
        <f t="array" ref="CL9">_xll.EQNXTDZ($A$1,$B9,CL$1)</f>
        <v>154.953302368788</v>
      </c>
      <c r="CM9" s="116" cm="1">
        <f t="array" ref="CM9">_xll.EQNXTDZ($A$1,$B9,CM$1)</f>
        <v>147.38987459359001</v>
      </c>
      <c r="CN9" s="116" cm="1">
        <f t="array" ref="CN9">_xll.EQNXTDZ($A$1,$B9,CN$1)</f>
        <v>144.86873200185801</v>
      </c>
      <c r="CO9" s="116" cm="1">
        <f t="array" ref="CO9">_xll.EQNXTDZ($A$1,$B9,CO$1)</f>
        <v>140.60218300046401</v>
      </c>
      <c r="CP9" s="116" cm="1">
        <f t="array" ref="CP9">_xll.EQNXTDZ($A$1,$B9,CP$1)</f>
        <v>137.98407338597301</v>
      </c>
      <c r="CQ9" s="116" cm="1">
        <f t="array" ref="CQ9">_xll.EQNXTDZ($A$1,$B9,CQ$1)</f>
        <v>130.90548072457</v>
      </c>
      <c r="CR9" s="116" cm="1">
        <f t="array" ref="CR9">_xll.EQNXTDZ($A$1,$B9,CR$1)</f>
        <v>72.725267069205699</v>
      </c>
      <c r="CS9" s="116" cm="1">
        <f t="array" ref="CS9">_xll.EQNXTDZ($A$1,$B9,CS$1)</f>
        <v>77.476651184393901</v>
      </c>
      <c r="CT9" s="116" cm="1">
        <f t="array" ref="CT9">_xll.EQNXTDZ($A$1,$B9,CT$1)</f>
        <v>73.307069205759404</v>
      </c>
      <c r="CU9" s="116" cm="1">
        <f t="array" ref="CU9">_xll.EQNXTDZ($A$1,$B9,CU$1)</f>
        <v>77.476651184393901</v>
      </c>
      <c r="CV9" s="116" cm="1">
        <f t="array" ref="CV9">_xll.EQNXTDZ($A$1,$B9,CV$1)</f>
        <v>74.034321876451401</v>
      </c>
      <c r="CW9" s="116" cm="1">
        <f t="array" ref="CW9">_xll.EQNXTDZ($A$1,$B9,CW$1)</f>
        <v>100.554802601022</v>
      </c>
      <c r="CX9" s="116" cm="1">
        <f t="array" ref="CX9">_xll.EQNXTDZ($A$1,$B9,CX$1)</f>
        <v>92.118671620993894</v>
      </c>
      <c r="CY9" s="116" cm="1">
        <f t="array" ref="CY9">_xll.EQNXTDZ($A$1,$B9,CY$1)</f>
        <v>92.506539712029706</v>
      </c>
      <c r="CZ9" s="116" cm="1">
        <f t="array" ref="CZ9">_xll.EQNXTDZ($A$1,$B9,CZ$1)</f>
        <v>114.61502090106799</v>
      </c>
      <c r="DA9" s="116" cm="1">
        <f t="array" ref="DA9">_xll.EQNXTDZ($A$1,$B9,DA$1)</f>
        <v>116.457394333488</v>
      </c>
      <c r="DB9" s="116" cm="1">
        <f t="array" ref="DB9">_xll.EQNXTDZ($A$1,$B9,DB$1)</f>
        <v>117.911899674872</v>
      </c>
      <c r="DC9" s="116" cm="1">
        <f t="array" ref="DC9">_xll.EQNXTDZ($A$1,$B9,DC$1)</f>
        <v>119.123987459359</v>
      </c>
      <c r="DD9" s="116" cm="1">
        <f t="array" ref="DD9">_xll.EQNXTDZ($A$1,$B9,DD$1)</f>
        <v>107.487944728286</v>
      </c>
      <c r="DE9" s="116" cm="1">
        <f t="array" ref="DE9">_xll.EQNXTDZ($A$1,$B9,DE$1)</f>
        <v>108.118230376219</v>
      </c>
      <c r="DF9" s="116" cm="1">
        <f t="array" ref="DF9">_xll.EQNXTDZ($A$1,$B9,DF$1)</f>
        <v>135.07506270320499</v>
      </c>
      <c r="DG9" s="116" cm="1">
        <f t="array" ref="DG9">_xll.EQNXTDZ($A$1,$B9,DG$1)</f>
        <v>137.15985369252201</v>
      </c>
      <c r="DH9" s="116" cm="1">
        <f t="array" ref="DH9">_xll.EQNXTDZ($A$1,$B9,DH$1)</f>
        <v>140.69915002322301</v>
      </c>
      <c r="DI9" s="116" cm="1">
        <f t="array" ref="DI9">_xll.EQNXTDZ($A$1,$B9,DI$1)</f>
        <v>136.141699953553</v>
      </c>
      <c r="DJ9" s="116" cm="1">
        <f t="array" ref="DJ9">_xll.EQNXTDZ($A$1,$B9,DJ$1)</f>
        <v>175.89817928471899</v>
      </c>
      <c r="DK9" s="116" cm="1">
        <f t="array" ref="DK9">_xll.EQNXTDZ($A$1,$B9,DK$1)</f>
        <v>190.68565025545701</v>
      </c>
      <c r="DL9" s="116" cm="1">
        <f t="array" ref="DL9">_xll.EQNXTDZ($A$1,$B9,DL$1)</f>
        <v>180.3</v>
      </c>
      <c r="DM9" s="116" cm="1">
        <f t="array" ref="DM9">_xll.EQNXTDZ($A$1,$B9,DM$1)</f>
        <v>180.75</v>
      </c>
      <c r="DN9" s="116" cm="1">
        <f t="array" ref="DN9">_xll.EQNXTDZ($A$1,$B9,DN$1)</f>
        <v>215.6</v>
      </c>
      <c r="DO9" s="116" cm="1">
        <f t="array" ref="DO9">_xll.EQNXTDZ($A$1,$B9,DO$1)</f>
        <v>199.45</v>
      </c>
      <c r="DP9" s="116" cm="1">
        <f t="array" ref="DP9">_xll.EQNXTDZ($A$1,$B9,DP$1)</f>
        <v>238.5</v>
      </c>
      <c r="DQ9" s="116" cm="1">
        <f t="array" ref="DQ9">_xll.EQNXTDZ($A$1,$B9,DQ$1)</f>
        <v>256.5</v>
      </c>
      <c r="DR9" s="116" cm="1">
        <f t="array" ref="DR9">_xll.EQNXTDZ($A$1,$B9,DR$1)</f>
        <v>235</v>
      </c>
      <c r="DS9" s="116" cm="1">
        <f t="array" ref="DS9">_xll.EQNXTDZ($A$1,$B9,DS$1)</f>
        <v>225.15</v>
      </c>
      <c r="DT9" s="116" cm="1">
        <f t="array" ref="DT9">_xll.EQNXTDZ($A$1,$B9,DT$1)</f>
        <v>262.85000000000002</v>
      </c>
      <c r="DU9" s="116" cm="1">
        <f t="array" ref="DU9">_xll.EQNXTDZ($A$1,$B9,DU$1)</f>
        <v>285.45</v>
      </c>
      <c r="DV9" s="116" cm="1">
        <f t="array" ref="DV9">_xll.EQNXTDZ($A$1,$B9,DV$1)</f>
        <v>331.7</v>
      </c>
      <c r="DW9" s="116" cm="1">
        <f t="array" ref="DW9">_xll.EQNXTDZ($A$1,$B9,DW$1)</f>
        <v>333.8</v>
      </c>
      <c r="DX9" s="116" cm="1">
        <f t="array" ref="DX9">_xll.EQNXTDZ($A$1,$B9,DX$1)</f>
        <v>321.64999999999998</v>
      </c>
      <c r="DY9" s="116" cm="1">
        <f t="array" ref="DY9">_xll.EQNXTDZ($A$1,$B9,DY$1)</f>
        <v>318.64999999999998</v>
      </c>
      <c r="DZ9" s="116" cm="1">
        <f t="array" ref="DZ9">_xll.EQNXTDZ($A$1,$B9,DZ$1)</f>
        <v>301</v>
      </c>
      <c r="EA9" s="116" cm="1">
        <f t="array" ref="EA9">_xll.EQNXTDZ($A$1,$B9,EA$1)</f>
        <v>310.75</v>
      </c>
      <c r="EB9" s="116" cm="1">
        <f t="array" ref="EB9">_xll.EQNXTDZ($A$1,$B9,EB$1)</f>
        <v>324.35000000000002</v>
      </c>
      <c r="EC9" s="116" cm="1">
        <f t="array" ref="EC9">_xll.EQNXTDZ($A$1,$B9,EC$1)</f>
        <v>339.1</v>
      </c>
      <c r="ED9" s="116" cm="1">
        <f t="array" ref="ED9">_xll.EQNXTDZ($A$1,$B9,ED$1)</f>
        <v>389.7</v>
      </c>
      <c r="EE9" s="116" cm="1">
        <f t="array" ref="EE9">_xll.EQNXTDZ($A$1,$B9,EE$1)</f>
        <v>392.5</v>
      </c>
      <c r="EF9" s="116" cm="1">
        <f t="array" ref="EF9">_xll.EQNXTDZ($A$1,$B9,EF$1)</f>
        <v>395.1</v>
      </c>
      <c r="EG9" s="116" cm="1">
        <f t="array" ref="EG9">_xll.EQNXTDZ($A$1,$B9,EG$1)</f>
        <v>420.9</v>
      </c>
      <c r="EH9" s="116" cm="1">
        <f t="array" ref="EH9">_xll.EQNXTDZ($A$1,$B9,EH$1)</f>
        <v>411.1</v>
      </c>
      <c r="EI9" s="116" cm="1">
        <f t="array" ref="EI9">_xll.EQNXTDZ($A$1,$B9,EI$1)</f>
        <v>383.4</v>
      </c>
      <c r="EJ9" s="116" cm="1">
        <f t="array" ref="EJ9">_xll.EQNXTDZ($A$1,$B9,EJ$1)</f>
        <v>421.7</v>
      </c>
      <c r="EK9" s="116" cm="1">
        <f t="array" ref="EK9">_xll.EQNXTDZ($A$1,$B9,EK$1)</f>
        <v>438.35</v>
      </c>
      <c r="EL9" s="116" cm="1">
        <f t="array" ref="EL9">_xll.EQNXTDZ($A$1,$B9,EL$1)</f>
        <v>492.65</v>
      </c>
      <c r="EM9" s="116" cm="1">
        <f t="array" ref="EM9">_xll.EQNXTDZ($A$1,$B9,EM$1)</f>
        <v>586.70000000000005</v>
      </c>
      <c r="EN9" s="116" cm="1">
        <f t="array" ref="EN9">_xll.EQNXTDZ($A$1,$B9,EN$1)</f>
        <v>591.15</v>
      </c>
      <c r="EO9" s="116" cm="1">
        <f t="array" ref="EO9">_xll.EQNXTDZ($A$1,$B9,EO$1)</f>
        <v>576.75</v>
      </c>
      <c r="EP9" s="116" cm="1">
        <f t="array" ref="EP9">_xll.EQNXTDZ($A$1,$B9,EP$1)</f>
        <v>557.4</v>
      </c>
      <c r="EQ9" s="116" cm="1">
        <f t="array" ref="EQ9">_xll.EQNXTDZ($A$1,$B9,EQ$1)</f>
        <v>625.04999999999995</v>
      </c>
      <c r="ER9" s="116" cm="1">
        <f t="array" ref="ER9">_xll.EQNXTDZ($A$1,$B9,ER$1)</f>
        <v>642.04999999999995</v>
      </c>
      <c r="ES9" s="116" cm="1">
        <f t="array" ref="ES9">_xll.EQNXTDZ($A$1,$B9,ES$1)</f>
        <v>647.5</v>
      </c>
      <c r="ET9" s="116" cm="1">
        <f t="array" ref="ET9">_xll.EQNXTDZ($A$1,$B9,ET$1)</f>
        <v>684.7</v>
      </c>
      <c r="EU9" s="116" cm="1">
        <f t="array" ref="EU9">_xll.EQNXTDZ($A$1,$B9,EU$1)</f>
        <v>676.7</v>
      </c>
      <c r="EV9" s="116" cm="1">
        <f t="array" ref="EV9">_xll.EQNXTDZ($A$1,$B9,EV$1)</f>
        <v>793.35</v>
      </c>
      <c r="EW9" s="116" cm="1">
        <f t="array" ref="EW9">_xll.EQNXTDZ($A$1,$B9,EW$1)</f>
        <v>877.55</v>
      </c>
      <c r="EX9" s="116" cm="1">
        <f t="array" ref="EX9">_xll.EQNXTDZ($A$1,$B9,EX$1)</f>
        <v>764.7</v>
      </c>
      <c r="EY9" s="116" cm="1">
        <f t="array" ref="EY9">_xll.EQNXTDZ($A$1,$B9,EY$1)</f>
        <v>716.1</v>
      </c>
      <c r="EZ9" s="116" cm="1">
        <f t="array" ref="EZ9">_xll.EQNXTDZ($A$1,$B9,EZ$1)</f>
        <v>787.55</v>
      </c>
      <c r="FA9" s="116" cm="1">
        <f t="array" ref="FA9">_xll.EQNXTDZ($A$1,$B9,FA$1)</f>
        <v>787.7</v>
      </c>
      <c r="FB9" s="116" cm="1">
        <f t="array" ref="FB9">_xll.EQNXTDZ($A$1,$B9,FB$1)</f>
        <v>769.85</v>
      </c>
      <c r="FC9" s="116" cm="1">
        <f t="array" ref="FC9">_xll.EQNXTDZ($A$1,$B9,FC$1)</f>
        <v>760.3</v>
      </c>
      <c r="FD9" s="116" cm="1">
        <f t="array" ref="FD9">_xll.EQNXTDZ($A$1,$B9,FD$1)</f>
        <v>740.75</v>
      </c>
      <c r="FE9" s="116" cm="1">
        <f t="array" ref="FE9">_xll.EQNXTDZ($A$1,$B9,FE$1)</f>
        <v>758.45</v>
      </c>
      <c r="FF9" s="116" cm="1">
        <f t="array" ref="FF9">_xll.EQNXTDZ($A$1,$B9,FF$1)</f>
        <v>720.3</v>
      </c>
      <c r="FG9" s="116" cm="1">
        <f t="array" ref="FG9">_xll.EQNXTDZ($A$1,$B9,FG$1)</f>
        <v>741.8</v>
      </c>
      <c r="FH9" s="116" cm="1">
        <f t="array" ref="FH9">_xll.EQNXTDZ($A$1,$B9,FH$1)</f>
        <v>744.3</v>
      </c>
      <c r="FI9" s="116" cm="1">
        <f t="array" ref="FI9">_xll.EQNXTDZ($A$1,$B9,FI$1)</f>
        <v>738.85</v>
      </c>
      <c r="FJ9" s="116" cm="1">
        <f t="array" ref="FJ9">_xll.EQNXTDZ($A$1,$B9,FJ$1)</f>
        <v>674.15</v>
      </c>
      <c r="FK9" s="116" cm="1">
        <f t="array" ref="FK9">_xll.EQNXTDZ($A$1,$B9,FK$1)</f>
        <v>667.05</v>
      </c>
      <c r="FL9" s="116" cm="1">
        <f t="array" ref="FL9">_xll.EQNXTDZ($A$1,$B9,FL$1)</f>
        <v>570.95000000000005</v>
      </c>
      <c r="FM9" s="116" cm="1">
        <f t="array" ref="FM9">_xll.EQNXTDZ($A$1,$B9,FM$1)</f>
        <v>635.85</v>
      </c>
      <c r="FN9" s="116" cm="1">
        <f t="array" ref="FN9">_xll.EQNXTDZ($A$1,$B9,FN$1)</f>
        <v>654.25</v>
      </c>
      <c r="FO9" s="116" cm="1">
        <f t="array" ref="FO9">_xll.EQNXTDZ($A$1,$B9,FO$1)</f>
        <v>694.4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61.074176816826899</v>
      </c>
      <c r="HQ9" s="116">
        <f>+I9</f>
        <v>57.2173380133869</v>
      </c>
      <c r="HR9" s="116">
        <f>+L9</f>
        <v>48.596168923344401</v>
      </c>
      <c r="HS9" s="116">
        <f>+O9</f>
        <v>43.559591191793302</v>
      </c>
      <c r="HT9" s="116">
        <f>+R9</f>
        <v>43.514216617635199</v>
      </c>
      <c r="HU9" s="116">
        <f>+U9</f>
        <v>56.037599085275801</v>
      </c>
      <c r="HV9" s="116">
        <f>+X9</f>
        <v>65.974630825903702</v>
      </c>
      <c r="HW9" s="116">
        <f>+AA9</f>
        <v>94.469863397201806</v>
      </c>
      <c r="HX9" s="116">
        <f>+AD9</f>
        <v>88.525794182488298</v>
      </c>
      <c r="HY9" s="116">
        <f>+AG9</f>
        <v>113.79943198856</v>
      </c>
      <c r="HZ9" s="116">
        <f>+AJ9</f>
        <v>106.08575438168</v>
      </c>
      <c r="IA9" s="116">
        <f>+AM9</f>
        <v>82.899346986881696</v>
      </c>
      <c r="IB9" s="116">
        <f>+AP9</f>
        <v>78.089642126121205</v>
      </c>
      <c r="IC9" s="116">
        <f>+AS9</f>
        <v>105.94963065920599</v>
      </c>
      <c r="ID9" s="116">
        <f>+AV9</f>
        <v>89.796282258915596</v>
      </c>
      <c r="IE9" s="116">
        <f>+AY9</f>
        <v>115.932036973992</v>
      </c>
      <c r="IF9" s="116">
        <f>+BB9</f>
        <v>118.38226397853001</v>
      </c>
      <c r="IG9" s="116">
        <f>+BE9</f>
        <v>89.4332856656507</v>
      </c>
      <c r="IH9" s="116">
        <f>+BH9</f>
        <v>115.160669213304</v>
      </c>
      <c r="II9" s="116">
        <f>+BK9</f>
        <v>121.42236044712401</v>
      </c>
      <c r="IJ9" s="116">
        <f>+BN9</f>
        <v>105.54125949178299</v>
      </c>
      <c r="IK9" s="116">
        <f>+BQ9</f>
        <v>114.227152810032</v>
      </c>
      <c r="IL9" s="116">
        <f>+BT9</f>
        <v>125.47532745007</v>
      </c>
      <c r="IM9" s="116">
        <f>+BW9</f>
        <v>128.04495355318201</v>
      </c>
      <c r="IN9" s="116">
        <f>+BZ9</f>
        <v>132.74785415699</v>
      </c>
      <c r="IO9" s="116">
        <f>+CC9</f>
        <v>143.22029261495601</v>
      </c>
      <c r="IP9" s="116">
        <f>+CF9</f>
        <v>150.20191825360001</v>
      </c>
      <c r="IQ9" s="116">
        <f>+CI9</f>
        <v>152.77154435671201</v>
      </c>
      <c r="IR9" s="116">
        <f>+CL9</f>
        <v>154.953302368788</v>
      </c>
      <c r="IS9" s="116">
        <f>+CO9</f>
        <v>140.60218300046401</v>
      </c>
      <c r="IT9" s="116">
        <f>+CR9</f>
        <v>72.725267069205699</v>
      </c>
      <c r="IU9" s="116">
        <f>+CU9</f>
        <v>77.476651184393901</v>
      </c>
      <c r="IV9" s="116">
        <f>+CX9</f>
        <v>92.118671620993894</v>
      </c>
      <c r="IW9" s="116">
        <f>+DA9</f>
        <v>116.457394333488</v>
      </c>
      <c r="IX9" s="116">
        <f>+DD9</f>
        <v>107.487944728286</v>
      </c>
      <c r="IY9" s="116">
        <f>+DG9</f>
        <v>137.15985369252201</v>
      </c>
      <c r="IZ9" s="116">
        <f>+DJ9</f>
        <v>175.89817928471899</v>
      </c>
      <c r="JA9" s="116">
        <f>+DM9</f>
        <v>180.75</v>
      </c>
      <c r="JB9" s="116">
        <f>+DP9</f>
        <v>238.5</v>
      </c>
      <c r="JC9" s="116">
        <f>+DS9</f>
        <v>225.15</v>
      </c>
      <c r="JD9" s="116">
        <f>+DV9</f>
        <v>331.7</v>
      </c>
      <c r="JE9" s="116">
        <f>+DY9</f>
        <v>318.64999999999998</v>
      </c>
      <c r="JF9" s="116">
        <f>+EB9</f>
        <v>324.35000000000002</v>
      </c>
      <c r="JG9" s="116">
        <f>+EE9</f>
        <v>392.5</v>
      </c>
      <c r="JH9" s="116">
        <f>+EH9</f>
        <v>411.1</v>
      </c>
      <c r="JI9" s="116">
        <f>+EK9</f>
        <v>438.35</v>
      </c>
      <c r="JJ9" s="116">
        <f>+EN9</f>
        <v>591.15</v>
      </c>
      <c r="JK9" s="116">
        <f>EQ9</f>
        <v>625.04999999999995</v>
      </c>
      <c r="JL9" s="116">
        <f>ET9</f>
        <v>684.7</v>
      </c>
      <c r="JM9" s="116">
        <f>EW9</f>
        <v>877.55</v>
      </c>
      <c r="JN9" s="116">
        <f>EZ9</f>
        <v>787.55</v>
      </c>
      <c r="JO9" s="116">
        <f>FC9</f>
        <v>760.3</v>
      </c>
      <c r="JP9" s="116">
        <f>FF9</f>
        <v>720.3</v>
      </c>
      <c r="JQ9" s="116">
        <f>FI9</f>
        <v>738.85</v>
      </c>
      <c r="JR9" s="116">
        <f>FL9</f>
        <v>570.95000000000005</v>
      </c>
      <c r="JS9" s="116">
        <f>FO9</f>
        <v>694.4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51.0830178355166</v>
      </c>
      <c r="D13" cm="1">
        <f t="array" ref="D13">_xll.EQNXTDZ($A$1,$B13,D$1)</f>
        <v>56.345566742195103</v>
      </c>
      <c r="E13" cm="1">
        <f t="array" ref="E13">_xll.EQNXTDZ($A$1,$B13,E$1)</f>
        <v>53.986493094373699</v>
      </c>
      <c r="F13" cm="1">
        <f t="array" ref="F13">_xll.EQNXTDZ($A$1,$B13,F$1)</f>
        <v>54.440161103570098</v>
      </c>
      <c r="G13" cm="1">
        <f t="array" ref="G13">_xll.EQNXTDZ($A$1,$B13,G$1)</f>
        <v>61.698849250712797</v>
      </c>
      <c r="H13" cm="1">
        <f t="array" ref="H13">_xll.EQNXTDZ($A$1,$B13,H$1)</f>
        <v>57.298269561507503</v>
      </c>
      <c r="I13" cm="1">
        <f t="array" ref="I13">_xll.EQNXTDZ($A$1,$B13,I$1)</f>
        <v>57.162169158748597</v>
      </c>
      <c r="J13" cm="1">
        <f t="array" ref="J13">_xll.EQNXTDZ($A$1,$B13,J$1)</f>
        <v>57.3890031633468</v>
      </c>
      <c r="K13" cm="1">
        <f t="array" ref="K13">_xll.EQNXTDZ($A$1,$B13,K$1)</f>
        <v>56.2548331403558</v>
      </c>
      <c r="L13" cm="1">
        <f t="array" ref="L13">_xll.EQNXTDZ($A$1,$B13,L$1)</f>
        <v>49.222978997811303</v>
      </c>
      <c r="M13" cm="1">
        <f t="array" ref="M13">_xll.EQNXTDZ($A$1,$B13,M$1)</f>
        <v>49.6312802060881</v>
      </c>
      <c r="N13" cm="1">
        <f t="array" ref="N13">_xll.EQNXTDZ($A$1,$B13,N$1)</f>
        <v>51.445952242873702</v>
      </c>
      <c r="O13" cm="1">
        <f t="array" ref="O13">_xll.EQNXTDZ($A$1,$B13,O$1)</f>
        <v>47.181472956427399</v>
      </c>
      <c r="P13" cm="1">
        <f t="array" ref="P13">_xll.EQNXTDZ($A$1,$B13,P$1)</f>
        <v>44.005796892052501</v>
      </c>
      <c r="Q13" cm="1">
        <f t="array" ref="Q13">_xll.EQNXTDZ($A$1,$B13,Q$1)</f>
        <v>40.376452818481198</v>
      </c>
      <c r="R13" cm="1">
        <f t="array" ref="R13">_xll.EQNXTDZ($A$1,$B13,R$1)</f>
        <v>40.830120827677597</v>
      </c>
      <c r="S13" cm="1">
        <f t="array" ref="S13">_xll.EQNXTDZ($A$1,$B13,S$1)</f>
        <v>43.733596086534597</v>
      </c>
      <c r="T13" cm="1">
        <f t="array" ref="T13">_xll.EQNXTDZ($A$1,$B13,T$1)</f>
        <v>44.005796892052501</v>
      </c>
      <c r="U13" cm="1">
        <f t="array" ref="U13">_xll.EQNXTDZ($A$1,$B13,U$1)</f>
        <v>43.915063290213197</v>
      </c>
      <c r="V13" cm="1">
        <f t="array" ref="V13">_xll.EQNXTDZ($A$1,$B13,V$1)</f>
        <v>55.801165131159401</v>
      </c>
      <c r="W13" cm="1">
        <f t="array" ref="W13">_xll.EQNXTDZ($A$1,$B13,W$1)</f>
        <v>52.489388664025498</v>
      </c>
      <c r="X13" cm="1">
        <f t="array" ref="X13">_xll.EQNXTDZ($A$1,$B13,X$1)</f>
        <v>62.606185269105602</v>
      </c>
      <c r="Y13" cm="1">
        <f t="array" ref="Y13">_xll.EQNXTDZ($A$1,$B13,Y$1)</f>
        <v>66.4623633472752</v>
      </c>
      <c r="Z13" cm="1">
        <f t="array" ref="Z13">_xll.EQNXTDZ($A$1,$B13,Z$1)</f>
        <v>65.192092921525202</v>
      </c>
      <c r="AA13" cm="1">
        <f t="array" ref="AA13">_xll.EQNXTDZ($A$1,$B13,AA$1)</f>
        <v>80.072403623167702</v>
      </c>
      <c r="AB13" cm="1">
        <f t="array" ref="AB13">_xll.EQNXTDZ($A$1,$B13,AB$1)</f>
        <v>95.270281931247695</v>
      </c>
      <c r="AC13" cm="1">
        <f t="array" ref="AC13">_xll.EQNXTDZ($A$1,$B13,AC$1)</f>
        <v>87.104257765712205</v>
      </c>
      <c r="AD13" cm="1">
        <f t="array" ref="AD13">_xll.EQNXTDZ($A$1,$B13,AD$1)</f>
        <v>87.7847597795068</v>
      </c>
      <c r="AE13" cm="1">
        <f t="array" ref="AE13">_xll.EQNXTDZ($A$1,$B13,AE$1)</f>
        <v>89.690165418131699</v>
      </c>
      <c r="AF13" cm="1">
        <f t="array" ref="AF13">_xll.EQNXTDZ($A$1,$B13,AF$1)</f>
        <v>95.043447926649506</v>
      </c>
      <c r="AG13" cm="1">
        <f t="array" ref="AG13">_xll.EQNXTDZ($A$1,$B13,AG$1)</f>
        <v>101.621634059998</v>
      </c>
      <c r="AH13" cm="1">
        <f t="array" ref="AH13">_xll.EQNXTDZ($A$1,$B13,AH$1)</f>
        <v>114.32433831749699</v>
      </c>
      <c r="AI13" cm="1">
        <f t="array" ref="AI13">_xll.EQNXTDZ($A$1,$B13,AI$1)</f>
        <v>109.696924623694</v>
      </c>
      <c r="AJ13" cm="1">
        <f t="array" ref="AJ13">_xll.EQNXTDZ($A$1,$B13,AJ$1)</f>
        <v>101.621634059998</v>
      </c>
      <c r="AK13" cm="1">
        <f t="array" ref="AK13">_xll.EQNXTDZ($A$1,$B13,AK$1)</f>
        <v>104.888043726212</v>
      </c>
      <c r="AL13" cm="1">
        <f t="array" ref="AL13">_xll.EQNXTDZ($A$1,$B13,AL$1)</f>
        <v>98.944992805738707</v>
      </c>
      <c r="AM13" cm="1">
        <f t="array" ref="AM13">_xll.EQNXTDZ($A$1,$B13,AM$1)</f>
        <v>92.366806672390595</v>
      </c>
      <c r="AN13" cm="1">
        <f t="array" ref="AN13">_xll.EQNXTDZ($A$1,$B13,AN$1)</f>
        <v>82.885145280185498</v>
      </c>
      <c r="AO13" cm="1">
        <f t="array" ref="AO13">_xll.EQNXTDZ($A$1,$B13,AO$1)</f>
        <v>85.380319330765801</v>
      </c>
      <c r="AP13" cm="1">
        <f t="array" ref="AP13">_xll.EQNXTDZ($A$1,$B13,AP$1)</f>
        <v>78.348465188221297</v>
      </c>
      <c r="AQ13" cm="1">
        <f t="array" ref="AQ13">_xll.EQNXTDZ($A$1,$B13,AQ$1)</f>
        <v>78.938233600176602</v>
      </c>
      <c r="AR13" cm="1">
        <f t="array" ref="AR13">_xll.EQNXTDZ($A$1,$B13,AR$1)</f>
        <v>89.916999422729901</v>
      </c>
      <c r="AS13" cm="1">
        <f t="array" ref="AS13">_xll.EQNXTDZ($A$1,$B13,AS$1)</f>
        <v>84.926651321569395</v>
      </c>
      <c r="AT13" cm="1">
        <f t="array" ref="AT13">_xll.EQNXTDZ($A$1,$B13,AT$1)</f>
        <v>104.842676925292</v>
      </c>
      <c r="AU13" cm="1">
        <f t="array" ref="AU13">_xll.EQNXTDZ($A$1,$B13,AU$1)</f>
        <v>101.621634059998</v>
      </c>
      <c r="AV13" cm="1">
        <f t="array" ref="AV13">_xll.EQNXTDZ($A$1,$B13,AV$1)</f>
        <v>89.281864209855001</v>
      </c>
      <c r="AW13" cm="1">
        <f t="array" ref="AW13">_xll.EQNXTDZ($A$1,$B13,AW$1)</f>
        <v>90.733601839283494</v>
      </c>
      <c r="AX13" cm="1">
        <f t="array" ref="AX13">_xll.EQNXTDZ($A$1,$B13,AX$1)</f>
        <v>94.635146718372695</v>
      </c>
      <c r="AY13" cm="1">
        <f t="array" ref="AY13">_xll.EQNXTDZ($A$1,$B13,AY$1)</f>
        <v>106.52124855931901</v>
      </c>
      <c r="AZ13" cm="1">
        <f t="array" ref="AZ13">_xll.EQNXTDZ($A$1,$B13,AZ$1)</f>
        <v>116.50194476164</v>
      </c>
      <c r="BA13" cm="1">
        <f t="array" ref="BA13">_xll.EQNXTDZ($A$1,$B13,BA$1)</f>
        <v>121.809860469238</v>
      </c>
      <c r="BB13" cm="1">
        <f t="array" ref="BB13">_xll.EQNXTDZ($A$1,$B13,BB$1)</f>
        <v>118.407350400265</v>
      </c>
      <c r="BC13" cm="1">
        <f t="array" ref="BC13">_xll.EQNXTDZ($A$1,$B13,BC$1)</f>
        <v>119.314686418658</v>
      </c>
      <c r="BD13" cm="1">
        <f t="array" ref="BD13">_xll.EQNXTDZ($A$1,$B13,BD$1)</f>
        <v>106.929549767596</v>
      </c>
      <c r="BE13" cm="1">
        <f t="array" ref="BE13">_xll.EQNXTDZ($A$1,$B13,BE$1)</f>
        <v>93.319509491703101</v>
      </c>
      <c r="BF13" cm="1">
        <f t="array" ref="BF13">_xll.EQNXTDZ($A$1,$B13,BF$1)</f>
        <v>89.009663404337104</v>
      </c>
      <c r="BG13" cm="1">
        <f t="array" ref="BG13">_xll.EQNXTDZ($A$1,$B13,BG$1)</f>
        <v>96.676652759756607</v>
      </c>
      <c r="BH13" cm="1">
        <f t="array" ref="BH13">_xll.EQNXTDZ($A$1,$B13,BH$1)</f>
        <v>114.32433831749699</v>
      </c>
      <c r="BI13" cm="1">
        <f t="array" ref="BI13">_xll.EQNXTDZ($A$1,$B13,BI$1)</f>
        <v>113.417002299104</v>
      </c>
      <c r="BJ13" cm="1">
        <f t="array" ref="BJ13">_xll.EQNXTDZ($A$1,$B13,BJ$1)</f>
        <v>114.95947353037199</v>
      </c>
      <c r="BK13" cm="1">
        <f t="array" ref="BK13">_xll.EQNXTDZ($A$1,$B13,BK$1)</f>
        <v>121.67376006647901</v>
      </c>
      <c r="BL13" cm="1">
        <f t="array" ref="BL13">_xll.EQNXTDZ($A$1,$B13,BL$1)</f>
        <v>119.360053219577</v>
      </c>
      <c r="BM13" cm="1">
        <f t="array" ref="BM13">_xll.EQNXTDZ($A$1,$B13,BM$1)</f>
        <v>113.643836303703</v>
      </c>
      <c r="BN13" cm="1">
        <f t="array" ref="BN13">_xll.EQNXTDZ($A$1,$B13,BN$1)</f>
        <v>108.608121401622</v>
      </c>
      <c r="BO13" cm="1">
        <f t="array" ref="BO13">_xll.EQNXTDZ($A$1,$B13,BO$1)</f>
        <v>107.065650170355</v>
      </c>
      <c r="BP13" cm="1">
        <f t="array" ref="BP13">_xll.EQNXTDZ($A$1,$B13,BP$1)</f>
        <v>109.83987728640901</v>
      </c>
      <c r="BQ13" cm="1">
        <f t="array" ref="BQ13">_xll.EQNXTDZ($A$1,$B13,BQ$1)</f>
        <v>121.13409238249599</v>
      </c>
      <c r="BR13" cm="1">
        <f t="array" ref="BR13">_xll.EQNXTDZ($A$1,$B13,BR$1)</f>
        <v>115.17191016439</v>
      </c>
      <c r="BS13" cm="1">
        <f t="array" ref="BS13">_xll.EQNXTDZ($A$1,$B13,BS$1)</f>
        <v>135.62752720537199</v>
      </c>
      <c r="BT13" cm="1">
        <f t="array" ref="BT13">_xll.EQNXTDZ($A$1,$B13,BT$1)</f>
        <v>133.49471405417901</v>
      </c>
      <c r="BU13" cm="1">
        <f t="array" ref="BU13">_xll.EQNXTDZ($A$1,$B13,BU$1)</f>
        <v>126.85390946978499</v>
      </c>
      <c r="BV13" cm="1">
        <f t="array" ref="BV13">_xll.EQNXTDZ($A$1,$B13,BV$1)</f>
        <v>143.383211391526</v>
      </c>
      <c r="BW13" cm="1">
        <f t="array" ref="BW13">_xll.EQNXTDZ($A$1,$B13,BW$1)</f>
        <v>137.130191016439</v>
      </c>
      <c r="BX13" cm="1">
        <f t="array" ref="BX13">_xll.EQNXTDZ($A$1,$B13,BX$1)</f>
        <v>131.749685112295</v>
      </c>
      <c r="BY13" cm="1">
        <f t="array" ref="BY13">_xll.EQNXTDZ($A$1,$B13,BY$1)</f>
        <v>129.13214169946701</v>
      </c>
      <c r="BZ13" cm="1">
        <f t="array" ref="BZ13">_xll.EQNXTDZ($A$1,$B13,BZ$1)</f>
        <v>133.93097128964999</v>
      </c>
      <c r="CA13" cm="1">
        <f t="array" ref="CA13">_xll.EQNXTDZ($A$1,$B13,CA$1)</f>
        <v>135.04585089141</v>
      </c>
      <c r="CB13" cm="1">
        <f t="array" ref="CB13">_xll.EQNXTDZ($A$1,$B13,CB$1)</f>
        <v>125.25429960639001</v>
      </c>
      <c r="CC13" cm="1">
        <f t="array" ref="CC13">_xll.EQNXTDZ($A$1,$B13,CC$1)</f>
        <v>140.52330284788101</v>
      </c>
      <c r="CD13" cm="1">
        <f t="array" ref="CD13">_xll.EQNXTDZ($A$1,$B13,CD$1)</f>
        <v>143.383211391526</v>
      </c>
      <c r="CE13" cm="1">
        <f t="array" ref="CE13">_xll.EQNXTDZ($A$1,$B13,CE$1)</f>
        <v>137.66339430423699</v>
      </c>
      <c r="CF13" cm="1">
        <f t="array" ref="CF13">_xll.EQNXTDZ($A$1,$B13,CF$1)</f>
        <v>134.46417457744801</v>
      </c>
      <c r="CG13" cm="1">
        <f t="array" ref="CG13">_xll.EQNXTDZ($A$1,$B13,CG$1)</f>
        <v>150.26638110673801</v>
      </c>
      <c r="CH13" cm="1">
        <f t="array" ref="CH13">_xll.EQNXTDZ($A$1,$B13,CH$1)</f>
        <v>153.17476267654499</v>
      </c>
      <c r="CI13" cm="1">
        <f t="array" ref="CI13">_xll.EQNXTDZ($A$1,$B13,CI$1)</f>
        <v>152.20530215327599</v>
      </c>
      <c r="CJ13" cm="1">
        <f t="array" ref="CJ13">_xll.EQNXTDZ($A$1,$B13,CJ$1)</f>
        <v>153.22323570270899</v>
      </c>
      <c r="CK13" cm="1">
        <f t="array" ref="CK13">_xll.EQNXTDZ($A$1,$B13,CK$1)</f>
        <v>137.954232461218</v>
      </c>
      <c r="CL13" cm="1">
        <f t="array" ref="CL13">_xll.EQNXTDZ($A$1,$B13,CL$1)</f>
        <v>133.73707918499699</v>
      </c>
      <c r="CM13" cm="1">
        <f t="array" ref="CM13">_xll.EQNXTDZ($A$1,$B13,CM$1)</f>
        <v>156.56787450798799</v>
      </c>
      <c r="CN13" cm="1">
        <f t="array" ref="CN13">_xll.EQNXTDZ($A$1,$B13,CN$1)</f>
        <v>148.085094929382</v>
      </c>
      <c r="CO13" cm="1">
        <f t="array" ref="CO13">_xll.EQNXTDZ($A$1,$B13,CO$1)</f>
        <v>145.12824033341099</v>
      </c>
      <c r="CP13" cm="1">
        <f t="array" ref="CP13">_xll.EQNXTDZ($A$1,$B13,CP$1)</f>
        <v>139.844680481593</v>
      </c>
      <c r="CQ13" cm="1">
        <f t="array" ref="CQ13">_xll.EQNXTDZ($A$1,$B13,CQ$1)</f>
        <v>138.63285482750601</v>
      </c>
      <c r="CR13" cm="1">
        <f t="array" ref="CR13">_xll.EQNXTDZ($A$1,$B13,CR$1)</f>
        <v>130.877170641352</v>
      </c>
      <c r="CS13" cm="1">
        <f t="array" ref="CS13">_xll.EQNXTDZ($A$1,$B13,CS$1)</f>
        <v>72.7095392451956</v>
      </c>
      <c r="CT13" cm="1">
        <f t="array" ref="CT13">_xll.EQNXTDZ($A$1,$B13,CT$1)</f>
        <v>76.732800416763197</v>
      </c>
      <c r="CU13" cm="1">
        <f t="array" ref="CU13">_xll.EQNXTDZ($A$1,$B13,CU$1)</f>
        <v>76.684327390599705</v>
      </c>
      <c r="CV13" cm="1">
        <f t="array" ref="CV13">_xll.EQNXTDZ($A$1,$B13,CV$1)</f>
        <v>77.362949756888199</v>
      </c>
      <c r="CW13" cm="1">
        <f t="array" ref="CW13">_xll.EQNXTDZ($A$1,$B13,CW$1)</f>
        <v>74.066783977772602</v>
      </c>
      <c r="CX13" cm="1">
        <f t="array" ref="CX13">_xll.EQNXTDZ($A$1,$B13,CX$1)</f>
        <v>101.308624681639</v>
      </c>
      <c r="CY13" cm="1">
        <f t="array" ref="CY13">_xll.EQNXTDZ($A$1,$B13,CY$1)</f>
        <v>95.976591803658295</v>
      </c>
      <c r="CZ13" cm="1">
        <f t="array" ref="CZ13">_xll.EQNXTDZ($A$1,$B13,CZ$1)</f>
        <v>93.019737207687001</v>
      </c>
      <c r="DA13" cm="1">
        <f t="array" ref="DA13">_xll.EQNXTDZ($A$1,$B13,DA$1)</f>
        <v>116.67457397545699</v>
      </c>
      <c r="DB13" cm="1">
        <f t="array" ref="DB13">_xll.EQNXTDZ($A$1,$B13,DB$1)</f>
        <v>116.916939106275</v>
      </c>
      <c r="DC13" cm="1">
        <f t="array" ref="DC13">_xll.EQNXTDZ($A$1,$B13,DC$1)</f>
        <v>118.661968048159</v>
      </c>
      <c r="DD13" cm="1">
        <f t="array" ref="DD13">_xll.EQNXTDZ($A$1,$B13,DD$1)</f>
        <v>120.019212780736</v>
      </c>
      <c r="DE13" cm="1">
        <f t="array" ref="DE13">_xll.EQNXTDZ($A$1,$B13,DE$1)</f>
        <v>108.482632553832</v>
      </c>
      <c r="DF13" cm="1">
        <f t="array" ref="DF13">_xll.EQNXTDZ($A$1,$B13,DF$1)</f>
        <v>106.155927297986</v>
      </c>
      <c r="DG13" cm="1">
        <f t="array" ref="DG13">_xll.EQNXTDZ($A$1,$B13,DG$1)</f>
        <v>136.693933780968</v>
      </c>
      <c r="DH13" cm="1">
        <f t="array" ref="DH13">_xll.EQNXTDZ($A$1,$B13,DH$1)</f>
        <v>138.09965153970799</v>
      </c>
      <c r="DI13" cm="1">
        <f t="array" ref="DI13">_xll.EQNXTDZ($A$1,$B13,DI$1)</f>
        <v>140.57177587404499</v>
      </c>
      <c r="DJ13" cm="1">
        <f t="array" ref="DJ13">_xll.EQNXTDZ($A$1,$B13,DJ$1)</f>
        <v>135.288216022227</v>
      </c>
      <c r="DK13" cm="1">
        <f t="array" ref="DK13">_xll.EQNXTDZ($A$1,$B13,DK$1)</f>
        <v>174.79373234545</v>
      </c>
      <c r="DL13" cm="1">
        <f t="array" ref="DL13">_xll.EQNXTDZ($A$1,$B13,DL$1)</f>
        <v>186.13642046770099</v>
      </c>
      <c r="DM13" cm="1">
        <f t="array" ref="DM13">_xll.EQNXTDZ($A$1,$B13,DM$1)</f>
        <v>179.9</v>
      </c>
      <c r="DN13" cm="1">
        <f t="array" ref="DN13">_xll.EQNXTDZ($A$1,$B13,DN$1)</f>
        <v>180.75</v>
      </c>
      <c r="DO13" cm="1">
        <f t="array" ref="DO13">_xll.EQNXTDZ($A$1,$B13,DO$1)</f>
        <v>218.9</v>
      </c>
      <c r="DP13" cm="1">
        <f t="array" ref="DP13">_xll.EQNXTDZ($A$1,$B13,DP$1)</f>
        <v>197</v>
      </c>
      <c r="DQ13" cm="1">
        <f t="array" ref="DQ13">_xll.EQNXTDZ($A$1,$B13,DQ$1)</f>
        <v>240</v>
      </c>
      <c r="DR13" cm="1">
        <f t="array" ref="DR13">_xll.EQNXTDZ($A$1,$B13,DR$1)</f>
        <v>255</v>
      </c>
      <c r="DS13" cm="1">
        <f t="array" ref="DS13">_xll.EQNXTDZ($A$1,$B13,DS$1)</f>
        <v>235.2</v>
      </c>
      <c r="DT13" cm="1">
        <f t="array" ref="DT13">_xll.EQNXTDZ($A$1,$B13,DT$1)</f>
        <v>225</v>
      </c>
      <c r="DU13" cm="1">
        <f t="array" ref="DU13">_xll.EQNXTDZ($A$1,$B13,DU$1)</f>
        <v>263</v>
      </c>
      <c r="DV13" cm="1">
        <f t="array" ref="DV13">_xll.EQNXTDZ($A$1,$B13,DV$1)</f>
        <v>285.39999999999998</v>
      </c>
      <c r="DW13" cm="1">
        <f t="array" ref="DW13">_xll.EQNXTDZ($A$1,$B13,DW$1)</f>
        <v>333.05</v>
      </c>
      <c r="DX13" cm="1">
        <f t="array" ref="DX13">_xll.EQNXTDZ($A$1,$B13,DX$1)</f>
        <v>333.8</v>
      </c>
      <c r="DY13" cm="1">
        <f t="array" ref="DY13">_xll.EQNXTDZ($A$1,$B13,DY$1)</f>
        <v>322</v>
      </c>
      <c r="DZ13" cm="1">
        <f t="array" ref="DZ13">_xll.EQNXTDZ($A$1,$B13,DZ$1)</f>
        <v>319.75</v>
      </c>
      <c r="EA13" cm="1">
        <f t="array" ref="EA13">_xll.EQNXTDZ($A$1,$B13,EA$1)</f>
        <v>317.5</v>
      </c>
      <c r="EB13" cm="1">
        <f t="array" ref="EB13">_xll.EQNXTDZ($A$1,$B13,EB$1)</f>
        <v>310.95</v>
      </c>
      <c r="EC13" cm="1">
        <f t="array" ref="EC13">_xll.EQNXTDZ($A$1,$B13,EC$1)</f>
        <v>324.3</v>
      </c>
      <c r="ED13" cm="1">
        <f t="array" ref="ED13">_xll.EQNXTDZ($A$1,$B13,ED$1)</f>
        <v>340.1</v>
      </c>
      <c r="EE13" cm="1">
        <f t="array" ref="EE13">_xll.EQNXTDZ($A$1,$B13,EE$1)</f>
        <v>389.25</v>
      </c>
      <c r="EF13" cm="1">
        <f t="array" ref="EF13">_xll.EQNXTDZ($A$1,$B13,EF$1)</f>
        <v>393.15</v>
      </c>
      <c r="EG13" cm="1">
        <f t="array" ref="EG13">_xll.EQNXTDZ($A$1,$B13,EG$1)</f>
        <v>395</v>
      </c>
      <c r="EH13" cm="1">
        <f t="array" ref="EH13">_xll.EQNXTDZ($A$1,$B13,EH$1)</f>
        <v>424.85</v>
      </c>
      <c r="EI13" cm="1">
        <f t="array" ref="EI13">_xll.EQNXTDZ($A$1,$B13,EI$1)</f>
        <v>413.65</v>
      </c>
      <c r="EJ13" cm="1">
        <f t="array" ref="EJ13">_xll.EQNXTDZ($A$1,$B13,EJ$1)</f>
        <v>384.65</v>
      </c>
      <c r="EK13" cm="1">
        <f t="array" ref="EK13">_xll.EQNXTDZ($A$1,$B13,EK$1)</f>
        <v>421.8</v>
      </c>
      <c r="EL13" cm="1">
        <f t="array" ref="EL13">_xll.EQNXTDZ($A$1,$B13,EL$1)</f>
        <v>440.95</v>
      </c>
      <c r="EM13" cm="1">
        <f t="array" ref="EM13">_xll.EQNXTDZ($A$1,$B13,EM$1)</f>
        <v>499.05</v>
      </c>
      <c r="EN13" cm="1">
        <f t="array" ref="EN13">_xll.EQNXTDZ($A$1,$B13,EN$1)</f>
        <v>590</v>
      </c>
      <c r="EO13" cm="1">
        <f t="array" ref="EO13">_xll.EQNXTDZ($A$1,$B13,EO$1)</f>
        <v>599.4</v>
      </c>
      <c r="EP13" cm="1">
        <f t="array" ref="EP13">_xll.EQNXTDZ($A$1,$B13,EP$1)</f>
        <v>579.6</v>
      </c>
      <c r="EQ13" cm="1">
        <f t="array" ref="EQ13">_xll.EQNXTDZ($A$1,$B13,EQ$1)</f>
        <v>575.04999999999995</v>
      </c>
      <c r="ER13" cm="1">
        <f t="array" ref="ER13">_xll.EQNXTDZ($A$1,$B13,ER$1)</f>
        <v>628.65</v>
      </c>
      <c r="ES13" cm="1">
        <f t="array" ref="ES13">_xll.EQNXTDZ($A$1,$B13,ES$1)</f>
        <v>643</v>
      </c>
      <c r="ET13" cm="1">
        <f t="array" ref="ET13">_xll.EQNXTDZ($A$1,$B13,ET$1)</f>
        <v>647.29999999999995</v>
      </c>
      <c r="EU13" cm="1">
        <f t="array" ref="EU13">_xll.EQNXTDZ($A$1,$B13,EU$1)</f>
        <v>690.1</v>
      </c>
      <c r="EV13" cm="1">
        <f t="array" ref="EV13">_xll.EQNXTDZ($A$1,$B13,EV$1)</f>
        <v>684.75</v>
      </c>
      <c r="EW13" cm="1">
        <f t="array" ref="EW13">_xll.EQNXTDZ($A$1,$B13,EW$1)</f>
        <v>795.05</v>
      </c>
      <c r="EX13" cm="1">
        <f t="array" ref="EX13">_xll.EQNXTDZ($A$1,$B13,EX$1)</f>
        <v>874.05</v>
      </c>
      <c r="EY13" cm="1">
        <f t="array" ref="EY13">_xll.EQNXTDZ($A$1,$B13,EY$1)</f>
        <v>772.85</v>
      </c>
      <c r="EZ13" cm="1">
        <f t="array" ref="EZ13">_xll.EQNXTDZ($A$1,$B13,EZ$1)</f>
        <v>711.4</v>
      </c>
      <c r="FA13" cm="1">
        <f t="array" ref="FA13">_xll.EQNXTDZ($A$1,$B13,FA$1)</f>
        <v>799.85</v>
      </c>
      <c r="FB13" cm="1">
        <f t="array" ref="FB13">_xll.EQNXTDZ($A$1,$B13,FB$1)</f>
        <v>784.65</v>
      </c>
      <c r="FC13" cm="1">
        <f t="array" ref="FC13">_xll.EQNXTDZ($A$1,$B13,FC$1)</f>
        <v>775</v>
      </c>
      <c r="FD13" cm="1">
        <f t="array" ref="FD13">_xll.EQNXTDZ($A$1,$B13,FD$1)</f>
        <v>758.1</v>
      </c>
      <c r="FE13" cm="1">
        <f t="array" ref="FE13">_xll.EQNXTDZ($A$1,$B13,FE$1)</f>
        <v>740.85</v>
      </c>
      <c r="FF13" cm="1">
        <f t="array" ref="FF13">_xll.EQNXTDZ($A$1,$B13,FF$1)</f>
        <v>759.1</v>
      </c>
      <c r="FG13" cm="1">
        <f t="array" ref="FG13">_xll.EQNXTDZ($A$1,$B13,FG$1)</f>
        <v>720.25</v>
      </c>
      <c r="FH13" cm="1">
        <f t="array" ref="FH13">_xll.EQNXTDZ($A$1,$B13,FH$1)</f>
        <v>742.95</v>
      </c>
      <c r="FI13" cm="1">
        <f t="array" ref="FI13">_xll.EQNXTDZ($A$1,$B13,FI$1)</f>
        <v>753</v>
      </c>
      <c r="FJ13" cm="1">
        <f t="array" ref="FJ13">_xll.EQNXTDZ($A$1,$B13,FJ$1)</f>
        <v>738.8</v>
      </c>
      <c r="FK13" cm="1">
        <f t="array" ref="FK13">_xll.EQNXTDZ($A$1,$B13,FK$1)</f>
        <v>675.05</v>
      </c>
      <c r="FL13" cm="1">
        <f t="array" ref="FL13">_xll.EQNXTDZ($A$1,$B13,FL$1)</f>
        <v>637.79999999999995</v>
      </c>
      <c r="FM13" cm="1">
        <f t="array" ref="FM13">_xll.EQNXTDZ($A$1,$B13,FM$1)</f>
        <v>606.35</v>
      </c>
      <c r="FN13" cm="1">
        <f t="array" ref="FN13">_xll.EQNXTDZ($A$1,$B13,FN$1)</f>
        <v>643.75</v>
      </c>
      <c r="FO13" cm="1">
        <f t="array" ref="FO13">_xll.EQNXTDZ($A$1,$B13,FO$1)</f>
        <v>660.3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56.889968353230799</v>
      </c>
      <c r="D14" s="116" cm="1">
        <f t="array" ref="D14">_xll.EQNXTDZ($A$1,$B14,D$1)</f>
        <v>59.294408801971798</v>
      </c>
      <c r="E14" s="116" cm="1">
        <f t="array" ref="E14">_xll.EQNXTDZ($A$1,$B14,E$1)</f>
        <v>58.976841195534298</v>
      </c>
      <c r="F14" s="116" cm="1">
        <f t="array" ref="F14">_xll.EQNXTDZ($A$1,$B14,F$1)</f>
        <v>61.4266484451949</v>
      </c>
      <c r="G14" s="116" cm="1">
        <f t="array" ref="G14">_xll.EQNXTDZ($A$1,$B14,G$1)</f>
        <v>65.101359319685898</v>
      </c>
      <c r="H14" s="116" cm="1">
        <f t="array" ref="H14">_xll.EQNXTDZ($A$1,$B14,H$1)</f>
        <v>59.1583083992128</v>
      </c>
      <c r="I14" s="116" cm="1">
        <f t="array" ref="I14">_xll.EQNXTDZ($A$1,$B14,I$1)</f>
        <v>60.746146431400298</v>
      </c>
      <c r="J14" s="116" cm="1">
        <f t="array" ref="J14">_xll.EQNXTDZ($A$1,$B14,J$1)</f>
        <v>61.789582852552101</v>
      </c>
      <c r="K14" s="116" cm="1">
        <f t="array" ref="K14">_xll.EQNXTDZ($A$1,$B14,K$1)</f>
        <v>57.797304371623603</v>
      </c>
      <c r="L14" s="116" cm="1">
        <f t="array" ref="L14">_xll.EQNXTDZ($A$1,$B14,L$1)</f>
        <v>53.532825085177301</v>
      </c>
      <c r="M14" s="116" cm="1">
        <f t="array" ref="M14">_xll.EQNXTDZ($A$1,$B14,M$1)</f>
        <v>53.532825085177301</v>
      </c>
      <c r="N14" s="116" cm="1">
        <f t="array" ref="N14">_xll.EQNXTDZ($A$1,$B14,N$1)</f>
        <v>54.440161103570098</v>
      </c>
      <c r="O14" s="116" cm="1">
        <f t="array" ref="O14">_xll.EQNXTDZ($A$1,$B14,O$1)</f>
        <v>47.589774164704203</v>
      </c>
      <c r="P14" s="116" cm="1">
        <f t="array" ref="P14">_xll.EQNXTDZ($A$1,$B14,P$1)</f>
        <v>48.315642979418499</v>
      </c>
      <c r="Q14" s="116" cm="1">
        <f t="array" ref="Q14">_xll.EQNXTDZ($A$1,$B14,Q$1)</f>
        <v>42.055024452507901</v>
      </c>
      <c r="R14" s="116" cm="1">
        <f t="array" ref="R14">_xll.EQNXTDZ($A$1,$B14,R$1)</f>
        <v>47.408306961025602</v>
      </c>
      <c r="S14" s="116" cm="1">
        <f t="array" ref="S14">_xll.EQNXTDZ($A$1,$B14,S$1)</f>
        <v>46.591704544472101</v>
      </c>
      <c r="T14" s="116" cm="1">
        <f t="array" ref="T14">_xll.EQNXTDZ($A$1,$B14,T$1)</f>
        <v>49.222978997811303</v>
      </c>
      <c r="U14" s="116" cm="1">
        <f t="array" ref="U14">_xll.EQNXTDZ($A$1,$B14,U$1)</f>
        <v>56.617767547712901</v>
      </c>
      <c r="V14" s="116" cm="1">
        <f t="array" ref="V14">_xll.EQNXTDZ($A$1,$B14,V$1)</f>
        <v>57.116802357829002</v>
      </c>
      <c r="W14" s="116" cm="1">
        <f t="array" ref="W14">_xll.EQNXTDZ($A$1,$B14,W$1)</f>
        <v>66.008695338078795</v>
      </c>
      <c r="X14" s="116" cm="1">
        <f t="array" ref="X14">_xll.EQNXTDZ($A$1,$B14,X$1)</f>
        <v>67.142865361069795</v>
      </c>
      <c r="Y14" s="116" cm="1">
        <f t="array" ref="Y14">_xll.EQNXTDZ($A$1,$B14,Y$1)</f>
        <v>71.679545453033995</v>
      </c>
      <c r="Z14" s="116" cm="1">
        <f t="array" ref="Z14">_xll.EQNXTDZ($A$1,$B14,Z$1)</f>
        <v>83.928581701337194</v>
      </c>
      <c r="AA14" s="116" cm="1">
        <f t="array" ref="AA14">_xll.EQNXTDZ($A$1,$B14,AA$1)</f>
        <v>101.25869965264</v>
      </c>
      <c r="AB14" s="116" cm="1">
        <f t="array" ref="AB14">_xll.EQNXTDZ($A$1,$B14,AB$1)</f>
        <v>99.670861620452897</v>
      </c>
      <c r="AC14" s="116" cm="1">
        <f t="array" ref="AC14">_xll.EQNXTDZ($A$1,$B14,AC$1)</f>
        <v>88.193060987783596</v>
      </c>
      <c r="AD14" s="116" cm="1">
        <f t="array" ref="AD14">_xll.EQNXTDZ($A$1,$B14,AD$1)</f>
        <v>96.722019560676202</v>
      </c>
      <c r="AE14" s="116" cm="1">
        <f t="array" ref="AE14">_xll.EQNXTDZ($A$1,$B14,AE$1)</f>
        <v>100.805031643444</v>
      </c>
      <c r="AF14" s="116" cm="1">
        <f t="array" ref="AF14">_xll.EQNXTDZ($A$1,$B14,AF$1)</f>
        <v>101.530900458158</v>
      </c>
      <c r="AG14" s="116" cm="1">
        <f t="array" ref="AG14">_xll.EQNXTDZ($A$1,$B14,AG$1)</f>
        <v>115.458508340488</v>
      </c>
      <c r="AH14" s="116" cm="1">
        <f t="array" ref="AH14">_xll.EQNXTDZ($A$1,$B14,AH$1)</f>
        <v>115.09557393313101</v>
      </c>
      <c r="AI14" s="116" cm="1">
        <f t="array" ref="AI14">_xll.EQNXTDZ($A$1,$B14,AI$1)</f>
        <v>115.18630753497</v>
      </c>
      <c r="AJ14" s="116" cm="1">
        <f t="array" ref="AJ14">_xll.EQNXTDZ($A$1,$B14,AJ$1)</f>
        <v>107.156383772194</v>
      </c>
      <c r="AK14" s="116" cm="1">
        <f t="array" ref="AK14">_xll.EQNXTDZ($A$1,$B14,AK$1)</f>
        <v>106.611982161158</v>
      </c>
      <c r="AL14" s="116" cm="1">
        <f t="array" ref="AL14">_xll.EQNXTDZ($A$1,$B14,AL$1)</f>
        <v>101.621634059998</v>
      </c>
      <c r="AM14" s="116" cm="1">
        <f t="array" ref="AM14">_xll.EQNXTDZ($A$1,$B14,AM$1)</f>
        <v>93.455609894462</v>
      </c>
      <c r="AN14" s="116" cm="1">
        <f t="array" ref="AN14">_xll.EQNXTDZ($A$1,$B14,AN$1)</f>
        <v>91.051169445721001</v>
      </c>
      <c r="AO14" s="116" cm="1">
        <f t="array" ref="AO14">_xll.EQNXTDZ($A$1,$B14,AO$1)</f>
        <v>95.270281931247695</v>
      </c>
      <c r="AP14" s="116" cm="1">
        <f t="array" ref="AP14">_xll.EQNXTDZ($A$1,$B14,AP$1)</f>
        <v>83.837848099498004</v>
      </c>
      <c r="AQ14" s="116" cm="1">
        <f t="array" ref="AQ14">_xll.EQNXTDZ($A$1,$B14,AQ$1)</f>
        <v>90.642868237444205</v>
      </c>
      <c r="AR14" s="116" cm="1">
        <f t="array" ref="AR14">_xll.EQNXTDZ($A$1,$B14,AR$1)</f>
        <v>91.414103853078103</v>
      </c>
      <c r="AS14" s="116" cm="1">
        <f t="array" ref="AS14">_xll.EQNXTDZ($A$1,$B14,AS$1)</f>
        <v>108.88032220714</v>
      </c>
      <c r="AT14" s="116" cm="1">
        <f t="array" ref="AT14">_xll.EQNXTDZ($A$1,$B14,AT$1)</f>
        <v>113.235535095426</v>
      </c>
      <c r="AU14" s="116" cm="1">
        <f t="array" ref="AU14">_xll.EQNXTDZ($A$1,$B14,AU$1)</f>
        <v>108.92568900806</v>
      </c>
      <c r="AV14" s="116" cm="1">
        <f t="array" ref="AV14">_xll.EQNXTDZ($A$1,$B14,AV$1)</f>
        <v>93.274142690783407</v>
      </c>
      <c r="AW14" s="116" cm="1">
        <f t="array" ref="AW14">_xll.EQNXTDZ($A$1,$B14,AW$1)</f>
        <v>98.808892402979694</v>
      </c>
      <c r="AX14" s="116" cm="1">
        <f t="array" ref="AX14">_xll.EQNXTDZ($A$1,$B14,AX$1)</f>
        <v>109.243256614497</v>
      </c>
      <c r="AY14" s="116" cm="1">
        <f t="array" ref="AY14">_xll.EQNXTDZ($A$1,$B14,AY$1)</f>
        <v>124.30503451981799</v>
      </c>
      <c r="AZ14" s="116" cm="1">
        <f t="array" ref="AZ14">_xll.EQNXTDZ($A$1,$B14,AZ$1)</f>
        <v>129.74905063017499</v>
      </c>
      <c r="BA14" s="116" cm="1">
        <f t="array" ref="BA14">_xll.EQNXTDZ($A$1,$B14,BA$1)</f>
        <v>126.981675774077</v>
      </c>
      <c r="BB14" s="116" cm="1">
        <f t="array" ref="BB14">_xll.EQNXTDZ($A$1,$B14,BB$1)</f>
        <v>123.39769850142601</v>
      </c>
      <c r="BC14" s="116" cm="1">
        <f t="array" ref="BC14">_xll.EQNXTDZ($A$1,$B14,BC$1)</f>
        <v>121.49229286280099</v>
      </c>
      <c r="BD14" s="116" cm="1">
        <f t="array" ref="BD14">_xll.EQNXTDZ($A$1,$B14,BD$1)</f>
        <v>113.417002299104</v>
      </c>
      <c r="BE14" s="116" cm="1">
        <f t="array" ref="BE14">_xll.EQNXTDZ($A$1,$B14,BE$1)</f>
        <v>96.631285958836898</v>
      </c>
      <c r="BF14" s="116" cm="1">
        <f t="array" ref="BF14">_xll.EQNXTDZ($A$1,$B14,BF$1)</f>
        <v>101.530900458158</v>
      </c>
      <c r="BG14" s="116" cm="1">
        <f t="array" ref="BG14">_xll.EQNXTDZ($A$1,$B14,BG$1)</f>
        <v>115.776075946926</v>
      </c>
      <c r="BH14" s="116" cm="1">
        <f t="array" ref="BH14">_xll.EQNXTDZ($A$1,$B14,BH$1)</f>
        <v>116.86487916899701</v>
      </c>
      <c r="BI14" s="116" cm="1">
        <f t="array" ref="BI14">_xll.EQNXTDZ($A$1,$B14,BI$1)</f>
        <v>119.586887224176</v>
      </c>
      <c r="BJ14" s="116" cm="1">
        <f t="array" ref="BJ14">_xll.EQNXTDZ($A$1,$B14,BJ$1)</f>
        <v>132.15349107891601</v>
      </c>
      <c r="BK14" s="116" cm="1">
        <f t="array" ref="BK14">_xll.EQNXTDZ($A$1,$B14,BK$1)</f>
        <v>126.57337456579999</v>
      </c>
      <c r="BL14" s="116" cm="1">
        <f t="array" ref="BL14">_xll.EQNXTDZ($A$1,$B14,BL$1)</f>
        <v>120.675690446247</v>
      </c>
      <c r="BM14" s="116" cm="1">
        <f t="array" ref="BM14">_xll.EQNXTDZ($A$1,$B14,BM$1)</f>
        <v>121.855227270158</v>
      </c>
      <c r="BN14" s="116" cm="1">
        <f t="array" ref="BN14">_xll.EQNXTDZ($A$1,$B14,BN$1)</f>
        <v>114.868739928533</v>
      </c>
      <c r="BO14" s="116" cm="1">
        <f t="array" ref="BO14">_xll.EQNXTDZ($A$1,$B14,BO$1)</f>
        <v>114.638706876592</v>
      </c>
      <c r="BP14" s="116" cm="1">
        <f t="array" ref="BP14">_xll.EQNXTDZ($A$1,$B14,BP$1)</f>
        <v>121.23103843482301</v>
      </c>
      <c r="BQ14" s="116" cm="1">
        <f t="array" ref="BQ14">_xll.EQNXTDZ($A$1,$B14,BQ$1)</f>
        <v>121.47340356564</v>
      </c>
      <c r="BR14" s="116" cm="1">
        <f t="array" ref="BR14">_xll.EQNXTDZ($A$1,$B14,BR$1)</f>
        <v>155.69536003704599</v>
      </c>
      <c r="BS14" s="116" cm="1">
        <f t="array" ref="BS14">_xll.EQNXTDZ($A$1,$B14,BS$1)</f>
        <v>139.844680481593</v>
      </c>
      <c r="BT14" s="116" cm="1">
        <f t="array" ref="BT14">_xll.EQNXTDZ($A$1,$B14,BT$1)</f>
        <v>134.221809446631</v>
      </c>
      <c r="BU14" s="116" cm="1">
        <f t="array" ref="BU14">_xll.EQNXTDZ($A$1,$B14,BU$1)</f>
        <v>151.13889557767999</v>
      </c>
      <c r="BV14" s="116" cm="1">
        <f t="array" ref="BV14">_xll.EQNXTDZ($A$1,$B14,BV$1)</f>
        <v>145.419078490391</v>
      </c>
      <c r="BW14" s="116" cm="1">
        <f t="array" ref="BW14">_xll.EQNXTDZ($A$1,$B14,BW$1)</f>
        <v>139.35995021995799</v>
      </c>
      <c r="BX14" s="116" cm="1">
        <f t="array" ref="BX14">_xll.EQNXTDZ($A$1,$B14,BX$1)</f>
        <v>131.749685112295</v>
      </c>
      <c r="BY14" s="116" cm="1">
        <f t="array" ref="BY14">_xll.EQNXTDZ($A$1,$B14,BY$1)</f>
        <v>133.78555221116</v>
      </c>
      <c r="BZ14" s="116" cm="1">
        <f t="array" ref="BZ14">_xll.EQNXTDZ($A$1,$B14,BZ$1)</f>
        <v>135.04585089141</v>
      </c>
      <c r="CA14" s="116" cm="1">
        <f t="array" ref="CA14">_xll.EQNXTDZ($A$1,$B14,CA$1)</f>
        <v>135.43363510071799</v>
      </c>
      <c r="CB14" s="116" cm="1">
        <f t="array" ref="CB14">_xll.EQNXTDZ($A$1,$B14,CB$1)</f>
        <v>142.510696920583</v>
      </c>
      <c r="CC14" s="116" cm="1">
        <f t="array" ref="CC14">_xll.EQNXTDZ($A$1,$B14,CC$1)</f>
        <v>148.327460060199</v>
      </c>
      <c r="CD14" s="116" cm="1">
        <f t="array" ref="CD14">_xll.EQNXTDZ($A$1,$B14,CD$1)</f>
        <v>145.70991664737201</v>
      </c>
      <c r="CE14" s="116" cm="1">
        <f t="array" ref="CE14">_xll.EQNXTDZ($A$1,$B14,CE$1)</f>
        <v>142.99542718221801</v>
      </c>
      <c r="CF14" s="116" cm="1">
        <f t="array" ref="CF14">_xll.EQNXTDZ($A$1,$B14,CF$1)</f>
        <v>151.67209886547801</v>
      </c>
      <c r="CG14" s="116" cm="1">
        <f t="array" ref="CG14">_xll.EQNXTDZ($A$1,$B14,CG$1)</f>
        <v>156.08314424635299</v>
      </c>
      <c r="CH14" s="116" cm="1">
        <f t="array" ref="CH14">_xll.EQNXTDZ($A$1,$B14,CH$1)</f>
        <v>156.08314424635299</v>
      </c>
      <c r="CI14" s="116" cm="1">
        <f t="array" ref="CI14">_xll.EQNXTDZ($A$1,$B14,CI$1)</f>
        <v>159.088471868488</v>
      </c>
      <c r="CJ14" s="116" cm="1">
        <f t="array" ref="CJ14">_xll.EQNXTDZ($A$1,$B14,CJ$1)</f>
        <v>154.725899513776</v>
      </c>
      <c r="CK14" s="116" cm="1">
        <f t="array" ref="CK14">_xll.EQNXTDZ($A$1,$B14,CK$1)</f>
        <v>139.31147719379501</v>
      </c>
      <c r="CL14" s="116" cm="1">
        <f t="array" ref="CL14">_xll.EQNXTDZ($A$1,$B14,CL$1)</f>
        <v>157.97359226672799</v>
      </c>
      <c r="CM14" s="116" cm="1">
        <f t="array" ref="CM14">_xll.EQNXTDZ($A$1,$B14,CM$1)</f>
        <v>156.56787450798799</v>
      </c>
      <c r="CN14" s="116" cm="1">
        <f t="array" ref="CN14">_xll.EQNXTDZ($A$1,$B14,CN$1)</f>
        <v>153.17476267654499</v>
      </c>
      <c r="CO14" s="116" cm="1">
        <f t="array" ref="CO14">_xll.EQNXTDZ($A$1,$B14,CO$1)</f>
        <v>146.679377170641</v>
      </c>
      <c r="CP14" s="116" cm="1">
        <f t="array" ref="CP14">_xll.EQNXTDZ($A$1,$B14,CP$1)</f>
        <v>145.95228177818899</v>
      </c>
      <c r="CQ14" s="116" cm="1">
        <f t="array" ref="CQ14">_xll.EQNXTDZ($A$1,$B14,CQ$1)</f>
        <v>139.35995021995799</v>
      </c>
      <c r="CR14" s="116" cm="1">
        <f t="array" ref="CR14">_xll.EQNXTDZ($A$1,$B14,CR$1)</f>
        <v>133.78555221116</v>
      </c>
      <c r="CS14" s="116" cm="1">
        <f t="array" ref="CS14">_xll.EQNXTDZ($A$1,$B14,CS$1)</f>
        <v>82.404144477888394</v>
      </c>
      <c r="CT14" s="116" cm="1">
        <f t="array" ref="CT14">_xll.EQNXTDZ($A$1,$B14,CT$1)</f>
        <v>76.732800416763197</v>
      </c>
      <c r="CU14" s="116" cm="1">
        <f t="array" ref="CU14">_xll.EQNXTDZ($A$1,$B14,CU$1)</f>
        <v>93.843778652465801</v>
      </c>
      <c r="CV14" s="116" cm="1">
        <f t="array" ref="CV14">_xll.EQNXTDZ($A$1,$B14,CV$1)</f>
        <v>85.118633943042397</v>
      </c>
      <c r="CW14" s="116" cm="1">
        <f t="array" ref="CW14">_xll.EQNXTDZ($A$1,$B14,CW$1)</f>
        <v>108.91888978930299</v>
      </c>
      <c r="CX14" s="116" cm="1">
        <f t="array" ref="CX14">_xll.EQNXTDZ($A$1,$B14,CX$1)</f>
        <v>104.89562861773599</v>
      </c>
      <c r="CY14" s="116" cm="1">
        <f t="array" ref="CY14">_xll.EQNXTDZ($A$1,$B14,CY$1)</f>
        <v>99.612068765917996</v>
      </c>
      <c r="CZ14" s="116" cm="1">
        <f t="array" ref="CZ14">_xll.EQNXTDZ($A$1,$B14,CZ$1)</f>
        <v>118.904333178977</v>
      </c>
      <c r="DA14" s="116" cm="1">
        <f t="array" ref="DA14">_xll.EQNXTDZ($A$1,$B14,DA$1)</f>
        <v>134.75501273442899</v>
      </c>
      <c r="DB14" s="116" cm="1">
        <f t="array" ref="DB14">_xll.EQNXTDZ($A$1,$B14,DB$1)</f>
        <v>125.835975920352</v>
      </c>
      <c r="DC14" s="116" cm="1">
        <f t="array" ref="DC14">_xll.EQNXTDZ($A$1,$B14,DC$1)</f>
        <v>128.93824959481401</v>
      </c>
      <c r="DD14" s="116" cm="1">
        <f t="array" ref="DD14">_xll.EQNXTDZ($A$1,$B14,DD$1)</f>
        <v>126.417652234314</v>
      </c>
      <c r="DE14" s="116" cm="1">
        <f t="array" ref="DE14">_xll.EQNXTDZ($A$1,$B14,DE$1)</f>
        <v>111.875744385274</v>
      </c>
      <c r="DF14" s="116" cm="1">
        <f t="array" ref="DF14">_xll.EQNXTDZ($A$1,$B14,DF$1)</f>
        <v>136.20920351933299</v>
      </c>
      <c r="DG14" s="116" cm="1">
        <f t="array" ref="DG14">_xll.EQNXTDZ($A$1,$B14,DG$1)</f>
        <v>146.00075480435299</v>
      </c>
      <c r="DH14" s="116" cm="1">
        <f t="array" ref="DH14">_xll.EQNXTDZ($A$1,$B14,DH$1)</f>
        <v>152.447667284094</v>
      </c>
      <c r="DI14" s="116" cm="1">
        <f t="array" ref="DI14">_xll.EQNXTDZ($A$1,$B14,DI$1)</f>
        <v>144.54656401944899</v>
      </c>
      <c r="DJ14" s="116" cm="1">
        <f t="array" ref="DJ14">_xll.EQNXTDZ($A$1,$B14,DJ$1)</f>
        <v>194.76461912479701</v>
      </c>
      <c r="DK14" s="116" cm="1">
        <f t="array" ref="DK14">_xll.EQNXTDZ($A$1,$B14,DK$1)</f>
        <v>230.24687427645301</v>
      </c>
      <c r="DL14" s="116" cm="1">
        <f t="array" ref="DL14">_xll.EQNXTDZ($A$1,$B14,DL$1)</f>
        <v>224.25</v>
      </c>
      <c r="DM14" s="116" cm="1">
        <f t="array" ref="DM14">_xll.EQNXTDZ($A$1,$B14,DM$1)</f>
        <v>206.8</v>
      </c>
      <c r="DN14" s="116" cm="1">
        <f t="array" ref="DN14">_xll.EQNXTDZ($A$1,$B14,DN$1)</f>
        <v>218.35</v>
      </c>
      <c r="DO14" s="116" cm="1">
        <f t="array" ref="DO14">_xll.EQNXTDZ($A$1,$B14,DO$1)</f>
        <v>226.45</v>
      </c>
      <c r="DP14" s="116" cm="1">
        <f t="array" ref="DP14">_xll.EQNXTDZ($A$1,$B14,DP$1)</f>
        <v>245.45</v>
      </c>
      <c r="DQ14" s="116" cm="1">
        <f t="array" ref="DQ14">_xll.EQNXTDZ($A$1,$B14,DQ$1)</f>
        <v>260.3</v>
      </c>
      <c r="DR14" s="116" cm="1">
        <f t="array" ref="DR14">_xll.EQNXTDZ($A$1,$B14,DR$1)</f>
        <v>268.85000000000002</v>
      </c>
      <c r="DS14" s="116" cm="1">
        <f t="array" ref="DS14">_xll.EQNXTDZ($A$1,$B14,DS$1)</f>
        <v>238.75</v>
      </c>
      <c r="DT14" s="116" cm="1">
        <f t="array" ref="DT14">_xll.EQNXTDZ($A$1,$B14,DT$1)</f>
        <v>266.95</v>
      </c>
      <c r="DU14" s="116" cm="1">
        <f t="array" ref="DU14">_xll.EQNXTDZ($A$1,$B14,DU$1)</f>
        <v>288.14999999999998</v>
      </c>
      <c r="DV14" s="116" cm="1">
        <f t="array" ref="DV14">_xll.EQNXTDZ($A$1,$B14,DV$1)</f>
        <v>337.3</v>
      </c>
      <c r="DW14" s="116" cm="1">
        <f t="array" ref="DW14">_xll.EQNXTDZ($A$1,$B14,DW$1)</f>
        <v>348.7</v>
      </c>
      <c r="DX14" s="116" cm="1">
        <f t="array" ref="DX14">_xll.EQNXTDZ($A$1,$B14,DX$1)</f>
        <v>348</v>
      </c>
      <c r="DY14" s="116" cm="1">
        <f t="array" ref="DY14">_xll.EQNXTDZ($A$1,$B14,DY$1)</f>
        <v>335.95</v>
      </c>
      <c r="DZ14" s="116" cm="1">
        <f t="array" ref="DZ14">_xll.EQNXTDZ($A$1,$B14,DZ$1)</f>
        <v>321.55</v>
      </c>
      <c r="EA14" s="116" cm="1">
        <f t="array" ref="EA14">_xll.EQNXTDZ($A$1,$B14,EA$1)</f>
        <v>330.4</v>
      </c>
      <c r="EB14" s="116" cm="1">
        <f t="array" ref="EB14">_xll.EQNXTDZ($A$1,$B14,EB$1)</f>
        <v>330.6</v>
      </c>
      <c r="EC14" s="116" cm="1">
        <f t="array" ref="EC14">_xll.EQNXTDZ($A$1,$B14,EC$1)</f>
        <v>348.45</v>
      </c>
      <c r="ED14" s="116" cm="1">
        <f t="array" ref="ED14">_xll.EQNXTDZ($A$1,$B14,ED$1)</f>
        <v>394.95</v>
      </c>
      <c r="EE14" s="116" cm="1">
        <f t="array" ref="EE14">_xll.EQNXTDZ($A$1,$B14,EE$1)</f>
        <v>405.2</v>
      </c>
      <c r="EF14" s="116" cm="1">
        <f t="array" ref="EF14">_xll.EQNXTDZ($A$1,$B14,EF$1)</f>
        <v>405</v>
      </c>
      <c r="EG14" s="116" cm="1">
        <f t="array" ref="EG14">_xll.EQNXTDZ($A$1,$B14,EG$1)</f>
        <v>425.4</v>
      </c>
      <c r="EH14" s="116" cm="1">
        <f t="array" ref="EH14">_xll.EQNXTDZ($A$1,$B14,EH$1)</f>
        <v>436.25</v>
      </c>
      <c r="EI14" s="116" cm="1">
        <f t="array" ref="EI14">_xll.EQNXTDZ($A$1,$B14,EI$1)</f>
        <v>424.75</v>
      </c>
      <c r="EJ14" s="116" cm="1">
        <f t="array" ref="EJ14">_xll.EQNXTDZ($A$1,$B14,EJ$1)</f>
        <v>425.95</v>
      </c>
      <c r="EK14" s="116" cm="1">
        <f t="array" ref="EK14">_xll.EQNXTDZ($A$1,$B14,EK$1)</f>
        <v>451</v>
      </c>
      <c r="EL14" s="116" cm="1">
        <f t="array" ref="EL14">_xll.EQNXTDZ($A$1,$B14,EL$1)</f>
        <v>501.95</v>
      </c>
      <c r="EM14" s="116" cm="1">
        <f t="array" ref="EM14">_xll.EQNXTDZ($A$1,$B14,EM$1)</f>
        <v>602.75</v>
      </c>
      <c r="EN14" s="116" cm="1">
        <f t="array" ref="EN14">_xll.EQNXTDZ($A$1,$B14,EN$1)</f>
        <v>595.6</v>
      </c>
      <c r="EO14" s="116" cm="1">
        <f t="array" ref="EO14">_xll.EQNXTDZ($A$1,$B14,EO$1)</f>
        <v>622.25</v>
      </c>
      <c r="EP14" s="116" cm="1">
        <f t="array" ref="EP14">_xll.EQNXTDZ($A$1,$B14,EP$1)</f>
        <v>586.65</v>
      </c>
      <c r="EQ14" s="116" cm="1">
        <f t="array" ref="EQ14">_xll.EQNXTDZ($A$1,$B14,EQ$1)</f>
        <v>663.4</v>
      </c>
      <c r="ER14" s="116" cm="1">
        <f t="array" ref="ER14">_xll.EQNXTDZ($A$1,$B14,ER$1)</f>
        <v>653.65</v>
      </c>
      <c r="ES14" s="116" cm="1">
        <f t="array" ref="ES14">_xll.EQNXTDZ($A$1,$B14,ES$1)</f>
        <v>672</v>
      </c>
      <c r="ET14" s="116" cm="1">
        <f t="array" ref="ET14">_xll.EQNXTDZ($A$1,$B14,ET$1)</f>
        <v>720.6</v>
      </c>
      <c r="EU14" s="116" cm="1">
        <f t="array" ref="EU14">_xll.EQNXTDZ($A$1,$B14,EU$1)</f>
        <v>715.1</v>
      </c>
      <c r="EV14" s="116" cm="1">
        <f t="array" ref="EV14">_xll.EQNXTDZ($A$1,$B14,EV$1)</f>
        <v>814.65</v>
      </c>
      <c r="EW14" s="116" cm="1">
        <f t="array" ref="EW14">_xll.EQNXTDZ($A$1,$B14,EW$1)</f>
        <v>894.15</v>
      </c>
      <c r="EX14" s="116" cm="1">
        <f t="array" ref="EX14">_xll.EQNXTDZ($A$1,$B14,EX$1)</f>
        <v>883.8</v>
      </c>
      <c r="EY14" s="116" cm="1">
        <f t="array" ref="EY14">_xll.EQNXTDZ($A$1,$B14,EY$1)</f>
        <v>835.8</v>
      </c>
      <c r="EZ14" s="116" cm="1">
        <f t="array" ref="EZ14">_xll.EQNXTDZ($A$1,$B14,EZ$1)</f>
        <v>858.85</v>
      </c>
      <c r="FA14" s="116" cm="1">
        <f t="array" ref="FA14">_xll.EQNXTDZ($A$1,$B14,FA$1)</f>
        <v>853.3</v>
      </c>
      <c r="FB14" s="116" cm="1">
        <f t="array" ref="FB14">_xll.EQNXTDZ($A$1,$B14,FB$1)</f>
        <v>822</v>
      </c>
      <c r="FC14" s="116" cm="1">
        <f t="array" ref="FC14">_xll.EQNXTDZ($A$1,$B14,FC$1)</f>
        <v>791.9</v>
      </c>
      <c r="FD14" s="116" cm="1">
        <f t="array" ref="FD14">_xll.EQNXTDZ($A$1,$B14,FD$1)</f>
        <v>779.95</v>
      </c>
      <c r="FE14" s="116" cm="1">
        <f t="array" ref="FE14">_xll.EQNXTDZ($A$1,$B14,FE$1)</f>
        <v>811.9</v>
      </c>
      <c r="FF14" s="116" cm="1">
        <f t="array" ref="FF14">_xll.EQNXTDZ($A$1,$B14,FF$1)</f>
        <v>792.4</v>
      </c>
      <c r="FG14" s="116" cm="1">
        <f t="array" ref="FG14">_xll.EQNXTDZ($A$1,$B14,FG$1)</f>
        <v>753.95</v>
      </c>
      <c r="FH14" s="116" cm="1">
        <f t="array" ref="FH14">_xll.EQNXTDZ($A$1,$B14,FH$1)</f>
        <v>749.25</v>
      </c>
      <c r="FI14" s="116" cm="1">
        <f t="array" ref="FI14">_xll.EQNXTDZ($A$1,$B14,FI$1)</f>
        <v>754.15</v>
      </c>
      <c r="FJ14" s="116" cm="1">
        <f t="array" ref="FJ14">_xll.EQNXTDZ($A$1,$B14,FJ$1)</f>
        <v>751</v>
      </c>
      <c r="FK14" s="116" cm="1">
        <f t="array" ref="FK14">_xll.EQNXTDZ($A$1,$B14,FK$1)</f>
        <v>718.7</v>
      </c>
      <c r="FL14" s="116" cm="1">
        <f t="array" ref="FL14">_xll.EQNXTDZ($A$1,$B14,FL$1)</f>
        <v>662</v>
      </c>
      <c r="FM14" s="116" cm="1">
        <f t="array" ref="FM14">_xll.EQNXTDZ($A$1,$B14,FM$1)</f>
        <v>668.4</v>
      </c>
      <c r="FN14" s="116" cm="1">
        <f t="array" ref="FN14">_xll.EQNXTDZ($A$1,$B14,FN$1)</f>
        <v>680.8</v>
      </c>
      <c r="FO14" s="116" cm="1">
        <f t="array" ref="FO14">_xll.EQNXTDZ($A$1,$B14,FO$1)</f>
        <v>698.75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61.4266484451949</v>
      </c>
      <c r="HQ14" s="116">
        <f>+MAX(G14:I14)</f>
        <v>65.101359319685898</v>
      </c>
      <c r="HR14" s="116">
        <f>+MAX(J14:L14)</f>
        <v>61.789582852552101</v>
      </c>
      <c r="HS14" s="116">
        <f>+MAX(M14:O14)</f>
        <v>54.440161103570098</v>
      </c>
      <c r="HT14" s="116">
        <f>+MAX(P14:R14)</f>
        <v>48.315642979418499</v>
      </c>
      <c r="HU14" s="116">
        <f>+MAX(S14:U14)</f>
        <v>56.617767547712901</v>
      </c>
      <c r="HV14" s="116">
        <f>+MAX(V14:X14)</f>
        <v>67.142865361069795</v>
      </c>
      <c r="HW14" s="116">
        <f>+MAX(Y14:AA14)</f>
        <v>101.25869965264</v>
      </c>
      <c r="HX14" s="116">
        <f>+MAX(AB14:AD14)</f>
        <v>99.670861620452897</v>
      </c>
      <c r="HY14" s="116">
        <f>+MAX(AE14:AG14)</f>
        <v>115.458508340488</v>
      </c>
      <c r="HZ14" s="116">
        <f>+MAX(AH14:AJ14)</f>
        <v>115.18630753497</v>
      </c>
      <c r="IA14" s="116">
        <f>+MAX(AK14:AM14)</f>
        <v>106.611982161158</v>
      </c>
      <c r="IB14" s="116">
        <f>+MAX(AN14:AP14)</f>
        <v>95.270281931247695</v>
      </c>
      <c r="IC14" s="116">
        <f>+MAX(AQ14:AS14)</f>
        <v>108.88032220714</v>
      </c>
      <c r="ID14" s="116">
        <f>+MAX(AT14:AV14)</f>
        <v>113.235535095426</v>
      </c>
      <c r="IE14" s="116">
        <f>+MAX(AW14:AY14)</f>
        <v>124.30503451981799</v>
      </c>
      <c r="IF14" s="116">
        <f>+MAX(AZ14:BB14)</f>
        <v>129.74905063017499</v>
      </c>
      <c r="IG14" s="116">
        <f>+MAX(BC14:BE14)</f>
        <v>121.49229286280099</v>
      </c>
      <c r="IH14" s="116">
        <f>+MAX(BF14:BH14)</f>
        <v>116.86487916899701</v>
      </c>
      <c r="II14" s="116">
        <f>+MAX(BI14:BK14)</f>
        <v>132.15349107891601</v>
      </c>
      <c r="IJ14" s="116">
        <f>+MAX(BL14:BN14)</f>
        <v>121.855227270158</v>
      </c>
      <c r="IK14" s="116">
        <f>+MAX(BO14:BQ14)</f>
        <v>121.47340356564</v>
      </c>
      <c r="IL14" s="116">
        <f>+MAX(BR14:BT14)</f>
        <v>155.69536003704599</v>
      </c>
      <c r="IM14" s="116">
        <f>+MAX(BU14:BW14)</f>
        <v>151.13889557767999</v>
      </c>
      <c r="IN14" s="116">
        <f>+MAX(BX14:BZ14)</f>
        <v>135.04585089141</v>
      </c>
      <c r="IO14" s="116">
        <f>+MAX(CA14:CC14)</f>
        <v>148.327460060199</v>
      </c>
      <c r="IP14" s="116">
        <f>+MAX(CD14:CF14)</f>
        <v>151.67209886547801</v>
      </c>
      <c r="IQ14" s="116">
        <f>+MAX(CG14:CI14)</f>
        <v>159.088471868488</v>
      </c>
      <c r="IR14" s="116">
        <f>+MAX(CJ14:CL14)</f>
        <v>157.97359226672799</v>
      </c>
      <c r="IS14" s="116">
        <f>+MAX(CM14:CO14)</f>
        <v>156.56787450798799</v>
      </c>
      <c r="IT14" s="116">
        <f>+MAX(CP14:CR14)</f>
        <v>145.95228177818899</v>
      </c>
      <c r="IU14" s="116">
        <f>+MAX(CS14:CU14)</f>
        <v>93.843778652465801</v>
      </c>
      <c r="IV14" s="116">
        <f>+MAX(CV14:CX14)</f>
        <v>108.91888978930299</v>
      </c>
      <c r="IW14" s="116">
        <f>+MAX(CY14:DA14)</f>
        <v>134.75501273442899</v>
      </c>
      <c r="IX14" s="116">
        <f>+MAX(DB14:DD14)</f>
        <v>128.93824959481401</v>
      </c>
      <c r="IY14" s="116">
        <f>+MAX(DE14:DG14)</f>
        <v>146.00075480435299</v>
      </c>
      <c r="IZ14" s="116">
        <f>+MAX(DH14:DJ14)</f>
        <v>194.76461912479701</v>
      </c>
      <c r="JA14" s="116">
        <f>+MAX(DK14:DM14)</f>
        <v>230.24687427645301</v>
      </c>
      <c r="JB14" s="116">
        <f>+MAX(DN14:DP14)</f>
        <v>245.45</v>
      </c>
      <c r="JC14" s="116">
        <f>+MAX(DQ14:DS14)</f>
        <v>268.85000000000002</v>
      </c>
      <c r="JD14" s="116">
        <f>+MAX(DT14:DV14)</f>
        <v>337.3</v>
      </c>
      <c r="JE14" s="116">
        <f>+MAX(DW14:DY14)</f>
        <v>348.7</v>
      </c>
      <c r="JF14" s="116">
        <f>+MAX(DZ14:EB14)</f>
        <v>330.6</v>
      </c>
      <c r="JG14" s="116">
        <f>+MAX(EC14:EE14)</f>
        <v>405.2</v>
      </c>
      <c r="JH14" s="116">
        <f>+MAX(EF14:EH14)</f>
        <v>436.25</v>
      </c>
      <c r="JI14" s="116">
        <f>+MAX(EI14:EK14)</f>
        <v>451</v>
      </c>
      <c r="JJ14" s="116">
        <f>+MAX(EL14:EN14)</f>
        <v>602.75</v>
      </c>
      <c r="JK14" s="116">
        <f>MAX(EO14:EQ14)</f>
        <v>663.4</v>
      </c>
      <c r="JL14" s="116">
        <f>MAX(ER14:ET14)</f>
        <v>720.6</v>
      </c>
      <c r="JM14" s="116">
        <f>MAX(EU14:EW14)</f>
        <v>894.15</v>
      </c>
      <c r="JN14" s="116">
        <f>MAX(EX14:EZ14)</f>
        <v>883.8</v>
      </c>
      <c r="JO14" s="116">
        <f>MAX(FA14:FC14)</f>
        <v>853.3</v>
      </c>
      <c r="JP14" s="116">
        <f>MAX(FD14:FF14)</f>
        <v>811.9</v>
      </c>
      <c r="JQ14" s="116">
        <f>MAX(FG14:FI14)</f>
        <v>754.15</v>
      </c>
      <c r="JR14" s="116">
        <f>MAX(FJ14:FL14)</f>
        <v>751</v>
      </c>
      <c r="JS14" s="116">
        <f>MAX(FM14:FO14)</f>
        <v>698.75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48.134175775739898</v>
      </c>
      <c r="D15" s="116" cm="1">
        <f t="array" ref="D15">_xll.EQNXTDZ($A$1,$B15,D$1)</f>
        <v>50.130315016204101</v>
      </c>
      <c r="E15" s="116" cm="1">
        <f t="array" ref="E15">_xll.EQNXTDZ($A$1,$B15,E$1)</f>
        <v>53.169890677820099</v>
      </c>
      <c r="F15" s="116" cm="1">
        <f t="array" ref="F15">_xll.EQNXTDZ($A$1,$B15,F$1)</f>
        <v>53.079157075980802</v>
      </c>
      <c r="G15" s="116" cm="1">
        <f t="array" ref="G15">_xll.EQNXTDZ($A$1,$B15,G$1)</f>
        <v>56.2548331403558</v>
      </c>
      <c r="H15" s="116" cm="1">
        <f t="array" ref="H15">_xll.EQNXTDZ($A$1,$B15,H$1)</f>
        <v>46.5463377435524</v>
      </c>
      <c r="I15" s="116" cm="1">
        <f t="array" ref="I15">_xll.EQNXTDZ($A$1,$B15,I$1)</f>
        <v>55.891898732998598</v>
      </c>
      <c r="J15" s="116" cm="1">
        <f t="array" ref="J15">_xll.EQNXTDZ($A$1,$B15,J$1)</f>
        <v>54.712361909087903</v>
      </c>
      <c r="K15" s="116" cm="1">
        <f t="array" ref="K15">_xll.EQNXTDZ($A$1,$B15,K$1)</f>
        <v>48.224909377579202</v>
      </c>
      <c r="L15" s="116" cm="1">
        <f t="array" ref="L15">_xll.EQNXTDZ($A$1,$B15,L$1)</f>
        <v>47.861974970222001</v>
      </c>
      <c r="M15" s="116" cm="1">
        <f t="array" ref="M15">_xll.EQNXTDZ($A$1,$B15,M$1)</f>
        <v>48.451743382177398</v>
      </c>
      <c r="N15" s="116" cm="1">
        <f t="array" ref="N15">_xll.EQNXTDZ($A$1,$B15,N$1)</f>
        <v>46.455604141713202</v>
      </c>
      <c r="O15" s="116" cm="1">
        <f t="array" ref="O15">_xll.EQNXTDZ($A$1,$B15,O$1)</f>
        <v>41.782823646990003</v>
      </c>
      <c r="P15" s="116" cm="1">
        <f t="array" ref="P15">_xll.EQNXTDZ($A$1,$B15,P$1)</f>
        <v>39.015448790891902</v>
      </c>
      <c r="Q15" s="116" cm="1">
        <f t="array" ref="Q15">_xll.EQNXTDZ($A$1,$B15,Q$1)</f>
        <v>34.070467490650998</v>
      </c>
      <c r="R15" s="116" cm="1">
        <f t="array" ref="R15">_xll.EQNXTDZ($A$1,$B15,R$1)</f>
        <v>39.469116800088301</v>
      </c>
      <c r="S15" s="116" cm="1">
        <f t="array" ref="S15">_xll.EQNXTDZ($A$1,$B15,S$1)</f>
        <v>42.6901596653829</v>
      </c>
      <c r="T15" s="116" cm="1">
        <f t="array" ref="T15">_xll.EQNXTDZ($A$1,$B15,T$1)</f>
        <v>41.737456846070401</v>
      </c>
      <c r="U15" s="116" cm="1">
        <f t="array" ref="U15">_xll.EQNXTDZ($A$1,$B15,U$1)</f>
        <v>43.552128882856103</v>
      </c>
      <c r="V15" s="116" cm="1">
        <f t="array" ref="V15">_xll.EQNXTDZ($A$1,$B15,V$1)</f>
        <v>50.810817029998802</v>
      </c>
      <c r="W15" s="116" cm="1">
        <f t="array" ref="W15">_xll.EQNXTDZ($A$1,$B15,W$1)</f>
        <v>50.810817029998802</v>
      </c>
      <c r="X15" s="116" cm="1">
        <f t="array" ref="X15">_xll.EQNXTDZ($A$1,$B15,X$1)</f>
        <v>61.653482449793103</v>
      </c>
      <c r="Y15" s="116" cm="1">
        <f t="array" ref="Y15">_xll.EQNXTDZ($A$1,$B15,Y$1)</f>
        <v>63.513521287498399</v>
      </c>
      <c r="Z15" s="116" cm="1">
        <f t="array" ref="Z15">_xll.EQNXTDZ($A$1,$B15,Z$1)</f>
        <v>61.698849250712797</v>
      </c>
      <c r="AA15" s="116" cm="1">
        <f t="array" ref="AA15">_xll.EQNXTDZ($A$1,$B15,AA$1)</f>
        <v>77.350395567989196</v>
      </c>
      <c r="AB15" s="116" cm="1">
        <f t="array" ref="AB15">_xll.EQNXTDZ($A$1,$B15,AB$1)</f>
        <v>83.928581701337194</v>
      </c>
      <c r="AC15" s="116" cm="1">
        <f t="array" ref="AC15">_xll.EQNXTDZ($A$1,$B15,AC$1)</f>
        <v>72.2693138649893</v>
      </c>
      <c r="AD15" s="116" cm="1">
        <f t="array" ref="AD15">_xll.EQNXTDZ($A$1,$B15,AD$1)</f>
        <v>82.749044877426599</v>
      </c>
      <c r="AE15" s="116" cm="1">
        <f t="array" ref="AE15">_xll.EQNXTDZ($A$1,$B15,AE$1)</f>
        <v>84.336882909614005</v>
      </c>
      <c r="AF15" s="116" cm="1">
        <f t="array" ref="AF15">_xll.EQNXTDZ($A$1,$B15,AF$1)</f>
        <v>93.410243093542405</v>
      </c>
      <c r="AG15" s="116" cm="1">
        <f t="array" ref="AG15">_xll.EQNXTDZ($A$1,$B15,AG$1)</f>
        <v>96.858119963435101</v>
      </c>
      <c r="AH15" s="116" cm="1">
        <f t="array" ref="AH15">_xll.EQNXTDZ($A$1,$B15,AH$1)</f>
        <v>101.621634059998</v>
      </c>
      <c r="AI15" s="116" cm="1">
        <f t="array" ref="AI15">_xll.EQNXTDZ($A$1,$B15,AI$1)</f>
        <v>97.992289986426201</v>
      </c>
      <c r="AJ15" s="116" cm="1">
        <f t="array" ref="AJ15">_xll.EQNXTDZ($A$1,$B15,AJ$1)</f>
        <v>92.049239065953103</v>
      </c>
      <c r="AK15" s="116" cm="1">
        <f t="array" ref="AK15">_xll.EQNXTDZ($A$1,$B15,AK$1)</f>
        <v>92.276073070551305</v>
      </c>
      <c r="AL15" s="116" cm="1">
        <f t="array" ref="AL15">_xll.EQNXTDZ($A$1,$B15,AL$1)</f>
        <v>89.009663404337104</v>
      </c>
      <c r="AM15" s="116" cm="1">
        <f t="array" ref="AM15">_xll.EQNXTDZ($A$1,$B15,AM$1)</f>
        <v>81.705608456274803</v>
      </c>
      <c r="AN15" s="116" cm="1">
        <f t="array" ref="AN15">_xll.EQNXTDZ($A$1,$B15,AN$1)</f>
        <v>81.025106442480194</v>
      </c>
      <c r="AO15" s="116" cm="1">
        <f t="array" ref="AO15">_xll.EQNXTDZ($A$1,$B15,AO$1)</f>
        <v>77.622596373506994</v>
      </c>
      <c r="AP15" s="116" cm="1">
        <f t="array" ref="AP15">_xll.EQNXTDZ($A$1,$B15,AP$1)</f>
        <v>73.267383485221401</v>
      </c>
      <c r="AQ15" s="116" cm="1">
        <f t="array" ref="AQ15">_xll.EQNXTDZ($A$1,$B15,AQ$1)</f>
        <v>77.395762368908805</v>
      </c>
      <c r="AR15" s="116" cm="1">
        <f t="array" ref="AR15">_xll.EQNXTDZ($A$1,$B15,AR$1)</f>
        <v>80.299237627765905</v>
      </c>
      <c r="AS15" s="116" cm="1">
        <f t="array" ref="AS15">_xll.EQNXTDZ($A$1,$B15,AS$1)</f>
        <v>84.835917719730105</v>
      </c>
      <c r="AT15" s="116" cm="1">
        <f t="array" ref="AT15">_xll.EQNXTDZ($A$1,$B15,AT$1)</f>
        <v>94.362945912854798</v>
      </c>
      <c r="AU15" s="116" cm="1">
        <f t="array" ref="AU15">_xll.EQNXTDZ($A$1,$B15,AU$1)</f>
        <v>86.6505897565157</v>
      </c>
      <c r="AV15" s="116" cm="1">
        <f t="array" ref="AV15">_xll.EQNXTDZ($A$1,$B15,AV$1)</f>
        <v>83.474913692140802</v>
      </c>
      <c r="AW15" s="116" cm="1">
        <f t="array" ref="AW15">_xll.EQNXTDZ($A$1,$B15,AW$1)</f>
        <v>89.055030205256799</v>
      </c>
      <c r="AX15" s="116" cm="1">
        <f t="array" ref="AX15">_xll.EQNXTDZ($A$1,$B15,AX$1)</f>
        <v>93.319509491703101</v>
      </c>
      <c r="AY15" s="116" cm="1">
        <f t="array" ref="AY15">_xll.EQNXTDZ($A$1,$B15,AY$1)</f>
        <v>105.341711735408</v>
      </c>
      <c r="AZ15" s="116" cm="1">
        <f t="array" ref="AZ15">_xll.EQNXTDZ($A$1,$B15,AZ$1)</f>
        <v>115.549241942328</v>
      </c>
      <c r="BA15" s="116" cm="1">
        <f t="array" ref="BA15">_xll.EQNXTDZ($A$1,$B15,BA$1)</f>
        <v>112.05599827151499</v>
      </c>
      <c r="BB15" s="116" cm="1">
        <f t="array" ref="BB15">_xll.EQNXTDZ($A$1,$B15,BB$1)</f>
        <v>111.69306386415801</v>
      </c>
      <c r="BC15" s="116" cm="1">
        <f t="array" ref="BC15">_xll.EQNXTDZ($A$1,$B15,BC$1)</f>
        <v>96.177617949640506</v>
      </c>
      <c r="BD15" s="116" cm="1">
        <f t="array" ref="BD15">_xll.EQNXTDZ($A$1,$B15,BD$1)</f>
        <v>80.571438433283703</v>
      </c>
      <c r="BE15" s="116" cm="1">
        <f t="array" ref="BE15">_xll.EQNXTDZ($A$1,$B15,BE$1)</f>
        <v>85.289585728926497</v>
      </c>
      <c r="BF15" s="116" cm="1">
        <f t="array" ref="BF15">_xll.EQNXTDZ($A$1,$B15,BF$1)</f>
        <v>86.287655349158598</v>
      </c>
      <c r="BG15" s="116" cm="1">
        <f t="array" ref="BG15">_xll.EQNXTDZ($A$1,$B15,BG$1)</f>
        <v>96.676652759756607</v>
      </c>
      <c r="BH15" s="116" cm="1">
        <f t="array" ref="BH15">_xll.EQNXTDZ($A$1,$B15,BH$1)</f>
        <v>107.065650170355</v>
      </c>
      <c r="BI15" s="116" cm="1">
        <f t="array" ref="BI15">_xll.EQNXTDZ($A$1,$B15,BI$1)</f>
        <v>112.32819907703301</v>
      </c>
      <c r="BJ15" s="116" cm="1">
        <f t="array" ref="BJ15">_xll.EQNXTDZ($A$1,$B15,BJ$1)</f>
        <v>113.417002299104</v>
      </c>
      <c r="BK15" s="116" cm="1">
        <f t="array" ref="BK15">_xll.EQNXTDZ($A$1,$B15,BK$1)</f>
        <v>113.19016829450599</v>
      </c>
      <c r="BL15" s="116" cm="1">
        <f t="array" ref="BL15">_xll.EQNXTDZ($A$1,$B15,BL$1)</f>
        <v>110.059859031051</v>
      </c>
      <c r="BM15" s="116" cm="1">
        <f t="array" ref="BM15">_xll.EQNXTDZ($A$1,$B15,BM$1)</f>
        <v>98.309857592863693</v>
      </c>
      <c r="BN15" s="116" cm="1">
        <f t="array" ref="BN15">_xll.EQNXTDZ($A$1,$B15,BN$1)</f>
        <v>100.305996833328</v>
      </c>
      <c r="BO15" s="116" cm="1">
        <f t="array" ref="BO15">_xll.EQNXTDZ($A$1,$B15,BO$1)</f>
        <v>99.854433896735401</v>
      </c>
      <c r="BP15" s="116" cm="1">
        <f t="array" ref="BP15">_xll.EQNXTDZ($A$1,$B15,BP$1)</f>
        <v>105.865089141005</v>
      </c>
      <c r="BQ15" s="116" cm="1">
        <f t="array" ref="BQ15">_xll.EQNXTDZ($A$1,$B15,BQ$1)</f>
        <v>112.942150960871</v>
      </c>
      <c r="BR15" s="116" cm="1">
        <f t="array" ref="BR15">_xll.EQNXTDZ($A$1,$B15,BR$1)</f>
        <v>113.669246353323</v>
      </c>
      <c r="BS15" s="116" cm="1">
        <f t="array" ref="BS15">_xll.EQNXTDZ($A$1,$B15,BS$1)</f>
        <v>120.21310488539</v>
      </c>
      <c r="BT15" s="116" cm="1">
        <f t="array" ref="BT15">_xll.EQNXTDZ($A$1,$B15,BT$1)</f>
        <v>120.455470016207</v>
      </c>
      <c r="BU15" s="116" cm="1">
        <f t="array" ref="BU15">_xll.EQNXTDZ($A$1,$B15,BU$1)</f>
        <v>126.85390946978499</v>
      </c>
      <c r="BV15" s="116" cm="1">
        <f t="array" ref="BV15">_xll.EQNXTDZ($A$1,$B15,BV$1)</f>
        <v>129.76229103959199</v>
      </c>
      <c r="BW15" s="116" cm="1">
        <f t="array" ref="BW15">_xll.EQNXTDZ($A$1,$B15,BW$1)</f>
        <v>123.654689742996</v>
      </c>
      <c r="BX15" s="116" cm="1">
        <f t="array" ref="BX15">_xll.EQNXTDZ($A$1,$B15,BX$1)</f>
        <v>120.21310488539</v>
      </c>
      <c r="BY15" s="116" cm="1">
        <f t="array" ref="BY15">_xll.EQNXTDZ($A$1,$B15,BY$1)</f>
        <v>118.274183838852</v>
      </c>
      <c r="BZ15" s="116" cm="1">
        <f t="array" ref="BZ15">_xll.EQNXTDZ($A$1,$B15,BZ$1)</f>
        <v>117.740980551053</v>
      </c>
      <c r="CA15" s="116" cm="1">
        <f t="array" ref="CA15">_xll.EQNXTDZ($A$1,$B15,CA$1)</f>
        <v>106.64065755962</v>
      </c>
      <c r="CB15" s="116" cm="1">
        <f t="array" ref="CB15">_xll.EQNXTDZ($A$1,$B15,CB$1)</f>
        <v>124.090946978467</v>
      </c>
      <c r="CC15" s="116" cm="1">
        <f t="array" ref="CC15">_xll.EQNXTDZ($A$1,$B15,CC$1)</f>
        <v>133.78555221116</v>
      </c>
      <c r="CD15" s="116" cm="1">
        <f t="array" ref="CD15">_xll.EQNXTDZ($A$1,$B15,CD$1)</f>
        <v>126.70849039129401</v>
      </c>
      <c r="CE15" s="116" cm="1">
        <f t="array" ref="CE15">_xll.EQNXTDZ($A$1,$B15,CE$1)</f>
        <v>128.93824959481401</v>
      </c>
      <c r="CF15" s="116" cm="1">
        <f t="array" ref="CF15">_xll.EQNXTDZ($A$1,$B15,CF$1)</f>
        <v>132.816091687891</v>
      </c>
      <c r="CG15" s="116" cm="1">
        <f t="array" ref="CG15">_xll.EQNXTDZ($A$1,$B15,CG$1)</f>
        <v>145.806862699699</v>
      </c>
      <c r="CH15" s="116" cm="1">
        <f t="array" ref="CH15">_xll.EQNXTDZ($A$1,$B15,CH$1)</f>
        <v>135.869892336189</v>
      </c>
      <c r="CI15" s="116" cm="1">
        <f t="array" ref="CI15">_xll.EQNXTDZ($A$1,$B15,CI$1)</f>
        <v>140.08704561241001</v>
      </c>
      <c r="CJ15" s="116" cm="1">
        <f t="array" ref="CJ15">_xll.EQNXTDZ($A$1,$B15,CJ$1)</f>
        <v>132.816091687891</v>
      </c>
      <c r="CK15" s="116" cm="1">
        <f t="array" ref="CK15">_xll.EQNXTDZ($A$1,$B15,CK$1)</f>
        <v>117.450142394073</v>
      </c>
      <c r="CL15" s="116" cm="1">
        <f t="array" ref="CL15">_xll.EQNXTDZ($A$1,$B15,CL$1)</f>
        <v>124.090946978467</v>
      </c>
      <c r="CM15" s="116" cm="1">
        <f t="array" ref="CM15">_xll.EQNXTDZ($A$1,$B15,CM$1)</f>
        <v>138.63285482750601</v>
      </c>
      <c r="CN15" s="116" cm="1">
        <f t="array" ref="CN15">_xll.EQNXTDZ($A$1,$B15,CN$1)</f>
        <v>140.37788376939099</v>
      </c>
      <c r="CO15" s="116" cm="1">
        <f t="array" ref="CO15">_xll.EQNXTDZ($A$1,$B15,CO$1)</f>
        <v>133.97944431581399</v>
      </c>
      <c r="CP15" s="116" cm="1">
        <f t="array" ref="CP15">_xll.EQNXTDZ($A$1,$B15,CP$1)</f>
        <v>132.331361426256</v>
      </c>
      <c r="CQ15" s="116" cm="1">
        <f t="array" ref="CQ15">_xll.EQNXTDZ($A$1,$B15,CQ$1)</f>
        <v>122.976067376708</v>
      </c>
      <c r="CR15" s="116" cm="1">
        <f t="array" ref="CR15">_xll.EQNXTDZ($A$1,$B15,CR$1)</f>
        <v>69.7042116230609</v>
      </c>
      <c r="CS15" s="116" cm="1">
        <f t="array" ref="CS15">_xll.EQNXTDZ($A$1,$B15,CS$1)</f>
        <v>66.941249131743504</v>
      </c>
      <c r="CT15" s="116" cm="1">
        <f t="array" ref="CT15">_xll.EQNXTDZ($A$1,$B15,CT$1)</f>
        <v>60.203498495021996</v>
      </c>
      <c r="CU15" s="116" cm="1">
        <f t="array" ref="CU15">_xll.EQNXTDZ($A$1,$B15,CU$1)</f>
        <v>76.587381338272706</v>
      </c>
      <c r="CV15" s="116" cm="1">
        <f t="array" ref="CV15">_xll.EQNXTDZ($A$1,$B15,CV$1)</f>
        <v>73.824418846955297</v>
      </c>
      <c r="CW15" s="116" cm="1">
        <f t="array" ref="CW15">_xll.EQNXTDZ($A$1,$B15,CW$1)</f>
        <v>73.921364899282196</v>
      </c>
      <c r="CX15" s="116" cm="1">
        <f t="array" ref="CX15">_xll.EQNXTDZ($A$1,$B15,CX$1)</f>
        <v>85.894202361657804</v>
      </c>
      <c r="CY15" s="116" cm="1">
        <f t="array" ref="CY15">_xll.EQNXTDZ($A$1,$B15,CY$1)</f>
        <v>90.159828664042607</v>
      </c>
      <c r="CZ15" s="116" cm="1">
        <f t="array" ref="CZ15">_xll.EQNXTDZ($A$1,$B15,CZ$1)</f>
        <v>89.190368140773302</v>
      </c>
      <c r="DA15" s="116" cm="1">
        <f t="array" ref="DA15">_xll.EQNXTDZ($A$1,$B15,DA$1)</f>
        <v>109.064308867793</v>
      </c>
      <c r="DB15" s="116" cm="1">
        <f t="array" ref="DB15">_xll.EQNXTDZ($A$1,$B15,DB$1)</f>
        <v>114.784125955082</v>
      </c>
      <c r="DC15" s="116" cm="1">
        <f t="array" ref="DC15">_xll.EQNXTDZ($A$1,$B15,DC$1)</f>
        <v>113.91161148414</v>
      </c>
      <c r="DD15" s="116" cm="1">
        <f t="array" ref="DD15">_xll.EQNXTDZ($A$1,$B15,DD$1)</f>
        <v>99.612068765917996</v>
      </c>
      <c r="DE15" s="116" cm="1">
        <f t="array" ref="DE15">_xll.EQNXTDZ($A$1,$B15,DE$1)</f>
        <v>90.935397082658</v>
      </c>
      <c r="DF15" s="116" cm="1">
        <f t="array" ref="DF15">_xll.EQNXTDZ($A$1,$B15,DF$1)</f>
        <v>103.82922204213899</v>
      </c>
      <c r="DG15" s="116" cm="1">
        <f t="array" ref="DG15">_xll.EQNXTDZ($A$1,$B15,DG$1)</f>
        <v>117.644034498727</v>
      </c>
      <c r="DH15" s="116" cm="1">
        <f t="array" ref="DH15">_xll.EQNXTDZ($A$1,$B15,DH$1)</f>
        <v>136.06378444084299</v>
      </c>
      <c r="DI15" s="116" cm="1">
        <f t="array" ref="DI15">_xll.EQNXTDZ($A$1,$B15,DI$1)</f>
        <v>128.98672262097699</v>
      </c>
      <c r="DJ15" s="116" cm="1">
        <f t="array" ref="DJ15">_xll.EQNXTDZ($A$1,$B15,DJ$1)</f>
        <v>135.288216022227</v>
      </c>
      <c r="DK15" s="116" cm="1">
        <f t="array" ref="DK15">_xll.EQNXTDZ($A$1,$B15,DK$1)</f>
        <v>173.14564945589299</v>
      </c>
      <c r="DL15" s="116" cm="1">
        <f t="array" ref="DL15">_xll.EQNXTDZ($A$1,$B15,DL$1)</f>
        <v>171.15</v>
      </c>
      <c r="DM15" s="116" cm="1">
        <f t="array" ref="DM15">_xll.EQNXTDZ($A$1,$B15,DM$1)</f>
        <v>172.35</v>
      </c>
      <c r="DN15" s="116" cm="1">
        <f t="array" ref="DN15">_xll.EQNXTDZ($A$1,$B15,DN$1)</f>
        <v>178.2</v>
      </c>
      <c r="DO15" s="116" cm="1">
        <f t="array" ref="DO15">_xll.EQNXTDZ($A$1,$B15,DO$1)</f>
        <v>191.9</v>
      </c>
      <c r="DP15" s="116" cm="1">
        <f t="array" ref="DP15">_xll.EQNXTDZ($A$1,$B15,DP$1)</f>
        <v>180.75</v>
      </c>
      <c r="DQ15" s="116" cm="1">
        <f t="array" ref="DQ15">_xll.EQNXTDZ($A$1,$B15,DQ$1)</f>
        <v>228.7</v>
      </c>
      <c r="DR15" s="116" cm="1">
        <f t="array" ref="DR15">_xll.EQNXTDZ($A$1,$B15,DR$1)</f>
        <v>211.3</v>
      </c>
      <c r="DS15" s="116" cm="1">
        <f t="array" ref="DS15">_xll.EQNXTDZ($A$1,$B15,DS$1)</f>
        <v>207.25</v>
      </c>
      <c r="DT15" s="116" cm="1">
        <f t="array" ref="DT15">_xll.EQNXTDZ($A$1,$B15,DT$1)</f>
        <v>220.5</v>
      </c>
      <c r="DU15" s="116" cm="1">
        <f t="array" ref="DU15">_xll.EQNXTDZ($A$1,$B15,DU$1)</f>
        <v>263</v>
      </c>
      <c r="DV15" s="116" cm="1">
        <f t="array" ref="DV15">_xll.EQNXTDZ($A$1,$B15,DV$1)</f>
        <v>283.39999999999998</v>
      </c>
      <c r="DW15" s="116" cm="1">
        <f t="array" ref="DW15">_xll.EQNXTDZ($A$1,$B15,DW$1)</f>
        <v>304.8</v>
      </c>
      <c r="DX15" s="116" cm="1">
        <f t="array" ref="DX15">_xll.EQNXTDZ($A$1,$B15,DX$1)</f>
        <v>304.39999999999998</v>
      </c>
      <c r="DY15" s="116" cm="1">
        <f t="array" ref="DY15">_xll.EQNXTDZ($A$1,$B15,DY$1)</f>
        <v>294.05</v>
      </c>
      <c r="DZ15" s="116" cm="1">
        <f t="array" ref="DZ15">_xll.EQNXTDZ($A$1,$B15,DZ$1)</f>
        <v>280.2</v>
      </c>
      <c r="EA15" s="116" cm="1">
        <f t="array" ref="EA15">_xll.EQNXTDZ($A$1,$B15,EA$1)</f>
        <v>298.2</v>
      </c>
      <c r="EB15" s="116" cm="1">
        <f t="array" ref="EB15">_xll.EQNXTDZ($A$1,$B15,EB$1)</f>
        <v>302.3</v>
      </c>
      <c r="EC15" s="116" cm="1">
        <f t="array" ref="EC15">_xll.EQNXTDZ($A$1,$B15,EC$1)</f>
        <v>318.3</v>
      </c>
      <c r="ED15" s="116" cm="1">
        <f t="array" ref="ED15">_xll.EQNXTDZ($A$1,$B15,ED$1)</f>
        <v>340.1</v>
      </c>
      <c r="EE15" s="116" cm="1">
        <f t="array" ref="EE15">_xll.EQNXTDZ($A$1,$B15,EE$1)</f>
        <v>378.4</v>
      </c>
      <c r="EF15" s="116" cm="1">
        <f t="array" ref="EF15">_xll.EQNXTDZ($A$1,$B15,EF$1)</f>
        <v>376.85</v>
      </c>
      <c r="EG15" s="116" cm="1">
        <f t="array" ref="EG15">_xll.EQNXTDZ($A$1,$B15,EG$1)</f>
        <v>376.7</v>
      </c>
      <c r="EH15" s="116" cm="1">
        <f t="array" ref="EH15">_xll.EQNXTDZ($A$1,$B15,EH$1)</f>
        <v>400.65</v>
      </c>
      <c r="EI15" s="116" cm="1">
        <f t="array" ref="EI15">_xll.EQNXTDZ($A$1,$B15,EI$1)</f>
        <v>371.45</v>
      </c>
      <c r="EJ15" s="116" cm="1">
        <f t="array" ref="EJ15">_xll.EQNXTDZ($A$1,$B15,EJ$1)</f>
        <v>384.1</v>
      </c>
      <c r="EK15" s="116" cm="1">
        <f t="array" ref="EK15">_xll.EQNXTDZ($A$1,$B15,EK$1)</f>
        <v>416.15</v>
      </c>
      <c r="EL15" s="116" cm="1">
        <f t="array" ref="EL15">_xll.EQNXTDZ($A$1,$B15,EL$1)</f>
        <v>429.3</v>
      </c>
      <c r="EM15" s="116" cm="1">
        <f t="array" ref="EM15">_xll.EQNXTDZ($A$1,$B15,EM$1)</f>
        <v>487.15</v>
      </c>
      <c r="EN15" s="116" cm="1">
        <f t="array" ref="EN15">_xll.EQNXTDZ($A$1,$B15,EN$1)</f>
        <v>534.15</v>
      </c>
      <c r="EO15" s="116" cm="1">
        <f t="array" ref="EO15">_xll.EQNXTDZ($A$1,$B15,EO$1)</f>
        <v>561.9</v>
      </c>
      <c r="EP15" s="116" cm="1">
        <f t="array" ref="EP15">_xll.EQNXTDZ($A$1,$B15,EP$1)</f>
        <v>536</v>
      </c>
      <c r="EQ15" s="116" cm="1">
        <f t="array" ref="EQ15">_xll.EQNXTDZ($A$1,$B15,EQ$1)</f>
        <v>507.45</v>
      </c>
      <c r="ER15" s="116" cm="1">
        <f t="array" ref="ER15">_xll.EQNXTDZ($A$1,$B15,ER$1)</f>
        <v>571.15</v>
      </c>
      <c r="ES15" s="116" cm="1">
        <f t="array" ref="ES15">_xll.EQNXTDZ($A$1,$B15,ES$1)</f>
        <v>595</v>
      </c>
      <c r="ET15" s="116" cm="1">
        <f t="array" ref="ET15">_xll.EQNXTDZ($A$1,$B15,ET$1)</f>
        <v>646.70000000000005</v>
      </c>
      <c r="EU15" s="116" cm="1">
        <f t="array" ref="EU15">_xll.EQNXTDZ($A$1,$B15,EU$1)</f>
        <v>646.5</v>
      </c>
      <c r="EV15" s="116" cm="1">
        <f t="array" ref="EV15">_xll.EQNXTDZ($A$1,$B15,EV$1)</f>
        <v>651.35</v>
      </c>
      <c r="EW15" s="116" cm="1">
        <f t="array" ref="EW15">_xll.EQNXTDZ($A$1,$B15,EW$1)</f>
        <v>790.35</v>
      </c>
      <c r="EX15" s="116" cm="1">
        <f t="array" ref="EX15">_xll.EQNXTDZ($A$1,$B15,EX$1)</f>
        <v>745</v>
      </c>
      <c r="EY15" s="116" cm="1">
        <f t="array" ref="EY15">_xll.EQNXTDZ($A$1,$B15,EY$1)</f>
        <v>683.5</v>
      </c>
      <c r="EZ15" s="116" cm="1">
        <f t="array" ref="EZ15">_xll.EQNXTDZ($A$1,$B15,EZ$1)</f>
        <v>708.35</v>
      </c>
      <c r="FA15" s="116" cm="1">
        <f t="array" ref="FA15">_xll.EQNXTDZ($A$1,$B15,FA$1)</f>
        <v>721.15</v>
      </c>
      <c r="FB15" s="116" cm="1">
        <f t="array" ref="FB15">_xll.EQNXTDZ($A$1,$B15,FB$1)</f>
        <v>698.75</v>
      </c>
      <c r="FC15" s="116" cm="1">
        <f t="array" ref="FC15">_xll.EQNXTDZ($A$1,$B15,FC$1)</f>
        <v>728.7</v>
      </c>
      <c r="FD15" s="116" cm="1">
        <f t="array" ref="FD15">_xll.EQNXTDZ($A$1,$B15,FD$1)</f>
        <v>725</v>
      </c>
      <c r="FE15" s="116" cm="1">
        <f t="array" ref="FE15">_xll.EQNXTDZ($A$1,$B15,FE$1)</f>
        <v>732.95</v>
      </c>
      <c r="FF15" s="116" cm="1">
        <f t="array" ref="FF15">_xll.EQNXTDZ($A$1,$B15,FF$1)</f>
        <v>708.7</v>
      </c>
      <c r="FG15" s="116" cm="1">
        <f t="array" ref="FG15">_xll.EQNXTDZ($A$1,$B15,FG$1)</f>
        <v>711.25</v>
      </c>
      <c r="FH15" s="116" cm="1">
        <f t="array" ref="FH15">_xll.EQNXTDZ($A$1,$B15,FH$1)</f>
        <v>672.55</v>
      </c>
      <c r="FI15" s="116" cm="1">
        <f t="array" ref="FI15">_xll.EQNXTDZ($A$1,$B15,FI$1)</f>
        <v>708</v>
      </c>
      <c r="FJ15" s="116" cm="1">
        <f t="array" ref="FJ15">_xll.EQNXTDZ($A$1,$B15,FJ$1)</f>
        <v>633.70000000000005</v>
      </c>
      <c r="FK15" s="116" cm="1">
        <f t="array" ref="FK15">_xll.EQNXTDZ($A$1,$B15,FK$1)</f>
        <v>626.65</v>
      </c>
      <c r="FL15" s="116" cm="1">
        <f t="array" ref="FL15">_xll.EQNXTDZ($A$1,$B15,FL$1)</f>
        <v>569</v>
      </c>
      <c r="FM15" s="116" cm="1">
        <f t="array" ref="FM15">_xll.EQNXTDZ($A$1,$B15,FM$1)</f>
        <v>565.25</v>
      </c>
      <c r="FN15" s="116" cm="1">
        <f t="array" ref="FN15">_xll.EQNXTDZ($A$1,$B15,FN$1)</f>
        <v>622.6</v>
      </c>
      <c r="FO15" s="116" cm="1">
        <f t="array" ref="FO15">_xll.EQNXTDZ($A$1,$B15,FO$1)</f>
        <v>634.95000000000005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50.130315016204101</v>
      </c>
      <c r="HQ15" s="116">
        <f>+MIN(G15:I15)</f>
        <v>46.5463377435524</v>
      </c>
      <c r="HR15" s="116">
        <f>+MIN(J15:L15)</f>
        <v>47.861974970222001</v>
      </c>
      <c r="HS15" s="116">
        <f>+MIN(M15:O15)</f>
        <v>41.782823646990003</v>
      </c>
      <c r="HT15" s="116">
        <f>+MIN(P15:R15)</f>
        <v>34.070467490650998</v>
      </c>
      <c r="HU15" s="116">
        <f>+MIN(S15:U15)</f>
        <v>41.737456846070401</v>
      </c>
      <c r="HV15" s="116">
        <f>+MIN(V15:X15)</f>
        <v>50.810817029998802</v>
      </c>
      <c r="HW15" s="116">
        <f>+MIN(Y15:AA15)</f>
        <v>61.698849250712797</v>
      </c>
      <c r="HX15" s="116">
        <f>+MIN(AB15:AD15)</f>
        <v>72.2693138649893</v>
      </c>
      <c r="HY15" s="116">
        <f>+MIN(AE15:AG15)</f>
        <v>84.336882909614005</v>
      </c>
      <c r="HZ15" s="116">
        <f>+MIN(AH15:AJ15)</f>
        <v>92.049239065953103</v>
      </c>
      <c r="IA15" s="116">
        <f>+MIN(AK15:AM15)</f>
        <v>81.705608456274803</v>
      </c>
      <c r="IB15" s="116">
        <f>+MIN(AN15:AP15)</f>
        <v>73.267383485221401</v>
      </c>
      <c r="IC15" s="116">
        <f>+MIN(AQ15:AS15)</f>
        <v>77.395762368908805</v>
      </c>
      <c r="ID15" s="116">
        <f>+MIN(AT15:AV15)</f>
        <v>83.474913692140802</v>
      </c>
      <c r="IE15" s="116">
        <f>+MIN(AW15:AY15)</f>
        <v>89.055030205256799</v>
      </c>
      <c r="IF15" s="116">
        <f>+MIN(AZ15:BB15)</f>
        <v>111.69306386415801</v>
      </c>
      <c r="IG15" s="116">
        <f>+MIN(BC15:BE15)</f>
        <v>80.571438433283703</v>
      </c>
      <c r="IH15" s="116">
        <f>+MIN(BF15:BH15)</f>
        <v>86.287655349158598</v>
      </c>
      <c r="II15" s="116">
        <f>+MIN(BI15:BK15)</f>
        <v>112.32819907703301</v>
      </c>
      <c r="IJ15" s="116">
        <f>+MIN(BL15:BN15)</f>
        <v>98.309857592863693</v>
      </c>
      <c r="IK15" s="116">
        <f>+MIN(BO15:BQ15)</f>
        <v>99.854433896735401</v>
      </c>
      <c r="IL15" s="116">
        <f>+MIN(BR15:BT15)</f>
        <v>113.669246353323</v>
      </c>
      <c r="IM15" s="116">
        <f>+MIN(BU15:BW15)</f>
        <v>123.654689742996</v>
      </c>
      <c r="IN15" s="116">
        <f>+MIN(BX15:BZ15)</f>
        <v>117.740980551053</v>
      </c>
      <c r="IO15" s="116">
        <f>+MIN(CA15:CC15)</f>
        <v>106.64065755962</v>
      </c>
      <c r="IP15" s="116">
        <f>+MIN(CD15:CF15)</f>
        <v>126.70849039129401</v>
      </c>
      <c r="IQ15" s="116">
        <f>+MIN(CG15:CI15)</f>
        <v>135.869892336189</v>
      </c>
      <c r="IR15" s="116">
        <f>+MIN(CJ15:CL15)</f>
        <v>117.450142394073</v>
      </c>
      <c r="IS15" s="116">
        <f>+MIN(CM15:CO15)</f>
        <v>133.97944431581399</v>
      </c>
      <c r="IT15" s="116">
        <f>+MIN(CP15:CR15)</f>
        <v>69.7042116230609</v>
      </c>
      <c r="IU15" s="116">
        <f>+MIN(CS15:CU15)</f>
        <v>60.203498495021996</v>
      </c>
      <c r="IV15" s="116">
        <f>+MIN(CV15:CX15)</f>
        <v>73.824418846955297</v>
      </c>
      <c r="IW15" s="116">
        <f>+MIN(CY15:DA15)</f>
        <v>89.190368140773302</v>
      </c>
      <c r="IX15" s="116">
        <f>+MIN(DB15:DD15)</f>
        <v>99.612068765917996</v>
      </c>
      <c r="IY15" s="116">
        <f>+MIN(DE15:DG15)</f>
        <v>90.935397082658</v>
      </c>
      <c r="IZ15" s="116">
        <f>+MIN(DH15:DJ15)</f>
        <v>128.98672262097699</v>
      </c>
      <c r="JA15" s="116">
        <f>+MIN(DK15:DM15)</f>
        <v>171.15</v>
      </c>
      <c r="JB15" s="116">
        <f>+MIN(DN15:DP15)</f>
        <v>178.2</v>
      </c>
      <c r="JC15" s="116">
        <f>+MIN(DQ15:DS15)</f>
        <v>207.25</v>
      </c>
      <c r="JD15" s="116">
        <f>+MIN(DT15:DV15)</f>
        <v>220.5</v>
      </c>
      <c r="JE15" s="116">
        <f>+MIN(DW15:DY15)</f>
        <v>294.05</v>
      </c>
      <c r="JF15" s="116">
        <f>+MIN(DZ15:EB15)</f>
        <v>280.2</v>
      </c>
      <c r="JG15" s="116">
        <f>+MIN(EC15:EE15)</f>
        <v>318.3</v>
      </c>
      <c r="JH15" s="116">
        <f>+MIN(EF15:EH15)</f>
        <v>376.7</v>
      </c>
      <c r="JI15" s="116">
        <f>+MIN(EI15:EK15)</f>
        <v>371.45</v>
      </c>
      <c r="JJ15" s="116">
        <f>+MIN(EL15:EN15)</f>
        <v>429.3</v>
      </c>
      <c r="JK15" s="116">
        <f>MIN(EO15:EQ15)</f>
        <v>507.45</v>
      </c>
      <c r="JL15" s="116">
        <f>MIN(ER15:ET15)</f>
        <v>571.15</v>
      </c>
      <c r="JM15" s="116">
        <f>MIN(EU15:EW15)</f>
        <v>646.5</v>
      </c>
      <c r="JN15" s="116">
        <f>MIN(EX15:EZ15)</f>
        <v>683.5</v>
      </c>
      <c r="JO15" s="116">
        <f>MIN(FA15:FC15)</f>
        <v>698.75</v>
      </c>
      <c r="JP15" s="116">
        <f>MIN(FD15:FF15)</f>
        <v>708.7</v>
      </c>
      <c r="JQ15" s="116">
        <f>MIN(FG15:FI15)</f>
        <v>672.55</v>
      </c>
      <c r="JR15" s="116">
        <f>MIN(FJ15:FL15)</f>
        <v>569</v>
      </c>
      <c r="JS15" s="116">
        <f>MIN(FM15:FO15)</f>
        <v>565.25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55.891898732998598</v>
      </c>
      <c r="D16" s="116" cm="1">
        <f t="array" ref="D16">_xll.EQNXTDZ($A$1,$B16,D$1)</f>
        <v>53.532825085177301</v>
      </c>
      <c r="E16" s="116" cm="1">
        <f t="array" ref="E16">_xll.EQNXTDZ($A$1,$B16,E$1)</f>
        <v>54.258693899891497</v>
      </c>
      <c r="F16" s="116" cm="1">
        <f t="array" ref="F16">_xll.EQNXTDZ($A$1,$B16,F$1)</f>
        <v>61.018347236918203</v>
      </c>
      <c r="G16" s="116" cm="1">
        <f t="array" ref="G16">_xll.EQNXTDZ($A$1,$B16,G$1)</f>
        <v>57.0714355569093</v>
      </c>
      <c r="H16" s="116" cm="1">
        <f t="array" ref="H16">_xll.EQNXTDZ($A$1,$B16,H$1)</f>
        <v>56.889968353230799</v>
      </c>
      <c r="I16" s="116" cm="1">
        <f t="array" ref="I16">_xll.EQNXTDZ($A$1,$B16,I$1)</f>
        <v>57.026068755989698</v>
      </c>
      <c r="J16" s="116" cm="1">
        <f t="array" ref="J16">_xll.EQNXTDZ($A$1,$B16,J$1)</f>
        <v>55.982632334837902</v>
      </c>
      <c r="K16" s="116" cm="1">
        <f t="array" ref="K16">_xll.EQNXTDZ($A$1,$B16,K$1)</f>
        <v>49.222978997811303</v>
      </c>
      <c r="L16" s="116" cm="1">
        <f t="array" ref="L16">_xll.EQNXTDZ($A$1,$B16,L$1)</f>
        <v>48.542476984016702</v>
      </c>
      <c r="M16" s="116" cm="1">
        <f t="array" ref="M16">_xll.EQNXTDZ($A$1,$B16,M$1)</f>
        <v>51.8996202520702</v>
      </c>
      <c r="N16" s="116" cm="1">
        <f t="array" ref="N16">_xll.EQNXTDZ($A$1,$B16,N$1)</f>
        <v>46.637071345391703</v>
      </c>
      <c r="O16" s="116" cm="1">
        <f t="array" ref="O16">_xll.EQNXTDZ($A$1,$B16,O$1)</f>
        <v>43.552128882856103</v>
      </c>
      <c r="P16" s="116" cm="1">
        <f t="array" ref="P16">_xll.EQNXTDZ($A$1,$B16,P$1)</f>
        <v>40.376452818481198</v>
      </c>
      <c r="Q16" s="116" cm="1">
        <f t="array" ref="Q16">_xll.EQNXTDZ($A$1,$B16,Q$1)</f>
        <v>40.784754026757902</v>
      </c>
      <c r="R16" s="116" cm="1">
        <f t="array" ref="R16">_xll.EQNXTDZ($A$1,$B16,R$1)</f>
        <v>43.506762081936401</v>
      </c>
      <c r="S16" s="116" cm="1">
        <f t="array" ref="S16">_xll.EQNXTDZ($A$1,$B16,S$1)</f>
        <v>44.595565304007799</v>
      </c>
      <c r="T16" s="116" cm="1">
        <f t="array" ref="T16">_xll.EQNXTDZ($A$1,$B16,T$1)</f>
        <v>43.416028480097197</v>
      </c>
      <c r="U16" s="116" cm="1">
        <f t="array" ref="U16">_xll.EQNXTDZ($A$1,$B16,U$1)</f>
        <v>55.9372655339183</v>
      </c>
      <c r="V16" s="116" cm="1">
        <f t="array" ref="V16">_xll.EQNXTDZ($A$1,$B16,V$1)</f>
        <v>52.670855867704098</v>
      </c>
      <c r="W16" s="116" cm="1">
        <f t="array" ref="W16">_xll.EQNXTDZ($A$1,$B16,W$1)</f>
        <v>62.696918870944899</v>
      </c>
      <c r="X16" s="116" cm="1">
        <f t="array" ref="X16">_xll.EQNXTDZ($A$1,$B16,X$1)</f>
        <v>65.600394129801998</v>
      </c>
      <c r="Y16" s="116" cm="1">
        <f t="array" ref="Y16">_xll.EQNXTDZ($A$1,$B16,Y$1)</f>
        <v>65.010625717846594</v>
      </c>
      <c r="Z16" s="116" cm="1">
        <f t="array" ref="Z16">_xll.EQNXTDZ($A$1,$B16,Z$1)</f>
        <v>81.025106442480194</v>
      </c>
      <c r="AA16" s="116" cm="1">
        <f t="array" ref="AA16">_xll.EQNXTDZ($A$1,$B16,AA$1)</f>
        <v>94.408312713774507</v>
      </c>
      <c r="AB16" s="116" cm="1">
        <f t="array" ref="AB16">_xll.EQNXTDZ($A$1,$B16,AB$1)</f>
        <v>85.471052932605105</v>
      </c>
      <c r="AC16" s="116" cm="1">
        <f t="array" ref="AC16">_xll.EQNXTDZ($A$1,$B16,AC$1)</f>
        <v>87.421825372149598</v>
      </c>
      <c r="AD16" s="116" cm="1">
        <f t="array" ref="AD16">_xll.EQNXTDZ($A$1,$B16,AD$1)</f>
        <v>88.238427788703206</v>
      </c>
      <c r="AE16" s="116" cm="1">
        <f t="array" ref="AE16">_xll.EQNXTDZ($A$1,$B16,AE$1)</f>
        <v>94.453679514694102</v>
      </c>
      <c r="AF16" s="116" cm="1">
        <f t="array" ref="AF16">_xll.EQNXTDZ($A$1,$B16,AF$1)</f>
        <v>100.850398444364</v>
      </c>
      <c r="AG16" s="116" cm="1">
        <f t="array" ref="AG16">_xll.EQNXTDZ($A$1,$B16,AG$1)</f>
        <v>113.870670308301</v>
      </c>
      <c r="AH16" s="116" cm="1">
        <f t="array" ref="AH16">_xll.EQNXTDZ($A$1,$B16,AH$1)</f>
        <v>109.470090619096</v>
      </c>
      <c r="AI16" s="116" cm="1">
        <f t="array" ref="AI16">_xll.EQNXTDZ($A$1,$B16,AI$1)</f>
        <v>101.621634059998</v>
      </c>
      <c r="AJ16" s="116" cm="1">
        <f t="array" ref="AJ16">_xll.EQNXTDZ($A$1,$B16,AJ$1)</f>
        <v>106.022213749203</v>
      </c>
      <c r="AK16" s="116" cm="1">
        <f t="array" ref="AK16">_xll.EQNXTDZ($A$1,$B16,AK$1)</f>
        <v>98.944992805738707</v>
      </c>
      <c r="AL16" s="116" cm="1">
        <f t="array" ref="AL16">_xll.EQNXTDZ($A$1,$B16,AL$1)</f>
        <v>92.911208283426305</v>
      </c>
      <c r="AM16" s="116" cm="1">
        <f t="array" ref="AM16">_xll.EQNXTDZ($A$1,$B16,AM$1)</f>
        <v>82.885145280185498</v>
      </c>
      <c r="AN16" s="116" cm="1">
        <f t="array" ref="AN16">_xll.EQNXTDZ($A$1,$B16,AN$1)</f>
        <v>85.425686131685396</v>
      </c>
      <c r="AO16" s="116" cm="1">
        <f t="array" ref="AO16">_xll.EQNXTDZ($A$1,$B16,AO$1)</f>
        <v>78.983600401096297</v>
      </c>
      <c r="AP16" s="116" cm="1">
        <f t="array" ref="AP16">_xll.EQNXTDZ($A$1,$B16,AP$1)</f>
        <v>78.166997984542704</v>
      </c>
      <c r="AQ16" s="116" cm="1">
        <f t="array" ref="AQ16">_xll.EQNXTDZ($A$1,$B16,AQ$1)</f>
        <v>89.916999422729901</v>
      </c>
      <c r="AR16" s="116" cm="1">
        <f t="array" ref="AR16">_xll.EQNXTDZ($A$1,$B16,AR$1)</f>
        <v>84.926651321569395</v>
      </c>
      <c r="AS16" s="116" cm="1">
        <f t="array" ref="AS16">_xll.EQNXTDZ($A$1,$B16,AS$1)</f>
        <v>105.88611334644401</v>
      </c>
      <c r="AT16" s="116" cm="1">
        <f t="array" ref="AT16">_xll.EQNXTDZ($A$1,$B16,AT$1)</f>
        <v>101.031865648042</v>
      </c>
      <c r="AU16" s="116" cm="1">
        <f t="array" ref="AU16">_xll.EQNXTDZ($A$1,$B16,AU$1)</f>
        <v>89.055030205256799</v>
      </c>
      <c r="AV16" s="116" cm="1">
        <f t="array" ref="AV16">_xll.EQNXTDZ($A$1,$B16,AV$1)</f>
        <v>90.098466626408495</v>
      </c>
      <c r="AW16" s="116" cm="1">
        <f t="array" ref="AW16">_xll.EQNXTDZ($A$1,$B16,AW$1)</f>
        <v>95.406382334006594</v>
      </c>
      <c r="AX16" s="116" cm="1">
        <f t="array" ref="AX16">_xll.EQNXTDZ($A$1,$B16,AX$1)</f>
        <v>106.702715762997</v>
      </c>
      <c r="AY16" s="116" cm="1">
        <f t="array" ref="AY16">_xll.EQNXTDZ($A$1,$B16,AY$1)</f>
        <v>115.322407937729</v>
      </c>
      <c r="AZ16" s="116" cm="1">
        <f t="array" ref="AZ16">_xll.EQNXTDZ($A$1,$B16,AZ$1)</f>
        <v>121.945960871997</v>
      </c>
      <c r="BA16" s="116" cm="1">
        <f t="array" ref="BA16">_xll.EQNXTDZ($A$1,$B16,BA$1)</f>
        <v>118.13514959474701</v>
      </c>
      <c r="BB16" s="116" cm="1">
        <f t="array" ref="BB16">_xll.EQNXTDZ($A$1,$B16,BB$1)</f>
        <v>118.679551205783</v>
      </c>
      <c r="BC16" s="116" cm="1">
        <f t="array" ref="BC16">_xll.EQNXTDZ($A$1,$B16,BC$1)</f>
        <v>107.201750573113</v>
      </c>
      <c r="BD16" s="116" cm="1">
        <f t="array" ref="BD16">_xll.EQNXTDZ($A$1,$B16,BD$1)</f>
        <v>92.366806672390595</v>
      </c>
      <c r="BE16" s="116" cm="1">
        <f t="array" ref="BE16">_xll.EQNXTDZ($A$1,$B16,BE$1)</f>
        <v>89.100397006176394</v>
      </c>
      <c r="BF16" s="116" cm="1">
        <f t="array" ref="BF16">_xll.EQNXTDZ($A$1,$B16,BF$1)</f>
        <v>97.901556384586897</v>
      </c>
      <c r="BG16" s="116" cm="1">
        <f t="array" ref="BG16">_xll.EQNXTDZ($A$1,$B16,BG$1)</f>
        <v>113.417002299104</v>
      </c>
      <c r="BH16" s="116" cm="1">
        <f t="array" ref="BH16">_xll.EQNXTDZ($A$1,$B16,BH$1)</f>
        <v>115.23167433589001</v>
      </c>
      <c r="BI16" s="116" cm="1">
        <f t="array" ref="BI16">_xll.EQNXTDZ($A$1,$B16,BI$1)</f>
        <v>116.638045164399</v>
      </c>
      <c r="BJ16" s="116" cm="1">
        <f t="array" ref="BJ16">_xll.EQNXTDZ($A$1,$B16,BJ$1)</f>
        <v>121.446926061881</v>
      </c>
      <c r="BK16" s="116" cm="1">
        <f t="array" ref="BK16">_xll.EQNXTDZ($A$1,$B16,BK$1)</f>
        <v>120.99325805268499</v>
      </c>
      <c r="BL16" s="116" cm="1">
        <f t="array" ref="BL16">_xll.EQNXTDZ($A$1,$B16,BL$1)</f>
        <v>112.69113348438999</v>
      </c>
      <c r="BM16" s="116" cm="1">
        <f t="array" ref="BM16">_xll.EQNXTDZ($A$1,$B16,BM$1)</f>
        <v>107.61005178139</v>
      </c>
      <c r="BN16" s="116" cm="1">
        <f t="array" ref="BN16">_xll.EQNXTDZ($A$1,$B16,BN$1)</f>
        <v>105.341711735408</v>
      </c>
      <c r="BO16" s="116" cm="1">
        <f t="array" ref="BO16">_xll.EQNXTDZ($A$1,$B16,BO$1)</f>
        <v>109.64598518175499</v>
      </c>
      <c r="BP16" s="116" cm="1">
        <f t="array" ref="BP16">_xll.EQNXTDZ($A$1,$B16,BP$1)</f>
        <v>119.437536466775</v>
      </c>
      <c r="BQ16" s="116" cm="1">
        <f t="array" ref="BQ16">_xll.EQNXTDZ($A$1,$B16,BQ$1)</f>
        <v>114.396341745774</v>
      </c>
      <c r="BR16" s="116" cm="1">
        <f t="array" ref="BR16">_xll.EQNXTDZ($A$1,$B16,BR$1)</f>
        <v>133.54318708034299</v>
      </c>
      <c r="BS16" s="116" cm="1">
        <f t="array" ref="BS16">_xll.EQNXTDZ($A$1,$B16,BS$1)</f>
        <v>132.961510766381</v>
      </c>
      <c r="BT16" s="116" cm="1">
        <f t="array" ref="BT16">_xll.EQNXTDZ($A$1,$B16,BT$1)</f>
        <v>123.460797638342</v>
      </c>
      <c r="BU16" s="116" cm="1">
        <f t="array" ref="BU16">_xll.EQNXTDZ($A$1,$B16,BU$1)</f>
        <v>143.334738365362</v>
      </c>
      <c r="BV16" s="116" cm="1">
        <f t="array" ref="BV16">_xll.EQNXTDZ($A$1,$B16,BV$1)</f>
        <v>137.130191016439</v>
      </c>
      <c r="BW16" s="116" cm="1">
        <f t="array" ref="BW16">_xll.EQNXTDZ($A$1,$B16,BW$1)</f>
        <v>127.96878907154399</v>
      </c>
      <c r="BX16" s="116" cm="1">
        <f t="array" ref="BX16">_xll.EQNXTDZ($A$1,$B16,BX$1)</f>
        <v>129.083668673304</v>
      </c>
      <c r="BY16" s="116" cm="1">
        <f t="array" ref="BY16">_xll.EQNXTDZ($A$1,$B16,BY$1)</f>
        <v>132.62219958323701</v>
      </c>
      <c r="BZ16" s="116" cm="1">
        <f t="array" ref="BZ16">_xll.EQNXTDZ($A$1,$B16,BZ$1)</f>
        <v>131.313427876823</v>
      </c>
      <c r="CA16" s="116" cm="1">
        <f t="array" ref="CA16">_xll.EQNXTDZ($A$1,$B16,CA$1)</f>
        <v>124.721096318592</v>
      </c>
      <c r="CB16" s="116" cm="1">
        <f t="array" ref="CB16">_xll.EQNXTDZ($A$1,$B16,CB$1)</f>
        <v>139.55384232461199</v>
      </c>
      <c r="CC16" s="116" cm="1">
        <f t="array" ref="CC16">_xll.EQNXTDZ($A$1,$B16,CC$1)</f>
        <v>143.18931928687201</v>
      </c>
      <c r="CD16" s="116" cm="1">
        <f t="array" ref="CD16">_xll.EQNXTDZ($A$1,$B16,CD$1)</f>
        <v>137.22713706876601</v>
      </c>
      <c r="CE16" s="116" cm="1">
        <f t="array" ref="CE16">_xll.EQNXTDZ($A$1,$B16,CE$1)</f>
        <v>134.31875549895801</v>
      </c>
      <c r="CF16" s="116" cm="1">
        <f t="array" ref="CF16">_xll.EQNXTDZ($A$1,$B16,CF$1)</f>
        <v>149.63623176661301</v>
      </c>
      <c r="CG16" s="116" cm="1">
        <f t="array" ref="CG16">_xll.EQNXTDZ($A$1,$B16,CG$1)</f>
        <v>149.24844755730501</v>
      </c>
      <c r="CH16" s="116" cm="1">
        <f t="array" ref="CH16">_xll.EQNXTDZ($A$1,$B16,CH$1)</f>
        <v>153.56254688585301</v>
      </c>
      <c r="CI16" s="116" cm="1">
        <f t="array" ref="CI16">_xll.EQNXTDZ($A$1,$B16,CI$1)</f>
        <v>152.641559388747</v>
      </c>
      <c r="CJ16" s="116" cm="1">
        <f t="array" ref="CJ16">_xll.EQNXTDZ($A$1,$B16,CJ$1)</f>
        <v>138.778273905997</v>
      </c>
      <c r="CK16" s="116" cm="1">
        <f t="array" ref="CK16">_xll.EQNXTDZ($A$1,$B16,CK$1)</f>
        <v>134.56112062977499</v>
      </c>
      <c r="CL16" s="116" cm="1">
        <f t="array" ref="CL16">_xll.EQNXTDZ($A$1,$B16,CL$1)</f>
        <v>154.82284556610301</v>
      </c>
      <c r="CM16" s="116" cm="1">
        <f t="array" ref="CM16">_xll.EQNXTDZ($A$1,$B16,CM$1)</f>
        <v>147.55189164158401</v>
      </c>
      <c r="CN16" s="116" cm="1">
        <f t="array" ref="CN16">_xll.EQNXTDZ($A$1,$B16,CN$1)</f>
        <v>145.031294281084</v>
      </c>
      <c r="CO16" s="116" cm="1">
        <f t="array" ref="CO16">_xll.EQNXTDZ($A$1,$B16,CO$1)</f>
        <v>140.57177587404499</v>
      </c>
      <c r="CP16" s="116" cm="1">
        <f t="array" ref="CP16">_xll.EQNXTDZ($A$1,$B16,CP$1)</f>
        <v>137.71186733040099</v>
      </c>
      <c r="CQ16" s="116" cm="1">
        <f t="array" ref="CQ16">_xll.EQNXTDZ($A$1,$B16,CQ$1)</f>
        <v>130.82869761518899</v>
      </c>
      <c r="CR16" s="116" cm="1">
        <f t="array" ref="CR16">_xll.EQNXTDZ($A$1,$B16,CR$1)</f>
        <v>72.612593192868701</v>
      </c>
      <c r="CS16" s="116" cm="1">
        <f t="array" ref="CS16">_xll.EQNXTDZ($A$1,$B16,CS$1)</f>
        <v>77.411422783051606</v>
      </c>
      <c r="CT16" s="116" cm="1">
        <f t="array" ref="CT16">_xll.EQNXTDZ($A$1,$B16,CT$1)</f>
        <v>73.242742532993702</v>
      </c>
      <c r="CU16" s="116" cm="1">
        <f t="array" ref="CU16">_xll.EQNXTDZ($A$1,$B16,CU$1)</f>
        <v>77.411422783051606</v>
      </c>
      <c r="CV16" s="116" cm="1">
        <f t="array" ref="CV16">_xll.EQNXTDZ($A$1,$B16,CV$1)</f>
        <v>74.066783977772602</v>
      </c>
      <c r="CW16" s="116" cm="1">
        <f t="array" ref="CW16">_xll.EQNXTDZ($A$1,$B16,CW$1)</f>
        <v>100.48458323686</v>
      </c>
      <c r="CX16" s="116" cm="1">
        <f t="array" ref="CX16">_xll.EQNXTDZ($A$1,$B16,CX$1)</f>
        <v>91.807911553600405</v>
      </c>
      <c r="CY16" s="116" cm="1">
        <f t="array" ref="CY16">_xll.EQNXTDZ($A$1,$B16,CY$1)</f>
        <v>92.486533919888899</v>
      </c>
      <c r="CZ16" s="116" cm="1">
        <f t="array" ref="CZ16">_xll.EQNXTDZ($A$1,$B16,CZ$1)</f>
        <v>114.396341745774</v>
      </c>
      <c r="DA16" s="116" cm="1">
        <f t="array" ref="DA16">_xll.EQNXTDZ($A$1,$B16,DA$1)</f>
        <v>116.43220884464</v>
      </c>
      <c r="DB16" s="116" cm="1">
        <f t="array" ref="DB16">_xll.EQNXTDZ($A$1,$B16,DB$1)</f>
        <v>117.886399629544</v>
      </c>
      <c r="DC16" s="116" cm="1">
        <f t="array" ref="DC16">_xll.EQNXTDZ($A$1,$B16,DC$1)</f>
        <v>119.09822528363</v>
      </c>
      <c r="DD16" s="116" cm="1">
        <f t="array" ref="DD16">_xll.EQNXTDZ($A$1,$B16,DD$1)</f>
        <v>107.513172030563</v>
      </c>
      <c r="DE16" s="116" cm="1">
        <f t="array" ref="DE16">_xll.EQNXTDZ($A$1,$B16,DE$1)</f>
        <v>108.046375318361</v>
      </c>
      <c r="DF16" s="116" cm="1">
        <f t="array" ref="DF16">_xll.EQNXTDZ($A$1,$B16,DF$1)</f>
        <v>135.04585089141</v>
      </c>
      <c r="DG16" s="116" cm="1">
        <f t="array" ref="DG16">_xll.EQNXTDZ($A$1,$B16,DG$1)</f>
        <v>136.98477193794901</v>
      </c>
      <c r="DH16" s="116" cm="1">
        <f t="array" ref="DH16">_xll.EQNXTDZ($A$1,$B16,DH$1)</f>
        <v>141.298871266497</v>
      </c>
      <c r="DI16" s="116" cm="1">
        <f t="array" ref="DI16">_xll.EQNXTDZ($A$1,$B16,DI$1)</f>
        <v>136.16073049317001</v>
      </c>
      <c r="DJ16" s="116" cm="1">
        <f t="array" ref="DJ16">_xll.EQNXTDZ($A$1,$B16,DJ$1)</f>
        <v>175.76319286872001</v>
      </c>
      <c r="DK16" s="116" cm="1">
        <f t="array" ref="DK16">_xll.EQNXTDZ($A$1,$B16,DK$1)</f>
        <v>190.59593887474</v>
      </c>
      <c r="DL16" s="116" cm="1">
        <f t="array" ref="DL16">_xll.EQNXTDZ($A$1,$B16,DL$1)</f>
        <v>180.4</v>
      </c>
      <c r="DM16" s="116" cm="1">
        <f t="array" ref="DM16">_xll.EQNXTDZ($A$1,$B16,DM$1)</f>
        <v>180.6</v>
      </c>
      <c r="DN16" s="116" cm="1">
        <f t="array" ref="DN16">_xll.EQNXTDZ($A$1,$B16,DN$1)</f>
        <v>215.4</v>
      </c>
      <c r="DO16" s="116" cm="1">
        <f t="array" ref="DO16">_xll.EQNXTDZ($A$1,$B16,DO$1)</f>
        <v>199.7</v>
      </c>
      <c r="DP16" s="116" cm="1">
        <f t="array" ref="DP16">_xll.EQNXTDZ($A$1,$B16,DP$1)</f>
        <v>238.4</v>
      </c>
      <c r="DQ16" s="116" cm="1">
        <f t="array" ref="DQ16">_xll.EQNXTDZ($A$1,$B16,DQ$1)</f>
        <v>256.25</v>
      </c>
      <c r="DR16" s="116" cm="1">
        <f t="array" ref="DR16">_xll.EQNXTDZ($A$1,$B16,DR$1)</f>
        <v>235.05</v>
      </c>
      <c r="DS16" s="116" cm="1">
        <f t="array" ref="DS16">_xll.EQNXTDZ($A$1,$B16,DS$1)</f>
        <v>225.15</v>
      </c>
      <c r="DT16" s="116" cm="1">
        <f t="array" ref="DT16">_xll.EQNXTDZ($A$1,$B16,DT$1)</f>
        <v>262.7</v>
      </c>
      <c r="DU16" s="116" cm="1">
        <f t="array" ref="DU16">_xll.EQNXTDZ($A$1,$B16,DU$1)</f>
        <v>285.39999999999998</v>
      </c>
      <c r="DV16" s="116" cm="1">
        <f t="array" ref="DV16">_xll.EQNXTDZ($A$1,$B16,DV$1)</f>
        <v>331.75</v>
      </c>
      <c r="DW16" s="116" cm="1">
        <f t="array" ref="DW16">_xll.EQNXTDZ($A$1,$B16,DW$1)</f>
        <v>333.75</v>
      </c>
      <c r="DX16" s="116" cm="1">
        <f t="array" ref="DX16">_xll.EQNXTDZ($A$1,$B16,DX$1)</f>
        <v>320.95</v>
      </c>
      <c r="DY16" s="116" cm="1">
        <f t="array" ref="DY16">_xll.EQNXTDZ($A$1,$B16,DY$1)</f>
        <v>318.55</v>
      </c>
      <c r="DZ16" s="116" cm="1">
        <f t="array" ref="DZ16">_xll.EQNXTDZ($A$1,$B16,DZ$1)</f>
        <v>300.55</v>
      </c>
      <c r="EA16" s="116" cm="1">
        <f t="array" ref="EA16">_xll.EQNXTDZ($A$1,$B16,EA$1)</f>
        <v>310.60000000000002</v>
      </c>
      <c r="EB16" s="116" cm="1">
        <f t="array" ref="EB16">_xll.EQNXTDZ($A$1,$B16,EB$1)</f>
        <v>324.39999999999998</v>
      </c>
      <c r="EC16" s="116" cm="1">
        <f t="array" ref="EC16">_xll.EQNXTDZ($A$1,$B16,EC$1)</f>
        <v>338.95</v>
      </c>
      <c r="ED16" s="116" cm="1">
        <f t="array" ref="ED16">_xll.EQNXTDZ($A$1,$B16,ED$1)</f>
        <v>389.25</v>
      </c>
      <c r="EE16" s="116" cm="1">
        <f t="array" ref="EE16">_xll.EQNXTDZ($A$1,$B16,EE$1)</f>
        <v>392.55</v>
      </c>
      <c r="EF16" s="116" cm="1">
        <f t="array" ref="EF16">_xll.EQNXTDZ($A$1,$B16,EF$1)</f>
        <v>395.05</v>
      </c>
      <c r="EG16" s="116" cm="1">
        <f t="array" ref="EG16">_xll.EQNXTDZ($A$1,$B16,EG$1)</f>
        <v>421</v>
      </c>
      <c r="EH16" s="116" cm="1">
        <f t="array" ref="EH16">_xll.EQNXTDZ($A$1,$B16,EH$1)</f>
        <v>411.1</v>
      </c>
      <c r="EI16" s="116" cm="1">
        <f t="array" ref="EI16">_xll.EQNXTDZ($A$1,$B16,EI$1)</f>
        <v>383.55</v>
      </c>
      <c r="EJ16" s="116" cm="1">
        <f t="array" ref="EJ16">_xll.EQNXTDZ($A$1,$B16,EJ$1)</f>
        <v>421.6</v>
      </c>
      <c r="EK16" s="116" cm="1">
        <f t="array" ref="EK16">_xll.EQNXTDZ($A$1,$B16,EK$1)</f>
        <v>438.2</v>
      </c>
      <c r="EL16" s="116" cm="1">
        <f t="array" ref="EL16">_xll.EQNXTDZ($A$1,$B16,EL$1)</f>
        <v>492.6</v>
      </c>
      <c r="EM16" s="116" cm="1">
        <f t="array" ref="EM16">_xll.EQNXTDZ($A$1,$B16,EM$1)</f>
        <v>587.25</v>
      </c>
      <c r="EN16" s="116" cm="1">
        <f t="array" ref="EN16">_xll.EQNXTDZ($A$1,$B16,EN$1)</f>
        <v>591.35</v>
      </c>
      <c r="EO16" s="116" cm="1">
        <f t="array" ref="EO16">_xll.EQNXTDZ($A$1,$B16,EO$1)</f>
        <v>576.75</v>
      </c>
      <c r="EP16" s="116" cm="1">
        <f t="array" ref="EP16">_xll.EQNXTDZ($A$1,$B16,EP$1)</f>
        <v>556.04999999999995</v>
      </c>
      <c r="EQ16" s="116" cm="1">
        <f t="array" ref="EQ16">_xll.EQNXTDZ($A$1,$B16,EQ$1)</f>
        <v>625.70000000000005</v>
      </c>
      <c r="ER16" s="116" cm="1">
        <f t="array" ref="ER16">_xll.EQNXTDZ($A$1,$B16,ER$1)</f>
        <v>641.95000000000005</v>
      </c>
      <c r="ES16" s="116" cm="1">
        <f t="array" ref="ES16">_xll.EQNXTDZ($A$1,$B16,ES$1)</f>
        <v>648.20000000000005</v>
      </c>
      <c r="ET16" s="116" cm="1">
        <f t="array" ref="ET16">_xll.EQNXTDZ($A$1,$B16,ET$1)</f>
        <v>684.75</v>
      </c>
      <c r="EU16" s="116" cm="1">
        <f t="array" ref="EU16">_xll.EQNXTDZ($A$1,$B16,EU$1)</f>
        <v>676.75</v>
      </c>
      <c r="EV16" s="116" cm="1">
        <f t="array" ref="EV16">_xll.EQNXTDZ($A$1,$B16,EV$1)</f>
        <v>793.6</v>
      </c>
      <c r="EW16" s="116" cm="1">
        <f t="array" ref="EW16">_xll.EQNXTDZ($A$1,$B16,EW$1)</f>
        <v>876.4</v>
      </c>
      <c r="EX16" s="116" cm="1">
        <f t="array" ref="EX16">_xll.EQNXTDZ($A$1,$B16,EX$1)</f>
        <v>764.5</v>
      </c>
      <c r="EY16" s="116" cm="1">
        <f t="array" ref="EY16">_xll.EQNXTDZ($A$1,$B16,EY$1)</f>
        <v>716.2</v>
      </c>
      <c r="EZ16" s="116" cm="1">
        <f t="array" ref="EZ16">_xll.EQNXTDZ($A$1,$B16,EZ$1)</f>
        <v>786.65</v>
      </c>
      <c r="FA16" s="116" cm="1">
        <f t="array" ref="FA16">_xll.EQNXTDZ($A$1,$B16,FA$1)</f>
        <v>788.05</v>
      </c>
      <c r="FB16" s="116" cm="1">
        <f t="array" ref="FB16">_xll.EQNXTDZ($A$1,$B16,FB$1)</f>
        <v>769.65</v>
      </c>
      <c r="FC16" s="116" cm="1">
        <f t="array" ref="FC16">_xll.EQNXTDZ($A$1,$B16,FC$1)</f>
        <v>760.2</v>
      </c>
      <c r="FD16" s="116" cm="1">
        <f t="array" ref="FD16">_xll.EQNXTDZ($A$1,$B16,FD$1)</f>
        <v>740.85</v>
      </c>
      <c r="FE16" s="116" cm="1">
        <f t="array" ref="FE16">_xll.EQNXTDZ($A$1,$B16,FE$1)</f>
        <v>758.5</v>
      </c>
      <c r="FF16" s="116" cm="1">
        <f t="array" ref="FF16">_xll.EQNXTDZ($A$1,$B16,FF$1)</f>
        <v>720.4</v>
      </c>
      <c r="FG16" s="116" cm="1">
        <f t="array" ref="FG16">_xll.EQNXTDZ($A$1,$B16,FG$1)</f>
        <v>742.15</v>
      </c>
      <c r="FH16" s="116" cm="1">
        <f t="array" ref="FH16">_xll.EQNXTDZ($A$1,$B16,FH$1)</f>
        <v>744</v>
      </c>
      <c r="FI16" s="116" cm="1">
        <f t="array" ref="FI16">_xll.EQNXTDZ($A$1,$B16,FI$1)</f>
        <v>738.75</v>
      </c>
      <c r="FJ16" s="116" cm="1">
        <f t="array" ref="FJ16">_xll.EQNXTDZ($A$1,$B16,FJ$1)</f>
        <v>674.5</v>
      </c>
      <c r="FK16" s="116" cm="1">
        <f t="array" ref="FK16">_xll.EQNXTDZ($A$1,$B16,FK$1)</f>
        <v>667.3</v>
      </c>
      <c r="FL16" s="116" cm="1">
        <f t="array" ref="FL16">_xll.EQNXTDZ($A$1,$B16,FL$1)</f>
        <v>570.75</v>
      </c>
      <c r="FM16" s="116" cm="1">
        <f t="array" ref="FM16">_xll.EQNXTDZ($A$1,$B16,FM$1)</f>
        <v>635.75</v>
      </c>
      <c r="FN16" s="116" cm="1">
        <f t="array" ref="FN16">_xll.EQNXTDZ($A$1,$B16,FN$1)</f>
        <v>655.15</v>
      </c>
      <c r="FO16" s="116" cm="1">
        <f t="array" ref="FO16">_xll.EQNXTDZ($A$1,$B16,FO$1)</f>
        <v>694.3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61.018347236918203</v>
      </c>
      <c r="HQ16" s="116">
        <f>+I16</f>
        <v>57.026068755989698</v>
      </c>
      <c r="HR16" s="116">
        <f>+L16</f>
        <v>48.542476984016702</v>
      </c>
      <c r="HS16" s="116">
        <f>+O16</f>
        <v>43.552128882856103</v>
      </c>
      <c r="HT16" s="116">
        <f>+R16</f>
        <v>43.506762081936401</v>
      </c>
      <c r="HU16" s="116">
        <f>+U16</f>
        <v>55.9372655339183</v>
      </c>
      <c r="HV16" s="116">
        <f>+X16</f>
        <v>65.600394129801998</v>
      </c>
      <c r="HW16" s="116">
        <f>+AA16</f>
        <v>94.408312713774507</v>
      </c>
      <c r="HX16" s="116">
        <f>+AD16</f>
        <v>88.238427788703206</v>
      </c>
      <c r="HY16" s="116">
        <f>+AG16</f>
        <v>113.870670308301</v>
      </c>
      <c r="HZ16" s="116">
        <f>+AJ16</f>
        <v>106.022213749203</v>
      </c>
      <c r="IA16" s="116">
        <f>+AM16</f>
        <v>82.885145280185498</v>
      </c>
      <c r="IB16" s="116">
        <f>+AP16</f>
        <v>78.166997984542704</v>
      </c>
      <c r="IC16" s="116">
        <f>+AS16</f>
        <v>105.88611334644401</v>
      </c>
      <c r="ID16" s="116">
        <f>+AV16</f>
        <v>90.098466626408495</v>
      </c>
      <c r="IE16" s="116">
        <f>+AY16</f>
        <v>115.322407937729</v>
      </c>
      <c r="IF16" s="116">
        <f>+BB16</f>
        <v>118.679551205783</v>
      </c>
      <c r="IG16" s="116">
        <f>+BE16</f>
        <v>89.100397006176394</v>
      </c>
      <c r="IH16" s="116">
        <f>+BH16</f>
        <v>115.23167433589001</v>
      </c>
      <c r="II16" s="116">
        <f>+BK16</f>
        <v>120.99325805268499</v>
      </c>
      <c r="IJ16" s="116">
        <f>+BN16</f>
        <v>105.341711735408</v>
      </c>
      <c r="IK16" s="116">
        <f>+BQ16</f>
        <v>114.396341745774</v>
      </c>
      <c r="IL16" s="116">
        <f>+BT16</f>
        <v>123.460797638342</v>
      </c>
      <c r="IM16" s="116">
        <f>+BW16</f>
        <v>127.96878907154399</v>
      </c>
      <c r="IN16" s="116">
        <f>+BZ16</f>
        <v>131.313427876823</v>
      </c>
      <c r="IO16" s="116">
        <f>+CC16</f>
        <v>143.18931928687201</v>
      </c>
      <c r="IP16" s="116">
        <f>+CF16</f>
        <v>149.63623176661301</v>
      </c>
      <c r="IQ16" s="116">
        <f>+CI16</f>
        <v>152.641559388747</v>
      </c>
      <c r="IR16" s="116">
        <f>+CL16</f>
        <v>154.82284556610301</v>
      </c>
      <c r="IS16" s="116">
        <f>+CO16</f>
        <v>140.57177587404499</v>
      </c>
      <c r="IT16" s="116">
        <f>+CR16</f>
        <v>72.612593192868701</v>
      </c>
      <c r="IU16" s="116">
        <f>+CU16</f>
        <v>77.411422783051606</v>
      </c>
      <c r="IV16" s="116">
        <f>+CX16</f>
        <v>91.807911553600405</v>
      </c>
      <c r="IW16" s="116">
        <f>+DA16</f>
        <v>116.43220884464</v>
      </c>
      <c r="IX16" s="116">
        <f>+DD16</f>
        <v>107.513172030563</v>
      </c>
      <c r="IY16" s="116">
        <f>+DG16</f>
        <v>136.98477193794901</v>
      </c>
      <c r="IZ16" s="116">
        <f>+DJ16</f>
        <v>175.76319286872001</v>
      </c>
      <c r="JA16" s="116">
        <f>+DM16</f>
        <v>180.6</v>
      </c>
      <c r="JB16" s="116">
        <f>+DP16</f>
        <v>238.4</v>
      </c>
      <c r="JC16" s="116">
        <f>+DS16</f>
        <v>225.15</v>
      </c>
      <c r="JD16" s="116">
        <f>+DV16</f>
        <v>331.75</v>
      </c>
      <c r="JE16" s="116">
        <f>+DY16</f>
        <v>318.55</v>
      </c>
      <c r="JF16" s="116">
        <f>+EB16</f>
        <v>324.39999999999998</v>
      </c>
      <c r="JG16" s="116">
        <f>+EE16</f>
        <v>392.55</v>
      </c>
      <c r="JH16" s="116">
        <f>+EH16</f>
        <v>411.1</v>
      </c>
      <c r="JI16" s="116">
        <f>+EK16</f>
        <v>438.2</v>
      </c>
      <c r="JJ16" s="116">
        <f>+EN16</f>
        <v>591.35</v>
      </c>
      <c r="JK16" s="116">
        <f>EQ16</f>
        <v>625.70000000000005</v>
      </c>
      <c r="JL16" s="116">
        <f>ET16</f>
        <v>684.75</v>
      </c>
      <c r="JM16" s="116">
        <f>EW16</f>
        <v>876.4</v>
      </c>
      <c r="JN16" s="116">
        <f>EZ16</f>
        <v>786.65</v>
      </c>
      <c r="JO16" s="116">
        <f>FC16</f>
        <v>760.2</v>
      </c>
      <c r="JP16" s="116">
        <f>FF16</f>
        <v>720.4</v>
      </c>
      <c r="JQ16" s="116">
        <f>FI16</f>
        <v>738.75</v>
      </c>
      <c r="JR16" s="116">
        <f>FL16</f>
        <v>570.75</v>
      </c>
      <c r="JS16" s="116">
        <f>FO16</f>
        <v>694.3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61.4266484451949</v>
      </c>
      <c r="HQ19" s="116">
        <f t="shared" ref="HQ19:JI21" si="1">+IF(HQ14=0,HQ7,HQ14)</f>
        <v>65.101359319685898</v>
      </c>
      <c r="HR19" s="116">
        <f t="shared" si="1"/>
        <v>61.789582852552101</v>
      </c>
      <c r="HS19" s="116">
        <f t="shared" si="1"/>
        <v>54.440161103570098</v>
      </c>
      <c r="HT19" s="116">
        <f t="shared" si="1"/>
        <v>48.315642979418499</v>
      </c>
      <c r="HU19" s="116">
        <f t="shared" si="1"/>
        <v>56.617767547712901</v>
      </c>
      <c r="HV19" s="116">
        <f t="shared" si="1"/>
        <v>67.142865361069795</v>
      </c>
      <c r="HW19" s="116">
        <f t="shared" si="1"/>
        <v>101.25869965264</v>
      </c>
      <c r="HX19" s="116">
        <f t="shared" si="1"/>
        <v>99.670861620452897</v>
      </c>
      <c r="HY19" s="116">
        <f t="shared" si="1"/>
        <v>115.458508340488</v>
      </c>
      <c r="HZ19" s="116">
        <f t="shared" si="1"/>
        <v>115.18630753497</v>
      </c>
      <c r="IA19" s="116">
        <f t="shared" si="1"/>
        <v>106.611982161158</v>
      </c>
      <c r="IB19" s="116">
        <f t="shared" si="1"/>
        <v>95.270281931247695</v>
      </c>
      <c r="IC19" s="116">
        <f t="shared" si="1"/>
        <v>108.88032220714</v>
      </c>
      <c r="ID19" s="116">
        <f t="shared" si="1"/>
        <v>113.235535095426</v>
      </c>
      <c r="IE19" s="116">
        <f t="shared" si="1"/>
        <v>124.30503451981799</v>
      </c>
      <c r="IF19" s="116">
        <f t="shared" si="1"/>
        <v>129.74905063017499</v>
      </c>
      <c r="IG19" s="116">
        <f t="shared" si="1"/>
        <v>121.49229286280099</v>
      </c>
      <c r="IH19" s="116">
        <f t="shared" si="1"/>
        <v>116.86487916899701</v>
      </c>
      <c r="II19" s="116">
        <f t="shared" si="1"/>
        <v>132.15349107891601</v>
      </c>
      <c r="IJ19" s="116">
        <f t="shared" si="1"/>
        <v>121.855227270158</v>
      </c>
      <c r="IK19" s="116">
        <f t="shared" si="1"/>
        <v>121.47340356564</v>
      </c>
      <c r="IL19" s="116">
        <f t="shared" si="1"/>
        <v>155.69536003704599</v>
      </c>
      <c r="IM19" s="116">
        <f t="shared" si="1"/>
        <v>151.13889557767999</v>
      </c>
      <c r="IN19" s="116">
        <f t="shared" si="1"/>
        <v>135.04585089141</v>
      </c>
      <c r="IO19" s="116">
        <f t="shared" si="1"/>
        <v>148.327460060199</v>
      </c>
      <c r="IP19" s="116">
        <f t="shared" si="1"/>
        <v>151.67209886547801</v>
      </c>
      <c r="IQ19" s="116">
        <f t="shared" si="1"/>
        <v>159.088471868488</v>
      </c>
      <c r="IR19" s="116">
        <f t="shared" si="1"/>
        <v>157.97359226672799</v>
      </c>
      <c r="IS19" s="116">
        <f t="shared" si="1"/>
        <v>156.56787450798799</v>
      </c>
      <c r="IT19" s="116">
        <f t="shared" si="1"/>
        <v>145.95228177818899</v>
      </c>
      <c r="IU19" s="116">
        <f t="shared" si="1"/>
        <v>93.843778652465801</v>
      </c>
      <c r="IV19" s="116">
        <f t="shared" si="1"/>
        <v>108.91888978930299</v>
      </c>
      <c r="IW19" s="116">
        <f t="shared" si="1"/>
        <v>134.75501273442899</v>
      </c>
      <c r="IX19" s="116">
        <f t="shared" si="1"/>
        <v>128.93824959481401</v>
      </c>
      <c r="IY19" s="116">
        <f t="shared" si="1"/>
        <v>146.00075480435299</v>
      </c>
      <c r="IZ19" s="116">
        <f t="shared" si="1"/>
        <v>194.76461912479701</v>
      </c>
      <c r="JA19" s="116">
        <f t="shared" si="1"/>
        <v>230.24687427645301</v>
      </c>
      <c r="JB19" s="116">
        <f t="shared" si="1"/>
        <v>245.45</v>
      </c>
      <c r="JC19" s="116">
        <f t="shared" si="1"/>
        <v>268.85000000000002</v>
      </c>
      <c r="JD19" s="116">
        <f t="shared" si="1"/>
        <v>337.3</v>
      </c>
      <c r="JE19" s="116">
        <f t="shared" si="1"/>
        <v>348.7</v>
      </c>
      <c r="JF19" s="116">
        <f t="shared" si="1"/>
        <v>330.6</v>
      </c>
      <c r="JG19" s="116">
        <f t="shared" si="1"/>
        <v>405.2</v>
      </c>
      <c r="JH19" s="116">
        <f t="shared" si="1"/>
        <v>436.25</v>
      </c>
      <c r="JI19" s="116">
        <f t="shared" si="1"/>
        <v>451</v>
      </c>
      <c r="JJ19" s="116">
        <f t="shared" ref="JJ19:JJ21" si="2">+IF(JJ14=0,JJ7,JJ14)</f>
        <v>602.75</v>
      </c>
      <c r="JK19" s="116">
        <f t="shared" ref="JK19" si="3">+IF(JK14=0,JK7,JK14)</f>
        <v>663.4</v>
      </c>
      <c r="JL19" s="116">
        <f t="shared" ref="JL19:JM19" si="4">+IF(JL14=0,JL7,JL14)</f>
        <v>720.6</v>
      </c>
      <c r="JM19" s="116">
        <f t="shared" si="4"/>
        <v>894.15</v>
      </c>
      <c r="JN19" s="116">
        <f t="shared" ref="JN19:JO19" si="5">+IF(JN14=0,JN7,JN14)</f>
        <v>883.8</v>
      </c>
      <c r="JO19" s="116">
        <f t="shared" si="5"/>
        <v>853.3</v>
      </c>
      <c r="JP19" s="116">
        <f t="shared" ref="JP19" si="6">+IF(JP14=0,JP7,JP14)</f>
        <v>811.9</v>
      </c>
      <c r="JQ19" s="116">
        <f t="shared" ref="JQ19:KH19" si="7">+IF(JQ14=0,JQ7,JQ14)</f>
        <v>754.15</v>
      </c>
      <c r="JR19" s="116">
        <f t="shared" si="7"/>
        <v>751</v>
      </c>
      <c r="JS19" s="116">
        <f t="shared" si="7"/>
        <v>698.75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50.130315016204101</v>
      </c>
      <c r="HQ20" s="116">
        <f t="shared" si="8"/>
        <v>46.5463377435524</v>
      </c>
      <c r="HR20" s="116">
        <f t="shared" si="8"/>
        <v>47.861974970222001</v>
      </c>
      <c r="HS20" s="116">
        <f t="shared" si="8"/>
        <v>41.782823646990003</v>
      </c>
      <c r="HT20" s="116">
        <f t="shared" si="8"/>
        <v>34.070467490650998</v>
      </c>
      <c r="HU20" s="116">
        <f t="shared" si="8"/>
        <v>41.737456846070401</v>
      </c>
      <c r="HV20" s="116">
        <f t="shared" si="8"/>
        <v>50.810817029998802</v>
      </c>
      <c r="HW20" s="116">
        <f t="shared" si="8"/>
        <v>61.698849250712797</v>
      </c>
      <c r="HX20" s="116">
        <f t="shared" si="8"/>
        <v>72.2693138649893</v>
      </c>
      <c r="HY20" s="116">
        <f t="shared" si="8"/>
        <v>84.336882909614005</v>
      </c>
      <c r="HZ20" s="116">
        <f t="shared" si="8"/>
        <v>92.049239065953103</v>
      </c>
      <c r="IA20" s="116">
        <f t="shared" si="8"/>
        <v>81.705608456274803</v>
      </c>
      <c r="IB20" s="116">
        <f t="shared" si="8"/>
        <v>73.267383485221401</v>
      </c>
      <c r="IC20" s="116">
        <f t="shared" si="8"/>
        <v>77.395762368908805</v>
      </c>
      <c r="ID20" s="116">
        <f t="shared" si="8"/>
        <v>83.474913692140802</v>
      </c>
      <c r="IE20" s="116">
        <f t="shared" si="8"/>
        <v>89.055030205256799</v>
      </c>
      <c r="IF20" s="116">
        <f t="shared" si="1"/>
        <v>111.69306386415801</v>
      </c>
      <c r="IG20" s="116">
        <f t="shared" si="1"/>
        <v>80.571438433283703</v>
      </c>
      <c r="IH20" s="116">
        <f t="shared" si="1"/>
        <v>86.287655349158598</v>
      </c>
      <c r="II20" s="116">
        <f t="shared" si="1"/>
        <v>112.32819907703301</v>
      </c>
      <c r="IJ20" s="116">
        <f t="shared" si="1"/>
        <v>98.309857592863693</v>
      </c>
      <c r="IK20" s="116">
        <f t="shared" si="1"/>
        <v>99.854433896735401</v>
      </c>
      <c r="IL20" s="116">
        <f t="shared" si="1"/>
        <v>113.669246353323</v>
      </c>
      <c r="IM20" s="116">
        <f t="shared" si="1"/>
        <v>123.654689742996</v>
      </c>
      <c r="IN20" s="116">
        <f t="shared" si="1"/>
        <v>117.740980551053</v>
      </c>
      <c r="IO20" s="116">
        <f t="shared" si="1"/>
        <v>106.64065755962</v>
      </c>
      <c r="IP20" s="116">
        <f t="shared" si="1"/>
        <v>126.70849039129401</v>
      </c>
      <c r="IQ20" s="116">
        <f t="shared" si="1"/>
        <v>135.869892336189</v>
      </c>
      <c r="IR20" s="116">
        <f t="shared" si="1"/>
        <v>117.450142394073</v>
      </c>
      <c r="IS20" s="116">
        <f t="shared" si="1"/>
        <v>133.97944431581399</v>
      </c>
      <c r="IT20" s="116">
        <f t="shared" si="1"/>
        <v>69.7042116230609</v>
      </c>
      <c r="IU20" s="116">
        <f t="shared" si="1"/>
        <v>60.203498495021996</v>
      </c>
      <c r="IV20" s="116">
        <f t="shared" si="1"/>
        <v>73.824418846955297</v>
      </c>
      <c r="IW20" s="116">
        <f t="shared" si="1"/>
        <v>89.190368140773302</v>
      </c>
      <c r="IX20" s="116">
        <f t="shared" si="1"/>
        <v>99.612068765917996</v>
      </c>
      <c r="IY20" s="116">
        <f t="shared" si="1"/>
        <v>90.935397082658</v>
      </c>
      <c r="IZ20" s="116">
        <f t="shared" si="1"/>
        <v>128.98672262097699</v>
      </c>
      <c r="JA20" s="116">
        <f t="shared" si="1"/>
        <v>171.15</v>
      </c>
      <c r="JB20" s="116">
        <f t="shared" si="1"/>
        <v>178.2</v>
      </c>
      <c r="JC20" s="116">
        <f t="shared" si="1"/>
        <v>207.25</v>
      </c>
      <c r="JD20" s="116">
        <f t="shared" si="1"/>
        <v>220.5</v>
      </c>
      <c r="JE20" s="116">
        <f t="shared" si="1"/>
        <v>294.05</v>
      </c>
      <c r="JF20" s="116">
        <f t="shared" si="1"/>
        <v>280.2</v>
      </c>
      <c r="JG20" s="116">
        <f t="shared" si="1"/>
        <v>318.3</v>
      </c>
      <c r="JH20" s="116">
        <f t="shared" si="1"/>
        <v>376.7</v>
      </c>
      <c r="JI20" s="116">
        <f t="shared" si="1"/>
        <v>371.45</v>
      </c>
      <c r="JJ20" s="116">
        <f t="shared" si="2"/>
        <v>429.3</v>
      </c>
      <c r="JK20" s="116">
        <f t="shared" ref="JK20" si="9">+IF(JK15=0,JK8,JK15)</f>
        <v>507.45</v>
      </c>
      <c r="JL20" s="116">
        <f t="shared" ref="JL20:JM20" si="10">+IF(JL15=0,JL8,JL15)</f>
        <v>571.15</v>
      </c>
      <c r="JM20" s="116">
        <f t="shared" si="10"/>
        <v>646.5</v>
      </c>
      <c r="JN20" s="116">
        <f t="shared" ref="JN20:JO20" si="11">+IF(JN15=0,JN8,JN15)</f>
        <v>683.5</v>
      </c>
      <c r="JO20" s="116">
        <f t="shared" si="11"/>
        <v>698.75</v>
      </c>
      <c r="JP20" s="116">
        <f t="shared" ref="JP20" si="12">+IF(JP15=0,JP8,JP15)</f>
        <v>708.7</v>
      </c>
      <c r="JQ20" s="116">
        <f t="shared" ref="JQ20:KH20" si="13">+IF(JQ15=0,JQ8,JQ15)</f>
        <v>672.55</v>
      </c>
      <c r="JR20" s="116">
        <f t="shared" si="13"/>
        <v>569</v>
      </c>
      <c r="JS20" s="116">
        <f t="shared" si="13"/>
        <v>565.25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61.018347236918203</v>
      </c>
      <c r="HQ21" s="116">
        <f t="shared" si="1"/>
        <v>57.026068755989698</v>
      </c>
      <c r="HR21" s="116">
        <f t="shared" si="1"/>
        <v>48.542476984016702</v>
      </c>
      <c r="HS21" s="116">
        <f t="shared" si="1"/>
        <v>43.552128882856103</v>
      </c>
      <c r="HT21" s="116">
        <f t="shared" si="1"/>
        <v>43.506762081936401</v>
      </c>
      <c r="HU21" s="116">
        <f t="shared" si="1"/>
        <v>55.9372655339183</v>
      </c>
      <c r="HV21" s="116">
        <f t="shared" si="1"/>
        <v>65.600394129801998</v>
      </c>
      <c r="HW21" s="116">
        <f t="shared" si="1"/>
        <v>94.408312713774507</v>
      </c>
      <c r="HX21" s="116">
        <f t="shared" si="1"/>
        <v>88.238427788703206</v>
      </c>
      <c r="HY21" s="116">
        <f t="shared" si="1"/>
        <v>113.870670308301</v>
      </c>
      <c r="HZ21" s="116">
        <f t="shared" si="1"/>
        <v>106.022213749203</v>
      </c>
      <c r="IA21" s="116">
        <f t="shared" si="1"/>
        <v>82.885145280185498</v>
      </c>
      <c r="IB21" s="116">
        <f t="shared" si="1"/>
        <v>78.166997984542704</v>
      </c>
      <c r="IC21" s="116">
        <f t="shared" si="1"/>
        <v>105.88611334644401</v>
      </c>
      <c r="ID21" s="116">
        <f t="shared" si="1"/>
        <v>90.098466626408495</v>
      </c>
      <c r="IE21" s="116">
        <f t="shared" si="1"/>
        <v>115.322407937729</v>
      </c>
      <c r="IF21" s="116">
        <f t="shared" si="1"/>
        <v>118.679551205783</v>
      </c>
      <c r="IG21" s="116">
        <f t="shared" si="1"/>
        <v>89.100397006176394</v>
      </c>
      <c r="IH21" s="116">
        <f t="shared" si="1"/>
        <v>115.23167433589001</v>
      </c>
      <c r="II21" s="116">
        <f t="shared" si="1"/>
        <v>120.99325805268499</v>
      </c>
      <c r="IJ21" s="116">
        <f t="shared" si="1"/>
        <v>105.341711735408</v>
      </c>
      <c r="IK21" s="116">
        <f t="shared" si="1"/>
        <v>114.396341745774</v>
      </c>
      <c r="IL21" s="116">
        <f t="shared" si="1"/>
        <v>123.460797638342</v>
      </c>
      <c r="IM21" s="116">
        <f t="shared" si="1"/>
        <v>127.96878907154399</v>
      </c>
      <c r="IN21" s="116">
        <f t="shared" si="1"/>
        <v>131.313427876823</v>
      </c>
      <c r="IO21" s="116">
        <f t="shared" si="1"/>
        <v>143.18931928687201</v>
      </c>
      <c r="IP21" s="116">
        <f t="shared" si="1"/>
        <v>149.63623176661301</v>
      </c>
      <c r="IQ21" s="116">
        <f t="shared" si="1"/>
        <v>152.641559388747</v>
      </c>
      <c r="IR21" s="116">
        <f t="shared" si="1"/>
        <v>154.82284556610301</v>
      </c>
      <c r="IS21" s="116">
        <f t="shared" si="1"/>
        <v>140.57177587404499</v>
      </c>
      <c r="IT21" s="116">
        <f t="shared" si="1"/>
        <v>72.612593192868701</v>
      </c>
      <c r="IU21" s="116">
        <f t="shared" si="1"/>
        <v>77.411422783051606</v>
      </c>
      <c r="IV21" s="116">
        <f t="shared" si="1"/>
        <v>91.807911553600405</v>
      </c>
      <c r="IW21" s="116">
        <f t="shared" si="1"/>
        <v>116.43220884464</v>
      </c>
      <c r="IX21" s="116">
        <f t="shared" si="1"/>
        <v>107.513172030563</v>
      </c>
      <c r="IY21" s="116">
        <f t="shared" si="1"/>
        <v>136.98477193794901</v>
      </c>
      <c r="IZ21" s="116">
        <f t="shared" si="1"/>
        <v>175.76319286872001</v>
      </c>
      <c r="JA21" s="116">
        <f t="shared" si="1"/>
        <v>180.6</v>
      </c>
      <c r="JB21" s="116">
        <f t="shared" si="1"/>
        <v>238.4</v>
      </c>
      <c r="JC21" s="116">
        <f t="shared" si="1"/>
        <v>225.15</v>
      </c>
      <c r="JD21" s="116">
        <f t="shared" si="1"/>
        <v>331.75</v>
      </c>
      <c r="JE21" s="116">
        <f t="shared" si="1"/>
        <v>318.55</v>
      </c>
      <c r="JF21" s="116">
        <f t="shared" si="1"/>
        <v>324.39999999999998</v>
      </c>
      <c r="JG21" s="116">
        <f t="shared" si="1"/>
        <v>392.55</v>
      </c>
      <c r="JH21" s="116">
        <f t="shared" si="1"/>
        <v>411.1</v>
      </c>
      <c r="JI21" s="116">
        <f t="shared" si="1"/>
        <v>438.2</v>
      </c>
      <c r="JJ21" s="116">
        <f t="shared" si="2"/>
        <v>591.35</v>
      </c>
      <c r="JK21" s="116">
        <f t="shared" ref="JK21" si="14">+IF(JK16=0,JK9,JK16)</f>
        <v>625.70000000000005</v>
      </c>
      <c r="JL21" s="116">
        <f t="shared" ref="JL21:JM21" si="15">+IF(JL16=0,JL9,JL16)</f>
        <v>684.75</v>
      </c>
      <c r="JM21" s="116">
        <f t="shared" si="15"/>
        <v>876.4</v>
      </c>
      <c r="JN21" s="116">
        <f t="shared" ref="JN21:JO21" si="16">+IF(JN16=0,JN9,JN16)</f>
        <v>786.65</v>
      </c>
      <c r="JO21" s="116">
        <f t="shared" si="16"/>
        <v>760.2</v>
      </c>
      <c r="JP21" s="116">
        <f t="shared" ref="JP21" si="17">+IF(JP16=0,JP9,JP16)</f>
        <v>720.4</v>
      </c>
      <c r="JQ21" s="116">
        <f t="shared" ref="JQ21:KH21" si="18">+IF(JQ16=0,JQ9,JQ16)</f>
        <v>738.75</v>
      </c>
      <c r="JR21" s="116">
        <f t="shared" si="18"/>
        <v>570.75</v>
      </c>
      <c r="JS21" s="116">
        <f t="shared" si="18"/>
        <v>694.3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100850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807472787</v>
      </c>
      <c r="D6" cm="1">
        <f t="array" ref="D6">_xll.EQNXTDZ($A$1,$B6,D$1)</f>
        <v>807472787</v>
      </c>
      <c r="E6" cm="1">
        <f t="array" ref="E6">_xll.EQNXTDZ($A$1,$B6,E$1)</f>
        <v>807472787</v>
      </c>
      <c r="F6" cm="1">
        <f t="array" ref="F6">_xll.EQNXTDZ($A$1,$B6,F$1)</f>
        <v>807472787</v>
      </c>
      <c r="G6" cm="1">
        <f t="array" ref="G6">_xll.EQNXTDZ($A$1,$B6,G$1)</f>
        <v>807472787</v>
      </c>
      <c r="H6" cm="1">
        <f t="array" ref="H6">_xll.EQNXTDZ($A$1,$B6,H$1)</f>
        <v>807472787</v>
      </c>
      <c r="I6" cm="1">
        <f t="array" ref="I6">_xll.EQNXTDZ($A$1,$B6,I$1)</f>
        <v>807472787</v>
      </c>
      <c r="J6" cm="1">
        <f t="array" ref="J6">_xll.EQNXTDZ($A$1,$B6,J$1)</f>
        <v>807472787</v>
      </c>
      <c r="K6" cm="1">
        <f t="array" ref="K6">_xll.EQNXTDZ($A$1,$B6,K$1)</f>
        <v>807472787</v>
      </c>
      <c r="L6" cm="1">
        <f t="array" ref="L6">_xll.EQNXTDZ($A$1,$B6,L$1)</f>
        <v>807472787</v>
      </c>
      <c r="M6" cm="1">
        <f t="array" ref="M6">_xll.EQNXTDZ($A$1,$B6,M$1)</f>
        <v>807472787</v>
      </c>
      <c r="N6" cm="1">
        <f t="array" ref="N6">_xll.EQNXTDZ($A$1,$B6,N$1)</f>
        <v>807472787</v>
      </c>
      <c r="O6" cm="1">
        <f t="array" ref="O6">_xll.EQNXTDZ($A$1,$B6,O$1)</f>
        <v>807472787</v>
      </c>
      <c r="P6" cm="1">
        <f t="array" ref="P6">_xll.EQNXTDZ($A$1,$B6,P$1)</f>
        <v>807472787</v>
      </c>
      <c r="Q6" cm="1">
        <f t="array" ref="Q6">_xll.EQNXTDZ($A$1,$B6,Q$1)</f>
        <v>807301917</v>
      </c>
      <c r="R6" cm="1">
        <f t="array" ref="R6">_xll.EQNXTDZ($A$1,$B6,R$1)</f>
        <v>989274015</v>
      </c>
      <c r="S6" cm="1">
        <f t="array" ref="S6">_xll.EQNXTDZ($A$1,$B6,S$1)</f>
        <v>989274015</v>
      </c>
      <c r="T6" cm="1">
        <f t="array" ref="T6">_xll.EQNXTDZ($A$1,$B6,T$1)</f>
        <v>989274015</v>
      </c>
      <c r="U6" cm="1">
        <f t="array" ref="U6">_xll.EQNXTDZ($A$1,$B6,U$1)</f>
        <v>989274015</v>
      </c>
      <c r="V6" cm="1">
        <f t="array" ref="V6">_xll.EQNXTDZ($A$1,$B6,V$1)</f>
        <v>989274015</v>
      </c>
      <c r="W6" cm="1">
        <f t="array" ref="W6">_xll.EQNXTDZ($A$1,$B6,W$1)</f>
        <v>989274015</v>
      </c>
      <c r="X6" cm="1">
        <f t="array" ref="X6">_xll.EQNXTDZ($A$1,$B6,X$1)</f>
        <v>989274015</v>
      </c>
      <c r="Y6" cm="1">
        <f t="array" ref="Y6">_xll.EQNXTDZ($A$1,$B6,Y$1)</f>
        <v>1189258445</v>
      </c>
      <c r="Z6" cm="1">
        <f t="array" ref="Z6">_xll.EQNXTDZ($A$1,$B6,Z$1)</f>
        <v>1189258445</v>
      </c>
      <c r="AA6" cm="1">
        <f t="array" ref="AA6">_xll.EQNXTDZ($A$1,$B6,AA$1)</f>
        <v>1189258445</v>
      </c>
      <c r="AB6" cm="1">
        <f t="array" ref="AB6">_xll.EQNXTDZ($A$1,$B6,AB$1)</f>
        <v>1189258445</v>
      </c>
      <c r="AC6" cm="1">
        <f t="array" ref="AC6">_xll.EQNXTDZ($A$1,$B6,AC$1)</f>
        <v>1189258445</v>
      </c>
      <c r="AD6" cm="1">
        <f t="array" ref="AD6">_xll.EQNXTDZ($A$1,$B6,AD$1)</f>
        <v>1189258445</v>
      </c>
      <c r="AE6" cm="1">
        <f t="array" ref="AE6">_xll.EQNXTDZ($A$1,$B6,AE$1)</f>
        <v>1189258445</v>
      </c>
      <c r="AF6" cm="1">
        <f t="array" ref="AF6">_xll.EQNXTDZ($A$1,$B6,AF$1)</f>
        <v>1189258445</v>
      </c>
      <c r="AG6" cm="1">
        <f t="array" ref="AG6">_xll.EQNXTDZ($A$1,$B6,AG$1)</f>
        <v>1189258445</v>
      </c>
      <c r="AH6" cm="1">
        <f t="array" ref="AH6">_xll.EQNXTDZ($A$1,$B6,AH$1)</f>
        <v>1189258445</v>
      </c>
      <c r="AI6" cm="1">
        <f t="array" ref="AI6">_xll.EQNXTDZ($A$1,$B6,AI$1)</f>
        <v>1189258445</v>
      </c>
      <c r="AJ6" cm="1">
        <f t="array" ref="AJ6">_xll.EQNXTDZ($A$1,$B6,AJ$1)</f>
        <v>1189258445</v>
      </c>
      <c r="AK6" cm="1">
        <f t="array" ref="AK6">_xll.EQNXTDZ($A$1,$B6,AK$1)</f>
        <v>1189258445</v>
      </c>
      <c r="AL6" cm="1">
        <f t="array" ref="AL6">_xll.EQNXTDZ($A$1,$B6,AL$1)</f>
        <v>1189258445</v>
      </c>
      <c r="AM6" cm="1">
        <f t="array" ref="AM6">_xll.EQNXTDZ($A$1,$B6,AM$1)</f>
        <v>1189258445</v>
      </c>
      <c r="AN6" cm="1">
        <f t="array" ref="AN6">_xll.EQNXTDZ($A$1,$B6,AN$1)</f>
        <v>1189258445</v>
      </c>
      <c r="AO6" cm="1">
        <f t="array" ref="AO6">_xll.EQNXTDZ($A$1,$B6,AO$1)</f>
        <v>1321389702</v>
      </c>
      <c r="AP6" cm="1">
        <f t="array" ref="AP6">_xll.EQNXTDZ($A$1,$B6,AP$1)</f>
        <v>1420399602</v>
      </c>
      <c r="AQ6" cm="1">
        <f t="array" ref="AQ6">_xll.EQNXTDZ($A$1,$B6,AQ$1)</f>
        <v>1420399602</v>
      </c>
      <c r="AR6" cm="1">
        <f t="array" ref="AR6">_xll.EQNXTDZ($A$1,$B6,AR$1)</f>
        <v>1420399602</v>
      </c>
      <c r="AS6" cm="1">
        <f t="array" ref="AS6">_xll.EQNXTDZ($A$1,$B6,AS$1)</f>
        <v>1420400342</v>
      </c>
      <c r="AT6" cm="1">
        <f t="array" ref="AT6">_xll.EQNXTDZ($A$1,$B6,AT$1)</f>
        <v>1420400342</v>
      </c>
      <c r="AU6" cm="1">
        <f t="array" ref="AU6">_xll.EQNXTDZ($A$1,$B6,AU$1)</f>
        <v>1420400342</v>
      </c>
      <c r="AV6" cm="1">
        <f t="array" ref="AV6">_xll.EQNXTDZ($A$1,$B6,AV$1)</f>
        <v>1420400342</v>
      </c>
      <c r="AW6" cm="1">
        <f t="array" ref="AW6">_xll.EQNXTDZ($A$1,$B6,AW$1)</f>
        <v>1423432227</v>
      </c>
      <c r="AX6" cm="1">
        <f t="array" ref="AX6">_xll.EQNXTDZ($A$1,$B6,AX$1)</f>
        <v>1423432227</v>
      </c>
      <c r="AY6" cm="1">
        <f t="array" ref="AY6">_xll.EQNXTDZ($A$1,$B6,AY$1)</f>
        <v>1423432227</v>
      </c>
    </row>
    <row r="7" spans="1:51" x14ac:dyDescent="0.25">
      <c r="B7" t="s">
        <v>429</v>
      </c>
      <c r="C7" s="100">
        <f>+C6/10^7</f>
        <v>80.747278699999995</v>
      </c>
      <c r="D7" s="100">
        <f t="shared" ref="D7:X7" si="0">+D6/10^7</f>
        <v>80.747278699999995</v>
      </c>
      <c r="E7" s="100">
        <f t="shared" si="0"/>
        <v>80.747278699999995</v>
      </c>
      <c r="F7" s="100">
        <f t="shared" si="0"/>
        <v>80.747278699999995</v>
      </c>
      <c r="G7" s="100">
        <f t="shared" si="0"/>
        <v>80.747278699999995</v>
      </c>
      <c r="H7" s="100">
        <f t="shared" si="0"/>
        <v>80.747278699999995</v>
      </c>
      <c r="I7" s="100">
        <f t="shared" si="0"/>
        <v>80.747278699999995</v>
      </c>
      <c r="J7" s="100">
        <f t="shared" si="0"/>
        <v>80.747278699999995</v>
      </c>
      <c r="K7" s="100">
        <f t="shared" si="0"/>
        <v>80.747278699999995</v>
      </c>
      <c r="L7" s="100">
        <f t="shared" si="0"/>
        <v>80.747278699999995</v>
      </c>
      <c r="M7" s="100">
        <f t="shared" si="0"/>
        <v>80.747278699999995</v>
      </c>
      <c r="N7" s="100">
        <f t="shared" si="0"/>
        <v>80.747278699999995</v>
      </c>
      <c r="O7" s="100">
        <f t="shared" si="0"/>
        <v>80.747278699999995</v>
      </c>
      <c r="P7" s="100">
        <f t="shared" si="0"/>
        <v>80.747278699999995</v>
      </c>
      <c r="Q7" s="100">
        <f t="shared" si="0"/>
        <v>80.730191700000006</v>
      </c>
      <c r="R7" s="100">
        <f t="shared" si="0"/>
        <v>98.927401500000002</v>
      </c>
      <c r="S7" s="100">
        <f t="shared" si="0"/>
        <v>98.927401500000002</v>
      </c>
      <c r="T7" s="100">
        <f t="shared" si="0"/>
        <v>98.927401500000002</v>
      </c>
      <c r="U7" s="100">
        <f t="shared" si="0"/>
        <v>98.927401500000002</v>
      </c>
      <c r="V7" s="100">
        <f t="shared" si="0"/>
        <v>98.927401500000002</v>
      </c>
      <c r="W7" s="100">
        <f t="shared" si="0"/>
        <v>98.927401500000002</v>
      </c>
      <c r="X7" s="100">
        <f t="shared" si="0"/>
        <v>98.927401500000002</v>
      </c>
      <c r="Y7" s="100">
        <f t="shared" ref="Y7:AS7" si="1">+Y6/10^7</f>
        <v>118.9258445</v>
      </c>
      <c r="Z7" s="100">
        <f t="shared" si="1"/>
        <v>118.9258445</v>
      </c>
      <c r="AA7" s="100">
        <f t="shared" si="1"/>
        <v>118.9258445</v>
      </c>
      <c r="AB7" s="100">
        <f t="shared" si="1"/>
        <v>118.9258445</v>
      </c>
      <c r="AC7" s="100">
        <f t="shared" si="1"/>
        <v>118.9258445</v>
      </c>
      <c r="AD7" s="100">
        <f t="shared" si="1"/>
        <v>118.9258445</v>
      </c>
      <c r="AE7" s="100">
        <f t="shared" si="1"/>
        <v>118.9258445</v>
      </c>
      <c r="AF7" s="100">
        <f t="shared" si="1"/>
        <v>118.9258445</v>
      </c>
      <c r="AG7" s="100">
        <f t="shared" si="1"/>
        <v>118.9258445</v>
      </c>
      <c r="AH7" s="100">
        <f t="shared" si="1"/>
        <v>118.9258445</v>
      </c>
      <c r="AI7" s="100">
        <f t="shared" si="1"/>
        <v>118.9258445</v>
      </c>
      <c r="AJ7" s="100">
        <f t="shared" si="1"/>
        <v>118.9258445</v>
      </c>
      <c r="AK7" s="100">
        <f t="shared" si="1"/>
        <v>118.9258445</v>
      </c>
      <c r="AL7" s="100">
        <f t="shared" si="1"/>
        <v>118.9258445</v>
      </c>
      <c r="AM7" s="100">
        <f t="shared" si="1"/>
        <v>118.9258445</v>
      </c>
      <c r="AN7" s="100">
        <f t="shared" si="1"/>
        <v>118.9258445</v>
      </c>
      <c r="AO7" s="100">
        <f t="shared" si="1"/>
        <v>132.13897019999999</v>
      </c>
      <c r="AP7" s="100">
        <f t="shared" si="1"/>
        <v>142.0399602</v>
      </c>
      <c r="AQ7" s="100">
        <f t="shared" si="1"/>
        <v>142.0399602</v>
      </c>
      <c r="AR7" s="100">
        <f t="shared" si="1"/>
        <v>142.0399602</v>
      </c>
      <c r="AS7" s="100">
        <f t="shared" si="1"/>
        <v>142.04003420000001</v>
      </c>
      <c r="AT7" s="100">
        <f t="shared" ref="AT7:AX7" si="2">+AT6/10^7</f>
        <v>142.04003420000001</v>
      </c>
      <c r="AU7" s="100">
        <f t="shared" si="2"/>
        <v>142.04003420000001</v>
      </c>
      <c r="AV7" s="100">
        <f t="shared" si="2"/>
        <v>142.04003420000001</v>
      </c>
      <c r="AW7" s="100">
        <f t="shared" si="2"/>
        <v>142.34322270000001</v>
      </c>
      <c r="AX7" s="100">
        <f t="shared" si="2"/>
        <v>142.34322270000001</v>
      </c>
      <c r="AY7" s="100">
        <f t="shared" ref="AY7" si="3">+AY6/10^7</f>
        <v>142.34322270000001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100850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114.46043872025599</v>
      </c>
      <c r="C4" s="116">
        <v>113.008701090828</v>
      </c>
      <c r="D4" s="116">
        <v>111.012561850363</v>
      </c>
      <c r="E4" s="116">
        <v>114.32433831749699</v>
      </c>
      <c r="F4" s="116">
        <v>124.55</v>
      </c>
      <c r="G4">
        <v>85452</v>
      </c>
      <c r="H4" s="116"/>
      <c r="I4" s="116"/>
      <c r="L4" s="170">
        <v>42005</v>
      </c>
      <c r="M4" s="116">
        <v>116.56340579710144</v>
      </c>
      <c r="N4" s="116">
        <v>118.48195242001638</v>
      </c>
      <c r="O4" s="116">
        <v>114.22371479354661</v>
      </c>
      <c r="P4" s="116">
        <v>117.92042657916323</v>
      </c>
      <c r="Q4" s="116">
        <v>124.55</v>
      </c>
      <c r="R4">
        <v>687628</v>
      </c>
    </row>
    <row r="5" spans="1:18" x14ac:dyDescent="0.25">
      <c r="A5" s="170">
        <v>42006</v>
      </c>
      <c r="B5" s="116">
        <v>115.09557393313101</v>
      </c>
      <c r="C5" s="116">
        <v>110.105225831971</v>
      </c>
      <c r="D5" s="116">
        <v>109.333990216337</v>
      </c>
      <c r="E5" s="116">
        <v>113.46236910002401</v>
      </c>
      <c r="F5" s="116">
        <v>121.35</v>
      </c>
      <c r="G5">
        <v>51840</v>
      </c>
      <c r="H5" s="116"/>
      <c r="I5" s="116"/>
      <c r="L5" s="170">
        <v>42006</v>
      </c>
      <c r="M5" s="116">
        <v>113.14745693191139</v>
      </c>
      <c r="N5" s="116">
        <v>118.76271534044298</v>
      </c>
      <c r="O5" s="116">
        <v>112.35196199070275</v>
      </c>
      <c r="P5" s="116">
        <v>117.35890073831008</v>
      </c>
      <c r="Q5" s="116">
        <v>120.9</v>
      </c>
      <c r="R5">
        <v>362101</v>
      </c>
    </row>
    <row r="6" spans="1:18" x14ac:dyDescent="0.25">
      <c r="A6" s="170">
        <v>42009</v>
      </c>
      <c r="B6" s="116">
        <v>111.239395854962</v>
      </c>
      <c r="C6" s="116">
        <v>109.28862341541701</v>
      </c>
      <c r="D6" s="116">
        <v>108.245186994265</v>
      </c>
      <c r="E6" s="116">
        <v>109.833025026453</v>
      </c>
      <c r="F6" s="116">
        <v>120.45</v>
      </c>
      <c r="G6">
        <v>30857</v>
      </c>
      <c r="H6" s="116"/>
      <c r="I6" s="116"/>
      <c r="L6" s="170">
        <v>42009</v>
      </c>
      <c r="M6" s="116">
        <v>112.91348783155591</v>
      </c>
      <c r="N6" s="116">
        <v>114.87882827454196</v>
      </c>
      <c r="O6" s="116">
        <v>111.46287940935191</v>
      </c>
      <c r="P6" s="116">
        <v>113.89615805304894</v>
      </c>
      <c r="Q6" s="116">
        <v>120.65</v>
      </c>
      <c r="R6">
        <v>1446763</v>
      </c>
    </row>
    <row r="7" spans="1:18" x14ac:dyDescent="0.25">
      <c r="A7" s="170">
        <v>42010</v>
      </c>
      <c r="B7" s="116">
        <v>109.333990216337</v>
      </c>
      <c r="C7" s="116">
        <v>106.702715762997</v>
      </c>
      <c r="D7" s="116">
        <v>106.158314151962</v>
      </c>
      <c r="E7" s="116">
        <v>109.333990216337</v>
      </c>
      <c r="F7" s="116">
        <v>117.6</v>
      </c>
      <c r="G7">
        <v>441703</v>
      </c>
      <c r="H7" s="116"/>
      <c r="I7" s="116"/>
      <c r="L7" s="170">
        <v>42010</v>
      </c>
      <c r="M7" s="116">
        <v>110.33982772764561</v>
      </c>
      <c r="N7" s="116">
        <v>112.72631255127153</v>
      </c>
      <c r="O7" s="116">
        <v>109.59112660650806</v>
      </c>
      <c r="P7" s="116">
        <v>112.30516817063166</v>
      </c>
      <c r="Q7" s="116">
        <v>117.9</v>
      </c>
      <c r="R7">
        <v>688909</v>
      </c>
    </row>
    <row r="8" spans="1:18" x14ac:dyDescent="0.25">
      <c r="A8" s="170">
        <v>42011</v>
      </c>
      <c r="B8" s="116">
        <v>107.065650170355</v>
      </c>
      <c r="C8" s="116">
        <v>103.935340906899</v>
      </c>
      <c r="D8" s="116">
        <v>101.621634059998</v>
      </c>
      <c r="E8" s="116">
        <v>107.065650170355</v>
      </c>
      <c r="F8" s="116">
        <v>114.55</v>
      </c>
      <c r="G8">
        <v>199656</v>
      </c>
      <c r="H8" s="116"/>
      <c r="I8" s="116"/>
      <c r="L8" s="170">
        <v>42011</v>
      </c>
      <c r="M8" s="116">
        <v>107.53219852337982</v>
      </c>
      <c r="N8" s="116">
        <v>110.57379682800109</v>
      </c>
      <c r="O8" s="116">
        <v>104.81815695925621</v>
      </c>
      <c r="P8" s="116">
        <v>110.43341536778779</v>
      </c>
      <c r="Q8" s="116">
        <v>114.9</v>
      </c>
      <c r="R8">
        <v>716696</v>
      </c>
    </row>
    <row r="9" spans="1:18" x14ac:dyDescent="0.25">
      <c r="A9" s="170">
        <v>42012</v>
      </c>
      <c r="B9" s="116">
        <v>105.704646142765</v>
      </c>
      <c r="C9" s="116">
        <v>105.06951092989</v>
      </c>
      <c r="D9" s="116">
        <v>104.162174911497</v>
      </c>
      <c r="E9" s="116">
        <v>104.661209721614</v>
      </c>
      <c r="F9" s="116">
        <v>115.8</v>
      </c>
      <c r="G9">
        <v>33584</v>
      </c>
      <c r="H9" s="116"/>
      <c r="I9" s="116"/>
      <c r="L9" s="170">
        <v>42012</v>
      </c>
      <c r="M9" s="116">
        <v>108.32769346458845</v>
      </c>
      <c r="N9" s="116">
        <v>109.31036368608147</v>
      </c>
      <c r="O9" s="116">
        <v>106.22197156138911</v>
      </c>
      <c r="P9" s="116">
        <v>106.22197156138911</v>
      </c>
      <c r="Q9" s="116">
        <v>115.75</v>
      </c>
      <c r="R9">
        <v>651226</v>
      </c>
    </row>
    <row r="10" spans="1:18" x14ac:dyDescent="0.25">
      <c r="A10" s="170">
        <v>42013</v>
      </c>
      <c r="B10" s="116">
        <v>110.28669303564899</v>
      </c>
      <c r="C10" s="116">
        <v>107.927619387828</v>
      </c>
      <c r="D10" s="116">
        <v>105.523178939087</v>
      </c>
      <c r="E10" s="116">
        <v>105.659279341846</v>
      </c>
      <c r="F10" s="116">
        <v>118.95</v>
      </c>
      <c r="G10">
        <v>88148</v>
      </c>
      <c r="H10" s="116"/>
      <c r="I10" s="116"/>
      <c r="L10" s="170">
        <v>42013</v>
      </c>
      <c r="M10" s="116">
        <v>111.46287940935191</v>
      </c>
      <c r="N10" s="116">
        <v>113.89615805304894</v>
      </c>
      <c r="O10" s="116">
        <v>108.46807492480174</v>
      </c>
      <c r="P10" s="116">
        <v>108.46807492480174</v>
      </c>
      <c r="Q10" s="116">
        <v>119.1</v>
      </c>
      <c r="R10">
        <v>1026313</v>
      </c>
    </row>
    <row r="11" spans="1:18" x14ac:dyDescent="0.25">
      <c r="A11" s="170">
        <v>42016</v>
      </c>
      <c r="B11" s="116">
        <v>109.061789410819</v>
      </c>
      <c r="C11" s="116">
        <v>107.428584577712</v>
      </c>
      <c r="D11" s="116">
        <v>107.065650170355</v>
      </c>
      <c r="E11" s="116">
        <v>108.426654197944</v>
      </c>
      <c r="F11" s="116">
        <v>118.4</v>
      </c>
      <c r="G11">
        <v>45758</v>
      </c>
      <c r="H11" s="116"/>
      <c r="I11" s="116"/>
      <c r="L11" s="170">
        <v>42016</v>
      </c>
      <c r="M11" s="116">
        <v>111.18211648892533</v>
      </c>
      <c r="N11" s="116">
        <v>112.58593109105823</v>
      </c>
      <c r="O11" s="116">
        <v>110.62059064807218</v>
      </c>
      <c r="P11" s="116">
        <v>112.11799289034727</v>
      </c>
      <c r="Q11" s="116">
        <v>118.8</v>
      </c>
      <c r="R11">
        <v>1061201</v>
      </c>
    </row>
    <row r="12" spans="1:18" x14ac:dyDescent="0.25">
      <c r="A12" s="170">
        <v>42017</v>
      </c>
      <c r="B12" s="116">
        <v>108.88032220714</v>
      </c>
      <c r="C12" s="116">
        <v>107.201750573113</v>
      </c>
      <c r="D12" s="116">
        <v>105.432445337247</v>
      </c>
      <c r="E12" s="116">
        <v>107.70078538323</v>
      </c>
      <c r="F12" s="116">
        <v>118.15</v>
      </c>
      <c r="G12">
        <v>265089</v>
      </c>
      <c r="H12" s="116"/>
      <c r="I12" s="116"/>
      <c r="L12" s="170">
        <v>42017</v>
      </c>
      <c r="M12" s="116">
        <v>111.04173502871205</v>
      </c>
      <c r="N12" s="116">
        <v>112.77310637134262</v>
      </c>
      <c r="O12" s="116">
        <v>109.02960076565491</v>
      </c>
      <c r="P12" s="116">
        <v>111.18211648892533</v>
      </c>
      <c r="Q12" s="116">
        <v>118.65</v>
      </c>
      <c r="R12">
        <v>228913</v>
      </c>
    </row>
    <row r="13" spans="1:18" x14ac:dyDescent="0.25">
      <c r="A13" s="170">
        <v>42018</v>
      </c>
      <c r="B13" s="116">
        <v>108.15445339242601</v>
      </c>
      <c r="C13" s="116">
        <v>104.978777328051</v>
      </c>
      <c r="D13" s="116">
        <v>104.525109318855</v>
      </c>
      <c r="E13" s="116">
        <v>107.65541858231001</v>
      </c>
      <c r="F13" s="116">
        <v>115.7</v>
      </c>
      <c r="G13">
        <v>30703</v>
      </c>
      <c r="H13" s="116"/>
      <c r="I13" s="116"/>
      <c r="L13" s="170">
        <v>42018</v>
      </c>
      <c r="M13" s="116">
        <v>108.46807492480174</v>
      </c>
      <c r="N13" s="116">
        <v>111.69684850970739</v>
      </c>
      <c r="O13" s="116">
        <v>107.95334290401968</v>
      </c>
      <c r="P13" s="116">
        <v>110.62059064807218</v>
      </c>
      <c r="Q13" s="116">
        <v>115.9</v>
      </c>
      <c r="R13">
        <v>259913</v>
      </c>
    </row>
    <row r="14" spans="1:18" x14ac:dyDescent="0.25">
      <c r="A14" s="170">
        <v>42019</v>
      </c>
      <c r="B14" s="116">
        <v>106.702715762997</v>
      </c>
      <c r="C14" s="116">
        <v>105.432445337247</v>
      </c>
      <c r="D14" s="116">
        <v>104.978777328051</v>
      </c>
      <c r="E14" s="116">
        <v>106.702715762997</v>
      </c>
      <c r="F14" s="116">
        <v>116.2</v>
      </c>
      <c r="G14">
        <v>35976</v>
      </c>
      <c r="H14" s="116"/>
      <c r="I14" s="116"/>
      <c r="L14" s="170">
        <v>42019</v>
      </c>
      <c r="M14" s="116">
        <v>108.8892193054416</v>
      </c>
      <c r="N14" s="116">
        <v>109.96547716707683</v>
      </c>
      <c r="O14" s="116">
        <v>107.7193738036642</v>
      </c>
      <c r="P14" s="116">
        <v>109.49753896636587</v>
      </c>
      <c r="Q14" s="116">
        <v>116.35</v>
      </c>
      <c r="R14">
        <v>1266807</v>
      </c>
    </row>
    <row r="15" spans="1:18" x14ac:dyDescent="0.25">
      <c r="A15" s="170">
        <v>42020</v>
      </c>
      <c r="B15" s="116">
        <v>107.564684980471</v>
      </c>
      <c r="C15" s="116">
        <v>104.797310124372</v>
      </c>
      <c r="D15" s="116">
        <v>104.343642115176</v>
      </c>
      <c r="E15" s="116">
        <v>105.568545740006</v>
      </c>
      <c r="F15" s="116">
        <v>115.5</v>
      </c>
      <c r="G15">
        <v>26541</v>
      </c>
      <c r="H15" s="116"/>
      <c r="I15" s="116"/>
      <c r="L15" s="170">
        <v>42020</v>
      </c>
      <c r="M15" s="116">
        <v>107.81296144380639</v>
      </c>
      <c r="N15" s="116">
        <v>110.90135356849876</v>
      </c>
      <c r="O15" s="116">
        <v>107.62578616352201</v>
      </c>
      <c r="P15" s="116">
        <v>109.40395132622368</v>
      </c>
      <c r="Q15" s="116">
        <v>115.2</v>
      </c>
      <c r="R15">
        <v>657601</v>
      </c>
    </row>
    <row r="16" spans="1:18" x14ac:dyDescent="0.25">
      <c r="A16" s="170">
        <v>42023</v>
      </c>
      <c r="B16" s="116">
        <v>108.063719790587</v>
      </c>
      <c r="C16" s="116">
        <v>105.523178939087</v>
      </c>
      <c r="D16" s="116">
        <v>104.434375717015</v>
      </c>
      <c r="E16" s="116">
        <v>105.25097813356901</v>
      </c>
      <c r="F16" s="116">
        <v>116.3</v>
      </c>
      <c r="G16">
        <v>73462</v>
      </c>
      <c r="H16" s="116"/>
      <c r="I16" s="116"/>
      <c r="L16" s="170">
        <v>42023</v>
      </c>
      <c r="M16" s="116">
        <v>109.02960076565491</v>
      </c>
      <c r="N16" s="116">
        <v>111.83722996992068</v>
      </c>
      <c r="O16" s="116">
        <v>107.20464178288213</v>
      </c>
      <c r="P16" s="116">
        <v>107.20464178288213</v>
      </c>
      <c r="Q16" s="116">
        <v>116.5</v>
      </c>
      <c r="R16">
        <v>359030</v>
      </c>
    </row>
    <row r="17" spans="1:18" x14ac:dyDescent="0.25">
      <c r="A17" s="170">
        <v>42024</v>
      </c>
      <c r="B17" s="116">
        <v>108.88032220714</v>
      </c>
      <c r="C17" s="116">
        <v>106.33978135564</v>
      </c>
      <c r="D17" s="116">
        <v>104.343642115176</v>
      </c>
      <c r="E17" s="116">
        <v>106.158314151962</v>
      </c>
      <c r="F17" s="116">
        <v>117.2</v>
      </c>
      <c r="G17">
        <v>54972</v>
      </c>
      <c r="H17" s="116"/>
      <c r="I17" s="116"/>
      <c r="L17" s="170">
        <v>42024</v>
      </c>
      <c r="M17" s="116">
        <v>110.71417828821437</v>
      </c>
      <c r="N17" s="116">
        <v>112.30516817063166</v>
      </c>
      <c r="O17" s="116">
        <v>109.02960076565491</v>
      </c>
      <c r="P17" s="116">
        <v>109.21677604593928</v>
      </c>
      <c r="Q17" s="116">
        <v>118.3</v>
      </c>
      <c r="R17">
        <v>428629</v>
      </c>
    </row>
    <row r="18" spans="1:18" x14ac:dyDescent="0.25">
      <c r="A18" s="170">
        <v>42025</v>
      </c>
      <c r="B18" s="116">
        <v>110.55889384116701</v>
      </c>
      <c r="C18" s="116">
        <v>108.608121401622</v>
      </c>
      <c r="D18" s="116">
        <v>107.51931817955099</v>
      </c>
      <c r="E18" s="116">
        <v>107.564684980471</v>
      </c>
      <c r="F18" s="116">
        <v>119.7</v>
      </c>
      <c r="G18">
        <v>149217</v>
      </c>
      <c r="H18" s="116"/>
      <c r="I18" s="116"/>
      <c r="L18" s="170">
        <v>42025</v>
      </c>
      <c r="M18" s="116">
        <v>112.16478671041835</v>
      </c>
      <c r="N18" s="116">
        <v>114.17692097347552</v>
      </c>
      <c r="O18" s="116">
        <v>110.80776592835657</v>
      </c>
      <c r="P18" s="116">
        <v>110.80776592835657</v>
      </c>
      <c r="Q18" s="116">
        <v>119.85</v>
      </c>
      <c r="R18">
        <v>673707</v>
      </c>
    </row>
    <row r="19" spans="1:18" x14ac:dyDescent="0.25">
      <c r="A19" s="170">
        <v>42026</v>
      </c>
      <c r="B19" s="116">
        <v>110.967195049444</v>
      </c>
      <c r="C19" s="116">
        <v>107.337850975872</v>
      </c>
      <c r="D19" s="116">
        <v>106.748082563917</v>
      </c>
      <c r="E19" s="116">
        <v>108.608121401622</v>
      </c>
      <c r="F19" s="116">
        <v>118.3</v>
      </c>
      <c r="G19">
        <v>96942</v>
      </c>
      <c r="H19" s="116"/>
      <c r="I19" s="116"/>
      <c r="L19" s="170">
        <v>42026</v>
      </c>
      <c r="M19" s="116">
        <v>110.71417828821437</v>
      </c>
      <c r="N19" s="116">
        <v>114.59806535411539</v>
      </c>
      <c r="O19" s="116">
        <v>110.01227098714793</v>
      </c>
      <c r="P19" s="116">
        <v>111.69684850970739</v>
      </c>
      <c r="Q19" s="116">
        <v>118.3</v>
      </c>
      <c r="R19">
        <v>356222</v>
      </c>
    </row>
    <row r="20" spans="1:18" x14ac:dyDescent="0.25">
      <c r="A20" s="170">
        <v>42027</v>
      </c>
      <c r="B20" s="116">
        <v>109.560824220935</v>
      </c>
      <c r="C20" s="116">
        <v>107.337850975872</v>
      </c>
      <c r="D20" s="116">
        <v>107.065650170355</v>
      </c>
      <c r="E20" s="116">
        <v>107.51931817955099</v>
      </c>
      <c r="F20" s="116">
        <v>118.3</v>
      </c>
      <c r="G20">
        <v>87470</v>
      </c>
      <c r="H20" s="116"/>
      <c r="I20" s="116"/>
      <c r="L20" s="170">
        <v>42027</v>
      </c>
      <c r="M20" s="116">
        <v>110.99494120864095</v>
      </c>
      <c r="N20" s="116">
        <v>113.19425075198249</v>
      </c>
      <c r="O20" s="116">
        <v>110.43341536778779</v>
      </c>
      <c r="P20" s="116">
        <v>112.25837435056056</v>
      </c>
      <c r="Q20" s="116">
        <v>118.6</v>
      </c>
      <c r="R20">
        <v>399343</v>
      </c>
    </row>
    <row r="21" spans="1:18" x14ac:dyDescent="0.25">
      <c r="A21" s="170">
        <v>42031</v>
      </c>
      <c r="B21" s="116">
        <v>109.243256614497</v>
      </c>
      <c r="C21" s="116">
        <v>106.657348962078</v>
      </c>
      <c r="D21" s="116">
        <v>106.158314151962</v>
      </c>
      <c r="E21" s="116">
        <v>107.247117374033</v>
      </c>
      <c r="F21" s="116">
        <v>117.55</v>
      </c>
      <c r="G21">
        <v>49322</v>
      </c>
      <c r="H21" s="116"/>
      <c r="I21" s="116"/>
      <c r="L21" s="170">
        <v>42031</v>
      </c>
      <c r="M21" s="116">
        <v>110.19944626743231</v>
      </c>
      <c r="N21" s="116">
        <v>112.72631255127153</v>
      </c>
      <c r="O21" s="116">
        <v>109.54433278643695</v>
      </c>
      <c r="P21" s="116">
        <v>110.43341536778779</v>
      </c>
      <c r="Q21" s="116">
        <v>117.75</v>
      </c>
      <c r="R21">
        <v>492267</v>
      </c>
    </row>
    <row r="22" spans="1:18" x14ac:dyDescent="0.25">
      <c r="A22" s="170">
        <v>42032</v>
      </c>
      <c r="B22" s="116">
        <v>109.42472381817601</v>
      </c>
      <c r="C22" s="116">
        <v>106.88418296667599</v>
      </c>
      <c r="D22" s="116">
        <v>105.11487773080999</v>
      </c>
      <c r="E22" s="116">
        <v>107.292484174953</v>
      </c>
      <c r="F22" s="116">
        <v>117.8</v>
      </c>
      <c r="G22">
        <v>74355</v>
      </c>
      <c r="H22" s="116"/>
      <c r="I22" s="116"/>
      <c r="L22" s="170">
        <v>42032</v>
      </c>
      <c r="M22" s="116">
        <v>110.57379682800109</v>
      </c>
      <c r="N22" s="116">
        <v>113.24104457205358</v>
      </c>
      <c r="O22" s="116">
        <v>108.56166256494393</v>
      </c>
      <c r="P22" s="116">
        <v>110.19944626743231</v>
      </c>
      <c r="Q22" s="116">
        <v>118.15</v>
      </c>
      <c r="R22">
        <v>885477</v>
      </c>
    </row>
    <row r="23" spans="1:18" x14ac:dyDescent="0.25">
      <c r="A23" s="170">
        <v>42033</v>
      </c>
      <c r="B23" s="116">
        <v>111.19402905404201</v>
      </c>
      <c r="C23" s="116">
        <v>108.29055379518501</v>
      </c>
      <c r="D23" s="116">
        <v>106.611982161158</v>
      </c>
      <c r="E23" s="116">
        <v>107.746152184149</v>
      </c>
      <c r="F23" s="116">
        <v>119.35</v>
      </c>
      <c r="G23">
        <v>109035</v>
      </c>
      <c r="H23" s="116"/>
      <c r="I23" s="116"/>
      <c r="L23" s="170">
        <v>42033</v>
      </c>
      <c r="M23" s="116">
        <v>112.11799289034727</v>
      </c>
      <c r="N23" s="116">
        <v>115.01920973475526</v>
      </c>
      <c r="O23" s="116">
        <v>109.96547716707683</v>
      </c>
      <c r="P23" s="116">
        <v>111.36929176920972</v>
      </c>
      <c r="Q23" s="116">
        <v>119.8</v>
      </c>
      <c r="R23">
        <v>475597</v>
      </c>
    </row>
    <row r="24" spans="1:18" x14ac:dyDescent="0.25">
      <c r="A24" s="170">
        <v>42034</v>
      </c>
      <c r="B24" s="116">
        <v>111.602330262319</v>
      </c>
      <c r="C24" s="116">
        <v>109.470090619096</v>
      </c>
      <c r="D24" s="116">
        <v>109.197889813578</v>
      </c>
      <c r="E24" s="116">
        <v>109.28862341541701</v>
      </c>
      <c r="F24" s="116">
        <v>120.65</v>
      </c>
      <c r="G24">
        <v>65031</v>
      </c>
      <c r="H24" s="116"/>
      <c r="I24" s="116"/>
      <c r="L24" s="170">
        <v>42034</v>
      </c>
      <c r="M24" s="116">
        <v>113.24104457205358</v>
      </c>
      <c r="N24" s="116">
        <v>115.53394175553731</v>
      </c>
      <c r="O24" s="116">
        <v>112.53913727098714</v>
      </c>
      <c r="P24" s="116">
        <v>112.67951873120043</v>
      </c>
      <c r="Q24" s="116">
        <v>121</v>
      </c>
      <c r="R24">
        <v>503205</v>
      </c>
    </row>
    <row r="25" spans="1:18" x14ac:dyDescent="0.25">
      <c r="A25" s="170">
        <v>42037</v>
      </c>
      <c r="B25" s="116">
        <v>112.82723388714901</v>
      </c>
      <c r="C25" s="116">
        <v>110.468160239328</v>
      </c>
      <c r="D25" s="116">
        <v>109.696924623694</v>
      </c>
      <c r="E25" s="116">
        <v>109.696924623694</v>
      </c>
      <c r="F25" s="116">
        <v>121.75</v>
      </c>
      <c r="G25">
        <v>70817</v>
      </c>
      <c r="H25" s="116"/>
      <c r="I25" s="116"/>
      <c r="L25" s="170">
        <v>42037</v>
      </c>
      <c r="M25" s="116">
        <v>113.89615805304894</v>
      </c>
      <c r="N25" s="116">
        <v>116.46981815695925</v>
      </c>
      <c r="O25" s="116">
        <v>112.77310637134262</v>
      </c>
      <c r="P25" s="116">
        <v>112.77310637134262</v>
      </c>
      <c r="Q25" s="116">
        <v>121.7</v>
      </c>
      <c r="R25">
        <v>555994</v>
      </c>
    </row>
    <row r="26" spans="1:18" x14ac:dyDescent="0.25">
      <c r="A26" s="170">
        <v>42038</v>
      </c>
      <c r="B26" s="116">
        <v>111.874531067837</v>
      </c>
      <c r="C26" s="116">
        <v>110.28669303564899</v>
      </c>
      <c r="D26" s="116">
        <v>109.560824220935</v>
      </c>
      <c r="E26" s="116">
        <v>111.05792865128301</v>
      </c>
      <c r="F26" s="116">
        <v>121.55</v>
      </c>
      <c r="G26">
        <v>42366</v>
      </c>
      <c r="H26" s="116"/>
      <c r="I26" s="116"/>
      <c r="L26" s="170">
        <v>42038</v>
      </c>
      <c r="M26" s="116">
        <v>113.98974569319113</v>
      </c>
      <c r="N26" s="116">
        <v>115.48714793546623</v>
      </c>
      <c r="O26" s="116">
        <v>113.14745693191139</v>
      </c>
      <c r="P26" s="116">
        <v>114.87882827454196</v>
      </c>
      <c r="Q26" s="116">
        <v>121.8</v>
      </c>
      <c r="R26">
        <v>343944</v>
      </c>
    </row>
    <row r="27" spans="1:18" x14ac:dyDescent="0.25">
      <c r="A27" s="170">
        <v>42039</v>
      </c>
      <c r="B27" s="116">
        <v>113.417002299104</v>
      </c>
      <c r="C27" s="116">
        <v>111.829164266917</v>
      </c>
      <c r="D27" s="116">
        <v>110.28669303564899</v>
      </c>
      <c r="E27" s="116">
        <v>110.28669303564899</v>
      </c>
      <c r="F27" s="116">
        <v>123.25</v>
      </c>
      <c r="G27">
        <v>106286</v>
      </c>
      <c r="H27" s="116"/>
      <c r="I27" s="116"/>
      <c r="L27" s="170">
        <v>42039</v>
      </c>
      <c r="M27" s="116">
        <v>115.20638501503963</v>
      </c>
      <c r="N27" s="116">
        <v>116.98455017774131</v>
      </c>
      <c r="O27" s="116">
        <v>113.80257041290673</v>
      </c>
      <c r="P27" s="116">
        <v>114.17692097347552</v>
      </c>
      <c r="Q27" s="116">
        <v>123.1</v>
      </c>
      <c r="R27">
        <v>633841</v>
      </c>
    </row>
    <row r="28" spans="1:18" x14ac:dyDescent="0.25">
      <c r="A28" s="170">
        <v>42040</v>
      </c>
      <c r="B28" s="116">
        <v>115.18630753497</v>
      </c>
      <c r="C28" s="116">
        <v>110.92182824852399</v>
      </c>
      <c r="D28" s="116">
        <v>110.059859031051</v>
      </c>
      <c r="E28" s="116">
        <v>113.870670308301</v>
      </c>
      <c r="F28" s="116">
        <v>122.25</v>
      </c>
      <c r="G28">
        <v>72776</v>
      </c>
      <c r="H28" s="116"/>
      <c r="I28" s="116"/>
      <c r="L28" s="170">
        <v>42040</v>
      </c>
      <c r="M28" s="116">
        <v>114.64485917418648</v>
      </c>
      <c r="N28" s="116">
        <v>118.66912770030078</v>
      </c>
      <c r="O28" s="116">
        <v>113.70898277276456</v>
      </c>
      <c r="P28" s="116">
        <v>117.54607601859446</v>
      </c>
      <c r="Q28" s="116">
        <v>122.5</v>
      </c>
      <c r="R28">
        <v>431233</v>
      </c>
    </row>
    <row r="29" spans="1:18" x14ac:dyDescent="0.25">
      <c r="A29" s="170">
        <v>42041</v>
      </c>
      <c r="B29" s="116">
        <v>112.010631470595</v>
      </c>
      <c r="C29" s="116">
        <v>109.197889813578</v>
      </c>
      <c r="D29" s="116">
        <v>108.51738779978299</v>
      </c>
      <c r="E29" s="116">
        <v>110.740361044846</v>
      </c>
      <c r="F29" s="116">
        <v>120.35</v>
      </c>
      <c r="G29">
        <v>38883</v>
      </c>
      <c r="H29" s="116"/>
      <c r="I29" s="116"/>
      <c r="L29" s="170">
        <v>42041</v>
      </c>
      <c r="M29" s="116">
        <v>113.14745693191139</v>
      </c>
      <c r="N29" s="116">
        <v>115.48714793546623</v>
      </c>
      <c r="O29" s="116">
        <v>111.83722996992068</v>
      </c>
      <c r="P29" s="116">
        <v>114.73844681432867</v>
      </c>
      <c r="Q29" s="116">
        <v>120.9</v>
      </c>
      <c r="R29">
        <v>586983</v>
      </c>
    </row>
    <row r="30" spans="1:18" x14ac:dyDescent="0.25">
      <c r="A30" s="170">
        <v>42044</v>
      </c>
      <c r="B30" s="116">
        <v>109.28862341541701</v>
      </c>
      <c r="C30" s="116">
        <v>108.971055808979</v>
      </c>
      <c r="D30" s="116">
        <v>106.38514815656001</v>
      </c>
      <c r="E30" s="116">
        <v>109.197889813578</v>
      </c>
      <c r="F30" s="116">
        <v>120.1</v>
      </c>
      <c r="G30">
        <v>42193</v>
      </c>
      <c r="H30" s="116"/>
      <c r="I30" s="116"/>
      <c r="L30" s="170">
        <v>42044</v>
      </c>
      <c r="M30" s="116">
        <v>112.35196199070275</v>
      </c>
      <c r="N30" s="116">
        <v>112.77310637134262</v>
      </c>
      <c r="O30" s="116">
        <v>110.43341536778779</v>
      </c>
      <c r="P30" s="116">
        <v>111.46287940935191</v>
      </c>
      <c r="Q30" s="116">
        <v>120.05</v>
      </c>
      <c r="R30">
        <v>228980</v>
      </c>
    </row>
    <row r="31" spans="1:18" x14ac:dyDescent="0.25">
      <c r="A31" s="170">
        <v>42045</v>
      </c>
      <c r="B31" s="116">
        <v>108.472020998863</v>
      </c>
      <c r="C31" s="116">
        <v>106.838816165756</v>
      </c>
      <c r="D31" s="116">
        <v>105.976846948283</v>
      </c>
      <c r="E31" s="116">
        <v>108.15445339242601</v>
      </c>
      <c r="F31" s="116">
        <v>117.75</v>
      </c>
      <c r="G31">
        <v>48366</v>
      </c>
      <c r="H31" s="116"/>
      <c r="I31" s="116"/>
      <c r="L31" s="170">
        <v>42045</v>
      </c>
      <c r="M31" s="116">
        <v>110.43341536778779</v>
      </c>
      <c r="N31" s="116">
        <v>112.02440525020508</v>
      </c>
      <c r="O31" s="116">
        <v>109.68471424665026</v>
      </c>
      <c r="P31" s="116">
        <v>111.36929176920972</v>
      </c>
      <c r="Q31" s="116">
        <v>118</v>
      </c>
      <c r="R31">
        <v>793022</v>
      </c>
    </row>
    <row r="32" spans="1:18" x14ac:dyDescent="0.25">
      <c r="A32" s="170">
        <v>42046</v>
      </c>
      <c r="B32" s="116">
        <v>107.428584577712</v>
      </c>
      <c r="C32" s="116">
        <v>105.88611334644401</v>
      </c>
      <c r="D32" s="116">
        <v>105.477812138167</v>
      </c>
      <c r="E32" s="116">
        <v>107.428584577712</v>
      </c>
      <c r="F32" s="116">
        <v>116.7</v>
      </c>
      <c r="G32">
        <v>35318</v>
      </c>
      <c r="H32" s="116"/>
      <c r="I32" s="116"/>
      <c r="L32" s="170">
        <v>42046</v>
      </c>
      <c r="M32" s="116">
        <v>109.49753896636587</v>
      </c>
      <c r="N32" s="116">
        <v>110.99494120864095</v>
      </c>
      <c r="O32" s="116">
        <v>109.02960076565491</v>
      </c>
      <c r="P32" s="116">
        <v>110.90135356849876</v>
      </c>
      <c r="Q32" s="116">
        <v>117</v>
      </c>
      <c r="R32">
        <v>530725</v>
      </c>
    </row>
    <row r="33" spans="1:18" x14ac:dyDescent="0.25">
      <c r="A33" s="170">
        <v>42047</v>
      </c>
      <c r="B33" s="116">
        <v>109.78765822553299</v>
      </c>
      <c r="C33" s="116">
        <v>105.387078536328</v>
      </c>
      <c r="D33" s="116">
        <v>104.933410527131</v>
      </c>
      <c r="E33" s="116">
        <v>106.43051495748</v>
      </c>
      <c r="F33" s="116">
        <v>116.15</v>
      </c>
      <c r="G33">
        <v>104817</v>
      </c>
      <c r="H33" s="116"/>
      <c r="I33" s="116"/>
      <c r="L33" s="170">
        <v>42047</v>
      </c>
      <c r="M33" s="116">
        <v>108.70204402515722</v>
      </c>
      <c r="N33" s="116">
        <v>113.0070754716981</v>
      </c>
      <c r="O33" s="116">
        <v>108.56166256494393</v>
      </c>
      <c r="P33" s="116">
        <v>109.82509570686354</v>
      </c>
      <c r="Q33" s="116">
        <v>116.15</v>
      </c>
      <c r="R33">
        <v>456227</v>
      </c>
    </row>
    <row r="34" spans="1:18" x14ac:dyDescent="0.25">
      <c r="A34" s="170">
        <v>42048</v>
      </c>
      <c r="B34" s="116">
        <v>106.566615360238</v>
      </c>
      <c r="C34" s="116">
        <v>104.47974251793499</v>
      </c>
      <c r="D34" s="116">
        <v>103.436306096783</v>
      </c>
      <c r="E34" s="116">
        <v>106.158314151962</v>
      </c>
      <c r="F34" s="116">
        <v>115.15</v>
      </c>
      <c r="G34">
        <v>26909</v>
      </c>
      <c r="H34" s="116"/>
      <c r="I34" s="116"/>
      <c r="L34" s="170">
        <v>42048</v>
      </c>
      <c r="M34" s="116">
        <v>107.34502324309543</v>
      </c>
      <c r="N34" s="116">
        <v>109.87188952693464</v>
      </c>
      <c r="O34" s="116">
        <v>106.68990976210007</v>
      </c>
      <c r="P34" s="116">
        <v>109.49753896636587</v>
      </c>
      <c r="Q34" s="116">
        <v>114.7</v>
      </c>
      <c r="R34">
        <v>887843</v>
      </c>
    </row>
    <row r="35" spans="1:18" x14ac:dyDescent="0.25">
      <c r="A35" s="170">
        <v>42051</v>
      </c>
      <c r="B35" s="116">
        <v>104.933410527131</v>
      </c>
      <c r="C35" s="116">
        <v>100.895765245283</v>
      </c>
      <c r="D35" s="116">
        <v>100.124529629649</v>
      </c>
      <c r="E35" s="116">
        <v>104.343642115176</v>
      </c>
      <c r="F35" s="116">
        <v>111.2</v>
      </c>
      <c r="G35">
        <v>76821</v>
      </c>
      <c r="H35" s="116"/>
      <c r="I35" s="116"/>
      <c r="L35" s="170">
        <v>42051</v>
      </c>
      <c r="M35" s="116">
        <v>104.30342493847415</v>
      </c>
      <c r="N35" s="116">
        <v>108.56166256494393</v>
      </c>
      <c r="O35" s="116">
        <v>103.22716707683892</v>
      </c>
      <c r="P35" s="116">
        <v>107.62578616352201</v>
      </c>
      <c r="Q35" s="116">
        <v>111.45</v>
      </c>
      <c r="R35">
        <v>383362</v>
      </c>
    </row>
    <row r="36" spans="1:18" x14ac:dyDescent="0.25">
      <c r="A36" s="170">
        <v>42053</v>
      </c>
      <c r="B36" s="116">
        <v>104.343642115176</v>
      </c>
      <c r="C36" s="116">
        <v>103.61777330046201</v>
      </c>
      <c r="D36" s="116">
        <v>102.256769272873</v>
      </c>
      <c r="E36" s="116">
        <v>102.57433687931</v>
      </c>
      <c r="F36" s="116">
        <v>114.2</v>
      </c>
      <c r="G36">
        <v>33959</v>
      </c>
      <c r="H36" s="116"/>
      <c r="I36" s="116"/>
      <c r="L36" s="170">
        <v>42053</v>
      </c>
      <c r="M36" s="116">
        <v>107.15784796281103</v>
      </c>
      <c r="N36" s="116">
        <v>108.09372436423297</v>
      </c>
      <c r="O36" s="116">
        <v>105.19250751982499</v>
      </c>
      <c r="P36" s="116">
        <v>105.23930133989609</v>
      </c>
      <c r="Q36" s="116">
        <v>114.5</v>
      </c>
      <c r="R36">
        <v>1879193</v>
      </c>
    </row>
    <row r="37" spans="1:18" x14ac:dyDescent="0.25">
      <c r="A37" s="170">
        <v>42054</v>
      </c>
      <c r="B37" s="116">
        <v>108.426654197944</v>
      </c>
      <c r="C37" s="116">
        <v>107.70078538323</v>
      </c>
      <c r="D37" s="116">
        <v>104.434375717015</v>
      </c>
      <c r="E37" s="116">
        <v>105.976846948283</v>
      </c>
      <c r="F37" s="116">
        <v>118.7</v>
      </c>
      <c r="G37">
        <v>68557</v>
      </c>
      <c r="H37" s="116"/>
      <c r="I37" s="116"/>
      <c r="L37" s="170">
        <v>42054</v>
      </c>
      <c r="M37" s="116">
        <v>111.22891030899643</v>
      </c>
      <c r="N37" s="116">
        <v>112.02440525020508</v>
      </c>
      <c r="O37" s="116">
        <v>107.15784796281103</v>
      </c>
      <c r="P37" s="116">
        <v>107.15784796281103</v>
      </c>
      <c r="Q37" s="116">
        <v>118.85</v>
      </c>
      <c r="R37">
        <v>428026</v>
      </c>
    </row>
    <row r="38" spans="1:18" x14ac:dyDescent="0.25">
      <c r="A38" s="170">
        <v>42055</v>
      </c>
      <c r="B38" s="116">
        <v>107.746152184149</v>
      </c>
      <c r="C38" s="116">
        <v>106.24904775380099</v>
      </c>
      <c r="D38" s="116">
        <v>104.525109318855</v>
      </c>
      <c r="E38" s="116">
        <v>107.746152184149</v>
      </c>
      <c r="F38" s="116">
        <v>117.1</v>
      </c>
      <c r="G38">
        <v>54044</v>
      </c>
      <c r="H38" s="116"/>
      <c r="I38" s="116"/>
      <c r="L38" s="170">
        <v>42055</v>
      </c>
      <c r="M38" s="116">
        <v>109.91868334700574</v>
      </c>
      <c r="N38" s="116">
        <v>111.55646704949412</v>
      </c>
      <c r="O38" s="116">
        <v>107.81296144380639</v>
      </c>
      <c r="P38" s="116">
        <v>111.55646704949412</v>
      </c>
      <c r="Q38" s="116">
        <v>117.45</v>
      </c>
      <c r="R38">
        <v>438457</v>
      </c>
    </row>
    <row r="39" spans="1:18" x14ac:dyDescent="0.25">
      <c r="A39" s="170">
        <v>42058</v>
      </c>
      <c r="B39" s="116">
        <v>106.158314151962</v>
      </c>
      <c r="C39" s="116">
        <v>102.256769272873</v>
      </c>
      <c r="D39" s="116">
        <v>100.71429804160501</v>
      </c>
      <c r="E39" s="116">
        <v>105.523178939087</v>
      </c>
      <c r="F39" s="116">
        <v>112.7</v>
      </c>
      <c r="G39">
        <v>131745</v>
      </c>
      <c r="H39" s="116"/>
      <c r="I39" s="116"/>
      <c r="L39" s="170">
        <v>42058</v>
      </c>
      <c r="M39" s="116">
        <v>105.75403336067814</v>
      </c>
      <c r="N39" s="116">
        <v>110.43341536778779</v>
      </c>
      <c r="O39" s="116">
        <v>104.81815695925621</v>
      </c>
      <c r="P39" s="116">
        <v>109.59112660650806</v>
      </c>
      <c r="Q39" s="116">
        <v>113</v>
      </c>
      <c r="R39">
        <v>3213594</v>
      </c>
    </row>
    <row r="40" spans="1:18" x14ac:dyDescent="0.25">
      <c r="A40" s="170">
        <v>42059</v>
      </c>
      <c r="B40" s="116">
        <v>104.343642115176</v>
      </c>
      <c r="C40" s="116">
        <v>102.57433687931</v>
      </c>
      <c r="D40" s="116">
        <v>101.621634059998</v>
      </c>
      <c r="E40" s="116">
        <v>102.84653768482799</v>
      </c>
      <c r="F40" s="116">
        <v>113.05</v>
      </c>
      <c r="G40">
        <v>77069</v>
      </c>
      <c r="H40" s="116"/>
      <c r="I40" s="116"/>
      <c r="L40" s="170">
        <v>42059</v>
      </c>
      <c r="M40" s="116">
        <v>105.66044572053596</v>
      </c>
      <c r="N40" s="116">
        <v>107.90654908394858</v>
      </c>
      <c r="O40" s="116">
        <v>104.81815695925621</v>
      </c>
      <c r="P40" s="116">
        <v>105.80082718074924</v>
      </c>
      <c r="Q40" s="116">
        <v>112.9</v>
      </c>
      <c r="R40">
        <v>477729</v>
      </c>
    </row>
    <row r="41" spans="1:18" x14ac:dyDescent="0.25">
      <c r="A41" s="170">
        <v>42060</v>
      </c>
      <c r="B41" s="116">
        <v>103.390939295864</v>
      </c>
      <c r="C41" s="116">
        <v>99.444027615854694</v>
      </c>
      <c r="D41" s="116">
        <v>97.992289986426201</v>
      </c>
      <c r="E41" s="116">
        <v>102.89190448574701</v>
      </c>
      <c r="F41" s="116">
        <v>109.6</v>
      </c>
      <c r="G41">
        <v>54206</v>
      </c>
      <c r="H41" s="116"/>
      <c r="I41" s="116"/>
      <c r="L41" s="170">
        <v>42060</v>
      </c>
      <c r="M41" s="116">
        <v>102.85281651627017</v>
      </c>
      <c r="N41" s="116">
        <v>106.50273448181568</v>
      </c>
      <c r="O41" s="116">
        <v>101.07465135356848</v>
      </c>
      <c r="P41" s="116">
        <v>106.03479628110472</v>
      </c>
      <c r="Q41" s="116">
        <v>109.9</v>
      </c>
      <c r="R41">
        <v>386954</v>
      </c>
    </row>
    <row r="42" spans="1:18" x14ac:dyDescent="0.25">
      <c r="A42" s="170">
        <v>42061</v>
      </c>
      <c r="B42" s="116">
        <v>102.98263808758701</v>
      </c>
      <c r="C42" s="116">
        <v>99.2625604121762</v>
      </c>
      <c r="D42" s="116">
        <v>98.6274251993012</v>
      </c>
      <c r="E42" s="116">
        <v>99.806962023211895</v>
      </c>
      <c r="F42" s="116">
        <v>109.4</v>
      </c>
      <c r="G42">
        <v>60934</v>
      </c>
      <c r="H42" s="116"/>
      <c r="I42" s="116"/>
      <c r="L42" s="170">
        <v>42061</v>
      </c>
      <c r="M42" s="116">
        <v>102.61884741591469</v>
      </c>
      <c r="N42" s="116">
        <v>106.40914684167349</v>
      </c>
      <c r="O42" s="116">
        <v>102.01052775499042</v>
      </c>
      <c r="P42" s="116">
        <v>102.10411539513261</v>
      </c>
      <c r="Q42" s="116">
        <v>109.65</v>
      </c>
      <c r="R42">
        <v>389343</v>
      </c>
    </row>
    <row r="43" spans="1:18" x14ac:dyDescent="0.25">
      <c r="A43" s="170">
        <v>42062</v>
      </c>
      <c r="B43" s="116">
        <v>103.436306096783</v>
      </c>
      <c r="C43" s="116">
        <v>102.71043728206899</v>
      </c>
      <c r="D43" s="116">
        <v>98.355224393783303</v>
      </c>
      <c r="E43" s="116">
        <v>99.353294014015404</v>
      </c>
      <c r="F43" s="116">
        <v>113.2</v>
      </c>
      <c r="G43">
        <v>59729</v>
      </c>
      <c r="H43" s="116"/>
      <c r="I43" s="116"/>
      <c r="L43" s="170">
        <v>42062</v>
      </c>
      <c r="M43" s="116">
        <v>106.2687653814602</v>
      </c>
      <c r="N43" s="116">
        <v>107.15784796281103</v>
      </c>
      <c r="O43" s="116">
        <v>101.58938337435055</v>
      </c>
      <c r="P43" s="116">
        <v>101.72976483456384</v>
      </c>
      <c r="Q43" s="116">
        <v>113.55</v>
      </c>
      <c r="R43">
        <v>1503671</v>
      </c>
    </row>
    <row r="44" spans="1:18" x14ac:dyDescent="0.25">
      <c r="A44" s="170">
        <v>42063</v>
      </c>
      <c r="B44" s="116">
        <v>103.61777330046201</v>
      </c>
      <c r="C44" s="116">
        <v>101.621634059998</v>
      </c>
      <c r="D44" s="116">
        <v>100.124529629649</v>
      </c>
      <c r="E44" s="116">
        <v>103.61777330046201</v>
      </c>
      <c r="F44" s="116">
        <v>112</v>
      </c>
      <c r="G44">
        <v>41685</v>
      </c>
      <c r="H44" s="116"/>
      <c r="I44" s="116"/>
      <c r="L44" s="170">
        <v>42063</v>
      </c>
      <c r="M44" s="116">
        <v>104.81815695925621</v>
      </c>
      <c r="N44" s="116">
        <v>107.15784796281103</v>
      </c>
      <c r="O44" s="116">
        <v>103.27396089691003</v>
      </c>
      <c r="P44" s="116">
        <v>107.15784796281103</v>
      </c>
      <c r="Q44" s="116">
        <v>112</v>
      </c>
      <c r="R44">
        <v>258842</v>
      </c>
    </row>
    <row r="45" spans="1:18" x14ac:dyDescent="0.25">
      <c r="A45" s="170">
        <v>42065</v>
      </c>
      <c r="B45" s="116">
        <v>102.438236476551</v>
      </c>
      <c r="C45" s="116">
        <v>101.167966050801</v>
      </c>
      <c r="D45" s="116">
        <v>99.353294014015404</v>
      </c>
      <c r="E45" s="116">
        <v>101.621634059998</v>
      </c>
      <c r="F45" s="116">
        <v>111.5</v>
      </c>
      <c r="G45">
        <v>226206</v>
      </c>
      <c r="H45" s="116"/>
      <c r="I45" s="116"/>
      <c r="L45" s="170">
        <v>42065</v>
      </c>
      <c r="M45" s="116">
        <v>104.58418785890073</v>
      </c>
      <c r="N45" s="116">
        <v>105.75403336067814</v>
      </c>
      <c r="O45" s="116">
        <v>102.2444968553459</v>
      </c>
      <c r="P45" s="116">
        <v>105.75403336067814</v>
      </c>
      <c r="Q45" s="116">
        <v>111.75</v>
      </c>
      <c r="R45">
        <v>579160</v>
      </c>
    </row>
    <row r="46" spans="1:18" x14ac:dyDescent="0.25">
      <c r="A46" s="170">
        <v>42066</v>
      </c>
      <c r="B46" s="116">
        <v>101.893834865515</v>
      </c>
      <c r="C46" s="116">
        <v>99.534761217693998</v>
      </c>
      <c r="D46" s="116">
        <v>98.899626004818998</v>
      </c>
      <c r="E46" s="116">
        <v>101.621634059998</v>
      </c>
      <c r="F46" s="116">
        <v>109.7</v>
      </c>
      <c r="G46">
        <v>68739</v>
      </c>
      <c r="H46" s="116"/>
      <c r="I46" s="116"/>
      <c r="L46" s="170">
        <v>42066</v>
      </c>
      <c r="M46" s="116">
        <v>102.85281651627017</v>
      </c>
      <c r="N46" s="116">
        <v>105.37968280010936</v>
      </c>
      <c r="O46" s="116">
        <v>101.72976483456384</v>
      </c>
      <c r="P46" s="116">
        <v>105.37968280010936</v>
      </c>
      <c r="Q46" s="116">
        <v>109.9</v>
      </c>
      <c r="R46">
        <v>513687</v>
      </c>
    </row>
    <row r="47" spans="1:18" x14ac:dyDescent="0.25">
      <c r="A47" s="170">
        <v>42067</v>
      </c>
      <c r="B47" s="116">
        <v>104.343642115176</v>
      </c>
      <c r="C47" s="116">
        <v>97.447888375390505</v>
      </c>
      <c r="D47" s="116">
        <v>97.084953968033304</v>
      </c>
      <c r="E47" s="116">
        <v>104.343642115176</v>
      </c>
      <c r="F47" s="116">
        <v>107.4</v>
      </c>
      <c r="G47">
        <v>82094</v>
      </c>
      <c r="H47" s="116"/>
      <c r="I47" s="116"/>
      <c r="L47" s="170">
        <v>42067</v>
      </c>
      <c r="M47" s="116">
        <v>100.32595023243094</v>
      </c>
      <c r="N47" s="116">
        <v>104.11624965818976</v>
      </c>
      <c r="O47" s="116">
        <v>100.04518731200437</v>
      </c>
      <c r="P47" s="116">
        <v>103.41434235712332</v>
      </c>
      <c r="Q47" s="116">
        <v>107.2</v>
      </c>
      <c r="R47">
        <v>419884</v>
      </c>
    </row>
    <row r="48" spans="1:18" x14ac:dyDescent="0.25">
      <c r="A48" s="170">
        <v>42068</v>
      </c>
      <c r="B48" s="116">
        <v>99.2625604121762</v>
      </c>
      <c r="C48" s="116">
        <v>96.132251148720897</v>
      </c>
      <c r="D48" s="116">
        <v>95.270281931247695</v>
      </c>
      <c r="E48" s="116">
        <v>97.039587167113694</v>
      </c>
      <c r="F48" s="116">
        <v>105.95</v>
      </c>
      <c r="G48">
        <v>33027</v>
      </c>
      <c r="H48" s="116"/>
      <c r="I48" s="116"/>
      <c r="L48" s="170">
        <v>42068</v>
      </c>
      <c r="M48" s="116">
        <v>99.577249111293412</v>
      </c>
      <c r="N48" s="116">
        <v>102.291290675417</v>
      </c>
      <c r="O48" s="116">
        <v>97.799083948591729</v>
      </c>
      <c r="P48" s="116">
        <v>100.13877495214656</v>
      </c>
      <c r="Q48" s="116">
        <v>106.4</v>
      </c>
      <c r="R48">
        <v>731513</v>
      </c>
    </row>
    <row r="49" spans="1:18" x14ac:dyDescent="0.25">
      <c r="A49" s="170">
        <v>42072</v>
      </c>
      <c r="B49" s="116">
        <v>100.48746403700601</v>
      </c>
      <c r="C49" s="116">
        <v>99.398660814935099</v>
      </c>
      <c r="D49" s="116">
        <v>96.812753162515506</v>
      </c>
      <c r="E49" s="116">
        <v>97.084953968033304</v>
      </c>
      <c r="F49" s="116">
        <v>109.55</v>
      </c>
      <c r="G49">
        <v>56941</v>
      </c>
      <c r="H49" s="116"/>
      <c r="I49" s="116"/>
      <c r="L49" s="170">
        <v>42072</v>
      </c>
      <c r="M49" s="116">
        <v>102.38487831555919</v>
      </c>
      <c r="N49" s="116">
        <v>103.88228055783428</v>
      </c>
      <c r="O49" s="116">
        <v>99.577249111293412</v>
      </c>
      <c r="P49" s="116">
        <v>100.09198113207546</v>
      </c>
      <c r="Q49" s="116">
        <v>109.4</v>
      </c>
      <c r="R49">
        <v>423933</v>
      </c>
    </row>
    <row r="50" spans="1:18" x14ac:dyDescent="0.25">
      <c r="A50" s="170">
        <v>42073</v>
      </c>
      <c r="B50" s="116">
        <v>100.260630032408</v>
      </c>
      <c r="C50" s="116">
        <v>97.266421171711897</v>
      </c>
      <c r="D50" s="116">
        <v>96.631285958836898</v>
      </c>
      <c r="E50" s="116">
        <v>100.260630032408</v>
      </c>
      <c r="F50" s="116">
        <v>107.2</v>
      </c>
      <c r="G50">
        <v>64061</v>
      </c>
      <c r="H50" s="116"/>
      <c r="I50" s="116"/>
      <c r="L50" s="170">
        <v>42073</v>
      </c>
      <c r="M50" s="116">
        <v>100.18556877221765</v>
      </c>
      <c r="N50" s="116">
        <v>102.94640415641236</v>
      </c>
      <c r="O50" s="116">
        <v>99.577249111293412</v>
      </c>
      <c r="P50" s="116">
        <v>102.89961033634125</v>
      </c>
      <c r="Q50" s="116">
        <v>107.05</v>
      </c>
      <c r="R50">
        <v>2238975</v>
      </c>
    </row>
    <row r="51" spans="1:18" x14ac:dyDescent="0.25">
      <c r="A51" s="170">
        <v>42074</v>
      </c>
      <c r="B51" s="116">
        <v>98.173757190104794</v>
      </c>
      <c r="C51" s="116">
        <v>95.088814727569101</v>
      </c>
      <c r="D51" s="116">
        <v>94.226845510095899</v>
      </c>
      <c r="E51" s="116">
        <v>97.538621977229795</v>
      </c>
      <c r="F51" s="116">
        <v>104.8</v>
      </c>
      <c r="G51">
        <v>24139</v>
      </c>
      <c r="H51" s="116"/>
      <c r="I51" s="116"/>
      <c r="L51" s="170">
        <v>42074</v>
      </c>
      <c r="M51" s="116">
        <v>97.892671588733918</v>
      </c>
      <c r="N51" s="116">
        <v>100.88747607328411</v>
      </c>
      <c r="O51" s="116">
        <v>97.143970467596375</v>
      </c>
      <c r="P51" s="116">
        <v>99.670836751435587</v>
      </c>
      <c r="Q51" s="116">
        <v>104.6</v>
      </c>
      <c r="R51">
        <v>318209</v>
      </c>
    </row>
    <row r="52" spans="1:18" x14ac:dyDescent="0.25">
      <c r="A52" s="170">
        <v>42075</v>
      </c>
      <c r="B52" s="116">
        <v>97.810822782747593</v>
      </c>
      <c r="C52" s="116">
        <v>95.315648732167304</v>
      </c>
      <c r="D52" s="116">
        <v>95.088814727569101</v>
      </c>
      <c r="E52" s="116">
        <v>95.723949940444101</v>
      </c>
      <c r="F52" s="116">
        <v>105.05</v>
      </c>
      <c r="G52">
        <v>35173</v>
      </c>
      <c r="H52" s="116"/>
      <c r="I52" s="116"/>
      <c r="L52" s="170">
        <v>42075</v>
      </c>
      <c r="M52" s="116">
        <v>98.454197429587083</v>
      </c>
      <c r="N52" s="116">
        <v>101.07465135356848</v>
      </c>
      <c r="O52" s="116">
        <v>97.61190866830735</v>
      </c>
      <c r="P52" s="116">
        <v>97.61190866830735</v>
      </c>
      <c r="Q52" s="116">
        <v>105.2</v>
      </c>
      <c r="R52">
        <v>316291</v>
      </c>
    </row>
    <row r="53" spans="1:18" x14ac:dyDescent="0.25">
      <c r="A53" s="170">
        <v>42076</v>
      </c>
      <c r="B53" s="116">
        <v>97.221054370792302</v>
      </c>
      <c r="C53" s="116">
        <v>95.950783945042303</v>
      </c>
      <c r="D53" s="116">
        <v>95.134181528488696</v>
      </c>
      <c r="E53" s="116">
        <v>96.177617949640506</v>
      </c>
      <c r="F53" s="116">
        <v>105.75</v>
      </c>
      <c r="G53">
        <v>100999</v>
      </c>
      <c r="H53" s="116"/>
      <c r="I53" s="116"/>
      <c r="L53" s="170">
        <v>42076</v>
      </c>
      <c r="M53" s="116">
        <v>99.015723270440233</v>
      </c>
      <c r="N53" s="116">
        <v>100.41953787257313</v>
      </c>
      <c r="O53" s="116">
        <v>98.360609789444879</v>
      </c>
      <c r="P53" s="116">
        <v>98.734960350013665</v>
      </c>
      <c r="Q53" s="116">
        <v>105.8</v>
      </c>
      <c r="R53">
        <v>497537</v>
      </c>
    </row>
    <row r="54" spans="1:18" x14ac:dyDescent="0.25">
      <c r="A54" s="170">
        <v>42079</v>
      </c>
      <c r="B54" s="116">
        <v>95.633216338604797</v>
      </c>
      <c r="C54" s="116">
        <v>93.546343496301304</v>
      </c>
      <c r="D54" s="116">
        <v>92.049239065953103</v>
      </c>
      <c r="E54" s="116">
        <v>95.633216338604797</v>
      </c>
      <c r="F54" s="116">
        <v>103.1</v>
      </c>
      <c r="G54">
        <v>90889</v>
      </c>
      <c r="H54" s="116"/>
      <c r="I54" s="116"/>
      <c r="L54" s="170">
        <v>42079</v>
      </c>
      <c r="M54" s="116">
        <v>96.582444626743225</v>
      </c>
      <c r="N54" s="116">
        <v>99.764424391577776</v>
      </c>
      <c r="O54" s="116">
        <v>95.038248564397037</v>
      </c>
      <c r="P54" s="116">
        <v>98.547785069729272</v>
      </c>
      <c r="Q54" s="116">
        <v>103.2</v>
      </c>
      <c r="R54">
        <v>259550</v>
      </c>
    </row>
    <row r="55" spans="1:18" x14ac:dyDescent="0.25">
      <c r="A55" s="170">
        <v>42080</v>
      </c>
      <c r="B55" s="116">
        <v>96.404451954238695</v>
      </c>
      <c r="C55" s="116">
        <v>95.361015533086999</v>
      </c>
      <c r="D55" s="116">
        <v>94.226845510095899</v>
      </c>
      <c r="E55" s="116">
        <v>94.362945912854798</v>
      </c>
      <c r="F55" s="116">
        <v>105.1</v>
      </c>
      <c r="G55">
        <v>54657</v>
      </c>
      <c r="H55" s="116"/>
      <c r="I55" s="116"/>
      <c r="L55" s="170">
        <v>42080</v>
      </c>
      <c r="M55" s="116">
        <v>98.407403609515995</v>
      </c>
      <c r="N55" s="116">
        <v>99.670836751435587</v>
      </c>
      <c r="O55" s="116">
        <v>96.769619907027618</v>
      </c>
      <c r="P55" s="116">
        <v>96.769619907027618</v>
      </c>
      <c r="Q55" s="116">
        <v>105.15</v>
      </c>
      <c r="R55">
        <v>501155</v>
      </c>
    </row>
    <row r="56" spans="1:18" x14ac:dyDescent="0.25">
      <c r="A56" s="170">
        <v>42081</v>
      </c>
      <c r="B56" s="116">
        <v>95.497115935845898</v>
      </c>
      <c r="C56" s="116">
        <v>94.998081125729797</v>
      </c>
      <c r="D56" s="116">
        <v>93.818544301819102</v>
      </c>
      <c r="E56" s="116">
        <v>93.818544301819102</v>
      </c>
      <c r="F56" s="116">
        <v>104.7</v>
      </c>
      <c r="G56">
        <v>28946</v>
      </c>
      <c r="H56" s="116"/>
      <c r="I56" s="116"/>
      <c r="L56" s="170">
        <v>42081</v>
      </c>
      <c r="M56" s="116">
        <v>98.267022149302704</v>
      </c>
      <c r="N56" s="116">
        <v>98.594578889800374</v>
      </c>
      <c r="O56" s="116">
        <v>96.956795187311997</v>
      </c>
      <c r="P56" s="116">
        <v>98.267022149302704</v>
      </c>
      <c r="Q56" s="116">
        <v>105</v>
      </c>
      <c r="R56">
        <v>362591</v>
      </c>
    </row>
    <row r="57" spans="1:18" x14ac:dyDescent="0.25">
      <c r="A57" s="170">
        <v>42082</v>
      </c>
      <c r="B57" s="116">
        <v>107.156383772194</v>
      </c>
      <c r="C57" s="116">
        <v>103.028004888506</v>
      </c>
      <c r="D57" s="116">
        <v>94.589779917453001</v>
      </c>
      <c r="E57" s="116">
        <v>95.860050343203</v>
      </c>
      <c r="F57" s="116">
        <v>113.55</v>
      </c>
      <c r="G57">
        <v>233568</v>
      </c>
      <c r="H57" s="116"/>
      <c r="I57" s="116"/>
      <c r="L57" s="170">
        <v>42082</v>
      </c>
      <c r="M57" s="116">
        <v>106.3623530216024</v>
      </c>
      <c r="N57" s="116">
        <v>110.71417828821437</v>
      </c>
      <c r="O57" s="116">
        <v>97.331145747880768</v>
      </c>
      <c r="P57" s="116">
        <v>98.734960350013665</v>
      </c>
      <c r="Q57" s="116">
        <v>113.65</v>
      </c>
      <c r="R57">
        <v>1433494</v>
      </c>
    </row>
    <row r="58" spans="1:18" x14ac:dyDescent="0.25">
      <c r="A58" s="170">
        <v>42083</v>
      </c>
      <c r="B58" s="116">
        <v>102.71043728206899</v>
      </c>
      <c r="C58" s="116">
        <v>98.6274251993012</v>
      </c>
      <c r="D58" s="116">
        <v>97.629355579068999</v>
      </c>
      <c r="E58" s="116">
        <v>102.71043728206899</v>
      </c>
      <c r="F58" s="116">
        <v>108.7</v>
      </c>
      <c r="G58">
        <v>90127</v>
      </c>
      <c r="H58" s="116"/>
      <c r="I58" s="116"/>
      <c r="L58" s="170">
        <v>42083</v>
      </c>
      <c r="M58" s="116">
        <v>102.01052775499042</v>
      </c>
      <c r="N58" s="116">
        <v>106.12838392124692</v>
      </c>
      <c r="O58" s="116">
        <v>100.70030079299971</v>
      </c>
      <c r="P58" s="116">
        <v>105.75403336067814</v>
      </c>
      <c r="Q58" s="116">
        <v>109</v>
      </c>
      <c r="R58">
        <v>846417</v>
      </c>
    </row>
    <row r="59" spans="1:18" x14ac:dyDescent="0.25">
      <c r="A59" s="170">
        <v>42086</v>
      </c>
      <c r="B59" s="116">
        <v>102.801170883908</v>
      </c>
      <c r="C59" s="116">
        <v>95.043447926649506</v>
      </c>
      <c r="D59" s="116">
        <v>93.183409088944202</v>
      </c>
      <c r="E59" s="116">
        <v>99.7615952222922</v>
      </c>
      <c r="F59" s="116">
        <v>104.75</v>
      </c>
      <c r="G59">
        <v>84896</v>
      </c>
      <c r="H59" s="116"/>
      <c r="I59" s="116"/>
      <c r="L59" s="170">
        <v>42086</v>
      </c>
      <c r="M59" s="116">
        <v>98.267022149302704</v>
      </c>
      <c r="N59" s="116">
        <v>104.35021875854524</v>
      </c>
      <c r="O59" s="116">
        <v>96.114506426032264</v>
      </c>
      <c r="P59" s="116">
        <v>102.47846595570138</v>
      </c>
      <c r="Q59" s="116">
        <v>105</v>
      </c>
      <c r="R59">
        <v>448890</v>
      </c>
    </row>
    <row r="60" spans="1:18" x14ac:dyDescent="0.25">
      <c r="A60" s="170">
        <v>42087</v>
      </c>
      <c r="B60" s="116">
        <v>97.402521574470796</v>
      </c>
      <c r="C60" s="116">
        <v>95.270281931247695</v>
      </c>
      <c r="D60" s="116">
        <v>93.001941885265595</v>
      </c>
      <c r="E60" s="116">
        <v>95.723949940444101</v>
      </c>
      <c r="F60" s="116">
        <v>105</v>
      </c>
      <c r="G60">
        <v>38220</v>
      </c>
      <c r="H60" s="116"/>
      <c r="I60" s="116"/>
      <c r="L60" s="170">
        <v>42087</v>
      </c>
      <c r="M60" s="116">
        <v>98.454197429587083</v>
      </c>
      <c r="N60" s="116">
        <v>100.79388843314192</v>
      </c>
      <c r="O60" s="116">
        <v>96.208094066174453</v>
      </c>
      <c r="P60" s="116">
        <v>100.13877495214656</v>
      </c>
      <c r="Q60" s="116">
        <v>105.2</v>
      </c>
      <c r="R60">
        <v>276002</v>
      </c>
    </row>
    <row r="61" spans="1:18" x14ac:dyDescent="0.25">
      <c r="A61" s="170">
        <v>42088</v>
      </c>
      <c r="B61" s="116">
        <v>100.71429804160501</v>
      </c>
      <c r="C61" s="116">
        <v>99.716228421372605</v>
      </c>
      <c r="D61" s="116">
        <v>95.270281931247695</v>
      </c>
      <c r="E61" s="116">
        <v>96.041517546881593</v>
      </c>
      <c r="F61" s="116">
        <v>109.9</v>
      </c>
      <c r="G61">
        <v>100931</v>
      </c>
      <c r="H61" s="116"/>
      <c r="I61" s="116"/>
      <c r="L61" s="170">
        <v>42088</v>
      </c>
      <c r="M61" s="116">
        <v>102.89961033634125</v>
      </c>
      <c r="N61" s="116">
        <v>103.74189909762099</v>
      </c>
      <c r="O61" s="116">
        <v>98.360609789444879</v>
      </c>
      <c r="P61" s="116">
        <v>98.594578889800374</v>
      </c>
      <c r="Q61" s="116">
        <v>109.95</v>
      </c>
      <c r="R61">
        <v>375160</v>
      </c>
    </row>
    <row r="62" spans="1:18" x14ac:dyDescent="0.25">
      <c r="A62" s="170">
        <v>42089</v>
      </c>
      <c r="B62" s="116">
        <v>100.351363634248</v>
      </c>
      <c r="C62" s="116">
        <v>99.806962023211895</v>
      </c>
      <c r="D62" s="116">
        <v>94.000011505497696</v>
      </c>
      <c r="E62" s="116">
        <v>99.806962023211895</v>
      </c>
      <c r="F62" s="116">
        <v>110</v>
      </c>
      <c r="G62">
        <v>92046</v>
      </c>
      <c r="H62" s="116"/>
      <c r="I62" s="116"/>
      <c r="L62" s="170">
        <v>42089</v>
      </c>
      <c r="M62" s="116">
        <v>102.99319797648344</v>
      </c>
      <c r="N62" s="116">
        <v>103.6483114574788</v>
      </c>
      <c r="O62" s="116">
        <v>96.722826086956502</v>
      </c>
      <c r="P62" s="116">
        <v>102.01052775499042</v>
      </c>
      <c r="Q62" s="116">
        <v>110.05</v>
      </c>
      <c r="R62">
        <v>627219</v>
      </c>
    </row>
    <row r="63" spans="1:18" x14ac:dyDescent="0.25">
      <c r="A63" s="170">
        <v>42090</v>
      </c>
      <c r="B63" s="116">
        <v>101.12259924988101</v>
      </c>
      <c r="C63" s="116">
        <v>100.396730435167</v>
      </c>
      <c r="D63" s="116">
        <v>96.858119963435101</v>
      </c>
      <c r="E63" s="116">
        <v>98.083023588265505</v>
      </c>
      <c r="F63" s="116">
        <v>110.65</v>
      </c>
      <c r="G63">
        <v>172093</v>
      </c>
      <c r="H63" s="116"/>
      <c r="I63" s="116"/>
      <c r="L63" s="170">
        <v>42090</v>
      </c>
      <c r="M63" s="116">
        <v>103.22716707683892</v>
      </c>
      <c r="N63" s="116">
        <v>104.67777549904292</v>
      </c>
      <c r="O63" s="116">
        <v>99.670836751435587</v>
      </c>
      <c r="P63" s="116">
        <v>101.54258955427946</v>
      </c>
      <c r="Q63" s="116">
        <v>110.3</v>
      </c>
      <c r="R63">
        <v>766950</v>
      </c>
    </row>
    <row r="64" spans="1:18" x14ac:dyDescent="0.25">
      <c r="A64" s="170">
        <v>42093</v>
      </c>
      <c r="B64" s="116">
        <v>104.343642115176</v>
      </c>
      <c r="C64" s="116">
        <v>103.34557249494399</v>
      </c>
      <c r="D64" s="116">
        <v>98.536691597461896</v>
      </c>
      <c r="E64" s="116">
        <v>100.71429804160501</v>
      </c>
      <c r="F64" s="116">
        <v>113.9</v>
      </c>
      <c r="G64">
        <v>68234</v>
      </c>
      <c r="H64" s="116"/>
      <c r="I64" s="116"/>
      <c r="L64" s="170">
        <v>42093</v>
      </c>
      <c r="M64" s="116">
        <v>107.06426032266884</v>
      </c>
      <c r="N64" s="116">
        <v>108.14051818430406</v>
      </c>
      <c r="O64" s="116">
        <v>101.68297101449275</v>
      </c>
      <c r="P64" s="116">
        <v>103.88228055783428</v>
      </c>
      <c r="Q64" s="116">
        <v>114.4</v>
      </c>
      <c r="R64">
        <v>757539</v>
      </c>
    </row>
    <row r="65" spans="1:18" x14ac:dyDescent="0.25">
      <c r="A65" s="170">
        <v>42094</v>
      </c>
      <c r="B65" s="116">
        <v>107.065650170355</v>
      </c>
      <c r="C65" s="116">
        <v>106.022213749203</v>
      </c>
      <c r="D65" s="116">
        <v>100.351363634248</v>
      </c>
      <c r="E65" s="116">
        <v>104.343642115176</v>
      </c>
      <c r="F65" s="116">
        <v>116.85</v>
      </c>
      <c r="G65">
        <v>160994</v>
      </c>
      <c r="H65" s="116"/>
      <c r="I65" s="116"/>
      <c r="L65" s="170">
        <v>42094</v>
      </c>
      <c r="M65" s="116">
        <v>106.08575438168</v>
      </c>
      <c r="N65" s="116">
        <v>107.492366180582</v>
      </c>
      <c r="O65" s="116">
        <v>100.504681760232</v>
      </c>
      <c r="P65" s="116">
        <v>102.591912171505</v>
      </c>
      <c r="Q65" s="116">
        <v>116.9</v>
      </c>
      <c r="R65">
        <v>1028570</v>
      </c>
    </row>
    <row r="66" spans="1:18" x14ac:dyDescent="0.25">
      <c r="A66" s="170">
        <v>42095</v>
      </c>
      <c r="B66" s="116">
        <v>105.06951092989</v>
      </c>
      <c r="C66" s="116">
        <v>103.98070770781899</v>
      </c>
      <c r="D66" s="116">
        <v>100.351363634248</v>
      </c>
      <c r="E66" s="116">
        <v>104.888043726212</v>
      </c>
      <c r="F66" s="116">
        <v>114.6</v>
      </c>
      <c r="G66">
        <v>64083</v>
      </c>
      <c r="H66" s="116"/>
      <c r="I66" s="116"/>
      <c r="L66" s="170">
        <v>42095</v>
      </c>
      <c r="M66" s="116">
        <v>103.95314939624799</v>
      </c>
      <c r="N66" s="116">
        <v>105.722757788415</v>
      </c>
      <c r="O66" s="116">
        <v>99.370317406278502</v>
      </c>
      <c r="P66" s="116">
        <v>105.26901204683401</v>
      </c>
      <c r="Q66" s="116">
        <v>114.55</v>
      </c>
      <c r="R66">
        <v>419118</v>
      </c>
    </row>
    <row r="67" spans="1:18" x14ac:dyDescent="0.25">
      <c r="A67" s="170">
        <v>42100</v>
      </c>
      <c r="B67" s="116">
        <v>104.706576522533</v>
      </c>
      <c r="C67" s="116">
        <v>103.61777330046201</v>
      </c>
      <c r="D67" s="116">
        <v>100.805031643444</v>
      </c>
      <c r="E67" s="116">
        <v>102.937271286667</v>
      </c>
      <c r="F67" s="116">
        <v>114.2</v>
      </c>
      <c r="G67">
        <v>37683</v>
      </c>
      <c r="H67" s="116"/>
      <c r="I67" s="116"/>
      <c r="L67" s="170">
        <v>42100</v>
      </c>
      <c r="M67" s="116">
        <v>103.726276525458</v>
      </c>
      <c r="N67" s="116">
        <v>104.58839343446201</v>
      </c>
      <c r="O67" s="116">
        <v>100.73155463102199</v>
      </c>
      <c r="P67" s="116">
        <v>102.591912171505</v>
      </c>
      <c r="Q67" s="116">
        <v>114.3</v>
      </c>
      <c r="R67">
        <v>393659</v>
      </c>
    </row>
    <row r="68" spans="1:18" x14ac:dyDescent="0.25">
      <c r="A68" s="170">
        <v>42101</v>
      </c>
      <c r="B68" s="116">
        <v>104.389008916096</v>
      </c>
      <c r="C68" s="116">
        <v>102.61970368023</v>
      </c>
      <c r="D68" s="116">
        <v>96.177617949640506</v>
      </c>
      <c r="E68" s="116">
        <v>101.621634059998</v>
      </c>
      <c r="F68" s="116">
        <v>113.1</v>
      </c>
      <c r="G68">
        <v>44512</v>
      </c>
      <c r="H68" s="116"/>
      <c r="I68" s="116"/>
      <c r="L68" s="170">
        <v>42101</v>
      </c>
      <c r="M68" s="116">
        <v>102.591912171505</v>
      </c>
      <c r="N68" s="116">
        <v>104.63376800862</v>
      </c>
      <c r="O68" s="116">
        <v>101.457547817552</v>
      </c>
      <c r="P68" s="116">
        <v>104.361520563672</v>
      </c>
      <c r="Q68" s="116">
        <v>113.05</v>
      </c>
      <c r="R68">
        <v>149289</v>
      </c>
    </row>
    <row r="69" spans="1:18" x14ac:dyDescent="0.25">
      <c r="A69" s="170">
        <v>42102</v>
      </c>
      <c r="B69" s="116">
        <v>104.978777328051</v>
      </c>
      <c r="C69" s="116">
        <v>104.706576522533</v>
      </c>
      <c r="D69" s="116">
        <v>102.61970368023</v>
      </c>
      <c r="E69" s="116">
        <v>102.71043728206899</v>
      </c>
      <c r="F69" s="116">
        <v>115.4</v>
      </c>
      <c r="G69">
        <v>44009</v>
      </c>
      <c r="H69" s="116"/>
      <c r="I69" s="116"/>
      <c r="L69" s="170">
        <v>42102</v>
      </c>
      <c r="M69" s="116">
        <v>104.815266305253</v>
      </c>
      <c r="N69" s="116">
        <v>105.178262898518</v>
      </c>
      <c r="O69" s="116">
        <v>102.455788449031</v>
      </c>
      <c r="P69" s="116">
        <v>103.272530783877</v>
      </c>
      <c r="Q69" s="116">
        <v>115.5</v>
      </c>
      <c r="R69">
        <v>234340</v>
      </c>
    </row>
    <row r="70" spans="1:18" x14ac:dyDescent="0.25">
      <c r="A70" s="170">
        <v>42103</v>
      </c>
      <c r="B70" s="116">
        <v>106.611982161158</v>
      </c>
      <c r="C70" s="116">
        <v>105.432445337247</v>
      </c>
      <c r="D70" s="116">
        <v>101.71236766183701</v>
      </c>
      <c r="E70" s="116">
        <v>103.48167289770301</v>
      </c>
      <c r="F70" s="116">
        <v>116.2</v>
      </c>
      <c r="G70">
        <v>64246</v>
      </c>
      <c r="H70" s="116"/>
      <c r="I70" s="116"/>
      <c r="L70" s="170">
        <v>42103</v>
      </c>
      <c r="M70" s="116">
        <v>105.495884917624</v>
      </c>
      <c r="N70" s="116">
        <v>107.083995013159</v>
      </c>
      <c r="O70" s="116">
        <v>101.639046114184</v>
      </c>
      <c r="P70" s="116">
        <v>104.452269711988</v>
      </c>
      <c r="Q70" s="116">
        <v>116.25</v>
      </c>
      <c r="R70">
        <v>269573</v>
      </c>
    </row>
    <row r="71" spans="1:18" x14ac:dyDescent="0.25">
      <c r="A71" s="170">
        <v>42104</v>
      </c>
      <c r="B71" s="116">
        <v>105.25097813356901</v>
      </c>
      <c r="C71" s="116">
        <v>101.530900458158</v>
      </c>
      <c r="D71" s="116">
        <v>101.167966050801</v>
      </c>
      <c r="E71" s="116">
        <v>105.25097813356901</v>
      </c>
      <c r="F71" s="116">
        <v>111.9</v>
      </c>
      <c r="G71">
        <v>41289</v>
      </c>
      <c r="H71" s="116"/>
      <c r="I71" s="116"/>
      <c r="L71" s="170">
        <v>42104</v>
      </c>
      <c r="M71" s="116">
        <v>101.50292239171</v>
      </c>
      <c r="N71" s="116">
        <v>105.495884917624</v>
      </c>
      <c r="O71" s="116">
        <v>101.185300372603</v>
      </c>
      <c r="P71" s="116">
        <v>105.314386620992</v>
      </c>
      <c r="Q71" s="116">
        <v>111.85</v>
      </c>
      <c r="R71">
        <v>263448</v>
      </c>
    </row>
    <row r="72" spans="1:18" x14ac:dyDescent="0.25">
      <c r="A72" s="170">
        <v>42107</v>
      </c>
      <c r="B72" s="116">
        <v>103.527039698622</v>
      </c>
      <c r="C72" s="116">
        <v>101.530900458158</v>
      </c>
      <c r="D72" s="116">
        <v>100.71429804160501</v>
      </c>
      <c r="E72" s="116">
        <v>101.621634059998</v>
      </c>
      <c r="F72" s="116">
        <v>111.9</v>
      </c>
      <c r="G72">
        <v>74812</v>
      </c>
      <c r="H72" s="116"/>
      <c r="I72" s="116"/>
      <c r="L72" s="170">
        <v>42107</v>
      </c>
      <c r="M72" s="116">
        <v>101.548296965868</v>
      </c>
      <c r="N72" s="116">
        <v>103.59015280298399</v>
      </c>
      <c r="O72" s="116">
        <v>100.77692920518</v>
      </c>
      <c r="P72" s="116">
        <v>101.50292239171</v>
      </c>
      <c r="Q72" s="116">
        <v>111.9</v>
      </c>
      <c r="R72">
        <v>467910</v>
      </c>
    </row>
    <row r="73" spans="1:18" x14ac:dyDescent="0.25">
      <c r="A73" s="170">
        <v>42109</v>
      </c>
      <c r="B73" s="116">
        <v>102.438236476551</v>
      </c>
      <c r="C73" s="116">
        <v>99.035726407577897</v>
      </c>
      <c r="D73" s="116">
        <v>98.219123991024404</v>
      </c>
      <c r="E73" s="116">
        <v>102.438236476551</v>
      </c>
      <c r="F73" s="116">
        <v>109.15</v>
      </c>
      <c r="G73">
        <v>68382</v>
      </c>
      <c r="H73" s="116"/>
      <c r="I73" s="116"/>
      <c r="L73" s="170">
        <v>42109</v>
      </c>
      <c r="M73" s="116">
        <v>99.461066554594794</v>
      </c>
      <c r="N73" s="116">
        <v>101.956668133291</v>
      </c>
      <c r="O73" s="116">
        <v>98.598949645590594</v>
      </c>
      <c r="P73" s="116">
        <v>101.639046114184</v>
      </c>
      <c r="Q73" s="116">
        <v>109.6</v>
      </c>
      <c r="R73">
        <v>414276</v>
      </c>
    </row>
    <row r="74" spans="1:18" x14ac:dyDescent="0.25">
      <c r="A74" s="170">
        <v>42110</v>
      </c>
      <c r="B74" s="116">
        <v>99.7615952222922</v>
      </c>
      <c r="C74" s="116">
        <v>97.130320768952998</v>
      </c>
      <c r="D74" s="116">
        <v>95.270281931247695</v>
      </c>
      <c r="E74" s="116">
        <v>98.899626004818998</v>
      </c>
      <c r="F74" s="116">
        <v>107.05</v>
      </c>
      <c r="G74">
        <v>67232</v>
      </c>
      <c r="H74" s="116"/>
      <c r="I74" s="116"/>
      <c r="L74" s="170">
        <v>42110</v>
      </c>
      <c r="M74" s="116">
        <v>97.101588698372694</v>
      </c>
      <c r="N74" s="116">
        <v>99.506441128752897</v>
      </c>
      <c r="O74" s="116">
        <v>95.105107435415405</v>
      </c>
      <c r="P74" s="116">
        <v>98.508200497274302</v>
      </c>
      <c r="Q74" s="116">
        <v>107</v>
      </c>
      <c r="R74">
        <v>473287</v>
      </c>
    </row>
    <row r="75" spans="1:18" x14ac:dyDescent="0.25">
      <c r="A75" s="170">
        <v>42111</v>
      </c>
      <c r="B75" s="116">
        <v>97.901556384586897</v>
      </c>
      <c r="C75" s="116">
        <v>97.039587167113694</v>
      </c>
      <c r="D75" s="116">
        <v>95.905417144122694</v>
      </c>
      <c r="E75" s="116">
        <v>97.084953968033304</v>
      </c>
      <c r="F75" s="116">
        <v>106.95</v>
      </c>
      <c r="G75">
        <v>16651</v>
      </c>
      <c r="H75" s="116"/>
      <c r="I75" s="116"/>
      <c r="L75" s="170">
        <v>42111</v>
      </c>
      <c r="M75" s="116">
        <v>97.056214124214506</v>
      </c>
      <c r="N75" s="116">
        <v>98.235953052325598</v>
      </c>
      <c r="O75" s="116">
        <v>95.740351473629104</v>
      </c>
      <c r="P75" s="116">
        <v>97.283086995005107</v>
      </c>
      <c r="Q75" s="116">
        <v>106.95</v>
      </c>
      <c r="R75">
        <v>317154</v>
      </c>
    </row>
    <row r="76" spans="1:18" x14ac:dyDescent="0.25">
      <c r="A76" s="170">
        <v>42114</v>
      </c>
      <c r="B76" s="116">
        <v>97.765455981827998</v>
      </c>
      <c r="C76" s="116">
        <v>95.996150745961899</v>
      </c>
      <c r="D76" s="116">
        <v>93.954644704578101</v>
      </c>
      <c r="E76" s="116">
        <v>96.177617949640506</v>
      </c>
      <c r="F76" s="116">
        <v>105.8</v>
      </c>
      <c r="G76">
        <v>38479</v>
      </c>
      <c r="H76" s="116"/>
      <c r="I76" s="116"/>
      <c r="L76" s="170">
        <v>42114</v>
      </c>
      <c r="M76" s="116">
        <v>95.2412311578898</v>
      </c>
      <c r="N76" s="116">
        <v>97.464585291637604</v>
      </c>
      <c r="O76" s="116">
        <v>93.834619358988107</v>
      </c>
      <c r="P76" s="116">
        <v>96.647842956791493</v>
      </c>
      <c r="Q76" s="116">
        <v>104.95</v>
      </c>
      <c r="R76">
        <v>487242</v>
      </c>
    </row>
    <row r="77" spans="1:18" x14ac:dyDescent="0.25">
      <c r="A77" s="170">
        <v>42115</v>
      </c>
      <c r="B77" s="116">
        <v>98.899626004818998</v>
      </c>
      <c r="C77" s="116">
        <v>97.447888375390505</v>
      </c>
      <c r="D77" s="116">
        <v>94.362945912854798</v>
      </c>
      <c r="E77" s="116">
        <v>95.088814727569101</v>
      </c>
      <c r="F77" s="116">
        <v>107.4</v>
      </c>
      <c r="G77">
        <v>46052</v>
      </c>
      <c r="H77" s="116"/>
      <c r="I77" s="116"/>
      <c r="L77" s="170">
        <v>42115</v>
      </c>
      <c r="M77" s="116">
        <v>97.782207310744397</v>
      </c>
      <c r="N77" s="116">
        <v>99.143444535488001</v>
      </c>
      <c r="O77" s="116">
        <v>94.515237971359895</v>
      </c>
      <c r="P77" s="116">
        <v>94.515237971359895</v>
      </c>
      <c r="Q77" s="116">
        <v>107.75</v>
      </c>
      <c r="R77">
        <v>860340</v>
      </c>
    </row>
    <row r="78" spans="1:18" x14ac:dyDescent="0.25">
      <c r="A78" s="170">
        <v>42116</v>
      </c>
      <c r="B78" s="116">
        <v>101.167966050801</v>
      </c>
      <c r="C78" s="116">
        <v>99.580128018613607</v>
      </c>
      <c r="D78" s="116">
        <v>95.950783945042303</v>
      </c>
      <c r="E78" s="116">
        <v>97.765455981827998</v>
      </c>
      <c r="F78" s="116">
        <v>109.75</v>
      </c>
      <c r="G78">
        <v>45309</v>
      </c>
      <c r="H78" s="116"/>
      <c r="I78" s="116"/>
      <c r="L78" s="170">
        <v>42116</v>
      </c>
      <c r="M78" s="116">
        <v>100.005561444492</v>
      </c>
      <c r="N78" s="116">
        <v>101.049176650129</v>
      </c>
      <c r="O78" s="116">
        <v>95.831100621945296</v>
      </c>
      <c r="P78" s="116">
        <v>98.190578478167495</v>
      </c>
      <c r="Q78" s="116">
        <v>110.2</v>
      </c>
      <c r="R78">
        <v>327193</v>
      </c>
    </row>
    <row r="79" spans="1:18" x14ac:dyDescent="0.25">
      <c r="A79" s="170">
        <v>42117</v>
      </c>
      <c r="B79" s="116">
        <v>101.25869965264</v>
      </c>
      <c r="C79" s="116">
        <v>97.130320768952998</v>
      </c>
      <c r="D79" s="116">
        <v>96.631285958836898</v>
      </c>
      <c r="E79" s="116">
        <v>98.990359606658302</v>
      </c>
      <c r="F79" s="116">
        <v>107.05</v>
      </c>
      <c r="G79">
        <v>385990</v>
      </c>
      <c r="H79" s="116"/>
      <c r="I79" s="116"/>
      <c r="L79" s="170">
        <v>42117</v>
      </c>
      <c r="M79" s="116">
        <v>96.9654649758983</v>
      </c>
      <c r="N79" s="116">
        <v>101.185300372603</v>
      </c>
      <c r="O79" s="116">
        <v>96.284846363526498</v>
      </c>
      <c r="P79" s="116">
        <v>99.461066554594794</v>
      </c>
      <c r="Q79" s="116">
        <v>106.85</v>
      </c>
      <c r="R79">
        <v>655081</v>
      </c>
    </row>
    <row r="80" spans="1:18" x14ac:dyDescent="0.25">
      <c r="A80" s="170">
        <v>42118</v>
      </c>
      <c r="B80" s="116">
        <v>96.948853565274405</v>
      </c>
      <c r="C80" s="116">
        <v>94.408312713774507</v>
      </c>
      <c r="D80" s="116">
        <v>93.546343496301304</v>
      </c>
      <c r="E80" s="116">
        <v>96.948853565274405</v>
      </c>
      <c r="F80" s="116">
        <v>104.05</v>
      </c>
      <c r="G80">
        <v>59085</v>
      </c>
      <c r="H80" s="116"/>
      <c r="I80" s="116"/>
      <c r="L80" s="170">
        <v>42118</v>
      </c>
      <c r="M80" s="116">
        <v>94.6059871196762</v>
      </c>
      <c r="N80" s="116">
        <v>97.146963272530797</v>
      </c>
      <c r="O80" s="116">
        <v>93.925368507304398</v>
      </c>
      <c r="P80" s="116">
        <v>97.101588698372694</v>
      </c>
      <c r="Q80" s="116">
        <v>104.25</v>
      </c>
      <c r="R80">
        <v>531099</v>
      </c>
    </row>
    <row r="81" spans="1:18" x14ac:dyDescent="0.25">
      <c r="A81" s="170">
        <v>42121</v>
      </c>
      <c r="B81" s="116">
        <v>96.177617949640506</v>
      </c>
      <c r="C81" s="116">
        <v>95.270281931247695</v>
      </c>
      <c r="D81" s="116">
        <v>92.276073070551305</v>
      </c>
      <c r="E81" s="116">
        <v>95.633216338604797</v>
      </c>
      <c r="F81" s="116">
        <v>105</v>
      </c>
      <c r="G81">
        <v>33943</v>
      </c>
      <c r="H81" s="116"/>
      <c r="I81" s="116"/>
      <c r="L81" s="170">
        <v>42121</v>
      </c>
      <c r="M81" s="116">
        <v>95.286605732047903</v>
      </c>
      <c r="N81" s="116">
        <v>96.194097215210306</v>
      </c>
      <c r="O81" s="116">
        <v>92.155760115137795</v>
      </c>
      <c r="P81" s="116">
        <v>95.513478602838504</v>
      </c>
      <c r="Q81" s="116">
        <v>105</v>
      </c>
      <c r="R81">
        <v>189554</v>
      </c>
    </row>
    <row r="82" spans="1:18" x14ac:dyDescent="0.25">
      <c r="A82" s="170">
        <v>42122</v>
      </c>
      <c r="B82" s="116">
        <v>99.444027615854694</v>
      </c>
      <c r="C82" s="116">
        <v>98.854259203899403</v>
      </c>
      <c r="D82" s="116">
        <v>94.317579111935203</v>
      </c>
      <c r="E82" s="116">
        <v>95.270281931247695</v>
      </c>
      <c r="F82" s="116">
        <v>108.95</v>
      </c>
      <c r="G82">
        <v>75370</v>
      </c>
      <c r="H82" s="116"/>
      <c r="I82" s="116"/>
      <c r="L82" s="170">
        <v>42122</v>
      </c>
      <c r="M82" s="116">
        <v>98.9165716646974</v>
      </c>
      <c r="N82" s="116">
        <v>99.370317406278502</v>
      </c>
      <c r="O82" s="116">
        <v>94.424488823043703</v>
      </c>
      <c r="P82" s="116">
        <v>95.422729454522297</v>
      </c>
      <c r="Q82" s="116">
        <v>109</v>
      </c>
      <c r="R82">
        <v>360801</v>
      </c>
    </row>
    <row r="83" spans="1:18" x14ac:dyDescent="0.25">
      <c r="A83" s="170">
        <v>42123</v>
      </c>
      <c r="B83" s="116">
        <v>100.48746403700601</v>
      </c>
      <c r="C83" s="116">
        <v>99.716228421372605</v>
      </c>
      <c r="D83" s="116">
        <v>96.222984750560101</v>
      </c>
      <c r="E83" s="116">
        <v>97.447888375390505</v>
      </c>
      <c r="F83" s="116">
        <v>109.9</v>
      </c>
      <c r="G83">
        <v>44204</v>
      </c>
      <c r="H83" s="116"/>
      <c r="I83" s="116"/>
      <c r="L83" s="170">
        <v>42123</v>
      </c>
      <c r="M83" s="116">
        <v>99.914812296175995</v>
      </c>
      <c r="N83" s="116">
        <v>100.686180056864</v>
      </c>
      <c r="O83" s="116">
        <v>96.466344660158995</v>
      </c>
      <c r="P83" s="116">
        <v>98.462825923116199</v>
      </c>
      <c r="Q83" s="116">
        <v>110.1</v>
      </c>
      <c r="R83">
        <v>207549</v>
      </c>
    </row>
    <row r="84" spans="1:18" x14ac:dyDescent="0.25">
      <c r="A84" s="170">
        <v>42124</v>
      </c>
      <c r="B84" s="116">
        <v>99.625494819533301</v>
      </c>
      <c r="C84" s="116">
        <v>98.944992805738707</v>
      </c>
      <c r="D84" s="116">
        <v>96.631285958836898</v>
      </c>
      <c r="E84" s="116">
        <v>98.491324796542202</v>
      </c>
      <c r="F84" s="116">
        <v>109.05</v>
      </c>
      <c r="G84">
        <v>41409</v>
      </c>
      <c r="H84" s="116"/>
      <c r="I84" s="116"/>
      <c r="L84" s="170">
        <v>42124</v>
      </c>
      <c r="M84" s="116">
        <v>99.098069961329799</v>
      </c>
      <c r="N84" s="116">
        <v>99.824063147859704</v>
      </c>
      <c r="O84" s="116">
        <v>96.783966679265802</v>
      </c>
      <c r="P84" s="116">
        <v>98.462825923116199</v>
      </c>
      <c r="Q84" s="116">
        <v>109.2</v>
      </c>
      <c r="R84">
        <v>239911</v>
      </c>
    </row>
    <row r="85" spans="1:18" x14ac:dyDescent="0.25">
      <c r="A85" s="170">
        <v>42128</v>
      </c>
      <c r="B85" s="116">
        <v>101.621634059998</v>
      </c>
      <c r="C85" s="116">
        <v>100.986498847123</v>
      </c>
      <c r="D85" s="116">
        <v>98.491324796542202</v>
      </c>
      <c r="E85" s="116">
        <v>98.944992805738707</v>
      </c>
      <c r="F85" s="116">
        <v>111.3</v>
      </c>
      <c r="G85">
        <v>49224</v>
      </c>
      <c r="H85" s="116"/>
      <c r="I85" s="116"/>
      <c r="L85" s="170">
        <v>42128</v>
      </c>
      <c r="M85" s="116">
        <v>100.822303779338</v>
      </c>
      <c r="N85" s="116">
        <v>101.185300372603</v>
      </c>
      <c r="O85" s="116">
        <v>98.508200497274302</v>
      </c>
      <c r="P85" s="116">
        <v>98.9165716646974</v>
      </c>
      <c r="Q85" s="116">
        <v>111.1</v>
      </c>
      <c r="R85">
        <v>167913</v>
      </c>
    </row>
    <row r="86" spans="1:18" x14ac:dyDescent="0.25">
      <c r="A86" s="170">
        <v>42129</v>
      </c>
      <c r="B86" s="116">
        <v>100.986498847123</v>
      </c>
      <c r="C86" s="116">
        <v>96.994220366194099</v>
      </c>
      <c r="D86" s="116">
        <v>96.268351551479796</v>
      </c>
      <c r="E86" s="116">
        <v>100.986498847123</v>
      </c>
      <c r="F86" s="116">
        <v>106.9</v>
      </c>
      <c r="G86">
        <v>49358</v>
      </c>
      <c r="H86" s="116"/>
      <c r="I86" s="116"/>
      <c r="L86" s="170">
        <v>42129</v>
      </c>
      <c r="M86" s="116">
        <v>96.874715827582094</v>
      </c>
      <c r="N86" s="116">
        <v>101.185300372603</v>
      </c>
      <c r="O86" s="116">
        <v>96.1033480668941</v>
      </c>
      <c r="P86" s="116">
        <v>101.185300372603</v>
      </c>
      <c r="Q86" s="116">
        <v>106.75</v>
      </c>
      <c r="R86">
        <v>298298</v>
      </c>
    </row>
    <row r="87" spans="1:18" x14ac:dyDescent="0.25">
      <c r="A87" s="170">
        <v>42130</v>
      </c>
      <c r="B87" s="116">
        <v>97.357154773551201</v>
      </c>
      <c r="C87" s="116">
        <v>93.773177500899493</v>
      </c>
      <c r="D87" s="116">
        <v>93.001941885265595</v>
      </c>
      <c r="E87" s="116">
        <v>96.041517546881593</v>
      </c>
      <c r="F87" s="116">
        <v>103.35</v>
      </c>
      <c r="G87">
        <v>34253</v>
      </c>
      <c r="H87" s="116"/>
      <c r="I87" s="116"/>
      <c r="L87" s="170">
        <v>42130</v>
      </c>
      <c r="M87" s="116">
        <v>94.152241378094999</v>
      </c>
      <c r="N87" s="116">
        <v>97.101588698372694</v>
      </c>
      <c r="O87" s="116">
        <v>92.745629579193306</v>
      </c>
      <c r="P87" s="116">
        <v>97.056214124214506</v>
      </c>
      <c r="Q87" s="116">
        <v>103.75</v>
      </c>
      <c r="R87">
        <v>811476</v>
      </c>
    </row>
    <row r="88" spans="1:18" x14ac:dyDescent="0.25">
      <c r="A88" s="170">
        <v>42131</v>
      </c>
      <c r="B88" s="116">
        <v>95.542482736765507</v>
      </c>
      <c r="C88" s="116">
        <v>94.045378306417305</v>
      </c>
      <c r="D88" s="116">
        <v>93.410243093542405</v>
      </c>
      <c r="E88" s="116">
        <v>93.909277903658406</v>
      </c>
      <c r="F88" s="116">
        <v>103.65</v>
      </c>
      <c r="G88">
        <v>12060</v>
      </c>
      <c r="H88" s="116"/>
      <c r="I88" s="116"/>
      <c r="L88" s="170">
        <v>42131</v>
      </c>
      <c r="M88" s="116">
        <v>94.333739674727497</v>
      </c>
      <c r="N88" s="116">
        <v>95.740351473629104</v>
      </c>
      <c r="O88" s="116">
        <v>93.380873617407005</v>
      </c>
      <c r="P88" s="116">
        <v>95.740351473629104</v>
      </c>
      <c r="Q88" s="116">
        <v>103.95</v>
      </c>
      <c r="R88">
        <v>444896</v>
      </c>
    </row>
    <row r="89" spans="1:18" x14ac:dyDescent="0.25">
      <c r="A89" s="170">
        <v>42132</v>
      </c>
      <c r="B89" s="116">
        <v>96.313718352399405</v>
      </c>
      <c r="C89" s="116">
        <v>95.406382334006594</v>
      </c>
      <c r="D89" s="116">
        <v>94.816613922051303</v>
      </c>
      <c r="E89" s="116">
        <v>94.907347523890493</v>
      </c>
      <c r="F89" s="116">
        <v>105.15</v>
      </c>
      <c r="G89">
        <v>78013</v>
      </c>
      <c r="H89" s="116"/>
      <c r="I89" s="116"/>
      <c r="L89" s="170">
        <v>42132</v>
      </c>
      <c r="M89" s="116">
        <v>95.331980306206006</v>
      </c>
      <c r="N89" s="116">
        <v>96.647842956791493</v>
      </c>
      <c r="O89" s="116">
        <v>94.469863397201806</v>
      </c>
      <c r="P89" s="116">
        <v>95.286605732047903</v>
      </c>
      <c r="Q89" s="116">
        <v>105.05</v>
      </c>
      <c r="R89">
        <v>414114</v>
      </c>
    </row>
    <row r="90" spans="1:18" x14ac:dyDescent="0.25">
      <c r="A90" s="170">
        <v>42135</v>
      </c>
      <c r="B90" s="116">
        <v>97.4932551763101</v>
      </c>
      <c r="C90" s="116">
        <v>95.587849537685202</v>
      </c>
      <c r="D90" s="116">
        <v>94.816613922051303</v>
      </c>
      <c r="E90" s="116">
        <v>95.814683542283404</v>
      </c>
      <c r="F90" s="116">
        <v>105.35</v>
      </c>
      <c r="G90">
        <v>643738</v>
      </c>
      <c r="H90" s="116"/>
      <c r="I90" s="116"/>
      <c r="L90" s="170">
        <v>42135</v>
      </c>
      <c r="M90" s="116">
        <v>95.468104028680401</v>
      </c>
      <c r="N90" s="116">
        <v>97.691458162428205</v>
      </c>
      <c r="O90" s="116">
        <v>94.878234564624904</v>
      </c>
      <c r="P90" s="116">
        <v>96.012598918577794</v>
      </c>
      <c r="Q90" s="116">
        <v>105.2</v>
      </c>
      <c r="R90">
        <v>503227</v>
      </c>
    </row>
    <row r="91" spans="1:18" x14ac:dyDescent="0.25">
      <c r="A91" s="170">
        <v>42136</v>
      </c>
      <c r="B91" s="116">
        <v>96.041517546881593</v>
      </c>
      <c r="C91" s="116">
        <v>93.818544301819102</v>
      </c>
      <c r="D91" s="116">
        <v>93.455609894462</v>
      </c>
      <c r="E91" s="116">
        <v>96.041517546881593</v>
      </c>
      <c r="F91" s="116">
        <v>103.4</v>
      </c>
      <c r="G91">
        <v>36876</v>
      </c>
      <c r="H91" s="116"/>
      <c r="I91" s="116"/>
      <c r="L91" s="170">
        <v>42136</v>
      </c>
      <c r="M91" s="116">
        <v>94.152241378094999</v>
      </c>
      <c r="N91" s="116">
        <v>96.330220937684601</v>
      </c>
      <c r="O91" s="116">
        <v>93.607746488197606</v>
      </c>
      <c r="P91" s="116">
        <v>95.195856583731697</v>
      </c>
      <c r="Q91" s="116">
        <v>103.75</v>
      </c>
      <c r="R91">
        <v>112229</v>
      </c>
    </row>
    <row r="92" spans="1:18" x14ac:dyDescent="0.25">
      <c r="A92" s="170">
        <v>42137</v>
      </c>
      <c r="B92" s="116">
        <v>96.086884347801202</v>
      </c>
      <c r="C92" s="116">
        <v>94.998081125729797</v>
      </c>
      <c r="D92" s="116">
        <v>92.548273876069203</v>
      </c>
      <c r="E92" s="116">
        <v>94.771247121131594</v>
      </c>
      <c r="F92" s="116">
        <v>104.7</v>
      </c>
      <c r="G92">
        <v>25906</v>
      </c>
      <c r="H92" s="116"/>
      <c r="I92" s="116"/>
      <c r="L92" s="170">
        <v>42137</v>
      </c>
      <c r="M92" s="116">
        <v>94.923609138782993</v>
      </c>
      <c r="N92" s="116">
        <v>96.284846363526498</v>
      </c>
      <c r="O92" s="116">
        <v>92.246509263454001</v>
      </c>
      <c r="P92" s="116">
        <v>93.970743081462501</v>
      </c>
      <c r="Q92" s="116">
        <v>104.6</v>
      </c>
      <c r="R92">
        <v>380494</v>
      </c>
    </row>
    <row r="93" spans="1:18" x14ac:dyDescent="0.25">
      <c r="A93" s="170">
        <v>42138</v>
      </c>
      <c r="B93" s="116">
        <v>94.998081125729797</v>
      </c>
      <c r="C93" s="116">
        <v>94.136111908256595</v>
      </c>
      <c r="D93" s="116">
        <v>93.183409088944202</v>
      </c>
      <c r="E93" s="116">
        <v>94.816613922051303</v>
      </c>
      <c r="F93" s="116">
        <v>103.75</v>
      </c>
      <c r="G93">
        <v>16899</v>
      </c>
      <c r="H93" s="116"/>
      <c r="I93" s="116"/>
      <c r="L93" s="170">
        <v>42138</v>
      </c>
      <c r="M93" s="116">
        <v>94.3791142488856</v>
      </c>
      <c r="N93" s="116">
        <v>96.148722641052203</v>
      </c>
      <c r="O93" s="116">
        <v>93.335499043248802</v>
      </c>
      <c r="P93" s="116">
        <v>95.377354880364194</v>
      </c>
      <c r="Q93" s="116">
        <v>104</v>
      </c>
      <c r="R93">
        <v>958027</v>
      </c>
    </row>
    <row r="94" spans="1:18" x14ac:dyDescent="0.25">
      <c r="A94" s="170">
        <v>42139</v>
      </c>
      <c r="B94" s="116">
        <v>96.948853565274405</v>
      </c>
      <c r="C94" s="116">
        <v>95.224915130328</v>
      </c>
      <c r="D94" s="116">
        <v>94.362945912854798</v>
      </c>
      <c r="E94" s="116">
        <v>95.270281931247695</v>
      </c>
      <c r="F94" s="116">
        <v>104.95</v>
      </c>
      <c r="G94">
        <v>26796</v>
      </c>
      <c r="H94" s="116"/>
      <c r="I94" s="116"/>
      <c r="L94" s="170">
        <v>42139</v>
      </c>
      <c r="M94" s="116">
        <v>95.604227751154795</v>
      </c>
      <c r="N94" s="116">
        <v>97.010839550056403</v>
      </c>
      <c r="O94" s="116">
        <v>94.3791142488856</v>
      </c>
      <c r="P94" s="116">
        <v>95.740351473629104</v>
      </c>
      <c r="Q94" s="116">
        <v>105.35</v>
      </c>
      <c r="R94">
        <v>151990</v>
      </c>
    </row>
    <row r="95" spans="1:18" x14ac:dyDescent="0.25">
      <c r="A95" s="170">
        <v>42142</v>
      </c>
      <c r="B95" s="116">
        <v>95.270281931247695</v>
      </c>
      <c r="C95" s="116">
        <v>94.408312713774507</v>
      </c>
      <c r="D95" s="116">
        <v>93.546343496301304</v>
      </c>
      <c r="E95" s="116">
        <v>94.408312713774507</v>
      </c>
      <c r="F95" s="116">
        <v>104.05</v>
      </c>
      <c r="G95">
        <v>21098</v>
      </c>
      <c r="H95" s="116"/>
      <c r="I95" s="116"/>
      <c r="L95" s="170">
        <v>42142</v>
      </c>
      <c r="M95" s="116">
        <v>94.560612545517998</v>
      </c>
      <c r="N95" s="116">
        <v>95.558853176996607</v>
      </c>
      <c r="O95" s="116">
        <v>93.380873617407005</v>
      </c>
      <c r="P95" s="116">
        <v>95.286605732047903</v>
      </c>
      <c r="Q95" s="116">
        <v>104.2</v>
      </c>
      <c r="R95">
        <v>127470</v>
      </c>
    </row>
    <row r="96" spans="1:18" x14ac:dyDescent="0.25">
      <c r="A96" s="170">
        <v>42143</v>
      </c>
      <c r="B96" s="116">
        <v>97.221054370792302</v>
      </c>
      <c r="C96" s="116">
        <v>94.725880320211999</v>
      </c>
      <c r="D96" s="116">
        <v>94.499046315613796</v>
      </c>
      <c r="E96" s="116">
        <v>94.907347523890493</v>
      </c>
      <c r="F96" s="116">
        <v>104.4</v>
      </c>
      <c r="G96">
        <v>37792</v>
      </c>
      <c r="H96" s="116"/>
      <c r="I96" s="116"/>
      <c r="L96" s="170">
        <v>42143</v>
      </c>
      <c r="M96" s="116">
        <v>95.105107435415405</v>
      </c>
      <c r="N96" s="116">
        <v>97.555334439953796</v>
      </c>
      <c r="O96" s="116">
        <v>94.696736267992407</v>
      </c>
      <c r="P96" s="116">
        <v>95.059732861257302</v>
      </c>
      <c r="Q96" s="116">
        <v>104.8</v>
      </c>
      <c r="R96">
        <v>286988</v>
      </c>
    </row>
    <row r="97" spans="1:18" x14ac:dyDescent="0.25">
      <c r="A97" s="170">
        <v>42144</v>
      </c>
      <c r="B97" s="116">
        <v>95.905417144122694</v>
      </c>
      <c r="C97" s="116">
        <v>93.682443899060203</v>
      </c>
      <c r="D97" s="116">
        <v>93.546343496301304</v>
      </c>
      <c r="E97" s="116">
        <v>95.587849537685202</v>
      </c>
      <c r="F97" s="116">
        <v>103.25</v>
      </c>
      <c r="G97">
        <v>20767</v>
      </c>
      <c r="H97" s="116"/>
      <c r="I97" s="116"/>
      <c r="L97" s="170">
        <v>42144</v>
      </c>
      <c r="M97" s="116">
        <v>93.698495636513798</v>
      </c>
      <c r="N97" s="116">
        <v>96.057973492735897</v>
      </c>
      <c r="O97" s="116">
        <v>93.471622765723197</v>
      </c>
      <c r="P97" s="116">
        <v>95.513478602838504</v>
      </c>
      <c r="Q97" s="116">
        <v>103.25</v>
      </c>
      <c r="R97">
        <v>163680</v>
      </c>
    </row>
    <row r="98" spans="1:18" x14ac:dyDescent="0.25">
      <c r="A98" s="170">
        <v>42145</v>
      </c>
      <c r="B98" s="116">
        <v>94.998081125729797</v>
      </c>
      <c r="C98" s="116">
        <v>94.226845510095899</v>
      </c>
      <c r="D98" s="116">
        <v>93.228775889863797</v>
      </c>
      <c r="E98" s="116">
        <v>94.635146718372695</v>
      </c>
      <c r="F98" s="116">
        <v>103.85</v>
      </c>
      <c r="G98">
        <v>20899</v>
      </c>
      <c r="H98" s="116"/>
      <c r="I98" s="116"/>
      <c r="L98" s="170">
        <v>42145</v>
      </c>
      <c r="M98" s="116">
        <v>94.424488823043703</v>
      </c>
      <c r="N98" s="116">
        <v>94.923609138782993</v>
      </c>
      <c r="O98" s="116">
        <v>93.199375320774493</v>
      </c>
      <c r="P98" s="116">
        <v>94.3791142488856</v>
      </c>
      <c r="Q98" s="116">
        <v>104.05</v>
      </c>
      <c r="R98">
        <v>165236</v>
      </c>
    </row>
    <row r="99" spans="1:18" x14ac:dyDescent="0.25">
      <c r="A99" s="170">
        <v>42146</v>
      </c>
      <c r="B99" s="116">
        <v>94.907347523890493</v>
      </c>
      <c r="C99" s="116">
        <v>94.408312713774507</v>
      </c>
      <c r="D99" s="116">
        <v>93.954644704578101</v>
      </c>
      <c r="E99" s="116">
        <v>94.907347523890493</v>
      </c>
      <c r="F99" s="116">
        <v>104.05</v>
      </c>
      <c r="G99">
        <v>27312</v>
      </c>
      <c r="H99" s="116"/>
      <c r="I99" s="116"/>
      <c r="L99" s="170">
        <v>42146</v>
      </c>
      <c r="M99" s="116">
        <v>94.515237971359895</v>
      </c>
      <c r="N99" s="116">
        <v>95.105107435415405</v>
      </c>
      <c r="O99" s="116">
        <v>93.925368507304398</v>
      </c>
      <c r="P99" s="116">
        <v>94.923609138782993</v>
      </c>
      <c r="Q99" s="116">
        <v>104.15</v>
      </c>
      <c r="R99">
        <v>182906</v>
      </c>
    </row>
    <row r="100" spans="1:18" x14ac:dyDescent="0.25">
      <c r="A100" s="170">
        <v>42149</v>
      </c>
      <c r="B100" s="116">
        <v>94.362945912854798</v>
      </c>
      <c r="C100" s="116">
        <v>91.459470653997798</v>
      </c>
      <c r="D100" s="116">
        <v>89.009663404337104</v>
      </c>
      <c r="E100" s="116">
        <v>94.362945912854798</v>
      </c>
      <c r="F100" s="116">
        <v>100.8</v>
      </c>
      <c r="G100">
        <v>103518</v>
      </c>
      <c r="H100" s="116"/>
      <c r="I100" s="116"/>
      <c r="L100" s="170">
        <v>42149</v>
      </c>
      <c r="M100" s="116">
        <v>91.339017780291698</v>
      </c>
      <c r="N100" s="116">
        <v>94.469863397201806</v>
      </c>
      <c r="O100" s="116">
        <v>88.026673866748993</v>
      </c>
      <c r="P100" s="116">
        <v>93.970743081462501</v>
      </c>
      <c r="Q100" s="116">
        <v>100.65</v>
      </c>
      <c r="R100">
        <v>446383</v>
      </c>
    </row>
    <row r="101" spans="1:18" x14ac:dyDescent="0.25">
      <c r="A101" s="170">
        <v>42150</v>
      </c>
      <c r="B101" s="116">
        <v>92.548273876069203</v>
      </c>
      <c r="C101" s="116">
        <v>90.778968640203104</v>
      </c>
      <c r="D101" s="116">
        <v>89.780899019971002</v>
      </c>
      <c r="E101" s="116">
        <v>90.733601839283494</v>
      </c>
      <c r="F101" s="116">
        <v>100.05</v>
      </c>
      <c r="G101">
        <v>36031</v>
      </c>
      <c r="H101" s="116"/>
      <c r="I101" s="116"/>
      <c r="L101" s="170">
        <v>42150</v>
      </c>
      <c r="M101" s="116">
        <v>90.749148316236102</v>
      </c>
      <c r="N101" s="116">
        <v>92.791004153351395</v>
      </c>
      <c r="O101" s="116">
        <v>89.342536517334494</v>
      </c>
      <c r="P101" s="116">
        <v>89.4332856656507</v>
      </c>
      <c r="Q101" s="116">
        <v>100</v>
      </c>
      <c r="R101">
        <v>202775</v>
      </c>
    </row>
    <row r="102" spans="1:18" x14ac:dyDescent="0.25">
      <c r="A102" s="170">
        <v>42151</v>
      </c>
      <c r="B102" s="116">
        <v>92.911208283426305</v>
      </c>
      <c r="C102" s="116">
        <v>92.366806672390595</v>
      </c>
      <c r="D102" s="116">
        <v>90.370667431926407</v>
      </c>
      <c r="E102" s="116">
        <v>90.552134635604901</v>
      </c>
      <c r="F102" s="116">
        <v>101.8</v>
      </c>
      <c r="G102">
        <v>31130</v>
      </c>
      <c r="H102" s="116"/>
      <c r="I102" s="116"/>
      <c r="L102" s="170">
        <v>42151</v>
      </c>
      <c r="M102" s="116">
        <v>92.564131282560794</v>
      </c>
      <c r="N102" s="116">
        <v>92.972502449983907</v>
      </c>
      <c r="O102" s="116">
        <v>90.295402574654901</v>
      </c>
      <c r="P102" s="116">
        <v>90.749148316236102</v>
      </c>
      <c r="Q102" s="116">
        <v>102</v>
      </c>
      <c r="R102">
        <v>402393</v>
      </c>
    </row>
    <row r="103" spans="1:18" x14ac:dyDescent="0.25">
      <c r="A103" s="170">
        <v>42152</v>
      </c>
      <c r="B103" s="116">
        <v>92.502907075149494</v>
      </c>
      <c r="C103" s="116">
        <v>91.141903047560305</v>
      </c>
      <c r="D103" s="116">
        <v>90.143833427328104</v>
      </c>
      <c r="E103" s="116">
        <v>92.321439871471</v>
      </c>
      <c r="F103" s="116">
        <v>100.45</v>
      </c>
      <c r="G103">
        <v>41584</v>
      </c>
      <c r="H103" s="116"/>
      <c r="I103" s="116"/>
      <c r="L103" s="170">
        <v>42152</v>
      </c>
      <c r="M103" s="116">
        <v>91.429766928607904</v>
      </c>
      <c r="N103" s="116">
        <v>93.017877024141995</v>
      </c>
      <c r="O103" s="116">
        <v>90.476900871287398</v>
      </c>
      <c r="P103" s="116">
        <v>93.017877024141995</v>
      </c>
      <c r="Q103" s="116">
        <v>100.75</v>
      </c>
      <c r="R103">
        <v>1066079</v>
      </c>
    </row>
    <row r="104" spans="1:18" x14ac:dyDescent="0.25">
      <c r="A104" s="170">
        <v>42153</v>
      </c>
      <c r="B104" s="116">
        <v>93.818544301819102</v>
      </c>
      <c r="C104" s="116">
        <v>92.911208283426305</v>
      </c>
      <c r="D104" s="116">
        <v>90.506767834685306</v>
      </c>
      <c r="E104" s="116">
        <v>91.504837454917407</v>
      </c>
      <c r="F104" s="116">
        <v>102.4</v>
      </c>
      <c r="G104">
        <v>37525</v>
      </c>
      <c r="H104" s="116"/>
      <c r="I104" s="116"/>
      <c r="L104" s="170">
        <v>42153</v>
      </c>
      <c r="M104" s="116">
        <v>92.609505856718997</v>
      </c>
      <c r="N104" s="116">
        <v>93.879993933146295</v>
      </c>
      <c r="O104" s="116">
        <v>90.431526297129295</v>
      </c>
      <c r="P104" s="116">
        <v>91.656639799398505</v>
      </c>
      <c r="Q104" s="116">
        <v>102.05</v>
      </c>
      <c r="R104">
        <v>364473</v>
      </c>
    </row>
    <row r="105" spans="1:18" x14ac:dyDescent="0.25">
      <c r="A105" s="170">
        <v>42156</v>
      </c>
      <c r="B105" s="116">
        <v>92.548273876069203</v>
      </c>
      <c r="C105" s="116">
        <v>92.230706269631696</v>
      </c>
      <c r="D105" s="116">
        <v>90.733601839283494</v>
      </c>
      <c r="E105" s="116">
        <v>92.366806672390595</v>
      </c>
      <c r="F105" s="116">
        <v>101.65</v>
      </c>
      <c r="G105">
        <v>37459</v>
      </c>
      <c r="H105" s="116"/>
      <c r="I105" s="116"/>
      <c r="L105" s="170">
        <v>42156</v>
      </c>
      <c r="M105" s="116">
        <v>92.428007560086499</v>
      </c>
      <c r="N105" s="116">
        <v>93.380873617407005</v>
      </c>
      <c r="O105" s="116">
        <v>90.476900871287398</v>
      </c>
      <c r="P105" s="116">
        <v>92.564131282560794</v>
      </c>
      <c r="Q105" s="116">
        <v>101.85</v>
      </c>
      <c r="R105">
        <v>546350</v>
      </c>
    </row>
    <row r="106" spans="1:18" x14ac:dyDescent="0.25">
      <c r="A106" s="170">
        <v>42157</v>
      </c>
      <c r="B106" s="116">
        <v>93.455609894462</v>
      </c>
      <c r="C106" s="116">
        <v>91.1872698484799</v>
      </c>
      <c r="D106" s="116">
        <v>89.372597811694206</v>
      </c>
      <c r="E106" s="116">
        <v>91.1872698484799</v>
      </c>
      <c r="F106" s="116">
        <v>100.5</v>
      </c>
      <c r="G106">
        <v>43325</v>
      </c>
      <c r="H106" s="116"/>
      <c r="I106" s="116"/>
      <c r="L106" s="170">
        <v>42157</v>
      </c>
      <c r="M106" s="116">
        <v>90.703773742077999</v>
      </c>
      <c r="N106" s="116">
        <v>93.743870210671901</v>
      </c>
      <c r="O106" s="116">
        <v>89.161038220701997</v>
      </c>
      <c r="P106" s="116">
        <v>92.110385540979706</v>
      </c>
      <c r="Q106" s="116">
        <v>99.95</v>
      </c>
      <c r="R106">
        <v>620422</v>
      </c>
    </row>
    <row r="107" spans="1:18" x14ac:dyDescent="0.25">
      <c r="A107" s="170">
        <v>42158</v>
      </c>
      <c r="B107" s="116">
        <v>91.504837454917407</v>
      </c>
      <c r="C107" s="116">
        <v>87.512558973988902</v>
      </c>
      <c r="D107" s="116">
        <v>87.104257765712205</v>
      </c>
      <c r="E107" s="116">
        <v>90.642868237444205</v>
      </c>
      <c r="F107" s="116">
        <v>96.45</v>
      </c>
      <c r="G107">
        <v>29289</v>
      </c>
      <c r="H107" s="116"/>
      <c r="I107" s="116"/>
      <c r="L107" s="170">
        <v>42158</v>
      </c>
      <c r="M107" s="116">
        <v>87.935924718432801</v>
      </c>
      <c r="N107" s="116">
        <v>92.337258411770307</v>
      </c>
      <c r="O107" s="116">
        <v>87.436804402693497</v>
      </c>
      <c r="P107" s="116">
        <v>92.337258411770307</v>
      </c>
      <c r="Q107" s="116">
        <v>96.9</v>
      </c>
      <c r="R107">
        <v>317113</v>
      </c>
    </row>
    <row r="108" spans="1:18" x14ac:dyDescent="0.25">
      <c r="A108" s="170">
        <v>42159</v>
      </c>
      <c r="B108" s="116">
        <v>90.552134635604901</v>
      </c>
      <c r="C108" s="116">
        <v>89.690165418131699</v>
      </c>
      <c r="D108" s="116">
        <v>87.875493381346104</v>
      </c>
      <c r="E108" s="116">
        <v>88.011593784105003</v>
      </c>
      <c r="F108" s="116">
        <v>98.85</v>
      </c>
      <c r="G108">
        <v>70091</v>
      </c>
      <c r="H108" s="116"/>
      <c r="I108" s="116"/>
      <c r="L108" s="170">
        <v>42159</v>
      </c>
      <c r="M108" s="116">
        <v>89.750907684757493</v>
      </c>
      <c r="N108" s="116">
        <v>90.749148316236102</v>
      </c>
      <c r="O108" s="116">
        <v>87.119182383586704</v>
      </c>
      <c r="P108" s="116">
        <v>87.754426421800304</v>
      </c>
      <c r="Q108" s="116">
        <v>98.9</v>
      </c>
      <c r="R108">
        <v>300337</v>
      </c>
    </row>
    <row r="109" spans="1:18" x14ac:dyDescent="0.25">
      <c r="A109" s="170">
        <v>42160</v>
      </c>
      <c r="B109" s="116">
        <v>91.913138663194204</v>
      </c>
      <c r="C109" s="116">
        <v>90.778968640203104</v>
      </c>
      <c r="D109" s="116">
        <v>89.644798617212103</v>
      </c>
      <c r="E109" s="116">
        <v>89.644798617212103</v>
      </c>
      <c r="F109" s="116">
        <v>100.05</v>
      </c>
      <c r="G109">
        <v>24308</v>
      </c>
      <c r="H109" s="116"/>
      <c r="I109" s="116"/>
      <c r="L109" s="170">
        <v>42160</v>
      </c>
      <c r="M109" s="116">
        <v>90.839897464552394</v>
      </c>
      <c r="N109" s="116">
        <v>91.928887244347194</v>
      </c>
      <c r="O109" s="116">
        <v>89.070289072385805</v>
      </c>
      <c r="P109" s="116">
        <v>89.569409388125095</v>
      </c>
      <c r="Q109" s="116">
        <v>100.1</v>
      </c>
      <c r="R109">
        <v>165054</v>
      </c>
    </row>
    <row r="110" spans="1:18" x14ac:dyDescent="0.25">
      <c r="A110" s="170">
        <v>42163</v>
      </c>
      <c r="B110" s="116">
        <v>91.005802644801307</v>
      </c>
      <c r="C110" s="116">
        <v>89.690165418131699</v>
      </c>
      <c r="D110" s="116">
        <v>88.828196200658596</v>
      </c>
      <c r="E110" s="116">
        <v>89.826265820890697</v>
      </c>
      <c r="F110" s="116">
        <v>98.85</v>
      </c>
      <c r="G110">
        <v>10669</v>
      </c>
      <c r="H110" s="116"/>
      <c r="I110" s="116"/>
      <c r="L110" s="170">
        <v>42163</v>
      </c>
      <c r="M110" s="116">
        <v>89.841656833073799</v>
      </c>
      <c r="N110" s="116">
        <v>91.611265225240402</v>
      </c>
      <c r="O110" s="116">
        <v>88.752667053278898</v>
      </c>
      <c r="P110" s="116">
        <v>91.611265225240402</v>
      </c>
      <c r="Q110" s="116">
        <v>99</v>
      </c>
      <c r="R110">
        <v>260597</v>
      </c>
    </row>
    <row r="111" spans="1:18" x14ac:dyDescent="0.25">
      <c r="A111" s="170">
        <v>42164</v>
      </c>
      <c r="B111" s="116">
        <v>89.962366223649596</v>
      </c>
      <c r="C111" s="116">
        <v>89.508698214453204</v>
      </c>
      <c r="D111" s="116">
        <v>88.601362196060407</v>
      </c>
      <c r="E111" s="116">
        <v>89.826265820890697</v>
      </c>
      <c r="F111" s="116">
        <v>98.65</v>
      </c>
      <c r="G111">
        <v>34234</v>
      </c>
      <c r="H111" s="116"/>
      <c r="I111" s="116"/>
      <c r="L111" s="170">
        <v>42164</v>
      </c>
      <c r="M111" s="116">
        <v>89.2064127948601</v>
      </c>
      <c r="N111" s="116">
        <v>90.522275445445501</v>
      </c>
      <c r="O111" s="116">
        <v>88.752667053278898</v>
      </c>
      <c r="P111" s="116">
        <v>88.934165349911396</v>
      </c>
      <c r="Q111" s="116">
        <v>98.3</v>
      </c>
      <c r="R111">
        <v>253581</v>
      </c>
    </row>
    <row r="112" spans="1:18" x14ac:dyDescent="0.25">
      <c r="A112" s="170">
        <v>42165</v>
      </c>
      <c r="B112" s="116">
        <v>90.279933830087103</v>
      </c>
      <c r="C112" s="116">
        <v>89.145763807096003</v>
      </c>
      <c r="D112" s="116">
        <v>88.465261793301394</v>
      </c>
      <c r="E112" s="116">
        <v>90.279933830087103</v>
      </c>
      <c r="F112" s="116">
        <v>98.25</v>
      </c>
      <c r="G112">
        <v>12318</v>
      </c>
      <c r="H112" s="116"/>
      <c r="I112" s="116"/>
      <c r="L112" s="170">
        <v>42165</v>
      </c>
      <c r="M112" s="116">
        <v>89.297161943176306</v>
      </c>
      <c r="N112" s="116">
        <v>90.658399167919896</v>
      </c>
      <c r="O112" s="116">
        <v>88.571168756646401</v>
      </c>
      <c r="P112" s="116">
        <v>89.478660239808804</v>
      </c>
      <c r="Q112" s="116">
        <v>98.4</v>
      </c>
      <c r="R112">
        <v>111690</v>
      </c>
    </row>
    <row r="113" spans="1:18" x14ac:dyDescent="0.25">
      <c r="A113" s="170">
        <v>42166</v>
      </c>
      <c r="B113" s="116">
        <v>90.143833427328104</v>
      </c>
      <c r="C113" s="116">
        <v>86.605222955596105</v>
      </c>
      <c r="D113" s="116">
        <v>86.196921747319294</v>
      </c>
      <c r="E113" s="116">
        <v>89.644798617212103</v>
      </c>
      <c r="F113" s="116">
        <v>95.45</v>
      </c>
      <c r="G113">
        <v>11042</v>
      </c>
      <c r="H113" s="116"/>
      <c r="I113" s="116"/>
      <c r="L113" s="170">
        <v>42166</v>
      </c>
      <c r="M113" s="116">
        <v>87.028433235270398</v>
      </c>
      <c r="N113" s="116">
        <v>90.295402574654901</v>
      </c>
      <c r="O113" s="116">
        <v>86.302440048740607</v>
      </c>
      <c r="P113" s="116">
        <v>89.796282258915596</v>
      </c>
      <c r="Q113" s="116">
        <v>95.9</v>
      </c>
      <c r="R113">
        <v>90400</v>
      </c>
    </row>
    <row r="114" spans="1:18" x14ac:dyDescent="0.25">
      <c r="A114" s="170">
        <v>42167</v>
      </c>
      <c r="B114" s="116">
        <v>87.920860182265699</v>
      </c>
      <c r="C114" s="116">
        <v>86.242288548239003</v>
      </c>
      <c r="D114" s="116">
        <v>85.970087742721105</v>
      </c>
      <c r="E114" s="116">
        <v>86.6505897565157</v>
      </c>
      <c r="F114" s="116">
        <v>95.05</v>
      </c>
      <c r="G114">
        <v>15991</v>
      </c>
      <c r="H114" s="116"/>
      <c r="I114" s="116"/>
      <c r="L114" s="170">
        <v>42167</v>
      </c>
      <c r="M114" s="116">
        <v>86.302440048740607</v>
      </c>
      <c r="N114" s="116">
        <v>87.935924718432801</v>
      </c>
      <c r="O114" s="116">
        <v>86.211690900424301</v>
      </c>
      <c r="P114" s="116">
        <v>87.255306106060999</v>
      </c>
      <c r="Q114" s="116">
        <v>95.1</v>
      </c>
      <c r="R114">
        <v>474176</v>
      </c>
    </row>
    <row r="115" spans="1:18" x14ac:dyDescent="0.25">
      <c r="A115" s="170">
        <v>42170</v>
      </c>
      <c r="B115" s="116">
        <v>87.512558973988902</v>
      </c>
      <c r="C115" s="116">
        <v>85.334952529846106</v>
      </c>
      <c r="D115" s="116">
        <v>83.520280493060497</v>
      </c>
      <c r="E115" s="116">
        <v>86.695956557435395</v>
      </c>
      <c r="F115" s="116">
        <v>94.05</v>
      </c>
      <c r="G115">
        <v>47464</v>
      </c>
      <c r="H115" s="116"/>
      <c r="I115" s="116"/>
      <c r="L115" s="170">
        <v>42170</v>
      </c>
      <c r="M115" s="116">
        <v>85.803319733001203</v>
      </c>
      <c r="N115" s="116">
        <v>87.663677273484097</v>
      </c>
      <c r="O115" s="116">
        <v>85.440323139736293</v>
      </c>
      <c r="P115" s="116">
        <v>86.211690900424301</v>
      </c>
      <c r="Q115" s="116">
        <v>94.55</v>
      </c>
      <c r="R115">
        <v>335985</v>
      </c>
    </row>
    <row r="116" spans="1:18" x14ac:dyDescent="0.25">
      <c r="A116" s="170">
        <v>42171</v>
      </c>
      <c r="B116" s="116">
        <v>86.151554946399699</v>
      </c>
      <c r="C116" s="116">
        <v>84.472983312372904</v>
      </c>
      <c r="D116" s="116">
        <v>82.204643266390804</v>
      </c>
      <c r="E116" s="116">
        <v>85.425686131685396</v>
      </c>
      <c r="F116" s="116">
        <v>93.1</v>
      </c>
      <c r="G116">
        <v>32666</v>
      </c>
      <c r="H116" s="116"/>
      <c r="I116" s="116"/>
      <c r="L116" s="170">
        <v>42171</v>
      </c>
      <c r="M116" s="116">
        <v>84.351333359941506</v>
      </c>
      <c r="N116" s="116">
        <v>86.393189197056799</v>
      </c>
      <c r="O116" s="116">
        <v>82.264102948668096</v>
      </c>
      <c r="P116" s="116">
        <v>85.394948565578204</v>
      </c>
      <c r="Q116" s="116">
        <v>92.95</v>
      </c>
      <c r="R116">
        <v>468472</v>
      </c>
    </row>
    <row r="117" spans="1:18" x14ac:dyDescent="0.25">
      <c r="A117" s="170">
        <v>42172</v>
      </c>
      <c r="B117" s="116">
        <v>90.416034232846002</v>
      </c>
      <c r="C117" s="116">
        <v>89.372597811694206</v>
      </c>
      <c r="D117" s="116">
        <v>81.705608456274803</v>
      </c>
      <c r="E117" s="116">
        <v>85.244218928006802</v>
      </c>
      <c r="F117" s="116">
        <v>98.5</v>
      </c>
      <c r="G117">
        <v>89973</v>
      </c>
      <c r="H117" s="116"/>
      <c r="I117" s="116"/>
      <c r="L117" s="170">
        <v>42172</v>
      </c>
      <c r="M117" s="116">
        <v>89.342536517334494</v>
      </c>
      <c r="N117" s="116">
        <v>90.749148316236102</v>
      </c>
      <c r="O117" s="116">
        <v>81.583484336296294</v>
      </c>
      <c r="P117" s="116">
        <v>84.759704527364505</v>
      </c>
      <c r="Q117" s="116">
        <v>98.45</v>
      </c>
      <c r="R117">
        <v>701001</v>
      </c>
    </row>
    <row r="118" spans="1:18" x14ac:dyDescent="0.25">
      <c r="A118" s="170">
        <v>42173</v>
      </c>
      <c r="B118" s="116">
        <v>89.599431816292494</v>
      </c>
      <c r="C118" s="116">
        <v>89.145763807096003</v>
      </c>
      <c r="D118" s="116">
        <v>86.196921747319294</v>
      </c>
      <c r="E118" s="116">
        <v>89.055030205256799</v>
      </c>
      <c r="F118" s="116">
        <v>98.25</v>
      </c>
      <c r="G118">
        <v>56519</v>
      </c>
      <c r="H118" s="116"/>
      <c r="I118" s="116"/>
      <c r="L118" s="170">
        <v>42173</v>
      </c>
      <c r="M118" s="116">
        <v>89.115663646543894</v>
      </c>
      <c r="N118" s="116">
        <v>90.567650019603605</v>
      </c>
      <c r="O118" s="116">
        <v>86.030192603791804</v>
      </c>
      <c r="P118" s="116">
        <v>90.567650019603605</v>
      </c>
      <c r="Q118" s="116">
        <v>98.2</v>
      </c>
      <c r="R118">
        <v>533603</v>
      </c>
    </row>
    <row r="119" spans="1:18" x14ac:dyDescent="0.25">
      <c r="A119" s="170">
        <v>42174</v>
      </c>
      <c r="B119" s="116">
        <v>88.782829399738901</v>
      </c>
      <c r="C119" s="116">
        <v>86.741323358355004</v>
      </c>
      <c r="D119" s="116">
        <v>85.788620539042498</v>
      </c>
      <c r="E119" s="116">
        <v>88.782829399738901</v>
      </c>
      <c r="F119" s="116">
        <v>95.6</v>
      </c>
      <c r="G119">
        <v>50353</v>
      </c>
      <c r="H119" s="116"/>
      <c r="I119" s="116"/>
      <c r="L119" s="170">
        <v>42174</v>
      </c>
      <c r="M119" s="116">
        <v>86.756185790321695</v>
      </c>
      <c r="N119" s="116">
        <v>88.934165349911396</v>
      </c>
      <c r="O119" s="116">
        <v>85.7579451588431</v>
      </c>
      <c r="P119" s="116">
        <v>88.752667053278898</v>
      </c>
      <c r="Q119" s="116">
        <v>95.6</v>
      </c>
      <c r="R119">
        <v>519142</v>
      </c>
    </row>
    <row r="120" spans="1:18" x14ac:dyDescent="0.25">
      <c r="A120" s="170">
        <v>42177</v>
      </c>
      <c r="B120" s="116">
        <v>87.920860182265699</v>
      </c>
      <c r="C120" s="116">
        <v>86.060821344560395</v>
      </c>
      <c r="D120" s="116">
        <v>85.334952529846106</v>
      </c>
      <c r="E120" s="116">
        <v>87.104257765712205</v>
      </c>
      <c r="F120" s="116">
        <v>94.85</v>
      </c>
      <c r="G120">
        <v>33323</v>
      </c>
      <c r="H120" s="116"/>
      <c r="I120" s="116"/>
      <c r="L120" s="170">
        <v>42177</v>
      </c>
      <c r="M120" s="116">
        <v>86.211690900424301</v>
      </c>
      <c r="N120" s="116">
        <v>88.117423015065299</v>
      </c>
      <c r="O120" s="116">
        <v>85.667196010526894</v>
      </c>
      <c r="P120" s="116">
        <v>87.845175570116595</v>
      </c>
      <c r="Q120" s="116">
        <v>95</v>
      </c>
      <c r="R120">
        <v>1081802</v>
      </c>
    </row>
    <row r="121" spans="1:18" x14ac:dyDescent="0.25">
      <c r="A121" s="170">
        <v>42178</v>
      </c>
      <c r="B121" s="116">
        <v>88.9189298024978</v>
      </c>
      <c r="C121" s="116">
        <v>86.242288548239003</v>
      </c>
      <c r="D121" s="116">
        <v>85.833987339962206</v>
      </c>
      <c r="E121" s="116">
        <v>86.832056960194294</v>
      </c>
      <c r="F121" s="116">
        <v>95.05</v>
      </c>
      <c r="G121">
        <v>34647</v>
      </c>
      <c r="H121" s="116"/>
      <c r="I121" s="116"/>
      <c r="L121" s="170">
        <v>42178</v>
      </c>
      <c r="M121" s="116">
        <v>86.302440048740607</v>
      </c>
      <c r="N121" s="116">
        <v>89.024914498227602</v>
      </c>
      <c r="O121" s="116">
        <v>86.075567177949907</v>
      </c>
      <c r="P121" s="116">
        <v>87.073807809428601</v>
      </c>
      <c r="Q121" s="116">
        <v>95.1</v>
      </c>
      <c r="R121">
        <v>511074</v>
      </c>
    </row>
    <row r="122" spans="1:18" x14ac:dyDescent="0.25">
      <c r="A122" s="170">
        <v>42179</v>
      </c>
      <c r="B122" s="116">
        <v>87.104257765712205</v>
      </c>
      <c r="C122" s="116">
        <v>85.471052932605105</v>
      </c>
      <c r="D122" s="116">
        <v>84.835917719730105</v>
      </c>
      <c r="E122" s="116">
        <v>86.242288548239003</v>
      </c>
      <c r="F122" s="116">
        <v>94.2</v>
      </c>
      <c r="G122">
        <v>18939</v>
      </c>
      <c r="H122" s="116"/>
      <c r="I122" s="116"/>
      <c r="L122" s="170">
        <v>42179</v>
      </c>
      <c r="M122" s="116">
        <v>85.803319733001203</v>
      </c>
      <c r="N122" s="116">
        <v>87.119182383586704</v>
      </c>
      <c r="O122" s="116">
        <v>84.850453675680797</v>
      </c>
      <c r="P122" s="116">
        <v>87.073807809428601</v>
      </c>
      <c r="Q122" s="116">
        <v>94.55</v>
      </c>
      <c r="R122">
        <v>204238</v>
      </c>
    </row>
    <row r="123" spans="1:18" x14ac:dyDescent="0.25">
      <c r="A123" s="170">
        <v>42180</v>
      </c>
      <c r="B123" s="116">
        <v>87.557925774908597</v>
      </c>
      <c r="C123" s="116">
        <v>86.469122552837206</v>
      </c>
      <c r="D123" s="116">
        <v>85.153485326167598</v>
      </c>
      <c r="E123" s="116">
        <v>85.833987339962206</v>
      </c>
      <c r="F123" s="116">
        <v>95.3</v>
      </c>
      <c r="G123">
        <v>15842</v>
      </c>
      <c r="H123" s="116"/>
      <c r="I123" s="116"/>
      <c r="L123" s="170">
        <v>42180</v>
      </c>
      <c r="M123" s="116">
        <v>86.393189197056799</v>
      </c>
      <c r="N123" s="116">
        <v>88.026673866748993</v>
      </c>
      <c r="O123" s="116">
        <v>85.077326546471397</v>
      </c>
      <c r="P123" s="116">
        <v>85.7579451588431</v>
      </c>
      <c r="Q123" s="116">
        <v>95.2</v>
      </c>
      <c r="R123">
        <v>303911</v>
      </c>
    </row>
    <row r="124" spans="1:18" x14ac:dyDescent="0.25">
      <c r="A124" s="170">
        <v>42181</v>
      </c>
      <c r="B124" s="116">
        <v>86.877423761113903</v>
      </c>
      <c r="C124" s="116">
        <v>84.064682104096207</v>
      </c>
      <c r="D124" s="116">
        <v>83.520280493060497</v>
      </c>
      <c r="E124" s="116">
        <v>86.6505897565157</v>
      </c>
      <c r="F124" s="116">
        <v>92.65</v>
      </c>
      <c r="G124">
        <v>28116</v>
      </c>
      <c r="H124" s="116"/>
      <c r="I124" s="116"/>
      <c r="L124" s="170">
        <v>42181</v>
      </c>
      <c r="M124" s="116">
        <v>83.942962192518394</v>
      </c>
      <c r="N124" s="116">
        <v>86.983058661112295</v>
      </c>
      <c r="O124" s="116">
        <v>83.307718154304794</v>
      </c>
      <c r="P124" s="116">
        <v>86.983058661112295</v>
      </c>
      <c r="Q124" s="116">
        <v>92.5</v>
      </c>
      <c r="R124">
        <v>268666</v>
      </c>
    </row>
    <row r="125" spans="1:18" x14ac:dyDescent="0.25">
      <c r="A125" s="170">
        <v>42184</v>
      </c>
      <c r="B125" s="116">
        <v>84.200782506855106</v>
      </c>
      <c r="C125" s="116">
        <v>83.520280493060497</v>
      </c>
      <c r="D125" s="116">
        <v>82.476844071908701</v>
      </c>
      <c r="E125" s="116">
        <v>83.338813289381903</v>
      </c>
      <c r="F125" s="116">
        <v>92.05</v>
      </c>
      <c r="G125">
        <v>28959</v>
      </c>
      <c r="H125" s="116"/>
      <c r="I125" s="116"/>
      <c r="L125" s="170">
        <v>42184</v>
      </c>
      <c r="M125" s="116">
        <v>83.761463895885896</v>
      </c>
      <c r="N125" s="116">
        <v>84.396707934099595</v>
      </c>
      <c r="O125" s="116">
        <v>82.627099541933006</v>
      </c>
      <c r="P125" s="116">
        <v>83.489216450937207</v>
      </c>
      <c r="Q125" s="116">
        <v>92.3</v>
      </c>
      <c r="R125">
        <v>111463</v>
      </c>
    </row>
    <row r="126" spans="1:18" x14ac:dyDescent="0.25">
      <c r="A126" s="170">
        <v>42185</v>
      </c>
      <c r="B126" s="116">
        <v>84.246149307774701</v>
      </c>
      <c r="C126" s="116">
        <v>82.885145280185498</v>
      </c>
      <c r="D126" s="116">
        <v>82.6129444746676</v>
      </c>
      <c r="E126" s="116">
        <v>83.202712886623004</v>
      </c>
      <c r="F126" s="116">
        <v>91.35</v>
      </c>
      <c r="G126">
        <v>49683</v>
      </c>
      <c r="H126" s="116"/>
      <c r="I126" s="116"/>
      <c r="L126" s="170">
        <v>42185</v>
      </c>
      <c r="M126" s="116">
        <v>82.899346986881696</v>
      </c>
      <c r="N126" s="116">
        <v>84.215209637467098</v>
      </c>
      <c r="O126" s="116">
        <v>82.309477522826199</v>
      </c>
      <c r="P126" s="116">
        <v>83.353092728462897</v>
      </c>
      <c r="Q126" s="116">
        <v>91.35</v>
      </c>
      <c r="R126">
        <v>425790</v>
      </c>
    </row>
    <row r="127" spans="1:18" x14ac:dyDescent="0.25">
      <c r="A127" s="170">
        <v>42186</v>
      </c>
      <c r="B127" s="116">
        <v>87.830126580426395</v>
      </c>
      <c r="C127" s="116">
        <v>86.605222955596105</v>
      </c>
      <c r="D127" s="116">
        <v>81.025106442480194</v>
      </c>
      <c r="E127" s="116">
        <v>82.885145280185498</v>
      </c>
      <c r="F127" s="116">
        <v>95.45</v>
      </c>
      <c r="G127">
        <v>109875</v>
      </c>
      <c r="H127" s="116"/>
      <c r="I127" s="116"/>
      <c r="L127" s="170">
        <v>42186</v>
      </c>
      <c r="M127" s="116">
        <v>86.302440048740607</v>
      </c>
      <c r="N127" s="116">
        <v>87.935924718432801</v>
      </c>
      <c r="O127" s="116">
        <v>80.766742001450098</v>
      </c>
      <c r="P127" s="116">
        <v>83.489216450937207</v>
      </c>
      <c r="Q127" s="116">
        <v>95.1</v>
      </c>
      <c r="R127">
        <v>1114048</v>
      </c>
    </row>
    <row r="128" spans="1:18" x14ac:dyDescent="0.25">
      <c r="A128" s="170">
        <v>42187</v>
      </c>
      <c r="B128" s="116">
        <v>87.376458571230003</v>
      </c>
      <c r="C128" s="116">
        <v>85.108118525247903</v>
      </c>
      <c r="D128" s="116">
        <v>82.703678076506904</v>
      </c>
      <c r="E128" s="116">
        <v>83.1119792847837</v>
      </c>
      <c r="F128" s="116">
        <v>93.8</v>
      </c>
      <c r="G128">
        <v>86164</v>
      </c>
      <c r="H128" s="116"/>
      <c r="I128" s="116"/>
      <c r="L128" s="170">
        <v>42187</v>
      </c>
      <c r="M128" s="116">
        <v>84.986577398155106</v>
      </c>
      <c r="N128" s="116">
        <v>87.935924718432801</v>
      </c>
      <c r="O128" s="116">
        <v>81.901106355403101</v>
      </c>
      <c r="P128" s="116">
        <v>87.935924718432801</v>
      </c>
      <c r="Q128" s="116">
        <v>93.65</v>
      </c>
      <c r="R128">
        <v>551894</v>
      </c>
    </row>
    <row r="129" spans="1:18" x14ac:dyDescent="0.25">
      <c r="A129" s="170">
        <v>42188</v>
      </c>
      <c r="B129" s="116">
        <v>86.0154545436408</v>
      </c>
      <c r="C129" s="116">
        <v>83.474913692140802</v>
      </c>
      <c r="D129" s="116">
        <v>83.157346085703296</v>
      </c>
      <c r="E129" s="116">
        <v>84.563716914212193</v>
      </c>
      <c r="F129" s="116">
        <v>92</v>
      </c>
      <c r="G129">
        <v>38240</v>
      </c>
      <c r="H129" s="116"/>
      <c r="I129" s="116"/>
      <c r="L129" s="170">
        <v>42188</v>
      </c>
      <c r="M129" s="116">
        <v>83.353092728462897</v>
      </c>
      <c r="N129" s="116">
        <v>85.984818029633701</v>
      </c>
      <c r="O129" s="116">
        <v>82.990096135197902</v>
      </c>
      <c r="P129" s="116">
        <v>84.805079101522693</v>
      </c>
      <c r="Q129" s="116">
        <v>91.85</v>
      </c>
      <c r="R129">
        <v>193895</v>
      </c>
    </row>
    <row r="130" spans="1:18" x14ac:dyDescent="0.25">
      <c r="A130" s="170">
        <v>42191</v>
      </c>
      <c r="B130" s="116">
        <v>85.289585728926497</v>
      </c>
      <c r="C130" s="116">
        <v>84.518350113292598</v>
      </c>
      <c r="D130" s="116">
        <v>82.794411678346194</v>
      </c>
      <c r="E130" s="116">
        <v>82.839778479265803</v>
      </c>
      <c r="F130" s="116">
        <v>93.15</v>
      </c>
      <c r="G130">
        <v>49616</v>
      </c>
      <c r="H130" s="116"/>
      <c r="I130" s="116"/>
      <c r="L130" s="170">
        <v>42191</v>
      </c>
      <c r="M130" s="116">
        <v>84.396707934099595</v>
      </c>
      <c r="N130" s="116">
        <v>84.850453675680797</v>
      </c>
      <c r="O130" s="116">
        <v>82.581724967774903</v>
      </c>
      <c r="P130" s="116">
        <v>83.216969005988503</v>
      </c>
      <c r="Q130" s="116">
        <v>93</v>
      </c>
      <c r="R130">
        <v>450578</v>
      </c>
    </row>
    <row r="131" spans="1:18" x14ac:dyDescent="0.25">
      <c r="A131" s="170">
        <v>42192</v>
      </c>
      <c r="B131" s="116">
        <v>89.508698214453204</v>
      </c>
      <c r="C131" s="116">
        <v>83.611014094899701</v>
      </c>
      <c r="D131" s="116">
        <v>82.839778479265803</v>
      </c>
      <c r="E131" s="116">
        <v>89.508698214453204</v>
      </c>
      <c r="F131" s="116">
        <v>92.15</v>
      </c>
      <c r="G131">
        <v>46463</v>
      </c>
      <c r="H131" s="116"/>
      <c r="I131" s="116"/>
      <c r="L131" s="170">
        <v>42192</v>
      </c>
      <c r="M131" s="116">
        <v>83.579965599253498</v>
      </c>
      <c r="N131" s="116">
        <v>86.030192603791804</v>
      </c>
      <c r="O131" s="116">
        <v>83.353092728462897</v>
      </c>
      <c r="P131" s="116">
        <v>84.442082508257698</v>
      </c>
      <c r="Q131" s="116">
        <v>92.1</v>
      </c>
      <c r="R131">
        <v>165528</v>
      </c>
    </row>
    <row r="132" spans="1:18" x14ac:dyDescent="0.25">
      <c r="A132" s="170">
        <v>42193</v>
      </c>
      <c r="B132" s="116">
        <v>84.972018122489004</v>
      </c>
      <c r="C132" s="116">
        <v>84.609083715131902</v>
      </c>
      <c r="D132" s="116">
        <v>83.338813289381903</v>
      </c>
      <c r="E132" s="116">
        <v>83.474913692140802</v>
      </c>
      <c r="F132" s="116">
        <v>93.25</v>
      </c>
      <c r="G132">
        <v>26022</v>
      </c>
      <c r="H132" s="116"/>
      <c r="I132" s="116"/>
      <c r="L132" s="170">
        <v>42193</v>
      </c>
      <c r="M132" s="116">
        <v>84.714329953206402</v>
      </c>
      <c r="N132" s="116">
        <v>85.213450268945707</v>
      </c>
      <c r="O132" s="116">
        <v>82.717848690249198</v>
      </c>
      <c r="P132" s="116">
        <v>82.717848690249198</v>
      </c>
      <c r="Q132" s="116">
        <v>93.35</v>
      </c>
      <c r="R132">
        <v>226597</v>
      </c>
    </row>
    <row r="133" spans="1:18" x14ac:dyDescent="0.25">
      <c r="A133" s="170">
        <v>42194</v>
      </c>
      <c r="B133" s="116">
        <v>85.471052932605105</v>
      </c>
      <c r="C133" s="116">
        <v>84.110048905015802</v>
      </c>
      <c r="D133" s="116">
        <v>83.338813289381903</v>
      </c>
      <c r="E133" s="116">
        <v>85.153485326167598</v>
      </c>
      <c r="F133" s="116">
        <v>92.7</v>
      </c>
      <c r="G133">
        <v>24351</v>
      </c>
      <c r="H133" s="116"/>
      <c r="I133" s="116"/>
      <c r="L133" s="170">
        <v>42194</v>
      </c>
      <c r="M133" s="116">
        <v>84.124460489150906</v>
      </c>
      <c r="N133" s="116">
        <v>85.621821436368805</v>
      </c>
      <c r="O133" s="116">
        <v>83.579965599253498</v>
      </c>
      <c r="P133" s="116">
        <v>85.304199417261998</v>
      </c>
      <c r="Q133" s="116">
        <v>92.7</v>
      </c>
      <c r="R133">
        <v>125175</v>
      </c>
    </row>
    <row r="134" spans="1:18" x14ac:dyDescent="0.25">
      <c r="A134" s="170">
        <v>42195</v>
      </c>
      <c r="B134" s="116">
        <v>86.514489353756801</v>
      </c>
      <c r="C134" s="116">
        <v>85.334952529846106</v>
      </c>
      <c r="D134" s="116">
        <v>84.472983312372904</v>
      </c>
      <c r="E134" s="116">
        <v>84.472983312372904</v>
      </c>
      <c r="F134" s="116">
        <v>94.05</v>
      </c>
      <c r="G134">
        <v>35064</v>
      </c>
      <c r="H134" s="116"/>
      <c r="I134" s="116"/>
      <c r="L134" s="170">
        <v>42195</v>
      </c>
      <c r="M134" s="116">
        <v>85.667196010526894</v>
      </c>
      <c r="N134" s="116">
        <v>86.665436642005503</v>
      </c>
      <c r="O134" s="116">
        <v>84.442082508257698</v>
      </c>
      <c r="P134" s="116">
        <v>85.213450268945707</v>
      </c>
      <c r="Q134" s="116">
        <v>94.4</v>
      </c>
      <c r="R134">
        <v>330840</v>
      </c>
    </row>
    <row r="135" spans="1:18" x14ac:dyDescent="0.25">
      <c r="A135" s="170">
        <v>42198</v>
      </c>
      <c r="B135" s="116">
        <v>86.559856154676496</v>
      </c>
      <c r="C135" s="116">
        <v>86.151554946399699</v>
      </c>
      <c r="D135" s="116">
        <v>84.382249710533699</v>
      </c>
      <c r="E135" s="116">
        <v>85.334952529846106</v>
      </c>
      <c r="F135" s="116">
        <v>94.95</v>
      </c>
      <c r="G135">
        <v>39040</v>
      </c>
      <c r="H135" s="116"/>
      <c r="I135" s="116"/>
      <c r="L135" s="170">
        <v>42198</v>
      </c>
      <c r="M135" s="116">
        <v>86.302440048740607</v>
      </c>
      <c r="N135" s="116">
        <v>86.665436642005503</v>
      </c>
      <c r="O135" s="116">
        <v>84.396707934099595</v>
      </c>
      <c r="P135" s="116">
        <v>85.304199417261998</v>
      </c>
      <c r="Q135" s="116">
        <v>95.1</v>
      </c>
      <c r="R135">
        <v>183081</v>
      </c>
    </row>
    <row r="136" spans="1:18" x14ac:dyDescent="0.25">
      <c r="A136" s="170">
        <v>42199</v>
      </c>
      <c r="B136" s="116">
        <v>88.601362196060407</v>
      </c>
      <c r="C136" s="116">
        <v>86.060821344560395</v>
      </c>
      <c r="D136" s="116">
        <v>82.658311275587295</v>
      </c>
      <c r="E136" s="116">
        <v>86.106188145480004</v>
      </c>
      <c r="F136" s="116">
        <v>94.85</v>
      </c>
      <c r="G136">
        <v>46607</v>
      </c>
      <c r="H136" s="116"/>
      <c r="I136" s="116"/>
      <c r="L136" s="170">
        <v>42199</v>
      </c>
      <c r="M136" s="116">
        <v>87.164556957744793</v>
      </c>
      <c r="N136" s="116">
        <v>88.752667053278898</v>
      </c>
      <c r="O136" s="116">
        <v>85.7579451588431</v>
      </c>
      <c r="P136" s="116">
        <v>85.7579451588431</v>
      </c>
      <c r="Q136" s="116">
        <v>96.05</v>
      </c>
      <c r="R136">
        <v>217514</v>
      </c>
    </row>
    <row r="137" spans="1:18" x14ac:dyDescent="0.25">
      <c r="A137" s="170">
        <v>42200</v>
      </c>
      <c r="B137" s="116">
        <v>89.644798617212103</v>
      </c>
      <c r="C137" s="116">
        <v>88.193060987783596</v>
      </c>
      <c r="D137" s="116">
        <v>85.788620539042498</v>
      </c>
      <c r="E137" s="116">
        <v>86.0154545436408</v>
      </c>
      <c r="F137" s="116">
        <v>97.2</v>
      </c>
      <c r="G137">
        <v>50212</v>
      </c>
      <c r="H137" s="116"/>
      <c r="I137" s="116"/>
      <c r="L137" s="170">
        <v>42200</v>
      </c>
      <c r="M137" s="116">
        <v>88.525794182488298</v>
      </c>
      <c r="N137" s="116">
        <v>89.750907684757493</v>
      </c>
      <c r="O137" s="116">
        <v>85.848694307159406</v>
      </c>
      <c r="P137" s="116">
        <v>86.302440048740607</v>
      </c>
      <c r="Q137" s="116">
        <v>97.55</v>
      </c>
      <c r="R137">
        <v>271858</v>
      </c>
    </row>
    <row r="138" spans="1:18" x14ac:dyDescent="0.25">
      <c r="A138" s="170">
        <v>42201</v>
      </c>
      <c r="B138" s="116">
        <v>89.916999422729901</v>
      </c>
      <c r="C138" s="116">
        <v>87.648659376747901</v>
      </c>
      <c r="D138" s="116">
        <v>87.240358168471104</v>
      </c>
      <c r="E138" s="116">
        <v>88.374528191462105</v>
      </c>
      <c r="F138" s="116">
        <v>96.6</v>
      </c>
      <c r="G138">
        <v>33791</v>
      </c>
      <c r="H138" s="116"/>
      <c r="I138" s="116"/>
      <c r="L138" s="170">
        <v>42201</v>
      </c>
      <c r="M138" s="116">
        <v>87.799800995958407</v>
      </c>
      <c r="N138" s="116">
        <v>90.159278852180606</v>
      </c>
      <c r="O138" s="116">
        <v>86.983058661112295</v>
      </c>
      <c r="P138" s="116">
        <v>88.026673866748993</v>
      </c>
      <c r="Q138" s="116">
        <v>96.75</v>
      </c>
      <c r="R138">
        <v>408651</v>
      </c>
    </row>
    <row r="139" spans="1:18" x14ac:dyDescent="0.25">
      <c r="A139" s="170">
        <v>42202</v>
      </c>
      <c r="B139" s="116">
        <v>88.056960585024598</v>
      </c>
      <c r="C139" s="116">
        <v>87.557925774908597</v>
      </c>
      <c r="D139" s="116">
        <v>87.013524163872901</v>
      </c>
      <c r="E139" s="116">
        <v>87.648659376747901</v>
      </c>
      <c r="F139" s="116">
        <v>96.5</v>
      </c>
      <c r="G139">
        <v>11783</v>
      </c>
      <c r="H139" s="116"/>
      <c r="I139" s="116"/>
      <c r="L139" s="170">
        <v>42202</v>
      </c>
      <c r="M139" s="116">
        <v>87.845175570116595</v>
      </c>
      <c r="N139" s="116">
        <v>88.298921311697697</v>
      </c>
      <c r="O139" s="116">
        <v>87.209931531902896</v>
      </c>
      <c r="P139" s="116">
        <v>88.117423015065299</v>
      </c>
      <c r="Q139" s="116">
        <v>96.8</v>
      </c>
      <c r="R139">
        <v>182965</v>
      </c>
    </row>
    <row r="140" spans="1:18" x14ac:dyDescent="0.25">
      <c r="A140" s="170">
        <v>42205</v>
      </c>
      <c r="B140" s="116">
        <v>88.329161390542495</v>
      </c>
      <c r="C140" s="116">
        <v>87.467192173069293</v>
      </c>
      <c r="D140" s="116">
        <v>86.196921747319294</v>
      </c>
      <c r="E140" s="116">
        <v>87.920860182265699</v>
      </c>
      <c r="F140" s="116">
        <v>96.4</v>
      </c>
      <c r="G140">
        <v>42244</v>
      </c>
      <c r="H140" s="116"/>
      <c r="I140" s="116"/>
      <c r="L140" s="170">
        <v>42205</v>
      </c>
      <c r="M140" s="116">
        <v>87.709051847642201</v>
      </c>
      <c r="N140" s="116">
        <v>88.888790775753293</v>
      </c>
      <c r="O140" s="116">
        <v>86.257065474582404</v>
      </c>
      <c r="P140" s="116">
        <v>87.572928125167806</v>
      </c>
      <c r="Q140" s="116">
        <v>96.65</v>
      </c>
      <c r="R140">
        <v>236912</v>
      </c>
    </row>
    <row r="141" spans="1:18" x14ac:dyDescent="0.25">
      <c r="A141" s="170">
        <v>42206</v>
      </c>
      <c r="B141" s="116">
        <v>90.234567029167494</v>
      </c>
      <c r="C141" s="116">
        <v>87.603292575828206</v>
      </c>
      <c r="D141" s="116">
        <v>86.695956557435395</v>
      </c>
      <c r="E141" s="116">
        <v>88.419894992381799</v>
      </c>
      <c r="F141" s="116">
        <v>96.55</v>
      </c>
      <c r="G141">
        <v>46847</v>
      </c>
      <c r="H141" s="116"/>
      <c r="I141" s="116"/>
      <c r="L141" s="170">
        <v>42206</v>
      </c>
      <c r="M141" s="116">
        <v>87.436804402693497</v>
      </c>
      <c r="N141" s="116">
        <v>90.476900871287398</v>
      </c>
      <c r="O141" s="116">
        <v>86.846934938638</v>
      </c>
      <c r="P141" s="116">
        <v>87.981299292590904</v>
      </c>
      <c r="Q141" s="116">
        <v>96.35</v>
      </c>
      <c r="R141">
        <v>308755</v>
      </c>
    </row>
    <row r="142" spans="1:18" x14ac:dyDescent="0.25">
      <c r="A142" s="170">
        <v>42207</v>
      </c>
      <c r="B142" s="116">
        <v>90.007733024569205</v>
      </c>
      <c r="C142" s="116">
        <v>89.690165418131699</v>
      </c>
      <c r="D142" s="116">
        <v>88.828196200658596</v>
      </c>
      <c r="E142" s="116">
        <v>89.463331413533496</v>
      </c>
      <c r="F142" s="116">
        <v>98.85</v>
      </c>
      <c r="G142">
        <v>19125</v>
      </c>
      <c r="H142" s="116"/>
      <c r="I142" s="116"/>
      <c r="L142" s="170">
        <v>42207</v>
      </c>
      <c r="M142" s="116">
        <v>89.887031407231902</v>
      </c>
      <c r="N142" s="116">
        <v>90.386151722971206</v>
      </c>
      <c r="O142" s="116">
        <v>88.208172163381505</v>
      </c>
      <c r="P142" s="116">
        <v>88.752667053278898</v>
      </c>
      <c r="Q142" s="116">
        <v>99.05</v>
      </c>
      <c r="R142">
        <v>226925</v>
      </c>
    </row>
    <row r="143" spans="1:18" x14ac:dyDescent="0.25">
      <c r="A143" s="170">
        <v>42208</v>
      </c>
      <c r="B143" s="116">
        <v>90.279933830087103</v>
      </c>
      <c r="C143" s="116">
        <v>89.735532219051393</v>
      </c>
      <c r="D143" s="116">
        <v>87.331091770310394</v>
      </c>
      <c r="E143" s="116">
        <v>90.0530998254889</v>
      </c>
      <c r="F143" s="116">
        <v>98.9</v>
      </c>
      <c r="G143">
        <v>49559</v>
      </c>
      <c r="H143" s="116"/>
      <c r="I143" s="116"/>
      <c r="L143" s="170">
        <v>42208</v>
      </c>
      <c r="M143" s="116">
        <v>89.977780555548094</v>
      </c>
      <c r="N143" s="116">
        <v>90.567650019603605</v>
      </c>
      <c r="O143" s="116">
        <v>87.300680680219102</v>
      </c>
      <c r="P143" s="116">
        <v>90.340777148813103</v>
      </c>
      <c r="Q143" s="116">
        <v>99.15</v>
      </c>
      <c r="R143">
        <v>373132</v>
      </c>
    </row>
    <row r="144" spans="1:18" x14ac:dyDescent="0.25">
      <c r="A144" s="170">
        <v>42209</v>
      </c>
      <c r="B144" s="116">
        <v>91.051169445721001</v>
      </c>
      <c r="C144" s="116">
        <v>89.690165418131699</v>
      </c>
      <c r="D144" s="116">
        <v>88.9189298024978</v>
      </c>
      <c r="E144" s="116">
        <v>89.508698214453204</v>
      </c>
      <c r="F144" s="116">
        <v>98.85</v>
      </c>
      <c r="G144">
        <v>28324</v>
      </c>
      <c r="H144" s="116"/>
      <c r="I144" s="116"/>
      <c r="L144" s="170">
        <v>42209</v>
      </c>
      <c r="M144" s="116">
        <v>89.887031407231902</v>
      </c>
      <c r="N144" s="116">
        <v>91.429766928607904</v>
      </c>
      <c r="O144" s="116">
        <v>88.934165349911396</v>
      </c>
      <c r="P144" s="116">
        <v>89.841656833073799</v>
      </c>
      <c r="Q144" s="116">
        <v>99.05</v>
      </c>
      <c r="R144">
        <v>229974</v>
      </c>
    </row>
    <row r="145" spans="1:18" x14ac:dyDescent="0.25">
      <c r="A145" s="170">
        <v>42212</v>
      </c>
      <c r="B145" s="116">
        <v>89.962366223649596</v>
      </c>
      <c r="C145" s="116">
        <v>88.873563001578205</v>
      </c>
      <c r="D145" s="116">
        <v>87.875493381346104</v>
      </c>
      <c r="E145" s="116">
        <v>89.826265820890697</v>
      </c>
      <c r="F145" s="116">
        <v>97.95</v>
      </c>
      <c r="G145">
        <v>31193</v>
      </c>
      <c r="H145" s="116"/>
      <c r="I145" s="116"/>
      <c r="L145" s="170">
        <v>42212</v>
      </c>
      <c r="M145" s="116">
        <v>88.571168756646401</v>
      </c>
      <c r="N145" s="116">
        <v>90.023155129706197</v>
      </c>
      <c r="O145" s="116">
        <v>87.572928125167806</v>
      </c>
      <c r="P145" s="116">
        <v>90.023155129706197</v>
      </c>
      <c r="Q145" s="116">
        <v>97.6</v>
      </c>
      <c r="R145">
        <v>215376</v>
      </c>
    </row>
    <row r="146" spans="1:18" x14ac:dyDescent="0.25">
      <c r="A146" s="170">
        <v>42213</v>
      </c>
      <c r="B146" s="116">
        <v>87.830126580426395</v>
      </c>
      <c r="C146" s="116">
        <v>86.151554946399699</v>
      </c>
      <c r="D146" s="116">
        <v>85.380319330765801</v>
      </c>
      <c r="E146" s="116">
        <v>87.830126580426395</v>
      </c>
      <c r="F146" s="116">
        <v>94.95</v>
      </c>
      <c r="G146">
        <v>29155</v>
      </c>
      <c r="H146" s="116"/>
      <c r="I146" s="116"/>
      <c r="L146" s="170">
        <v>42213</v>
      </c>
      <c r="M146" s="116">
        <v>86.347814622898696</v>
      </c>
      <c r="N146" s="116">
        <v>88.571168756646401</v>
      </c>
      <c r="O146" s="116">
        <v>85.440323139736293</v>
      </c>
      <c r="P146" s="116">
        <v>88.571168756646401</v>
      </c>
      <c r="Q146" s="116">
        <v>95.15</v>
      </c>
      <c r="R146">
        <v>473386</v>
      </c>
    </row>
    <row r="147" spans="1:18" x14ac:dyDescent="0.25">
      <c r="A147" s="170">
        <v>42214</v>
      </c>
      <c r="B147" s="116">
        <v>86.741323358355004</v>
      </c>
      <c r="C147" s="116">
        <v>85.017384923408599</v>
      </c>
      <c r="D147" s="116">
        <v>83.928581701337194</v>
      </c>
      <c r="E147" s="116">
        <v>86.423755751917497</v>
      </c>
      <c r="F147" s="116">
        <v>93.7</v>
      </c>
      <c r="G147">
        <v>46886</v>
      </c>
      <c r="H147" s="116"/>
      <c r="I147" s="116"/>
      <c r="L147" s="170">
        <v>42214</v>
      </c>
      <c r="M147" s="116">
        <v>85.304199417261998</v>
      </c>
      <c r="N147" s="116">
        <v>86.801560364479897</v>
      </c>
      <c r="O147" s="116">
        <v>84.0337113408346</v>
      </c>
      <c r="P147" s="116">
        <v>86.302440048740607</v>
      </c>
      <c r="Q147" s="116">
        <v>94</v>
      </c>
      <c r="R147">
        <v>671338</v>
      </c>
    </row>
    <row r="148" spans="1:18" x14ac:dyDescent="0.25">
      <c r="A148" s="170">
        <v>42215</v>
      </c>
      <c r="B148" s="116">
        <v>86.196921747319294</v>
      </c>
      <c r="C148" s="116">
        <v>85.471052932605105</v>
      </c>
      <c r="D148" s="116">
        <v>84.110048905015802</v>
      </c>
      <c r="E148" s="116">
        <v>85.289585728926497</v>
      </c>
      <c r="F148" s="116">
        <v>94.2</v>
      </c>
      <c r="G148">
        <v>35297</v>
      </c>
      <c r="H148" s="116"/>
      <c r="I148" s="116"/>
      <c r="L148" s="170">
        <v>42215</v>
      </c>
      <c r="M148" s="116">
        <v>85.667196010526894</v>
      </c>
      <c r="N148" s="116">
        <v>86.211690900424301</v>
      </c>
      <c r="O148" s="116">
        <v>84.532831656573904</v>
      </c>
      <c r="P148" s="116">
        <v>85.304199417261998</v>
      </c>
      <c r="Q148" s="116">
        <v>94.4</v>
      </c>
      <c r="R148">
        <v>251471</v>
      </c>
    </row>
    <row r="149" spans="1:18" x14ac:dyDescent="0.25">
      <c r="A149" s="170">
        <v>42216</v>
      </c>
      <c r="B149" s="116">
        <v>87.194991367551395</v>
      </c>
      <c r="C149" s="116">
        <v>85.425686131685396</v>
      </c>
      <c r="D149" s="116">
        <v>83.7471144976587</v>
      </c>
      <c r="E149" s="116">
        <v>85.471052932605105</v>
      </c>
      <c r="F149" s="116">
        <v>94.15</v>
      </c>
      <c r="G149">
        <v>41800</v>
      </c>
      <c r="H149" s="116"/>
      <c r="I149" s="116"/>
      <c r="L149" s="170">
        <v>42216</v>
      </c>
      <c r="M149" s="116">
        <v>85.894068881317494</v>
      </c>
      <c r="N149" s="116">
        <v>87.4821789768516</v>
      </c>
      <c r="O149" s="116">
        <v>83.761463895885896</v>
      </c>
      <c r="P149" s="116">
        <v>86.166316326266198</v>
      </c>
      <c r="Q149" s="116">
        <v>94.65</v>
      </c>
      <c r="R149">
        <v>316617</v>
      </c>
    </row>
    <row r="150" spans="1:18" x14ac:dyDescent="0.25">
      <c r="A150" s="170">
        <v>42219</v>
      </c>
      <c r="B150" s="116">
        <v>86.151554946399699</v>
      </c>
      <c r="C150" s="116">
        <v>84.699817316971107</v>
      </c>
      <c r="D150" s="116">
        <v>84.427616511453294</v>
      </c>
      <c r="E150" s="116">
        <v>85.380319330765801</v>
      </c>
      <c r="F150" s="116">
        <v>93.35</v>
      </c>
      <c r="G150">
        <v>13189</v>
      </c>
      <c r="H150" s="116"/>
      <c r="I150" s="116"/>
      <c r="L150" s="170">
        <v>42219</v>
      </c>
      <c r="M150" s="116">
        <v>84.532831656573904</v>
      </c>
      <c r="N150" s="116">
        <v>86.393189197056799</v>
      </c>
      <c r="O150" s="116">
        <v>84.124460489150906</v>
      </c>
      <c r="P150" s="116">
        <v>85.485697713894396</v>
      </c>
      <c r="Q150" s="116">
        <v>93.15</v>
      </c>
      <c r="R150">
        <v>163261</v>
      </c>
    </row>
    <row r="151" spans="1:18" x14ac:dyDescent="0.25">
      <c r="A151" s="170">
        <v>42220</v>
      </c>
      <c r="B151" s="116">
        <v>85.743253738122903</v>
      </c>
      <c r="C151" s="116">
        <v>85.425686131685396</v>
      </c>
      <c r="D151" s="116">
        <v>82.658311275587295</v>
      </c>
      <c r="E151" s="116">
        <v>84.926651321569395</v>
      </c>
      <c r="F151" s="116">
        <v>94.15</v>
      </c>
      <c r="G151">
        <v>25170</v>
      </c>
      <c r="H151" s="116"/>
      <c r="I151" s="116"/>
      <c r="L151" s="170">
        <v>42220</v>
      </c>
      <c r="M151" s="116">
        <v>85.667196010526894</v>
      </c>
      <c r="N151" s="116">
        <v>86.120941752108095</v>
      </c>
      <c r="O151" s="116">
        <v>84.396707934099595</v>
      </c>
      <c r="P151" s="116">
        <v>85.031951972313294</v>
      </c>
      <c r="Q151" s="116">
        <v>94.4</v>
      </c>
      <c r="R151">
        <v>188007</v>
      </c>
    </row>
    <row r="152" spans="1:18" x14ac:dyDescent="0.25">
      <c r="A152" s="170">
        <v>42221</v>
      </c>
      <c r="B152" s="116">
        <v>87.830126580426395</v>
      </c>
      <c r="C152" s="116">
        <v>85.289585728926497</v>
      </c>
      <c r="D152" s="116">
        <v>84.699817316971107</v>
      </c>
      <c r="E152" s="116">
        <v>86.0154545436408</v>
      </c>
      <c r="F152" s="116">
        <v>94</v>
      </c>
      <c r="G152">
        <v>22524</v>
      </c>
      <c r="H152" s="116"/>
      <c r="I152" s="116"/>
      <c r="L152" s="170">
        <v>42221</v>
      </c>
      <c r="M152" s="116">
        <v>85.394948565578204</v>
      </c>
      <c r="N152" s="116">
        <v>87.935924718432801</v>
      </c>
      <c r="O152" s="116">
        <v>84.986577398155106</v>
      </c>
      <c r="P152" s="116">
        <v>85.848694307159406</v>
      </c>
      <c r="Q152" s="116">
        <v>94.1</v>
      </c>
      <c r="R152">
        <v>190754</v>
      </c>
    </row>
    <row r="153" spans="1:18" x14ac:dyDescent="0.25">
      <c r="A153" s="170">
        <v>42222</v>
      </c>
      <c r="B153" s="116">
        <v>88.465261793301394</v>
      </c>
      <c r="C153" s="116">
        <v>84.064682104096207</v>
      </c>
      <c r="D153" s="116">
        <v>83.474913692140802</v>
      </c>
      <c r="E153" s="116">
        <v>87.104257765712205</v>
      </c>
      <c r="F153" s="116">
        <v>92.65</v>
      </c>
      <c r="G153">
        <v>92950</v>
      </c>
      <c r="H153" s="116"/>
      <c r="I153" s="116"/>
      <c r="L153" s="170">
        <v>42222</v>
      </c>
      <c r="M153" s="116">
        <v>83.806838470044099</v>
      </c>
      <c r="N153" s="116">
        <v>88.389670460014003</v>
      </c>
      <c r="O153" s="116">
        <v>83.307718154304794</v>
      </c>
      <c r="P153" s="116">
        <v>86.937684086954206</v>
      </c>
      <c r="Q153" s="116">
        <v>92.35</v>
      </c>
      <c r="R153">
        <v>1078861</v>
      </c>
    </row>
    <row r="154" spans="1:18" x14ac:dyDescent="0.25">
      <c r="A154" s="170">
        <v>42223</v>
      </c>
      <c r="B154" s="116">
        <v>85.924720941801496</v>
      </c>
      <c r="C154" s="116">
        <v>84.699817316971107</v>
      </c>
      <c r="D154" s="116">
        <v>83.928581701337194</v>
      </c>
      <c r="E154" s="116">
        <v>84.019315303176498</v>
      </c>
      <c r="F154" s="116">
        <v>93.35</v>
      </c>
      <c r="G154">
        <v>74019</v>
      </c>
      <c r="H154" s="116"/>
      <c r="I154" s="116"/>
      <c r="L154" s="170">
        <v>42223</v>
      </c>
      <c r="M154" s="116">
        <v>85.077326546471397</v>
      </c>
      <c r="N154" s="116">
        <v>85.803319733001203</v>
      </c>
      <c r="O154" s="116">
        <v>83.761463895885896</v>
      </c>
      <c r="P154" s="116">
        <v>83.942962192518394</v>
      </c>
      <c r="Q154" s="116">
        <v>93.75</v>
      </c>
      <c r="R154">
        <v>405473</v>
      </c>
    </row>
    <row r="155" spans="1:18" x14ac:dyDescent="0.25">
      <c r="A155" s="170">
        <v>42226</v>
      </c>
      <c r="B155" s="116">
        <v>85.697886937203293</v>
      </c>
      <c r="C155" s="116">
        <v>83.248079687542599</v>
      </c>
      <c r="D155" s="116">
        <v>82.839778479265803</v>
      </c>
      <c r="E155" s="116">
        <v>84.8812845206497</v>
      </c>
      <c r="F155" s="116">
        <v>91.75</v>
      </c>
      <c r="G155">
        <v>96899</v>
      </c>
      <c r="H155" s="116"/>
      <c r="I155" s="116"/>
      <c r="L155" s="170">
        <v>42226</v>
      </c>
      <c r="M155" s="116">
        <v>83.262343580146606</v>
      </c>
      <c r="N155" s="116">
        <v>85.394948565578204</v>
      </c>
      <c r="O155" s="116">
        <v>82.581724967774903</v>
      </c>
      <c r="P155" s="116">
        <v>84.305958785783403</v>
      </c>
      <c r="Q155" s="116">
        <v>91.75</v>
      </c>
      <c r="R155">
        <v>357584</v>
      </c>
    </row>
    <row r="156" spans="1:18" x14ac:dyDescent="0.25">
      <c r="A156" s="170">
        <v>42227</v>
      </c>
      <c r="B156" s="116">
        <v>84.246149307774701</v>
      </c>
      <c r="C156" s="116">
        <v>83.474913692140802</v>
      </c>
      <c r="D156" s="116">
        <v>82.885145280185498</v>
      </c>
      <c r="E156" s="116">
        <v>83.701747696739005</v>
      </c>
      <c r="F156" s="116">
        <v>92</v>
      </c>
      <c r="G156">
        <v>157017</v>
      </c>
      <c r="H156" s="116"/>
      <c r="I156" s="116"/>
      <c r="L156" s="170">
        <v>42227</v>
      </c>
      <c r="M156" s="116">
        <v>83.489216450937207</v>
      </c>
      <c r="N156" s="116">
        <v>84.305958785783403</v>
      </c>
      <c r="O156" s="116">
        <v>82.627099541933006</v>
      </c>
      <c r="P156" s="116">
        <v>83.670714747569704</v>
      </c>
      <c r="Q156" s="116">
        <v>92</v>
      </c>
      <c r="R156">
        <v>662716</v>
      </c>
    </row>
    <row r="157" spans="1:18" x14ac:dyDescent="0.25">
      <c r="A157" s="170">
        <v>42228</v>
      </c>
      <c r="B157" s="116">
        <v>95.270281931247695</v>
      </c>
      <c r="C157" s="116">
        <v>84.835917719730105</v>
      </c>
      <c r="D157" s="116">
        <v>81.161206845239093</v>
      </c>
      <c r="E157" s="116">
        <v>84.155415705935496</v>
      </c>
      <c r="F157" s="116">
        <v>93.5</v>
      </c>
      <c r="G157">
        <v>236886</v>
      </c>
      <c r="H157" s="116"/>
      <c r="I157" s="116"/>
      <c r="L157" s="170">
        <v>42228</v>
      </c>
      <c r="M157" s="116">
        <v>84.124460489150906</v>
      </c>
      <c r="N157" s="116">
        <v>86.937684086954206</v>
      </c>
      <c r="O157" s="116">
        <v>81.129738594715107</v>
      </c>
      <c r="P157" s="116">
        <v>83.489216450937207</v>
      </c>
      <c r="Q157" s="116">
        <v>92.7</v>
      </c>
      <c r="R157">
        <v>1659036</v>
      </c>
    </row>
    <row r="158" spans="1:18" x14ac:dyDescent="0.25">
      <c r="A158" s="170">
        <v>42229</v>
      </c>
      <c r="B158" s="116">
        <v>85.108118525247903</v>
      </c>
      <c r="C158" s="116">
        <v>84.019315303176498</v>
      </c>
      <c r="D158" s="116">
        <v>80.934372840640904</v>
      </c>
      <c r="E158" s="116">
        <v>82.567577673748005</v>
      </c>
      <c r="F158" s="116">
        <v>92.6</v>
      </c>
      <c r="G158">
        <v>81725</v>
      </c>
      <c r="H158" s="116"/>
      <c r="I158" s="116"/>
      <c r="L158" s="170">
        <v>42229</v>
      </c>
      <c r="M158" s="116">
        <v>84.215209637467098</v>
      </c>
      <c r="N158" s="116">
        <v>85.258824843103795</v>
      </c>
      <c r="O158" s="116">
        <v>80.766742001450098</v>
      </c>
      <c r="P158" s="116">
        <v>82.400226671142406</v>
      </c>
      <c r="Q158" s="116">
        <v>92.8</v>
      </c>
      <c r="R158">
        <v>585438</v>
      </c>
    </row>
    <row r="159" spans="1:18" x14ac:dyDescent="0.25">
      <c r="A159" s="170">
        <v>42230</v>
      </c>
      <c r="B159" s="116">
        <v>84.382249710533699</v>
      </c>
      <c r="C159" s="116">
        <v>83.474913692140802</v>
      </c>
      <c r="D159" s="116">
        <v>82.658311275587295</v>
      </c>
      <c r="E159" s="116">
        <v>83.837848099498004</v>
      </c>
      <c r="F159" s="116">
        <v>92</v>
      </c>
      <c r="G159">
        <v>29772</v>
      </c>
      <c r="H159" s="116"/>
      <c r="I159" s="116"/>
      <c r="L159" s="170">
        <v>42230</v>
      </c>
      <c r="M159" s="116">
        <v>83.806838470044099</v>
      </c>
      <c r="N159" s="116">
        <v>84.623580804890196</v>
      </c>
      <c r="O159" s="116">
        <v>82.853972412723607</v>
      </c>
      <c r="P159" s="116">
        <v>83.579965599253498</v>
      </c>
      <c r="Q159" s="116">
        <v>92.35</v>
      </c>
      <c r="R159">
        <v>2899139</v>
      </c>
    </row>
    <row r="160" spans="1:18" x14ac:dyDescent="0.25">
      <c r="A160" s="170">
        <v>42233</v>
      </c>
      <c r="B160" s="116">
        <v>84.926651321569395</v>
      </c>
      <c r="C160" s="116">
        <v>83.384180090301498</v>
      </c>
      <c r="D160" s="116">
        <v>83.021245682944397</v>
      </c>
      <c r="E160" s="116">
        <v>84.382249710533699</v>
      </c>
      <c r="F160" s="116">
        <v>91.9</v>
      </c>
      <c r="G160">
        <v>44843</v>
      </c>
      <c r="H160" s="116"/>
      <c r="I160" s="116"/>
      <c r="L160" s="170">
        <v>42233</v>
      </c>
      <c r="M160" s="116">
        <v>83.398467302621</v>
      </c>
      <c r="N160" s="116">
        <v>85.077326546471397</v>
      </c>
      <c r="O160" s="116">
        <v>83.126219857672297</v>
      </c>
      <c r="P160" s="116">
        <v>84.396707934099595</v>
      </c>
      <c r="Q160" s="116">
        <v>91.9</v>
      </c>
      <c r="R160">
        <v>201946</v>
      </c>
    </row>
    <row r="161" spans="1:18" x14ac:dyDescent="0.25">
      <c r="A161" s="170">
        <v>42234</v>
      </c>
      <c r="B161" s="116">
        <v>84.291516108694395</v>
      </c>
      <c r="C161" s="116">
        <v>82.749044877426599</v>
      </c>
      <c r="D161" s="116">
        <v>82.295376868230093</v>
      </c>
      <c r="E161" s="116">
        <v>83.656380895819396</v>
      </c>
      <c r="F161" s="116">
        <v>91.2</v>
      </c>
      <c r="G161">
        <v>18308</v>
      </c>
      <c r="H161" s="116"/>
      <c r="I161" s="116"/>
      <c r="L161" s="170">
        <v>42234</v>
      </c>
      <c r="M161" s="116">
        <v>83.035470709356005</v>
      </c>
      <c r="N161" s="116">
        <v>84.396707934099595</v>
      </c>
      <c r="O161" s="116">
        <v>82.581724967774903</v>
      </c>
      <c r="P161" s="116">
        <v>83.579965599253498</v>
      </c>
      <c r="Q161" s="116">
        <v>91.5</v>
      </c>
      <c r="R161">
        <v>112489</v>
      </c>
    </row>
    <row r="162" spans="1:18" x14ac:dyDescent="0.25">
      <c r="A162" s="170">
        <v>42235</v>
      </c>
      <c r="B162" s="116">
        <v>84.699817316971107</v>
      </c>
      <c r="C162" s="116">
        <v>84.291516108694395</v>
      </c>
      <c r="D162" s="116">
        <v>82.703678076506904</v>
      </c>
      <c r="E162" s="116">
        <v>82.839778479265803</v>
      </c>
      <c r="F162" s="116">
        <v>92.9</v>
      </c>
      <c r="G162">
        <v>58558</v>
      </c>
      <c r="H162" s="116"/>
      <c r="I162" s="116"/>
      <c r="L162" s="170">
        <v>42235</v>
      </c>
      <c r="M162" s="116">
        <v>84.305958785783403</v>
      </c>
      <c r="N162" s="116">
        <v>84.578206230732107</v>
      </c>
      <c r="O162" s="116">
        <v>82.627099541933006</v>
      </c>
      <c r="P162" s="116">
        <v>83.035470709356005</v>
      </c>
      <c r="Q162" s="116">
        <v>92.9</v>
      </c>
      <c r="R162">
        <v>298945</v>
      </c>
    </row>
    <row r="163" spans="1:18" x14ac:dyDescent="0.25">
      <c r="A163" s="170">
        <v>42236</v>
      </c>
      <c r="B163" s="116">
        <v>86.6505897565157</v>
      </c>
      <c r="C163" s="116">
        <v>85.108118525247903</v>
      </c>
      <c r="D163" s="116">
        <v>83.792481298578295</v>
      </c>
      <c r="E163" s="116">
        <v>84.745184117890801</v>
      </c>
      <c r="F163" s="116">
        <v>93.8</v>
      </c>
      <c r="G163">
        <v>62292</v>
      </c>
      <c r="H163" s="116"/>
      <c r="I163" s="116"/>
      <c r="L163" s="170">
        <v>42236</v>
      </c>
      <c r="M163" s="116">
        <v>85.1227011206295</v>
      </c>
      <c r="N163" s="116">
        <v>86.846934938638</v>
      </c>
      <c r="O163" s="116">
        <v>83.489216450937207</v>
      </c>
      <c r="P163" s="116">
        <v>83.534591025095395</v>
      </c>
      <c r="Q163" s="116">
        <v>93.8</v>
      </c>
      <c r="R163">
        <v>520236</v>
      </c>
    </row>
    <row r="164" spans="1:18" x14ac:dyDescent="0.25">
      <c r="A164" s="170">
        <v>42237</v>
      </c>
      <c r="B164" s="116">
        <v>84.926651321569395</v>
      </c>
      <c r="C164" s="116">
        <v>83.021245682944397</v>
      </c>
      <c r="D164" s="116">
        <v>82.023176062712295</v>
      </c>
      <c r="E164" s="116">
        <v>84.518350113292598</v>
      </c>
      <c r="F164" s="116">
        <v>91.5</v>
      </c>
      <c r="G164">
        <v>2116239</v>
      </c>
      <c r="H164" s="116"/>
      <c r="I164" s="116"/>
      <c r="L164" s="170">
        <v>42237</v>
      </c>
      <c r="M164" s="116">
        <v>82.944721561039799</v>
      </c>
      <c r="N164" s="116">
        <v>84.850453675680797</v>
      </c>
      <c r="O164" s="116">
        <v>82.037230077877496</v>
      </c>
      <c r="P164" s="116">
        <v>84.396707934099595</v>
      </c>
      <c r="Q164" s="116">
        <v>91.4</v>
      </c>
      <c r="R164">
        <v>4975189</v>
      </c>
    </row>
    <row r="165" spans="1:18" x14ac:dyDescent="0.25">
      <c r="A165" s="170">
        <v>42240</v>
      </c>
      <c r="B165" s="116">
        <v>83.429546891221193</v>
      </c>
      <c r="C165" s="116">
        <v>79.437268410292702</v>
      </c>
      <c r="D165" s="116">
        <v>77.622596373506994</v>
      </c>
      <c r="E165" s="116">
        <v>81.660241655355193</v>
      </c>
      <c r="F165" s="116">
        <v>87.55</v>
      </c>
      <c r="G165">
        <v>68854</v>
      </c>
      <c r="H165" s="116"/>
      <c r="I165" s="116"/>
      <c r="L165" s="170">
        <v>42240</v>
      </c>
      <c r="M165" s="116">
        <v>79.269381054232198</v>
      </c>
      <c r="N165" s="116">
        <v>83.670714747569704</v>
      </c>
      <c r="O165" s="116">
        <v>77.318274365433197</v>
      </c>
      <c r="P165" s="116">
        <v>81.6742334846125</v>
      </c>
      <c r="Q165" s="116">
        <v>87.35</v>
      </c>
      <c r="R165">
        <v>644911</v>
      </c>
    </row>
    <row r="166" spans="1:18" x14ac:dyDescent="0.25">
      <c r="A166" s="170">
        <v>42241</v>
      </c>
      <c r="B166" s="116">
        <v>80.389971229605194</v>
      </c>
      <c r="C166" s="116">
        <v>79.028967202015906</v>
      </c>
      <c r="D166" s="116">
        <v>77.667963174426703</v>
      </c>
      <c r="E166" s="116">
        <v>79.664102414890905</v>
      </c>
      <c r="F166" s="116">
        <v>87.1</v>
      </c>
      <c r="G166">
        <v>27922</v>
      </c>
      <c r="H166" s="116"/>
      <c r="I166" s="116"/>
      <c r="L166" s="170">
        <v>42241</v>
      </c>
      <c r="M166" s="116">
        <v>79.133257331757903</v>
      </c>
      <c r="N166" s="116">
        <v>80.449119982343305</v>
      </c>
      <c r="O166" s="116">
        <v>77.681270958698093</v>
      </c>
      <c r="P166" s="116">
        <v>79.269381054232198</v>
      </c>
      <c r="Q166" s="116">
        <v>87.2</v>
      </c>
      <c r="R166">
        <v>845887</v>
      </c>
    </row>
    <row r="167" spans="1:18" x14ac:dyDescent="0.25">
      <c r="A167" s="170">
        <v>42242</v>
      </c>
      <c r="B167" s="116">
        <v>81.433407650756905</v>
      </c>
      <c r="C167" s="116">
        <v>80.163137225007006</v>
      </c>
      <c r="D167" s="116">
        <v>78.983600401096297</v>
      </c>
      <c r="E167" s="116">
        <v>79.028967202015906</v>
      </c>
      <c r="F167" s="116">
        <v>88.35</v>
      </c>
      <c r="G167">
        <v>23980</v>
      </c>
      <c r="H167" s="116"/>
      <c r="I167" s="116"/>
      <c r="L167" s="170">
        <v>42242</v>
      </c>
      <c r="M167" s="116">
        <v>79.949999666604</v>
      </c>
      <c r="N167" s="116">
        <v>81.6742334846125</v>
      </c>
      <c r="O167" s="116">
        <v>78.906384460967303</v>
      </c>
      <c r="P167" s="116">
        <v>78.997133609283495</v>
      </c>
      <c r="Q167" s="116">
        <v>88.1</v>
      </c>
      <c r="R167">
        <v>212189</v>
      </c>
    </row>
    <row r="168" spans="1:18" x14ac:dyDescent="0.25">
      <c r="A168" s="170">
        <v>42243</v>
      </c>
      <c r="B168" s="116">
        <v>81.524141252596195</v>
      </c>
      <c r="C168" s="116">
        <v>80.072403623167702</v>
      </c>
      <c r="D168" s="116">
        <v>79.890936419489094</v>
      </c>
      <c r="E168" s="116">
        <v>80.707538836042701</v>
      </c>
      <c r="F168" s="116">
        <v>88.25</v>
      </c>
      <c r="G168">
        <v>23313</v>
      </c>
      <c r="H168" s="116"/>
      <c r="I168" s="116"/>
      <c r="L168" s="170">
        <v>42243</v>
      </c>
      <c r="M168" s="116">
        <v>80.040748814920306</v>
      </c>
      <c r="N168" s="116">
        <v>81.6742334846125</v>
      </c>
      <c r="O168" s="116">
        <v>79.677752221655297</v>
      </c>
      <c r="P168" s="116">
        <v>80.086123389078395</v>
      </c>
      <c r="Q168" s="116">
        <v>88.2</v>
      </c>
      <c r="R168">
        <v>175849</v>
      </c>
    </row>
    <row r="169" spans="1:18" x14ac:dyDescent="0.25">
      <c r="A169" s="170">
        <v>42244</v>
      </c>
      <c r="B169" s="116">
        <v>81.115840044319498</v>
      </c>
      <c r="C169" s="116">
        <v>79.301168007533803</v>
      </c>
      <c r="D169" s="116">
        <v>78.212364785462398</v>
      </c>
      <c r="E169" s="116">
        <v>80.752905636962296</v>
      </c>
      <c r="F169" s="116">
        <v>87.4</v>
      </c>
      <c r="G169">
        <v>45452</v>
      </c>
      <c r="H169" s="116"/>
      <c r="I169" s="116"/>
      <c r="L169" s="170">
        <v>42244</v>
      </c>
      <c r="M169" s="116">
        <v>79.677752221655297</v>
      </c>
      <c r="N169" s="116">
        <v>81.311236891347605</v>
      </c>
      <c r="O169" s="116">
        <v>78.044267551963102</v>
      </c>
      <c r="P169" s="116">
        <v>80.766742001450098</v>
      </c>
      <c r="Q169" s="116">
        <v>87.8</v>
      </c>
      <c r="R169">
        <v>165955</v>
      </c>
    </row>
    <row r="170" spans="1:18" x14ac:dyDescent="0.25">
      <c r="A170" s="170">
        <v>42247</v>
      </c>
      <c r="B170" s="116">
        <v>79.7094692158105</v>
      </c>
      <c r="C170" s="116">
        <v>78.983600401096297</v>
      </c>
      <c r="D170" s="116">
        <v>78.711399595578399</v>
      </c>
      <c r="E170" s="116">
        <v>79.482635211212298</v>
      </c>
      <c r="F170" s="116">
        <v>87.05</v>
      </c>
      <c r="G170">
        <v>13989</v>
      </c>
      <c r="H170" s="116"/>
      <c r="I170" s="116"/>
      <c r="L170" s="170">
        <v>42247</v>
      </c>
      <c r="M170" s="116">
        <v>78.951759035125406</v>
      </c>
      <c r="N170" s="116">
        <v>80.585243704817699</v>
      </c>
      <c r="O170" s="116">
        <v>78.498013293544204</v>
      </c>
      <c r="P170" s="116">
        <v>80.585243704817699</v>
      </c>
      <c r="Q170" s="116">
        <v>87</v>
      </c>
      <c r="R170">
        <v>95335</v>
      </c>
    </row>
    <row r="171" spans="1:18" x14ac:dyDescent="0.25">
      <c r="A171" s="170">
        <v>42248</v>
      </c>
      <c r="B171" s="116">
        <v>79.754836016730195</v>
      </c>
      <c r="C171" s="116">
        <v>78.529932391899905</v>
      </c>
      <c r="D171" s="116">
        <v>75.444989929364198</v>
      </c>
      <c r="E171" s="116">
        <v>78.348465188221297</v>
      </c>
      <c r="F171" s="116">
        <v>86.55</v>
      </c>
      <c r="G171">
        <v>28540</v>
      </c>
      <c r="H171" s="116"/>
      <c r="I171" s="116"/>
      <c r="L171" s="170">
        <v>42248</v>
      </c>
      <c r="M171" s="116">
        <v>78.770260738492993</v>
      </c>
      <c r="N171" s="116">
        <v>79.677752221655297</v>
      </c>
      <c r="O171" s="116">
        <v>75.684789695740903</v>
      </c>
      <c r="P171" s="116">
        <v>78.044267551963102</v>
      </c>
      <c r="Q171" s="116">
        <v>86.8</v>
      </c>
      <c r="R171">
        <v>233254</v>
      </c>
    </row>
    <row r="172" spans="1:18" x14ac:dyDescent="0.25">
      <c r="A172" s="170">
        <v>42249</v>
      </c>
      <c r="B172" s="116">
        <v>79.391901609373093</v>
      </c>
      <c r="C172" s="116">
        <v>79.119700803855196</v>
      </c>
      <c r="D172" s="116">
        <v>77.4411291698285</v>
      </c>
      <c r="E172" s="116">
        <v>78.439198790060601</v>
      </c>
      <c r="F172" s="116">
        <v>87.2</v>
      </c>
      <c r="G172">
        <v>17295</v>
      </c>
      <c r="H172" s="116"/>
      <c r="I172" s="116"/>
      <c r="L172" s="170">
        <v>42249</v>
      </c>
      <c r="M172" s="116">
        <v>79.133257331757903</v>
      </c>
      <c r="N172" s="116">
        <v>79.405504776706593</v>
      </c>
      <c r="O172" s="116">
        <v>77.635896384540004</v>
      </c>
      <c r="P172" s="116">
        <v>78.361889571069895</v>
      </c>
      <c r="Q172" s="116">
        <v>87.2</v>
      </c>
      <c r="R172">
        <v>245170</v>
      </c>
    </row>
    <row r="173" spans="1:18" x14ac:dyDescent="0.25">
      <c r="A173" s="170">
        <v>42250</v>
      </c>
      <c r="B173" s="116">
        <v>79.165067604774805</v>
      </c>
      <c r="C173" s="116">
        <v>78.484565590980196</v>
      </c>
      <c r="D173" s="116">
        <v>77.032827961551703</v>
      </c>
      <c r="E173" s="116">
        <v>79.165067604774805</v>
      </c>
      <c r="F173" s="116">
        <v>86.5</v>
      </c>
      <c r="G173">
        <v>22855</v>
      </c>
      <c r="H173" s="116"/>
      <c r="I173" s="116"/>
      <c r="L173" s="170">
        <v>42250</v>
      </c>
      <c r="M173" s="116">
        <v>78.724886164334805</v>
      </c>
      <c r="N173" s="116">
        <v>79.859250518287794</v>
      </c>
      <c r="O173" s="116">
        <v>76.773779475535704</v>
      </c>
      <c r="P173" s="116">
        <v>79.859250518287794</v>
      </c>
      <c r="Q173" s="116">
        <v>86.75</v>
      </c>
      <c r="R173">
        <v>358113</v>
      </c>
    </row>
    <row r="174" spans="1:18" x14ac:dyDescent="0.25">
      <c r="A174" s="170">
        <v>42251</v>
      </c>
      <c r="B174" s="116">
        <v>78.938233600176602</v>
      </c>
      <c r="C174" s="116">
        <v>76.896727558792804</v>
      </c>
      <c r="D174" s="116">
        <v>74.174719503614298</v>
      </c>
      <c r="E174" s="116">
        <v>78.938233600176602</v>
      </c>
      <c r="F174" s="116">
        <v>84.75</v>
      </c>
      <c r="G174">
        <v>49724</v>
      </c>
      <c r="H174" s="116"/>
      <c r="I174" s="116"/>
      <c r="L174" s="170">
        <v>42251</v>
      </c>
      <c r="M174" s="116">
        <v>76.637655753061395</v>
      </c>
      <c r="N174" s="116">
        <v>78.498013293544204</v>
      </c>
      <c r="O174" s="116">
        <v>73.960555877732403</v>
      </c>
      <c r="P174" s="116">
        <v>78.180391274437397</v>
      </c>
      <c r="Q174" s="116">
        <v>84.45</v>
      </c>
      <c r="R174">
        <v>444062</v>
      </c>
    </row>
    <row r="175" spans="1:18" x14ac:dyDescent="0.25">
      <c r="A175" s="170">
        <v>42254</v>
      </c>
      <c r="B175" s="116">
        <v>77.123561563390993</v>
      </c>
      <c r="C175" s="116">
        <v>75.807924336721399</v>
      </c>
      <c r="D175" s="116">
        <v>73.267383485221401</v>
      </c>
      <c r="E175" s="116">
        <v>77.123561563390993</v>
      </c>
      <c r="F175" s="116">
        <v>83.55</v>
      </c>
      <c r="G175">
        <v>55624</v>
      </c>
      <c r="H175" s="116"/>
      <c r="I175" s="116"/>
      <c r="L175" s="170">
        <v>42254</v>
      </c>
      <c r="M175" s="116">
        <v>75.957037140689593</v>
      </c>
      <c r="N175" s="116">
        <v>77.1367760688007</v>
      </c>
      <c r="O175" s="116">
        <v>73.506810136151302</v>
      </c>
      <c r="P175" s="116">
        <v>77.1367760688007</v>
      </c>
      <c r="Q175" s="116">
        <v>83.7</v>
      </c>
      <c r="R175">
        <v>434644</v>
      </c>
    </row>
    <row r="176" spans="1:18" x14ac:dyDescent="0.25">
      <c r="A176" s="170">
        <v>42255</v>
      </c>
      <c r="B176" s="116">
        <v>77.758696776266007</v>
      </c>
      <c r="C176" s="116">
        <v>76.488426350515994</v>
      </c>
      <c r="D176" s="116">
        <v>74.401553508212501</v>
      </c>
      <c r="E176" s="116">
        <v>77.032827961551703</v>
      </c>
      <c r="F176" s="116">
        <v>84.3</v>
      </c>
      <c r="G176">
        <v>54375</v>
      </c>
      <c r="H176" s="116"/>
      <c r="I176" s="116"/>
      <c r="L176" s="170">
        <v>42255</v>
      </c>
      <c r="M176" s="116">
        <v>76.909903198010099</v>
      </c>
      <c r="N176" s="116">
        <v>77.590521810381901</v>
      </c>
      <c r="O176" s="116">
        <v>74.232803322681207</v>
      </c>
      <c r="P176" s="116">
        <v>75.594040547424697</v>
      </c>
      <c r="Q176" s="116">
        <v>84.75</v>
      </c>
      <c r="R176">
        <v>756778</v>
      </c>
    </row>
    <row r="177" spans="1:18" x14ac:dyDescent="0.25">
      <c r="A177" s="170">
        <v>42256</v>
      </c>
      <c r="B177" s="116">
        <v>79.573368813051601</v>
      </c>
      <c r="C177" s="116">
        <v>79.119700803855196</v>
      </c>
      <c r="D177" s="116">
        <v>76.669893554194601</v>
      </c>
      <c r="E177" s="116">
        <v>77.123561563390993</v>
      </c>
      <c r="F177" s="116">
        <v>87.2</v>
      </c>
      <c r="G177">
        <v>42775</v>
      </c>
      <c r="H177" s="116"/>
      <c r="I177" s="116"/>
      <c r="L177" s="170">
        <v>42256</v>
      </c>
      <c r="M177" s="116">
        <v>79.224006480074095</v>
      </c>
      <c r="N177" s="116">
        <v>79.496253925022799</v>
      </c>
      <c r="O177" s="116">
        <v>76.728404901377601</v>
      </c>
      <c r="P177" s="116">
        <v>77.000652346326305</v>
      </c>
      <c r="Q177" s="116">
        <v>87.3</v>
      </c>
      <c r="R177">
        <v>312028</v>
      </c>
    </row>
    <row r="178" spans="1:18" x14ac:dyDescent="0.25">
      <c r="A178" s="170">
        <v>42257</v>
      </c>
      <c r="B178" s="116">
        <v>81.342674048917701</v>
      </c>
      <c r="C178" s="116">
        <v>80.299237627765905</v>
      </c>
      <c r="D178" s="116">
        <v>77.305028767069501</v>
      </c>
      <c r="E178" s="116">
        <v>78.030897581783805</v>
      </c>
      <c r="F178" s="116">
        <v>88.5</v>
      </c>
      <c r="G178">
        <v>51290</v>
      </c>
      <c r="H178" s="116"/>
      <c r="I178" s="116"/>
      <c r="L178" s="170">
        <v>42257</v>
      </c>
      <c r="M178" s="116">
        <v>79.133257331757903</v>
      </c>
      <c r="N178" s="116">
        <v>81.220487743031299</v>
      </c>
      <c r="O178" s="116">
        <v>77.227525217116906</v>
      </c>
      <c r="P178" s="116">
        <v>78.679511590176702</v>
      </c>
      <c r="Q178" s="116">
        <v>87.2</v>
      </c>
      <c r="R178">
        <v>564459</v>
      </c>
    </row>
    <row r="179" spans="1:18" x14ac:dyDescent="0.25">
      <c r="A179" s="170">
        <v>42258</v>
      </c>
      <c r="B179" s="116">
        <v>81.524141252596195</v>
      </c>
      <c r="C179" s="116">
        <v>81.161206845239093</v>
      </c>
      <c r="D179" s="116">
        <v>77.849430378105197</v>
      </c>
      <c r="E179" s="116">
        <v>79.845569618569499</v>
      </c>
      <c r="F179" s="116">
        <v>89.45</v>
      </c>
      <c r="G179">
        <v>67755</v>
      </c>
      <c r="H179" s="116"/>
      <c r="I179" s="116"/>
      <c r="L179" s="170">
        <v>42258</v>
      </c>
      <c r="M179" s="116">
        <v>80.993614872240698</v>
      </c>
      <c r="N179" s="116">
        <v>81.628858910454397</v>
      </c>
      <c r="O179" s="116">
        <v>77.817394681172502</v>
      </c>
      <c r="P179" s="116">
        <v>79.995374240762104</v>
      </c>
      <c r="Q179" s="116">
        <v>89.25</v>
      </c>
      <c r="R179">
        <v>224085</v>
      </c>
    </row>
    <row r="180" spans="1:18" x14ac:dyDescent="0.25">
      <c r="A180" s="170">
        <v>42261</v>
      </c>
      <c r="B180" s="116">
        <v>82.295376868230093</v>
      </c>
      <c r="C180" s="116">
        <v>81.705608456274803</v>
      </c>
      <c r="D180" s="116">
        <v>80.163137225007006</v>
      </c>
      <c r="E180" s="116">
        <v>80.299237627765905</v>
      </c>
      <c r="F180" s="116">
        <v>90.05</v>
      </c>
      <c r="G180">
        <v>23767</v>
      </c>
      <c r="H180" s="116"/>
      <c r="I180" s="116"/>
      <c r="L180" s="170">
        <v>42261</v>
      </c>
      <c r="M180" s="116">
        <v>81.6742334846125</v>
      </c>
      <c r="N180" s="116">
        <v>82.5363503936168</v>
      </c>
      <c r="O180" s="116">
        <v>79.859250518287794</v>
      </c>
      <c r="P180" s="116">
        <v>81.038989446398901</v>
      </c>
      <c r="Q180" s="116">
        <v>90</v>
      </c>
      <c r="R180">
        <v>188312</v>
      </c>
    </row>
    <row r="181" spans="1:18" x14ac:dyDescent="0.25">
      <c r="A181" s="170">
        <v>42262</v>
      </c>
      <c r="B181" s="116">
        <v>81.4787744516766</v>
      </c>
      <c r="C181" s="116">
        <v>79.7094692158105</v>
      </c>
      <c r="D181" s="116">
        <v>78.620665993739195</v>
      </c>
      <c r="E181" s="116">
        <v>81.206573646158702</v>
      </c>
      <c r="F181" s="116">
        <v>87.85</v>
      </c>
      <c r="G181">
        <v>25652</v>
      </c>
      <c r="H181" s="116"/>
      <c r="I181" s="116"/>
      <c r="L181" s="170">
        <v>42262</v>
      </c>
      <c r="M181" s="116">
        <v>79.949999666604</v>
      </c>
      <c r="N181" s="116">
        <v>81.6742334846125</v>
      </c>
      <c r="O181" s="116">
        <v>78.634137016018599</v>
      </c>
      <c r="P181" s="116">
        <v>80.766742001450098</v>
      </c>
      <c r="Q181" s="116">
        <v>88.1</v>
      </c>
      <c r="R181">
        <v>221447</v>
      </c>
    </row>
    <row r="182" spans="1:18" x14ac:dyDescent="0.25">
      <c r="A182" s="170">
        <v>42263</v>
      </c>
      <c r="B182" s="116">
        <v>81.660241655355193</v>
      </c>
      <c r="C182" s="116">
        <v>80.616805234203397</v>
      </c>
      <c r="D182" s="116">
        <v>78.121631183623094</v>
      </c>
      <c r="E182" s="116">
        <v>80.934372840640904</v>
      </c>
      <c r="F182" s="116">
        <v>88.85</v>
      </c>
      <c r="G182">
        <v>23470</v>
      </c>
      <c r="H182" s="116"/>
      <c r="I182" s="116"/>
      <c r="L182" s="170">
        <v>42263</v>
      </c>
      <c r="M182" s="116">
        <v>80.902865723924506</v>
      </c>
      <c r="N182" s="116">
        <v>81.946480929561204</v>
      </c>
      <c r="O182" s="116">
        <v>78.089642126121205</v>
      </c>
      <c r="P182" s="116">
        <v>80.8121165756083</v>
      </c>
      <c r="Q182" s="116">
        <v>89.15</v>
      </c>
      <c r="R182">
        <v>246792</v>
      </c>
    </row>
    <row r="183" spans="1:18" x14ac:dyDescent="0.25">
      <c r="A183" s="170">
        <v>42265</v>
      </c>
      <c r="B183" s="116">
        <v>81.115840044319498</v>
      </c>
      <c r="C183" s="116">
        <v>79.936303220408803</v>
      </c>
      <c r="D183" s="116">
        <v>78.121631183623094</v>
      </c>
      <c r="E183" s="116">
        <v>80.752905636962296</v>
      </c>
      <c r="F183" s="116">
        <v>88.1</v>
      </c>
      <c r="G183">
        <v>17984</v>
      </c>
      <c r="H183" s="116"/>
      <c r="I183" s="116"/>
      <c r="L183" s="170">
        <v>42265</v>
      </c>
      <c r="M183" s="116">
        <v>80.176872537394601</v>
      </c>
      <c r="N183" s="116">
        <v>81.6742334846125</v>
      </c>
      <c r="O183" s="116">
        <v>77.499772662065695</v>
      </c>
      <c r="P183" s="116">
        <v>81.129738594715107</v>
      </c>
      <c r="Q183" s="116">
        <v>88.35</v>
      </c>
      <c r="R183">
        <v>401431</v>
      </c>
    </row>
    <row r="184" spans="1:18" x14ac:dyDescent="0.25">
      <c r="A184" s="170">
        <v>42268</v>
      </c>
      <c r="B184" s="116">
        <v>80.027036822248107</v>
      </c>
      <c r="C184" s="116">
        <v>79.346534808453399</v>
      </c>
      <c r="D184" s="116">
        <v>77.577229572587399</v>
      </c>
      <c r="E184" s="116">
        <v>79.2104344056945</v>
      </c>
      <c r="F184" s="116">
        <v>87.45</v>
      </c>
      <c r="G184">
        <v>18811</v>
      </c>
      <c r="H184" s="116"/>
      <c r="I184" s="116"/>
      <c r="L184" s="170">
        <v>42268</v>
      </c>
      <c r="M184" s="116">
        <v>79.405504776706593</v>
      </c>
      <c r="N184" s="116">
        <v>80.131497963236498</v>
      </c>
      <c r="O184" s="116">
        <v>77.182150642958803</v>
      </c>
      <c r="P184" s="116">
        <v>79.677752221655297</v>
      </c>
      <c r="Q184" s="116">
        <v>87.5</v>
      </c>
      <c r="R184">
        <v>583755</v>
      </c>
    </row>
    <row r="185" spans="1:18" x14ac:dyDescent="0.25">
      <c r="A185" s="170">
        <v>42269</v>
      </c>
      <c r="B185" s="116">
        <v>83.837848099498004</v>
      </c>
      <c r="C185" s="116">
        <v>82.749044877426599</v>
      </c>
      <c r="D185" s="116">
        <v>79.391901609373093</v>
      </c>
      <c r="E185" s="116">
        <v>79.391901609373093</v>
      </c>
      <c r="F185" s="116">
        <v>91.2</v>
      </c>
      <c r="G185">
        <v>37679</v>
      </c>
      <c r="H185" s="116"/>
      <c r="I185" s="116"/>
      <c r="L185" s="170">
        <v>42269</v>
      </c>
      <c r="M185" s="116">
        <v>82.990096135197902</v>
      </c>
      <c r="N185" s="116">
        <v>84.0337113408346</v>
      </c>
      <c r="O185" s="116">
        <v>79.314755628390401</v>
      </c>
      <c r="P185" s="116">
        <v>79.859250518287794</v>
      </c>
      <c r="Q185" s="116">
        <v>91.45</v>
      </c>
      <c r="R185">
        <v>393700</v>
      </c>
    </row>
    <row r="186" spans="1:18" x14ac:dyDescent="0.25">
      <c r="A186" s="170">
        <v>42270</v>
      </c>
      <c r="B186" s="116">
        <v>83.611014094899701</v>
      </c>
      <c r="C186" s="116">
        <v>82.476844071908701</v>
      </c>
      <c r="D186" s="116">
        <v>81.660241655355193</v>
      </c>
      <c r="E186" s="116">
        <v>82.522210872828396</v>
      </c>
      <c r="F186" s="116">
        <v>90.9</v>
      </c>
      <c r="G186">
        <v>40104</v>
      </c>
      <c r="H186" s="116"/>
      <c r="I186" s="116"/>
      <c r="L186" s="170">
        <v>42270</v>
      </c>
      <c r="M186" s="116">
        <v>82.5363503936168</v>
      </c>
      <c r="N186" s="116">
        <v>83.761463895885896</v>
      </c>
      <c r="O186" s="116">
        <v>81.6742334846125</v>
      </c>
      <c r="P186" s="116">
        <v>82.944721561039799</v>
      </c>
      <c r="Q186" s="116">
        <v>90.95</v>
      </c>
      <c r="R186">
        <v>260566</v>
      </c>
    </row>
    <row r="187" spans="1:18" x14ac:dyDescent="0.25">
      <c r="A187" s="170">
        <v>42271</v>
      </c>
      <c r="B187" s="116">
        <v>82.068542863631905</v>
      </c>
      <c r="C187" s="116">
        <v>81.524141252596195</v>
      </c>
      <c r="D187" s="116">
        <v>79.845569618569499</v>
      </c>
      <c r="E187" s="116">
        <v>81.660241655355193</v>
      </c>
      <c r="F187" s="116">
        <v>89.85</v>
      </c>
      <c r="G187">
        <v>22927</v>
      </c>
      <c r="H187" s="116"/>
      <c r="I187" s="116"/>
      <c r="L187" s="170">
        <v>42271</v>
      </c>
      <c r="M187" s="116">
        <v>81.719608058770604</v>
      </c>
      <c r="N187" s="116">
        <v>82.037230077877496</v>
      </c>
      <c r="O187" s="116">
        <v>79.949999666604</v>
      </c>
      <c r="P187" s="116">
        <v>81.220487743031299</v>
      </c>
      <c r="Q187" s="116">
        <v>90.05</v>
      </c>
      <c r="R187">
        <v>255619</v>
      </c>
    </row>
    <row r="188" spans="1:18" x14ac:dyDescent="0.25">
      <c r="A188" s="170">
        <v>42275</v>
      </c>
      <c r="B188" s="116">
        <v>82.386110470069397</v>
      </c>
      <c r="C188" s="116">
        <v>80.707538836042701</v>
      </c>
      <c r="D188" s="116">
        <v>80.480704831444498</v>
      </c>
      <c r="E188" s="116">
        <v>81.660241655355193</v>
      </c>
      <c r="F188" s="116">
        <v>88.95</v>
      </c>
      <c r="G188">
        <v>7861</v>
      </c>
      <c r="H188" s="116"/>
      <c r="I188" s="116"/>
      <c r="L188" s="170">
        <v>42275</v>
      </c>
      <c r="M188" s="116">
        <v>80.857491149766403</v>
      </c>
      <c r="N188" s="116">
        <v>82.581724967774903</v>
      </c>
      <c r="O188" s="116">
        <v>80.630618278975803</v>
      </c>
      <c r="P188" s="116">
        <v>81.401986039663797</v>
      </c>
      <c r="Q188" s="116">
        <v>89.1</v>
      </c>
      <c r="R188">
        <v>53240</v>
      </c>
    </row>
    <row r="189" spans="1:18" x14ac:dyDescent="0.25">
      <c r="A189" s="170">
        <v>42276</v>
      </c>
      <c r="B189" s="116">
        <v>80.299237627765905</v>
      </c>
      <c r="C189" s="116">
        <v>79.119700803855196</v>
      </c>
      <c r="D189" s="116">
        <v>77.486495970748095</v>
      </c>
      <c r="E189" s="116">
        <v>80.299237627765905</v>
      </c>
      <c r="F189" s="116">
        <v>87.2</v>
      </c>
      <c r="G189">
        <v>28778</v>
      </c>
      <c r="H189" s="116"/>
      <c r="I189" s="116"/>
      <c r="L189" s="170">
        <v>42276</v>
      </c>
      <c r="M189" s="116">
        <v>79.224006480074095</v>
      </c>
      <c r="N189" s="116">
        <v>81.129738594715107</v>
      </c>
      <c r="O189" s="116">
        <v>77.318274365433197</v>
      </c>
      <c r="P189" s="116">
        <v>81.084364020557004</v>
      </c>
      <c r="Q189" s="116">
        <v>87.3</v>
      </c>
      <c r="R189">
        <v>168325</v>
      </c>
    </row>
    <row r="190" spans="1:18" x14ac:dyDescent="0.25">
      <c r="A190" s="170">
        <v>42277</v>
      </c>
      <c r="B190" s="116">
        <v>79.664102414890905</v>
      </c>
      <c r="C190" s="116">
        <v>78.166997984542704</v>
      </c>
      <c r="D190" s="116">
        <v>77.123561563390993</v>
      </c>
      <c r="E190" s="116">
        <v>79.255801206614095</v>
      </c>
      <c r="F190" s="116">
        <v>86.15</v>
      </c>
      <c r="G190">
        <v>24861</v>
      </c>
      <c r="H190" s="116"/>
      <c r="I190" s="116"/>
      <c r="L190" s="170">
        <v>42277</v>
      </c>
      <c r="M190" s="116">
        <v>78.089642126121205</v>
      </c>
      <c r="N190" s="116">
        <v>79.859250518287794</v>
      </c>
      <c r="O190" s="116">
        <v>76.683030327219498</v>
      </c>
      <c r="P190" s="116">
        <v>79.813875944129705</v>
      </c>
      <c r="Q190" s="116">
        <v>86.05</v>
      </c>
      <c r="R190">
        <v>173583</v>
      </c>
    </row>
    <row r="191" spans="1:18" x14ac:dyDescent="0.25">
      <c r="A191" s="170">
        <v>42278</v>
      </c>
      <c r="B191" s="116">
        <v>80.163137225007006</v>
      </c>
      <c r="C191" s="116">
        <v>78.393831989140907</v>
      </c>
      <c r="D191" s="116">
        <v>77.395762368908805</v>
      </c>
      <c r="E191" s="116">
        <v>78.938233600176602</v>
      </c>
      <c r="F191" s="116">
        <v>86.4</v>
      </c>
      <c r="G191">
        <v>27255</v>
      </c>
      <c r="H191" s="116"/>
      <c r="I191" s="116"/>
      <c r="L191" s="170">
        <v>42278</v>
      </c>
      <c r="M191" s="116">
        <v>77.953518403646797</v>
      </c>
      <c r="N191" s="116">
        <v>80.222247111552704</v>
      </c>
      <c r="O191" s="116">
        <v>77.409023513749403</v>
      </c>
      <c r="P191" s="116">
        <v>78.8610098868092</v>
      </c>
      <c r="Q191" s="116">
        <v>85.9</v>
      </c>
      <c r="R191">
        <v>183434</v>
      </c>
    </row>
    <row r="192" spans="1:18" x14ac:dyDescent="0.25">
      <c r="A192" s="170">
        <v>42282</v>
      </c>
      <c r="B192" s="116">
        <v>80.299237627765905</v>
      </c>
      <c r="C192" s="116">
        <v>79.845569618569499</v>
      </c>
      <c r="D192" s="116">
        <v>78.5752991928195</v>
      </c>
      <c r="E192" s="116">
        <v>78.892866799257007</v>
      </c>
      <c r="F192" s="116">
        <v>88</v>
      </c>
      <c r="G192">
        <v>15705</v>
      </c>
      <c r="H192" s="116"/>
      <c r="I192" s="116"/>
      <c r="L192" s="170">
        <v>42282</v>
      </c>
      <c r="M192" s="116">
        <v>80.086123389078395</v>
      </c>
      <c r="N192" s="116">
        <v>80.539869130659596</v>
      </c>
      <c r="O192" s="116">
        <v>78.407264145227998</v>
      </c>
      <c r="P192" s="116">
        <v>78.588762441860496</v>
      </c>
      <c r="Q192" s="116">
        <v>88.25</v>
      </c>
      <c r="R192">
        <v>180325</v>
      </c>
    </row>
    <row r="193" spans="1:18" x14ac:dyDescent="0.25">
      <c r="A193" s="170">
        <v>42283</v>
      </c>
      <c r="B193" s="116">
        <v>81.614874854435499</v>
      </c>
      <c r="C193" s="116">
        <v>80.117770424087297</v>
      </c>
      <c r="D193" s="116">
        <v>79.482635211212298</v>
      </c>
      <c r="E193" s="116">
        <v>81.614874854435499</v>
      </c>
      <c r="F193" s="116">
        <v>88.3</v>
      </c>
      <c r="G193">
        <v>6417</v>
      </c>
      <c r="H193" s="116"/>
      <c r="I193" s="116"/>
      <c r="L193" s="170">
        <v>42283</v>
      </c>
      <c r="M193" s="116">
        <v>80.267621685710907</v>
      </c>
      <c r="N193" s="116">
        <v>80.766742001450098</v>
      </c>
      <c r="O193" s="116">
        <v>79.269381054232198</v>
      </c>
      <c r="P193" s="116">
        <v>79.859250518287794</v>
      </c>
      <c r="Q193" s="116">
        <v>88.45</v>
      </c>
      <c r="R193">
        <v>71214</v>
      </c>
    </row>
    <row r="194" spans="1:18" x14ac:dyDescent="0.25">
      <c r="A194" s="170">
        <v>42284</v>
      </c>
      <c r="B194" s="116">
        <v>85.652520136283599</v>
      </c>
      <c r="C194" s="116">
        <v>82.749044877426599</v>
      </c>
      <c r="D194" s="116">
        <v>79.981670021328398</v>
      </c>
      <c r="E194" s="116">
        <v>80.253870826846295</v>
      </c>
      <c r="F194" s="116">
        <v>91.2</v>
      </c>
      <c r="G194">
        <v>4806257</v>
      </c>
      <c r="H194" s="116"/>
      <c r="I194" s="116"/>
      <c r="L194" s="170">
        <v>42284</v>
      </c>
      <c r="M194" s="116">
        <v>82.808597838565504</v>
      </c>
      <c r="N194" s="116">
        <v>85.304199417261998</v>
      </c>
      <c r="O194" s="116">
        <v>79.178631905916006</v>
      </c>
      <c r="P194" s="116">
        <v>79.178631905916006</v>
      </c>
      <c r="Q194" s="116">
        <v>91.25</v>
      </c>
      <c r="R194">
        <v>5055507</v>
      </c>
    </row>
    <row r="195" spans="1:18" x14ac:dyDescent="0.25">
      <c r="A195" s="170">
        <v>42285</v>
      </c>
      <c r="B195" s="116">
        <v>84.200782506855106</v>
      </c>
      <c r="C195" s="116">
        <v>79.981670021328398</v>
      </c>
      <c r="D195" s="116">
        <v>79.391901609373093</v>
      </c>
      <c r="E195" s="116">
        <v>83.7471144976587</v>
      </c>
      <c r="F195" s="116">
        <v>88.15</v>
      </c>
      <c r="G195">
        <v>429068</v>
      </c>
      <c r="H195" s="116"/>
      <c r="I195" s="116"/>
      <c r="L195" s="170">
        <v>42285</v>
      </c>
      <c r="M195" s="116">
        <v>80.222247111552704</v>
      </c>
      <c r="N195" s="116">
        <v>84.305958785783403</v>
      </c>
      <c r="O195" s="116">
        <v>79.496253925022799</v>
      </c>
      <c r="P195" s="116">
        <v>84.305958785783403</v>
      </c>
      <c r="Q195" s="116">
        <v>88.4</v>
      </c>
      <c r="R195">
        <v>1859535</v>
      </c>
    </row>
    <row r="196" spans="1:18" x14ac:dyDescent="0.25">
      <c r="A196" s="170">
        <v>42286</v>
      </c>
      <c r="B196" s="116">
        <v>82.250010067310498</v>
      </c>
      <c r="C196" s="116">
        <v>81.932442460873006</v>
      </c>
      <c r="D196" s="116">
        <v>80.117770424087297</v>
      </c>
      <c r="E196" s="116">
        <v>81.433407650756905</v>
      </c>
      <c r="F196" s="116">
        <v>90.3</v>
      </c>
      <c r="G196">
        <v>117547</v>
      </c>
      <c r="H196" s="116"/>
      <c r="I196" s="116"/>
      <c r="L196" s="170">
        <v>42286</v>
      </c>
      <c r="M196" s="116">
        <v>82.037230077877496</v>
      </c>
      <c r="N196" s="116">
        <v>82.309477522826199</v>
      </c>
      <c r="O196" s="116">
        <v>80.131497963236498</v>
      </c>
      <c r="P196" s="116">
        <v>80.494494556501394</v>
      </c>
      <c r="Q196" s="116">
        <v>90.4</v>
      </c>
      <c r="R196">
        <v>681075</v>
      </c>
    </row>
    <row r="197" spans="1:18" x14ac:dyDescent="0.25">
      <c r="A197" s="170">
        <v>42289</v>
      </c>
      <c r="B197" s="116">
        <v>82.749044877426599</v>
      </c>
      <c r="C197" s="116">
        <v>79.482635211212298</v>
      </c>
      <c r="D197" s="116">
        <v>79.119700803855196</v>
      </c>
      <c r="E197" s="116">
        <v>82.749044877426599</v>
      </c>
      <c r="F197" s="116">
        <v>87.6</v>
      </c>
      <c r="G197">
        <v>39467</v>
      </c>
      <c r="H197" s="116"/>
      <c r="I197" s="116"/>
      <c r="L197" s="170">
        <v>42289</v>
      </c>
      <c r="M197" s="116">
        <v>79.496253925022799</v>
      </c>
      <c r="N197" s="116">
        <v>82.5363503936168</v>
      </c>
      <c r="O197" s="116">
        <v>78.951759035125406</v>
      </c>
      <c r="P197" s="116">
        <v>81.810357207086895</v>
      </c>
      <c r="Q197" s="116">
        <v>87.6</v>
      </c>
      <c r="R197">
        <v>381252</v>
      </c>
    </row>
    <row r="198" spans="1:18" x14ac:dyDescent="0.25">
      <c r="A198" s="170">
        <v>42290</v>
      </c>
      <c r="B198" s="116">
        <v>79.754836016730195</v>
      </c>
      <c r="C198" s="116">
        <v>78.711399595578399</v>
      </c>
      <c r="D198" s="116">
        <v>78.303098387301702</v>
      </c>
      <c r="E198" s="116">
        <v>79.437268410292702</v>
      </c>
      <c r="F198" s="116">
        <v>86.75</v>
      </c>
      <c r="G198">
        <v>40805</v>
      </c>
      <c r="H198" s="116"/>
      <c r="I198" s="116"/>
      <c r="L198" s="170">
        <v>42290</v>
      </c>
      <c r="M198" s="116">
        <v>78.906384460967303</v>
      </c>
      <c r="N198" s="116">
        <v>79.677752221655297</v>
      </c>
      <c r="O198" s="116">
        <v>78.498013293544204</v>
      </c>
      <c r="P198" s="116">
        <v>79.632377647497194</v>
      </c>
      <c r="Q198" s="116">
        <v>86.95</v>
      </c>
      <c r="R198">
        <v>163405</v>
      </c>
    </row>
    <row r="199" spans="1:18" x14ac:dyDescent="0.25">
      <c r="A199" s="170">
        <v>42291</v>
      </c>
      <c r="B199" s="116">
        <v>81.206573646158702</v>
      </c>
      <c r="C199" s="116">
        <v>79.573368813051601</v>
      </c>
      <c r="D199" s="116">
        <v>79.2104344056945</v>
      </c>
      <c r="E199" s="116">
        <v>79.346534808453399</v>
      </c>
      <c r="F199" s="116">
        <v>87.7</v>
      </c>
      <c r="G199">
        <v>33497</v>
      </c>
      <c r="H199" s="116"/>
      <c r="I199" s="116"/>
      <c r="L199" s="170">
        <v>42291</v>
      </c>
      <c r="M199" s="116">
        <v>79.859250518287794</v>
      </c>
      <c r="N199" s="116">
        <v>81.492735187980003</v>
      </c>
      <c r="O199" s="116">
        <v>78.997133609283495</v>
      </c>
      <c r="P199" s="116">
        <v>78.997133609283495</v>
      </c>
      <c r="Q199" s="116">
        <v>88</v>
      </c>
      <c r="R199">
        <v>496821</v>
      </c>
    </row>
    <row r="200" spans="1:18" x14ac:dyDescent="0.25">
      <c r="A200" s="170">
        <v>42292</v>
      </c>
      <c r="B200" s="116">
        <v>80.3446044286855</v>
      </c>
      <c r="C200" s="116">
        <v>79.391901609373093</v>
      </c>
      <c r="D200" s="116">
        <v>78.802133197417703</v>
      </c>
      <c r="E200" s="116">
        <v>80.072403623167702</v>
      </c>
      <c r="F200" s="116">
        <v>87.5</v>
      </c>
      <c r="G200">
        <v>20993</v>
      </c>
      <c r="H200" s="116"/>
      <c r="I200" s="116"/>
      <c r="L200" s="170">
        <v>42292</v>
      </c>
      <c r="M200" s="116">
        <v>79.632377647497194</v>
      </c>
      <c r="N200" s="116">
        <v>80.358370834027099</v>
      </c>
      <c r="O200" s="116">
        <v>79.042508183441697</v>
      </c>
      <c r="P200" s="116">
        <v>80.040748814920306</v>
      </c>
      <c r="Q200" s="116">
        <v>87.75</v>
      </c>
      <c r="R200">
        <v>1108507</v>
      </c>
    </row>
    <row r="201" spans="1:18" x14ac:dyDescent="0.25">
      <c r="A201" s="170">
        <v>42293</v>
      </c>
      <c r="B201" s="116">
        <v>79.845569618569499</v>
      </c>
      <c r="C201" s="116">
        <v>79.119700803855196</v>
      </c>
      <c r="D201" s="116">
        <v>78.484565590980196</v>
      </c>
      <c r="E201" s="116">
        <v>79.482635211212298</v>
      </c>
      <c r="F201" s="116">
        <v>87.2</v>
      </c>
      <c r="G201">
        <v>18548</v>
      </c>
      <c r="H201" s="116"/>
      <c r="I201" s="116"/>
      <c r="L201" s="170">
        <v>42293</v>
      </c>
      <c r="M201" s="116">
        <v>79.178631905916006</v>
      </c>
      <c r="N201" s="116">
        <v>79.813875944129705</v>
      </c>
      <c r="O201" s="116">
        <v>78.498013293544204</v>
      </c>
      <c r="P201" s="116">
        <v>79.768501369971602</v>
      </c>
      <c r="Q201" s="116">
        <v>87.25</v>
      </c>
      <c r="R201">
        <v>291689</v>
      </c>
    </row>
    <row r="202" spans="1:18" x14ac:dyDescent="0.25">
      <c r="A202" s="170">
        <v>42296</v>
      </c>
      <c r="B202" s="116">
        <v>80.616805234203397</v>
      </c>
      <c r="C202" s="116">
        <v>79.618735613971296</v>
      </c>
      <c r="D202" s="116">
        <v>79.165067604774805</v>
      </c>
      <c r="E202" s="116">
        <v>79.255801206614095</v>
      </c>
      <c r="F202" s="116">
        <v>87.75</v>
      </c>
      <c r="G202">
        <v>24985</v>
      </c>
      <c r="H202" s="116"/>
      <c r="I202" s="116"/>
      <c r="L202" s="170">
        <v>42296</v>
      </c>
      <c r="M202" s="116">
        <v>79.813875944129705</v>
      </c>
      <c r="N202" s="116">
        <v>80.585243704817699</v>
      </c>
      <c r="O202" s="116">
        <v>78.997133609283495</v>
      </c>
      <c r="P202" s="116">
        <v>79.677752221655297</v>
      </c>
      <c r="Q202" s="116">
        <v>87.95</v>
      </c>
      <c r="R202">
        <v>826271</v>
      </c>
    </row>
    <row r="203" spans="1:18" x14ac:dyDescent="0.25">
      <c r="A203" s="170">
        <v>42297</v>
      </c>
      <c r="B203" s="116">
        <v>82.113909664551599</v>
      </c>
      <c r="C203" s="116">
        <v>81.524141252596195</v>
      </c>
      <c r="D203" s="116">
        <v>79.391901609373093</v>
      </c>
      <c r="E203" s="116">
        <v>80.208504025926601</v>
      </c>
      <c r="F203" s="116">
        <v>89.85</v>
      </c>
      <c r="G203">
        <v>112935</v>
      </c>
      <c r="H203" s="116"/>
      <c r="I203" s="116"/>
      <c r="L203" s="170">
        <v>42297</v>
      </c>
      <c r="M203" s="116">
        <v>81.583484336296294</v>
      </c>
      <c r="N203" s="116">
        <v>82.218728374509894</v>
      </c>
      <c r="O203" s="116">
        <v>79.632377647497194</v>
      </c>
      <c r="P203" s="116">
        <v>80.040748814920306</v>
      </c>
      <c r="Q203" s="116">
        <v>89.9</v>
      </c>
      <c r="R203">
        <v>473369</v>
      </c>
    </row>
    <row r="204" spans="1:18" x14ac:dyDescent="0.25">
      <c r="A204" s="170">
        <v>42298</v>
      </c>
      <c r="B204" s="116">
        <v>82.476844071908701</v>
      </c>
      <c r="C204" s="116">
        <v>82.068542863631905</v>
      </c>
      <c r="D204" s="116">
        <v>80.616805234203397</v>
      </c>
      <c r="E204" s="116">
        <v>82.068542863631905</v>
      </c>
      <c r="F204" s="116">
        <v>90.45</v>
      </c>
      <c r="G204">
        <v>57578</v>
      </c>
      <c r="H204" s="116"/>
      <c r="I204" s="116"/>
      <c r="L204" s="170">
        <v>42298</v>
      </c>
      <c r="M204" s="116">
        <v>82.173353800351805</v>
      </c>
      <c r="N204" s="116">
        <v>82.5363503936168</v>
      </c>
      <c r="O204" s="116">
        <v>80.585243704817699</v>
      </c>
      <c r="P204" s="116">
        <v>81.6742334846125</v>
      </c>
      <c r="Q204" s="116">
        <v>90.55</v>
      </c>
      <c r="R204">
        <v>510847</v>
      </c>
    </row>
    <row r="205" spans="1:18" x14ac:dyDescent="0.25">
      <c r="A205" s="170">
        <v>42300</v>
      </c>
      <c r="B205" s="116">
        <v>83.202712886623004</v>
      </c>
      <c r="C205" s="116">
        <v>82.749044877426599</v>
      </c>
      <c r="D205" s="116">
        <v>81.342674048917701</v>
      </c>
      <c r="E205" s="116">
        <v>82.068542863631905</v>
      </c>
      <c r="F205" s="116">
        <v>91.2</v>
      </c>
      <c r="G205">
        <v>53739</v>
      </c>
      <c r="H205" s="116"/>
      <c r="I205" s="116"/>
      <c r="L205" s="170">
        <v>42300</v>
      </c>
      <c r="M205" s="116">
        <v>82.763223264407301</v>
      </c>
      <c r="N205" s="116">
        <v>83.398467302621</v>
      </c>
      <c r="O205" s="116">
        <v>81.265862317189402</v>
      </c>
      <c r="P205" s="116">
        <v>81.855731781244998</v>
      </c>
      <c r="Q205" s="116">
        <v>91.2</v>
      </c>
      <c r="R205">
        <v>427350</v>
      </c>
    </row>
    <row r="206" spans="1:18" x14ac:dyDescent="0.25">
      <c r="A206" s="170">
        <v>42303</v>
      </c>
      <c r="B206" s="116">
        <v>83.293446488462294</v>
      </c>
      <c r="C206" s="116">
        <v>82.794411678346194</v>
      </c>
      <c r="D206" s="116">
        <v>82.023176062712295</v>
      </c>
      <c r="E206" s="116">
        <v>83.157346085703296</v>
      </c>
      <c r="F206" s="116">
        <v>91.25</v>
      </c>
      <c r="G206">
        <v>39808</v>
      </c>
      <c r="H206" s="116"/>
      <c r="I206" s="116"/>
      <c r="L206" s="170">
        <v>42303</v>
      </c>
      <c r="M206" s="116">
        <v>83.080845283514194</v>
      </c>
      <c r="N206" s="116">
        <v>83.398467302621</v>
      </c>
      <c r="O206" s="116">
        <v>82.127979226193702</v>
      </c>
      <c r="P206" s="116">
        <v>83.035470709356005</v>
      </c>
      <c r="Q206" s="116">
        <v>91.55</v>
      </c>
      <c r="R206">
        <v>333180</v>
      </c>
    </row>
    <row r="207" spans="1:18" x14ac:dyDescent="0.25">
      <c r="A207" s="170">
        <v>42304</v>
      </c>
      <c r="B207" s="116">
        <v>83.021245682944397</v>
      </c>
      <c r="C207" s="116">
        <v>82.340743669149802</v>
      </c>
      <c r="D207" s="116">
        <v>81.660241655355193</v>
      </c>
      <c r="E207" s="116">
        <v>82.703678076506904</v>
      </c>
      <c r="F207" s="116">
        <v>90.75</v>
      </c>
      <c r="G207">
        <v>14889</v>
      </c>
      <c r="H207" s="116"/>
      <c r="I207" s="116"/>
      <c r="L207" s="170">
        <v>42304</v>
      </c>
      <c r="M207" s="116">
        <v>82.717848690249198</v>
      </c>
      <c r="N207" s="116">
        <v>83.216969005988503</v>
      </c>
      <c r="O207" s="116">
        <v>82.127979226193702</v>
      </c>
      <c r="P207" s="116">
        <v>82.717848690249198</v>
      </c>
      <c r="Q207" s="116">
        <v>91.15</v>
      </c>
      <c r="R207">
        <v>289694</v>
      </c>
    </row>
    <row r="208" spans="1:18" x14ac:dyDescent="0.25">
      <c r="A208" s="170">
        <v>42305</v>
      </c>
      <c r="B208" s="116">
        <v>85.652520136283599</v>
      </c>
      <c r="C208" s="116">
        <v>85.244218928006802</v>
      </c>
      <c r="D208" s="116">
        <v>82.113909664551599</v>
      </c>
      <c r="E208" s="116">
        <v>82.567577673748005</v>
      </c>
      <c r="F208" s="116">
        <v>93.95</v>
      </c>
      <c r="G208">
        <v>81686</v>
      </c>
      <c r="H208" s="116"/>
      <c r="I208" s="116"/>
      <c r="L208" s="170">
        <v>42305</v>
      </c>
      <c r="M208" s="116">
        <v>85.394948565578204</v>
      </c>
      <c r="N208" s="116">
        <v>85.7579451588431</v>
      </c>
      <c r="O208" s="116">
        <v>82.218728374509894</v>
      </c>
      <c r="P208" s="116">
        <v>82.354852096984303</v>
      </c>
      <c r="Q208" s="116">
        <v>94.1</v>
      </c>
      <c r="R208">
        <v>633666</v>
      </c>
    </row>
    <row r="209" spans="1:18" x14ac:dyDescent="0.25">
      <c r="A209" s="170">
        <v>42306</v>
      </c>
      <c r="B209" s="116">
        <v>87.7847597795068</v>
      </c>
      <c r="C209" s="116">
        <v>85.833987339962206</v>
      </c>
      <c r="D209" s="116">
        <v>84.110048905015802</v>
      </c>
      <c r="E209" s="116">
        <v>85.289585728926497</v>
      </c>
      <c r="F209" s="116">
        <v>94.6</v>
      </c>
      <c r="G209">
        <v>3939535</v>
      </c>
      <c r="H209" s="116"/>
      <c r="I209" s="116"/>
      <c r="L209" s="170">
        <v>42306</v>
      </c>
      <c r="M209" s="116">
        <v>86.211690900424301</v>
      </c>
      <c r="N209" s="116">
        <v>87.754426421800304</v>
      </c>
      <c r="O209" s="116">
        <v>83.852213044202202</v>
      </c>
      <c r="P209" s="116">
        <v>85.7579451588431</v>
      </c>
      <c r="Q209" s="116">
        <v>95</v>
      </c>
      <c r="R209">
        <v>927521</v>
      </c>
    </row>
    <row r="210" spans="1:18" x14ac:dyDescent="0.25">
      <c r="A210" s="170">
        <v>42307</v>
      </c>
      <c r="B210" s="116">
        <v>90.642868237444205</v>
      </c>
      <c r="C210" s="116">
        <v>89.916999422729901</v>
      </c>
      <c r="D210" s="116">
        <v>85.289585728926497</v>
      </c>
      <c r="E210" s="116">
        <v>85.289585728926497</v>
      </c>
      <c r="F210" s="116">
        <v>99.1</v>
      </c>
      <c r="G210">
        <v>142950</v>
      </c>
      <c r="H210" s="116"/>
      <c r="I210" s="116"/>
      <c r="L210" s="170">
        <v>42307</v>
      </c>
      <c r="M210" s="116">
        <v>89.977780555548094</v>
      </c>
      <c r="N210" s="116">
        <v>90.703773742077999</v>
      </c>
      <c r="O210" s="116">
        <v>85.712570584684997</v>
      </c>
      <c r="P210" s="116">
        <v>86.483938345373005</v>
      </c>
      <c r="Q210" s="116">
        <v>99.15</v>
      </c>
      <c r="R210">
        <v>785098</v>
      </c>
    </row>
    <row r="211" spans="1:18" x14ac:dyDescent="0.25">
      <c r="A211" s="170">
        <v>42310</v>
      </c>
      <c r="B211" s="116">
        <v>89.916999422729901</v>
      </c>
      <c r="C211" s="116">
        <v>87.694026177667496</v>
      </c>
      <c r="D211" s="116">
        <v>86.378388950997902</v>
      </c>
      <c r="E211" s="116">
        <v>89.916999422729901</v>
      </c>
      <c r="F211" s="116">
        <v>96.65</v>
      </c>
      <c r="G211">
        <v>30332</v>
      </c>
      <c r="H211" s="116"/>
      <c r="I211" s="116"/>
      <c r="L211" s="170">
        <v>42310</v>
      </c>
      <c r="M211" s="116">
        <v>87.391429828535394</v>
      </c>
      <c r="N211" s="116">
        <v>89.977780555548094</v>
      </c>
      <c r="O211" s="116">
        <v>86.529312919531094</v>
      </c>
      <c r="P211" s="116">
        <v>89.161038220701997</v>
      </c>
      <c r="Q211" s="116">
        <v>96.3</v>
      </c>
      <c r="R211">
        <v>207420</v>
      </c>
    </row>
    <row r="212" spans="1:18" x14ac:dyDescent="0.25">
      <c r="A212" s="170">
        <v>42311</v>
      </c>
      <c r="B212" s="116">
        <v>87.694026177667496</v>
      </c>
      <c r="C212" s="116">
        <v>87.285724969390699</v>
      </c>
      <c r="D212" s="116">
        <v>86.514489353756801</v>
      </c>
      <c r="E212" s="116">
        <v>87.694026177667496</v>
      </c>
      <c r="F212" s="116">
        <v>96.2</v>
      </c>
      <c r="G212">
        <v>47721</v>
      </c>
      <c r="H212" s="116"/>
      <c r="I212" s="116"/>
      <c r="L212" s="170">
        <v>42311</v>
      </c>
      <c r="M212" s="116">
        <v>87.436804402693497</v>
      </c>
      <c r="N212" s="116">
        <v>87.935924718432801</v>
      </c>
      <c r="O212" s="116">
        <v>86.302440048740607</v>
      </c>
      <c r="P212" s="116">
        <v>87.663677273484097</v>
      </c>
      <c r="Q212" s="116">
        <v>96.35</v>
      </c>
      <c r="R212">
        <v>200374</v>
      </c>
    </row>
    <row r="213" spans="1:18" x14ac:dyDescent="0.25">
      <c r="A213" s="170">
        <v>42312</v>
      </c>
      <c r="B213" s="116">
        <v>91.414103853078103</v>
      </c>
      <c r="C213" s="116">
        <v>88.374528191462105</v>
      </c>
      <c r="D213" s="116">
        <v>86.0154545436408</v>
      </c>
      <c r="E213" s="116">
        <v>87.421825372149598</v>
      </c>
      <c r="F213" s="116">
        <v>97.4</v>
      </c>
      <c r="G213">
        <v>58246</v>
      </c>
      <c r="H213" s="116"/>
      <c r="I213" s="116"/>
      <c r="L213" s="170">
        <v>42312</v>
      </c>
      <c r="M213" s="116">
        <v>88.525794182488298</v>
      </c>
      <c r="N213" s="116">
        <v>91.475141502765993</v>
      </c>
      <c r="O213" s="116">
        <v>86.257065474582404</v>
      </c>
      <c r="P213" s="116">
        <v>87.4821789768516</v>
      </c>
      <c r="Q213" s="116">
        <v>97.55</v>
      </c>
      <c r="R213">
        <v>247876</v>
      </c>
    </row>
    <row r="214" spans="1:18" x14ac:dyDescent="0.25">
      <c r="A214" s="170">
        <v>42313</v>
      </c>
      <c r="B214" s="116">
        <v>89.191130608015698</v>
      </c>
      <c r="C214" s="116">
        <v>86.151554946399699</v>
      </c>
      <c r="D214" s="116">
        <v>85.743253738122903</v>
      </c>
      <c r="E214" s="116">
        <v>88.465261793301394</v>
      </c>
      <c r="F214" s="116">
        <v>94.95</v>
      </c>
      <c r="G214">
        <v>329705</v>
      </c>
      <c r="H214" s="116"/>
      <c r="I214" s="116"/>
      <c r="L214" s="170">
        <v>42313</v>
      </c>
      <c r="M214" s="116">
        <v>86.166316326266198</v>
      </c>
      <c r="N214" s="116">
        <v>89.070289072385805</v>
      </c>
      <c r="O214" s="116">
        <v>85.576446862210702</v>
      </c>
      <c r="P214" s="116">
        <v>88.707292479120795</v>
      </c>
      <c r="Q214" s="116">
        <v>94.95</v>
      </c>
      <c r="R214">
        <v>258886</v>
      </c>
    </row>
    <row r="215" spans="1:18" x14ac:dyDescent="0.25">
      <c r="A215" s="170">
        <v>42314</v>
      </c>
      <c r="B215" s="116">
        <v>86.786690159274698</v>
      </c>
      <c r="C215" s="116">
        <v>85.788620539042498</v>
      </c>
      <c r="D215" s="116">
        <v>85.017384923408599</v>
      </c>
      <c r="E215" s="116">
        <v>86.786690159274698</v>
      </c>
      <c r="F215" s="116">
        <v>94.55</v>
      </c>
      <c r="G215">
        <v>27969</v>
      </c>
      <c r="H215" s="116"/>
      <c r="I215" s="116"/>
      <c r="L215" s="170">
        <v>42314</v>
      </c>
      <c r="M215" s="116">
        <v>86.120941752108095</v>
      </c>
      <c r="N215" s="116">
        <v>87.119182383586704</v>
      </c>
      <c r="O215" s="116">
        <v>84.8958282498389</v>
      </c>
      <c r="P215" s="116">
        <v>86.211690900424301</v>
      </c>
      <c r="Q215" s="116">
        <v>94.9</v>
      </c>
      <c r="R215">
        <v>122931</v>
      </c>
    </row>
    <row r="216" spans="1:18" x14ac:dyDescent="0.25">
      <c r="A216" s="170">
        <v>42317</v>
      </c>
      <c r="B216" s="116">
        <v>90.915069042962102</v>
      </c>
      <c r="C216" s="116">
        <v>90.234567029167494</v>
      </c>
      <c r="D216" s="116">
        <v>84.336882909614005</v>
      </c>
      <c r="E216" s="116">
        <v>84.336882909614005</v>
      </c>
      <c r="F216" s="116">
        <v>99.45</v>
      </c>
      <c r="G216">
        <v>33260</v>
      </c>
      <c r="H216" s="116"/>
      <c r="I216" s="116"/>
      <c r="L216" s="170">
        <v>42317</v>
      </c>
      <c r="M216" s="116">
        <v>90.250028000496798</v>
      </c>
      <c r="N216" s="116">
        <v>90.9306466128686</v>
      </c>
      <c r="O216" s="116">
        <v>84.396707934099595</v>
      </c>
      <c r="P216" s="116">
        <v>85.304199417261998</v>
      </c>
      <c r="Q216" s="116">
        <v>99.45</v>
      </c>
      <c r="R216">
        <v>202785</v>
      </c>
    </row>
    <row r="217" spans="1:18" x14ac:dyDescent="0.25">
      <c r="A217" s="170">
        <v>42318</v>
      </c>
      <c r="B217" s="116">
        <v>89.826265820890697</v>
      </c>
      <c r="C217" s="116">
        <v>88.056960585024598</v>
      </c>
      <c r="D217" s="116">
        <v>86.832056960194294</v>
      </c>
      <c r="E217" s="116">
        <v>89.826265820890697</v>
      </c>
      <c r="F217" s="116">
        <v>97.05</v>
      </c>
      <c r="G217">
        <v>32705</v>
      </c>
      <c r="H217" s="116"/>
      <c r="I217" s="116"/>
      <c r="L217" s="170">
        <v>42318</v>
      </c>
      <c r="M217" s="116">
        <v>88.026673866748993</v>
      </c>
      <c r="N217" s="116">
        <v>90.0685297038643</v>
      </c>
      <c r="O217" s="116">
        <v>86.937684086954206</v>
      </c>
      <c r="P217" s="116">
        <v>89.841656833073799</v>
      </c>
      <c r="Q217" s="116">
        <v>97</v>
      </c>
      <c r="R217">
        <v>211453</v>
      </c>
    </row>
    <row r="218" spans="1:18" x14ac:dyDescent="0.25">
      <c r="A218" s="170">
        <v>42319</v>
      </c>
      <c r="B218" s="116">
        <v>89.009663404337104</v>
      </c>
      <c r="C218" s="116">
        <v>87.512558973988902</v>
      </c>
      <c r="D218" s="116">
        <v>86.877423761113903</v>
      </c>
      <c r="E218" s="116">
        <v>88.011593784105003</v>
      </c>
      <c r="F218" s="116">
        <v>96.45</v>
      </c>
      <c r="G218">
        <v>9183</v>
      </c>
      <c r="H218" s="116"/>
      <c r="I218" s="116"/>
      <c r="L218" s="170">
        <v>42319</v>
      </c>
      <c r="M218" s="116">
        <v>87.4821789768516</v>
      </c>
      <c r="N218" s="116">
        <v>88.934165349911396</v>
      </c>
      <c r="O218" s="116">
        <v>87.119182383586704</v>
      </c>
      <c r="P218" s="116">
        <v>88.934165349911396</v>
      </c>
      <c r="Q218" s="116">
        <v>96.4</v>
      </c>
      <c r="R218">
        <v>23728</v>
      </c>
    </row>
    <row r="219" spans="1:18" x14ac:dyDescent="0.25">
      <c r="A219" s="170">
        <v>42321</v>
      </c>
      <c r="B219" s="116">
        <v>87.194991367551395</v>
      </c>
      <c r="C219" s="116">
        <v>85.5164197335247</v>
      </c>
      <c r="D219" s="116">
        <v>84.790550918810396</v>
      </c>
      <c r="E219" s="116">
        <v>87.104257765712205</v>
      </c>
      <c r="F219" s="116">
        <v>94.25</v>
      </c>
      <c r="G219">
        <v>29498</v>
      </c>
      <c r="H219" s="116"/>
      <c r="I219" s="116"/>
      <c r="L219" s="170">
        <v>42321</v>
      </c>
      <c r="M219" s="116">
        <v>85.803319733001203</v>
      </c>
      <c r="N219" s="116">
        <v>87.981299292590904</v>
      </c>
      <c r="O219" s="116">
        <v>85.349573991420101</v>
      </c>
      <c r="P219" s="116">
        <v>87.209931531902896</v>
      </c>
      <c r="Q219" s="116">
        <v>94.55</v>
      </c>
      <c r="R219">
        <v>138080</v>
      </c>
    </row>
    <row r="220" spans="1:18" x14ac:dyDescent="0.25">
      <c r="A220" s="170">
        <v>42324</v>
      </c>
      <c r="B220" s="116">
        <v>85.108118525247903</v>
      </c>
      <c r="C220" s="116">
        <v>84.155415705935496</v>
      </c>
      <c r="D220" s="116">
        <v>84.110048905015802</v>
      </c>
      <c r="E220" s="116">
        <v>84.654450516051497</v>
      </c>
      <c r="F220" s="116">
        <v>92.75</v>
      </c>
      <c r="G220">
        <v>43196</v>
      </c>
      <c r="H220" s="116"/>
      <c r="I220" s="116"/>
      <c r="L220" s="170">
        <v>42324</v>
      </c>
      <c r="M220" s="116">
        <v>84.396707934099595</v>
      </c>
      <c r="N220" s="116">
        <v>85.304199417261998</v>
      </c>
      <c r="O220" s="116">
        <v>83.942962192518394</v>
      </c>
      <c r="P220" s="116">
        <v>85.304199417261998</v>
      </c>
      <c r="Q220" s="116">
        <v>93</v>
      </c>
      <c r="R220">
        <v>108404</v>
      </c>
    </row>
    <row r="221" spans="1:18" x14ac:dyDescent="0.25">
      <c r="A221" s="170">
        <v>42325</v>
      </c>
      <c r="B221" s="116">
        <v>86.0154545436408</v>
      </c>
      <c r="C221" s="116">
        <v>83.611014094899701</v>
      </c>
      <c r="D221" s="116">
        <v>83.1119792847837</v>
      </c>
      <c r="E221" s="116">
        <v>84.835917719730105</v>
      </c>
      <c r="F221" s="116">
        <v>92.15</v>
      </c>
      <c r="G221">
        <v>21312</v>
      </c>
      <c r="H221" s="116"/>
      <c r="I221" s="116"/>
      <c r="L221" s="170">
        <v>42325</v>
      </c>
      <c r="M221" s="116">
        <v>83.852213044202202</v>
      </c>
      <c r="N221" s="116">
        <v>86.166316326266198</v>
      </c>
      <c r="O221" s="116">
        <v>83.489216450937207</v>
      </c>
      <c r="P221" s="116">
        <v>85.031951972313294</v>
      </c>
      <c r="Q221" s="116">
        <v>92.4</v>
      </c>
      <c r="R221">
        <v>140931</v>
      </c>
    </row>
    <row r="222" spans="1:18" x14ac:dyDescent="0.25">
      <c r="A222" s="170">
        <v>42326</v>
      </c>
      <c r="B222" s="116">
        <v>84.835917719730105</v>
      </c>
      <c r="C222" s="116">
        <v>84.155415705935496</v>
      </c>
      <c r="D222" s="116">
        <v>83.883214900417599</v>
      </c>
      <c r="E222" s="116">
        <v>84.336882909614005</v>
      </c>
      <c r="F222" s="116">
        <v>92.75</v>
      </c>
      <c r="G222">
        <v>25647</v>
      </c>
      <c r="H222" s="116"/>
      <c r="I222" s="116"/>
      <c r="L222" s="170">
        <v>42326</v>
      </c>
      <c r="M222" s="116">
        <v>84.442082508257698</v>
      </c>
      <c r="N222" s="116">
        <v>85.031951972313294</v>
      </c>
      <c r="O222" s="116">
        <v>83.897587618360305</v>
      </c>
      <c r="P222" s="116">
        <v>83.897587618360305</v>
      </c>
      <c r="Q222" s="116">
        <v>93.05</v>
      </c>
      <c r="R222">
        <v>128378</v>
      </c>
    </row>
    <row r="223" spans="1:18" x14ac:dyDescent="0.25">
      <c r="A223" s="170">
        <v>42327</v>
      </c>
      <c r="B223" s="116">
        <v>85.471052932605105</v>
      </c>
      <c r="C223" s="116">
        <v>83.429546891221193</v>
      </c>
      <c r="D223" s="116">
        <v>82.658311275587295</v>
      </c>
      <c r="E223" s="116">
        <v>85.289585728926497</v>
      </c>
      <c r="F223" s="116">
        <v>91.95</v>
      </c>
      <c r="G223">
        <v>14943</v>
      </c>
      <c r="H223" s="116"/>
      <c r="I223" s="116"/>
      <c r="L223" s="170">
        <v>42327</v>
      </c>
      <c r="M223" s="116">
        <v>83.443841876779103</v>
      </c>
      <c r="N223" s="116">
        <v>85.7579451588431</v>
      </c>
      <c r="O223" s="116">
        <v>82.990096135197902</v>
      </c>
      <c r="P223" s="116">
        <v>85.304199417261998</v>
      </c>
      <c r="Q223" s="116">
        <v>91.95</v>
      </c>
      <c r="R223">
        <v>141838</v>
      </c>
    </row>
    <row r="224" spans="1:18" x14ac:dyDescent="0.25">
      <c r="A224" s="170">
        <v>42328</v>
      </c>
      <c r="B224" s="116">
        <v>83.792481298578295</v>
      </c>
      <c r="C224" s="116">
        <v>82.522210872828396</v>
      </c>
      <c r="D224" s="116">
        <v>81.614874854435499</v>
      </c>
      <c r="E224" s="116">
        <v>83.792481298578295</v>
      </c>
      <c r="F224" s="116">
        <v>90.95</v>
      </c>
      <c r="G224">
        <v>32790</v>
      </c>
      <c r="H224" s="116"/>
      <c r="I224" s="116"/>
      <c r="L224" s="170">
        <v>42328</v>
      </c>
      <c r="M224" s="116">
        <v>82.490975819458598</v>
      </c>
      <c r="N224" s="116">
        <v>83.852213044202202</v>
      </c>
      <c r="O224" s="116">
        <v>81.492735187980003</v>
      </c>
      <c r="P224" s="116">
        <v>83.489216450937207</v>
      </c>
      <c r="Q224" s="116">
        <v>90.9</v>
      </c>
      <c r="R224">
        <v>309770</v>
      </c>
    </row>
    <row r="225" spans="1:18" x14ac:dyDescent="0.25">
      <c r="A225" s="170">
        <v>42331</v>
      </c>
      <c r="B225" s="116">
        <v>85.652520136283599</v>
      </c>
      <c r="C225" s="116">
        <v>81.251940447078397</v>
      </c>
      <c r="D225" s="116">
        <v>80.8436392388016</v>
      </c>
      <c r="E225" s="116">
        <v>85.652520136283599</v>
      </c>
      <c r="F225" s="116">
        <v>89.55</v>
      </c>
      <c r="G225">
        <v>35537</v>
      </c>
      <c r="H225" s="116"/>
      <c r="I225" s="116"/>
      <c r="L225" s="170">
        <v>42331</v>
      </c>
      <c r="M225" s="116">
        <v>81.356611465505694</v>
      </c>
      <c r="N225" s="116">
        <v>83.443841876779103</v>
      </c>
      <c r="O225" s="116">
        <v>80.403745408185202</v>
      </c>
      <c r="P225" s="116">
        <v>83.443841876779103</v>
      </c>
      <c r="Q225" s="116">
        <v>89.65</v>
      </c>
      <c r="R225">
        <v>773250</v>
      </c>
    </row>
    <row r="226" spans="1:18" x14ac:dyDescent="0.25">
      <c r="A226" s="170">
        <v>42332</v>
      </c>
      <c r="B226" s="116">
        <v>83.973948502256903</v>
      </c>
      <c r="C226" s="116">
        <v>83.248079687542599</v>
      </c>
      <c r="D226" s="116">
        <v>80.299237627765905</v>
      </c>
      <c r="E226" s="116">
        <v>80.979739641560499</v>
      </c>
      <c r="F226" s="116">
        <v>91.75</v>
      </c>
      <c r="G226">
        <v>124090</v>
      </c>
      <c r="H226" s="116"/>
      <c r="I226" s="116"/>
      <c r="L226" s="170">
        <v>42332</v>
      </c>
      <c r="M226" s="116">
        <v>83.080845283514194</v>
      </c>
      <c r="N226" s="116">
        <v>83.852213044202202</v>
      </c>
      <c r="O226" s="116">
        <v>80.086123389078395</v>
      </c>
      <c r="P226" s="116">
        <v>81.175113168873196</v>
      </c>
      <c r="Q226" s="116">
        <v>91.55</v>
      </c>
      <c r="R226">
        <v>551236</v>
      </c>
    </row>
    <row r="227" spans="1:18" x14ac:dyDescent="0.25">
      <c r="A227" s="170">
        <v>42334</v>
      </c>
      <c r="B227" s="116">
        <v>84.382249710533699</v>
      </c>
      <c r="C227" s="116">
        <v>83.565647293980106</v>
      </c>
      <c r="D227" s="116">
        <v>82.113909664551599</v>
      </c>
      <c r="E227" s="116">
        <v>82.295376868230093</v>
      </c>
      <c r="F227" s="116">
        <v>92.1</v>
      </c>
      <c r="G227">
        <v>19802</v>
      </c>
      <c r="H227" s="116"/>
      <c r="I227" s="116"/>
      <c r="L227" s="170">
        <v>42334</v>
      </c>
      <c r="M227" s="116">
        <v>83.852213044202202</v>
      </c>
      <c r="N227" s="116">
        <v>84.396707934099595</v>
      </c>
      <c r="O227" s="116">
        <v>81.946480929561204</v>
      </c>
      <c r="P227" s="116">
        <v>81.946480929561204</v>
      </c>
      <c r="Q227" s="116">
        <v>92.4</v>
      </c>
      <c r="R227">
        <v>147974</v>
      </c>
    </row>
    <row r="228" spans="1:18" x14ac:dyDescent="0.25">
      <c r="A228" s="170">
        <v>42335</v>
      </c>
      <c r="B228" s="116">
        <v>85.198852127087207</v>
      </c>
      <c r="C228" s="116">
        <v>84.472983312372904</v>
      </c>
      <c r="D228" s="116">
        <v>83.1119792847837</v>
      </c>
      <c r="E228" s="116">
        <v>83.928581701337194</v>
      </c>
      <c r="F228" s="116">
        <v>93.1</v>
      </c>
      <c r="G228">
        <v>27523</v>
      </c>
      <c r="H228" s="116"/>
      <c r="I228" s="116"/>
      <c r="L228" s="170">
        <v>42335</v>
      </c>
      <c r="M228" s="116">
        <v>84.532831656573904</v>
      </c>
      <c r="N228" s="116">
        <v>85.304199417261998</v>
      </c>
      <c r="O228" s="116">
        <v>83.1715944318304</v>
      </c>
      <c r="P228" s="116">
        <v>83.852213044202202</v>
      </c>
      <c r="Q228" s="116">
        <v>93.15</v>
      </c>
      <c r="R228">
        <v>102574</v>
      </c>
    </row>
    <row r="229" spans="1:18" x14ac:dyDescent="0.25">
      <c r="A229" s="170">
        <v>42338</v>
      </c>
      <c r="B229" s="116">
        <v>85.833987339962206</v>
      </c>
      <c r="C229" s="116">
        <v>84.926651321569395</v>
      </c>
      <c r="D229" s="116">
        <v>84.382249710533699</v>
      </c>
      <c r="E229" s="116">
        <v>84.382249710533699</v>
      </c>
      <c r="F229" s="116">
        <v>93.6</v>
      </c>
      <c r="G229">
        <v>29270</v>
      </c>
      <c r="H229" s="116"/>
      <c r="I229" s="116"/>
      <c r="L229" s="170">
        <v>42338</v>
      </c>
      <c r="M229" s="116">
        <v>85.031951972313294</v>
      </c>
      <c r="N229" s="116">
        <v>86.211690900424301</v>
      </c>
      <c r="O229" s="116">
        <v>83.761463895885896</v>
      </c>
      <c r="P229" s="116">
        <v>83.761463895885896</v>
      </c>
      <c r="Q229" s="116">
        <v>93.7</v>
      </c>
      <c r="R229">
        <v>234871</v>
      </c>
    </row>
    <row r="230" spans="1:18" x14ac:dyDescent="0.25">
      <c r="A230" s="170">
        <v>42339</v>
      </c>
      <c r="B230" s="116">
        <v>85.743253738122903</v>
      </c>
      <c r="C230" s="116">
        <v>85.153485326167598</v>
      </c>
      <c r="D230" s="116">
        <v>84.835917719730105</v>
      </c>
      <c r="E230" s="116">
        <v>84.926651321569395</v>
      </c>
      <c r="F230" s="116">
        <v>93.85</v>
      </c>
      <c r="G230">
        <v>14901</v>
      </c>
      <c r="H230" s="116"/>
      <c r="I230" s="116"/>
      <c r="L230" s="170">
        <v>42339</v>
      </c>
      <c r="M230" s="116">
        <v>85.304199417261998</v>
      </c>
      <c r="N230" s="116">
        <v>85.894068881317494</v>
      </c>
      <c r="O230" s="116">
        <v>84.8958282498389</v>
      </c>
      <c r="P230" s="116">
        <v>85.803319733001203</v>
      </c>
      <c r="Q230" s="116">
        <v>94</v>
      </c>
      <c r="R230">
        <v>548019</v>
      </c>
    </row>
    <row r="231" spans="1:18" x14ac:dyDescent="0.25">
      <c r="A231" s="170">
        <v>42340</v>
      </c>
      <c r="B231" s="116">
        <v>96.631285958836898</v>
      </c>
      <c r="C231" s="116">
        <v>94.453679514694102</v>
      </c>
      <c r="D231" s="116">
        <v>85.289585728926497</v>
      </c>
      <c r="E231" s="116">
        <v>85.289585728926497</v>
      </c>
      <c r="F231" s="116">
        <v>104.1</v>
      </c>
      <c r="G231">
        <v>332120</v>
      </c>
      <c r="H231" s="116"/>
      <c r="I231" s="116"/>
      <c r="L231" s="170">
        <v>42340</v>
      </c>
      <c r="M231" s="116">
        <v>94.469863397201806</v>
      </c>
      <c r="N231" s="116">
        <v>96.647842956791493</v>
      </c>
      <c r="O231" s="116">
        <v>84.941202823997003</v>
      </c>
      <c r="P231" s="116">
        <v>84.941202823997003</v>
      </c>
      <c r="Q231" s="116">
        <v>104.1</v>
      </c>
      <c r="R231">
        <v>2075941</v>
      </c>
    </row>
    <row r="232" spans="1:18" x14ac:dyDescent="0.25">
      <c r="A232" s="170">
        <v>42341</v>
      </c>
      <c r="B232" s="116">
        <v>102.075302069194</v>
      </c>
      <c r="C232" s="116">
        <v>99.171826810336896</v>
      </c>
      <c r="D232" s="116">
        <v>94.725880320211999</v>
      </c>
      <c r="E232" s="116">
        <v>95.179548329408405</v>
      </c>
      <c r="F232" s="116">
        <v>109.3</v>
      </c>
      <c r="G232">
        <v>640003</v>
      </c>
      <c r="H232" s="116"/>
      <c r="I232" s="116"/>
      <c r="L232" s="170">
        <v>42341</v>
      </c>
      <c r="M232" s="116">
        <v>99.687939425385395</v>
      </c>
      <c r="N232" s="116">
        <v>102.274290152398</v>
      </c>
      <c r="O232" s="116">
        <v>94.787485416308598</v>
      </c>
      <c r="P232" s="116">
        <v>95.014358287099199</v>
      </c>
      <c r="Q232" s="116">
        <v>109.85</v>
      </c>
      <c r="R232">
        <v>3394695</v>
      </c>
    </row>
    <row r="233" spans="1:18" x14ac:dyDescent="0.25">
      <c r="A233" s="170">
        <v>42342</v>
      </c>
      <c r="B233" s="116">
        <v>99.806962023211895</v>
      </c>
      <c r="C233" s="116">
        <v>97.130320768952998</v>
      </c>
      <c r="D233" s="116">
        <v>95.633216338604797</v>
      </c>
      <c r="E233" s="116">
        <v>98.854259203899403</v>
      </c>
      <c r="F233" s="116">
        <v>107.05</v>
      </c>
      <c r="G233">
        <v>157307</v>
      </c>
      <c r="H233" s="116"/>
      <c r="I233" s="116"/>
      <c r="L233" s="170">
        <v>42342</v>
      </c>
      <c r="M233" s="116">
        <v>97.328461569163196</v>
      </c>
      <c r="N233" s="116">
        <v>100.096310592808</v>
      </c>
      <c r="O233" s="116">
        <v>95.558853176996607</v>
      </c>
      <c r="P233" s="116">
        <v>99.597190277069103</v>
      </c>
      <c r="Q233" s="116">
        <v>107.25</v>
      </c>
      <c r="R233">
        <v>1100337</v>
      </c>
    </row>
    <row r="234" spans="1:18" x14ac:dyDescent="0.25">
      <c r="A234" s="170">
        <v>42345</v>
      </c>
      <c r="B234" s="116">
        <v>98.808892402979694</v>
      </c>
      <c r="C234" s="116">
        <v>95.088814727569101</v>
      </c>
      <c r="D234" s="116">
        <v>93.909277903658406</v>
      </c>
      <c r="E234" s="116">
        <v>98.808892402979694</v>
      </c>
      <c r="F234" s="116">
        <v>104.8</v>
      </c>
      <c r="G234">
        <v>65768</v>
      </c>
      <c r="H234" s="116"/>
      <c r="I234" s="116"/>
      <c r="L234" s="170">
        <v>42345</v>
      </c>
      <c r="M234" s="116">
        <v>95.331980306206006</v>
      </c>
      <c r="N234" s="116">
        <v>98.462825923116199</v>
      </c>
      <c r="O234" s="116">
        <v>94.016117655620604</v>
      </c>
      <c r="P234" s="116">
        <v>97.464585291637604</v>
      </c>
      <c r="Q234" s="116">
        <v>105.05</v>
      </c>
      <c r="R234">
        <v>518306</v>
      </c>
    </row>
    <row r="235" spans="1:18" x14ac:dyDescent="0.25">
      <c r="A235" s="170">
        <v>42346</v>
      </c>
      <c r="B235" s="116">
        <v>101.07723244896199</v>
      </c>
      <c r="C235" s="116">
        <v>97.4932551763101</v>
      </c>
      <c r="D235" s="116">
        <v>94.362945912854798</v>
      </c>
      <c r="E235" s="116">
        <v>94.544413116533406</v>
      </c>
      <c r="F235" s="116">
        <v>107.45</v>
      </c>
      <c r="G235">
        <v>137777</v>
      </c>
      <c r="H235" s="116"/>
      <c r="I235" s="116"/>
      <c r="L235" s="170">
        <v>42346</v>
      </c>
      <c r="M235" s="116">
        <v>97.555334439953796</v>
      </c>
      <c r="N235" s="116">
        <v>101.13992579844501</v>
      </c>
      <c r="O235" s="116">
        <v>94.016117655620604</v>
      </c>
      <c r="P235" s="116">
        <v>95.286605732047903</v>
      </c>
      <c r="Q235" s="116">
        <v>107.5</v>
      </c>
      <c r="R235">
        <v>847497</v>
      </c>
    </row>
    <row r="236" spans="1:18" x14ac:dyDescent="0.25">
      <c r="A236" s="170">
        <v>42347</v>
      </c>
      <c r="B236" s="116">
        <v>97.538621977229795</v>
      </c>
      <c r="C236" s="116">
        <v>95.179548329408405</v>
      </c>
      <c r="D236" s="116">
        <v>93.274142690783407</v>
      </c>
      <c r="E236" s="116">
        <v>93.500976695381596</v>
      </c>
      <c r="F236" s="116">
        <v>104.9</v>
      </c>
      <c r="G236">
        <v>74552</v>
      </c>
      <c r="H236" s="116"/>
      <c r="I236" s="116"/>
      <c r="L236" s="170">
        <v>42347</v>
      </c>
      <c r="M236" s="116">
        <v>95.286605732047903</v>
      </c>
      <c r="N236" s="116">
        <v>97.464585291637604</v>
      </c>
      <c r="O236" s="116">
        <v>93.017877024141995</v>
      </c>
      <c r="P236" s="116">
        <v>97.464585291637604</v>
      </c>
      <c r="Q236" s="116">
        <v>105</v>
      </c>
      <c r="R236">
        <v>471666</v>
      </c>
    </row>
    <row r="237" spans="1:18" x14ac:dyDescent="0.25">
      <c r="A237" s="170">
        <v>42348</v>
      </c>
      <c r="B237" s="116">
        <v>97.901556384586897</v>
      </c>
      <c r="C237" s="116">
        <v>96.994220366194099</v>
      </c>
      <c r="D237" s="116">
        <v>95.270281931247695</v>
      </c>
      <c r="E237" s="116">
        <v>96.495185556077999</v>
      </c>
      <c r="F237" s="116">
        <v>106.9</v>
      </c>
      <c r="G237">
        <v>60988</v>
      </c>
      <c r="H237" s="116"/>
      <c r="I237" s="116"/>
      <c r="L237" s="170">
        <v>42348</v>
      </c>
      <c r="M237" s="116">
        <v>97.146963272530797</v>
      </c>
      <c r="N237" s="116">
        <v>98.009080181534998</v>
      </c>
      <c r="O237" s="116">
        <v>94.832859990466702</v>
      </c>
      <c r="P237" s="116">
        <v>97.101588698372694</v>
      </c>
      <c r="Q237" s="116">
        <v>107.05</v>
      </c>
      <c r="R237">
        <v>704818</v>
      </c>
    </row>
    <row r="238" spans="1:18" x14ac:dyDescent="0.25">
      <c r="A238" s="170">
        <v>42349</v>
      </c>
      <c r="B238" s="116">
        <v>101.440166856319</v>
      </c>
      <c r="C238" s="116">
        <v>97.583988778149404</v>
      </c>
      <c r="D238" s="116">
        <v>96.177617949640506</v>
      </c>
      <c r="E238" s="116">
        <v>96.177617949640506</v>
      </c>
      <c r="F238" s="116">
        <v>107.55</v>
      </c>
      <c r="G238">
        <v>117455</v>
      </c>
      <c r="H238" s="116"/>
      <c r="I238" s="116"/>
      <c r="L238" s="170">
        <v>42349</v>
      </c>
      <c r="M238" s="116">
        <v>97.8275818849025</v>
      </c>
      <c r="N238" s="116">
        <v>101.230674946761</v>
      </c>
      <c r="O238" s="116">
        <v>95.740351473629104</v>
      </c>
      <c r="P238" s="116">
        <v>97.555334439953796</v>
      </c>
      <c r="Q238" s="116">
        <v>107.8</v>
      </c>
      <c r="R238">
        <v>591693</v>
      </c>
    </row>
    <row r="239" spans="1:18" x14ac:dyDescent="0.25">
      <c r="A239" s="170">
        <v>42352</v>
      </c>
      <c r="B239" s="116">
        <v>99.7615952222922</v>
      </c>
      <c r="C239" s="116">
        <v>97.039587167113694</v>
      </c>
      <c r="D239" s="116">
        <v>95.678583139524406</v>
      </c>
      <c r="E239" s="116">
        <v>97.946923185506506</v>
      </c>
      <c r="F239" s="116">
        <v>106.95</v>
      </c>
      <c r="G239">
        <v>64861</v>
      </c>
      <c r="H239" s="116"/>
      <c r="I239" s="116"/>
      <c r="L239" s="170">
        <v>42352</v>
      </c>
      <c r="M239" s="116">
        <v>96.920090401740197</v>
      </c>
      <c r="N239" s="116">
        <v>99.824063147859704</v>
      </c>
      <c r="O239" s="116">
        <v>95.513478602838504</v>
      </c>
      <c r="P239" s="116">
        <v>97.101588698372694</v>
      </c>
      <c r="Q239" s="116">
        <v>106.8</v>
      </c>
      <c r="R239">
        <v>323604</v>
      </c>
    </row>
    <row r="240" spans="1:18" x14ac:dyDescent="0.25">
      <c r="A240" s="170">
        <v>42353</v>
      </c>
      <c r="B240" s="116">
        <v>100.805031643444</v>
      </c>
      <c r="C240" s="116">
        <v>99.489394416774402</v>
      </c>
      <c r="D240" s="116">
        <v>96.177617949640506</v>
      </c>
      <c r="E240" s="116">
        <v>96.903486764354795</v>
      </c>
      <c r="F240" s="116">
        <v>109.65</v>
      </c>
      <c r="G240">
        <v>89972</v>
      </c>
      <c r="H240" s="116"/>
      <c r="I240" s="116"/>
      <c r="L240" s="170">
        <v>42353</v>
      </c>
      <c r="M240" s="116">
        <v>99.506441128752897</v>
      </c>
      <c r="N240" s="116">
        <v>101.003802075971</v>
      </c>
      <c r="O240" s="116">
        <v>95.785726047787193</v>
      </c>
      <c r="P240" s="116">
        <v>97.509959865795693</v>
      </c>
      <c r="Q240" s="116">
        <v>109.65</v>
      </c>
      <c r="R240">
        <v>409411</v>
      </c>
    </row>
    <row r="241" spans="1:18" x14ac:dyDescent="0.25">
      <c r="A241" s="170">
        <v>42354</v>
      </c>
      <c r="B241" s="116">
        <v>100.71429804160501</v>
      </c>
      <c r="C241" s="116">
        <v>97.538621977229795</v>
      </c>
      <c r="D241" s="116">
        <v>97.175687569872593</v>
      </c>
      <c r="E241" s="116">
        <v>97.266421171711897</v>
      </c>
      <c r="F241" s="116">
        <v>107.5</v>
      </c>
      <c r="G241">
        <v>38076</v>
      </c>
      <c r="H241" s="116"/>
      <c r="I241" s="116"/>
      <c r="L241" s="170">
        <v>42354</v>
      </c>
      <c r="M241" s="116">
        <v>97.555334439953796</v>
      </c>
      <c r="N241" s="116">
        <v>100.73155463102199</v>
      </c>
      <c r="O241" s="116">
        <v>97.101588698372694</v>
      </c>
      <c r="P241" s="116">
        <v>100.73155463102199</v>
      </c>
      <c r="Q241" s="116">
        <v>107.5</v>
      </c>
      <c r="R241">
        <v>223173</v>
      </c>
    </row>
    <row r="242" spans="1:18" x14ac:dyDescent="0.25">
      <c r="A242" s="170">
        <v>42355</v>
      </c>
      <c r="B242" s="116">
        <v>102.801170883908</v>
      </c>
      <c r="C242" s="116">
        <v>101.21333285172101</v>
      </c>
      <c r="D242" s="116">
        <v>97.175687569872593</v>
      </c>
      <c r="E242" s="116">
        <v>97.720089180908303</v>
      </c>
      <c r="F242" s="116">
        <v>111.55</v>
      </c>
      <c r="G242">
        <v>153124</v>
      </c>
      <c r="H242" s="116"/>
      <c r="I242" s="116"/>
      <c r="L242" s="170">
        <v>42355</v>
      </c>
      <c r="M242" s="116">
        <v>101.41217324339399</v>
      </c>
      <c r="N242" s="116">
        <v>102.90953419061201</v>
      </c>
      <c r="O242" s="116">
        <v>97.283086995005107</v>
      </c>
      <c r="P242" s="116">
        <v>97.283086995005107</v>
      </c>
      <c r="Q242" s="116">
        <v>111.75</v>
      </c>
      <c r="R242">
        <v>538121</v>
      </c>
    </row>
    <row r="243" spans="1:18" x14ac:dyDescent="0.25">
      <c r="A243" s="170">
        <v>42356</v>
      </c>
      <c r="B243" s="116">
        <v>104.797310124372</v>
      </c>
      <c r="C243" s="116">
        <v>100.48746403700601</v>
      </c>
      <c r="D243" s="116">
        <v>99.580128018613607</v>
      </c>
      <c r="E243" s="116">
        <v>102.075302069194</v>
      </c>
      <c r="F243" s="116">
        <v>110.75</v>
      </c>
      <c r="G243">
        <v>116827</v>
      </c>
      <c r="H243" s="116"/>
      <c r="I243" s="116"/>
      <c r="L243" s="170">
        <v>42356</v>
      </c>
      <c r="M243" s="116">
        <v>100.640805482706</v>
      </c>
      <c r="N243" s="116">
        <v>105.04213917604299</v>
      </c>
      <c r="O243" s="116">
        <v>99.824063147859704</v>
      </c>
      <c r="P243" s="116">
        <v>101.50292239171</v>
      </c>
      <c r="Q243" s="116">
        <v>110.9</v>
      </c>
      <c r="R243">
        <v>805285</v>
      </c>
    </row>
    <row r="244" spans="1:18" x14ac:dyDescent="0.25">
      <c r="A244" s="170">
        <v>42359</v>
      </c>
      <c r="B244" s="116">
        <v>103.88997410598</v>
      </c>
      <c r="C244" s="116">
        <v>102.755804082989</v>
      </c>
      <c r="D244" s="116">
        <v>100.07916282873001</v>
      </c>
      <c r="E244" s="116">
        <v>101.031865648042</v>
      </c>
      <c r="F244" s="116">
        <v>113.25</v>
      </c>
      <c r="G244">
        <v>68357</v>
      </c>
      <c r="H244" s="116"/>
      <c r="I244" s="116"/>
      <c r="L244" s="170">
        <v>42359</v>
      </c>
      <c r="M244" s="116">
        <v>102.728035893979</v>
      </c>
      <c r="N244" s="116">
        <v>103.726276525458</v>
      </c>
      <c r="O244" s="116">
        <v>99.824063147859704</v>
      </c>
      <c r="P244" s="116">
        <v>100.640805482706</v>
      </c>
      <c r="Q244" s="116">
        <v>113.2</v>
      </c>
      <c r="R244">
        <v>524019</v>
      </c>
    </row>
    <row r="245" spans="1:18" x14ac:dyDescent="0.25">
      <c r="A245" s="170">
        <v>42360</v>
      </c>
      <c r="B245" s="116">
        <v>103.98070770781899</v>
      </c>
      <c r="C245" s="116">
        <v>101.530900458158</v>
      </c>
      <c r="D245" s="116">
        <v>100.94113204620299</v>
      </c>
      <c r="E245" s="116">
        <v>101.803101263676</v>
      </c>
      <c r="F245" s="116">
        <v>111.9</v>
      </c>
      <c r="G245">
        <v>68789</v>
      </c>
      <c r="H245" s="116"/>
      <c r="I245" s="116"/>
      <c r="L245" s="170">
        <v>42360</v>
      </c>
      <c r="M245" s="116">
        <v>101.639046114184</v>
      </c>
      <c r="N245" s="116">
        <v>104.089273118723</v>
      </c>
      <c r="O245" s="116">
        <v>100.867678353496</v>
      </c>
      <c r="P245" s="116">
        <v>103.6809019513</v>
      </c>
      <c r="Q245" s="116">
        <v>112</v>
      </c>
      <c r="R245">
        <v>308393</v>
      </c>
    </row>
    <row r="246" spans="1:18" x14ac:dyDescent="0.25">
      <c r="A246" s="170">
        <v>42361</v>
      </c>
      <c r="B246" s="116">
        <v>106.43051495748</v>
      </c>
      <c r="C246" s="116">
        <v>104.75194332345301</v>
      </c>
      <c r="D246" s="116">
        <v>100.71429804160501</v>
      </c>
      <c r="E246" s="116">
        <v>100.71429804160501</v>
      </c>
      <c r="F246" s="116">
        <v>115.45</v>
      </c>
      <c r="G246">
        <v>208211</v>
      </c>
      <c r="H246" s="116"/>
      <c r="I246" s="116"/>
      <c r="L246" s="170">
        <v>42361</v>
      </c>
      <c r="M246" s="116">
        <v>104.951390027727</v>
      </c>
      <c r="N246" s="116">
        <v>106.312627252471</v>
      </c>
      <c r="O246" s="116">
        <v>100.95842750181301</v>
      </c>
      <c r="P246" s="116">
        <v>101.639046114184</v>
      </c>
      <c r="Q246" s="116">
        <v>115.65</v>
      </c>
      <c r="R246">
        <v>974884</v>
      </c>
    </row>
    <row r="247" spans="1:18" x14ac:dyDescent="0.25">
      <c r="A247" s="170">
        <v>42362</v>
      </c>
      <c r="B247" s="116">
        <v>107.70078538323</v>
      </c>
      <c r="C247" s="116">
        <v>107.02028336943501</v>
      </c>
      <c r="D247" s="116">
        <v>104.207541712417</v>
      </c>
      <c r="E247" s="116">
        <v>104.389008916096</v>
      </c>
      <c r="F247" s="116">
        <v>117.95</v>
      </c>
      <c r="G247">
        <v>268112</v>
      </c>
      <c r="H247" s="116"/>
      <c r="I247" s="116"/>
      <c r="L247" s="170">
        <v>42362</v>
      </c>
      <c r="M247" s="116">
        <v>107.22011873563299</v>
      </c>
      <c r="N247" s="116">
        <v>107.946111922163</v>
      </c>
      <c r="O247" s="116">
        <v>103.99852397040701</v>
      </c>
      <c r="P247" s="116">
        <v>105.67738321425701</v>
      </c>
      <c r="Q247" s="116">
        <v>118.15</v>
      </c>
      <c r="R247">
        <v>1664847</v>
      </c>
    </row>
    <row r="248" spans="1:18" x14ac:dyDescent="0.25">
      <c r="A248" s="170">
        <v>42366</v>
      </c>
      <c r="B248" s="116">
        <v>108.88032220714</v>
      </c>
      <c r="C248" s="116">
        <v>104.525109318855</v>
      </c>
      <c r="D248" s="116">
        <v>103.527039698622</v>
      </c>
      <c r="E248" s="116">
        <v>107.201750573113</v>
      </c>
      <c r="F248" s="116">
        <v>115.2</v>
      </c>
      <c r="G248">
        <v>638256</v>
      </c>
      <c r="H248" s="116"/>
      <c r="I248" s="116"/>
      <c r="L248" s="170">
        <v>42366</v>
      </c>
      <c r="M248" s="116">
        <v>104.996764601885</v>
      </c>
      <c r="N248" s="116">
        <v>109.080476276116</v>
      </c>
      <c r="O248" s="116">
        <v>104.361520563672</v>
      </c>
      <c r="P248" s="116">
        <v>107.90073734800499</v>
      </c>
      <c r="Q248" s="116">
        <v>115.7</v>
      </c>
      <c r="R248">
        <v>702580</v>
      </c>
    </row>
    <row r="249" spans="1:18" x14ac:dyDescent="0.25">
      <c r="A249" s="170">
        <v>42367</v>
      </c>
      <c r="B249" s="116">
        <v>105.704646142765</v>
      </c>
      <c r="C249" s="116">
        <v>103.436306096783</v>
      </c>
      <c r="D249" s="116">
        <v>102.84653768482799</v>
      </c>
      <c r="E249" s="116">
        <v>104.343642115176</v>
      </c>
      <c r="F249" s="116">
        <v>114</v>
      </c>
      <c r="G249">
        <v>84609</v>
      </c>
      <c r="H249" s="116"/>
      <c r="I249" s="116"/>
      <c r="L249" s="170">
        <v>42367</v>
      </c>
      <c r="M249" s="116">
        <v>103.59015280298399</v>
      </c>
      <c r="N249" s="116">
        <v>106.176503529996</v>
      </c>
      <c r="O249" s="116">
        <v>102.90953419061201</v>
      </c>
      <c r="P249" s="116">
        <v>104.951390027727</v>
      </c>
      <c r="Q249" s="116">
        <v>114.15</v>
      </c>
      <c r="R249">
        <v>932031</v>
      </c>
    </row>
    <row r="250" spans="1:18" x14ac:dyDescent="0.25">
      <c r="A250" s="170">
        <v>42368</v>
      </c>
      <c r="B250" s="116">
        <v>106.158314151962</v>
      </c>
      <c r="C250" s="116">
        <v>104.61584292069401</v>
      </c>
      <c r="D250" s="116">
        <v>104.343642115176</v>
      </c>
      <c r="E250" s="116">
        <v>105.25097813356901</v>
      </c>
      <c r="F250" s="116">
        <v>115.3</v>
      </c>
      <c r="G250">
        <v>179623</v>
      </c>
      <c r="H250" s="116"/>
      <c r="I250" s="116"/>
      <c r="L250" s="170">
        <v>42368</v>
      </c>
      <c r="M250" s="116">
        <v>104.815266305253</v>
      </c>
      <c r="N250" s="116">
        <v>106.176503529996</v>
      </c>
      <c r="O250" s="116">
        <v>104.361520563672</v>
      </c>
      <c r="P250" s="116">
        <v>105.26901204683401</v>
      </c>
      <c r="Q250" s="116">
        <v>115.5</v>
      </c>
      <c r="R250">
        <v>1845231</v>
      </c>
    </row>
    <row r="251" spans="1:18" x14ac:dyDescent="0.25">
      <c r="A251" s="170">
        <v>42369</v>
      </c>
      <c r="B251" s="116">
        <v>107.564684980471</v>
      </c>
      <c r="C251" s="116">
        <v>105.88611334644401</v>
      </c>
      <c r="D251" s="116">
        <v>103.88997410598</v>
      </c>
      <c r="E251" s="116">
        <v>104.434375717015</v>
      </c>
      <c r="F251" s="116">
        <v>116.7</v>
      </c>
      <c r="G251">
        <v>284549</v>
      </c>
      <c r="H251" s="116"/>
      <c r="I251" s="116"/>
      <c r="L251" s="170">
        <v>42369</v>
      </c>
      <c r="M251" s="116">
        <v>105.94963065920599</v>
      </c>
      <c r="N251" s="116">
        <v>107.583115328898</v>
      </c>
      <c r="O251" s="116">
        <v>103.90777482209</v>
      </c>
      <c r="P251" s="116">
        <v>104.815266305253</v>
      </c>
      <c r="Q251" s="116">
        <v>116.75</v>
      </c>
      <c r="R251">
        <v>4302272</v>
      </c>
    </row>
    <row r="252" spans="1:18" x14ac:dyDescent="0.25">
      <c r="A252" s="170">
        <v>42370</v>
      </c>
      <c r="B252" s="116">
        <v>110.55889384116701</v>
      </c>
      <c r="C252" s="116">
        <v>108.78958860530101</v>
      </c>
      <c r="D252" s="116">
        <v>104.842676925292</v>
      </c>
      <c r="E252" s="116">
        <v>104.842676925292</v>
      </c>
      <c r="F252" s="116">
        <v>119.9</v>
      </c>
      <c r="G252">
        <v>691528</v>
      </c>
      <c r="H252" s="116"/>
      <c r="I252" s="116"/>
      <c r="L252" s="170">
        <v>42370</v>
      </c>
      <c r="M252" s="116">
        <v>109.30734914690601</v>
      </c>
      <c r="N252" s="116">
        <v>110.713960945808</v>
      </c>
      <c r="O252" s="116">
        <v>105.04213917604299</v>
      </c>
      <c r="P252" s="116">
        <v>106.494125549103</v>
      </c>
      <c r="Q252" s="116">
        <v>120.45</v>
      </c>
      <c r="R252">
        <v>3602977</v>
      </c>
    </row>
    <row r="253" spans="1:18" x14ac:dyDescent="0.25">
      <c r="A253" s="170">
        <v>42373</v>
      </c>
      <c r="B253" s="116">
        <v>111.148662253122</v>
      </c>
      <c r="C253" s="116">
        <v>108.335920596105</v>
      </c>
      <c r="D253" s="116">
        <v>106.793449364837</v>
      </c>
      <c r="E253" s="116">
        <v>110.15059263289</v>
      </c>
      <c r="F253" s="116">
        <v>119.4</v>
      </c>
      <c r="G253">
        <v>129583</v>
      </c>
      <c r="H253" s="116"/>
      <c r="I253" s="116"/>
      <c r="L253" s="170">
        <v>42373</v>
      </c>
      <c r="M253" s="116">
        <v>108.672105108693</v>
      </c>
      <c r="N253" s="116">
        <v>111.167706687389</v>
      </c>
      <c r="O253" s="116">
        <v>106.630249271577</v>
      </c>
      <c r="P253" s="116">
        <v>108.808228831167</v>
      </c>
      <c r="Q253" s="116">
        <v>119.75</v>
      </c>
      <c r="R253">
        <v>786763</v>
      </c>
    </row>
    <row r="254" spans="1:18" x14ac:dyDescent="0.25">
      <c r="A254" s="170">
        <v>42374</v>
      </c>
      <c r="B254" s="116">
        <v>110.468160239328</v>
      </c>
      <c r="C254" s="116">
        <v>107.564684980471</v>
      </c>
      <c r="D254" s="116">
        <v>106.294414554721</v>
      </c>
      <c r="E254" s="116">
        <v>108.88032220714</v>
      </c>
      <c r="F254" s="116">
        <v>118.55</v>
      </c>
      <c r="G254">
        <v>127674</v>
      </c>
      <c r="H254" s="116"/>
      <c r="I254" s="116"/>
      <c r="L254" s="170">
        <v>42374</v>
      </c>
      <c r="M254" s="116">
        <v>108.03686107047901</v>
      </c>
      <c r="N254" s="116">
        <v>110.623211797492</v>
      </c>
      <c r="O254" s="116">
        <v>106.35800182662901</v>
      </c>
      <c r="P254" s="116">
        <v>108.98972712779999</v>
      </c>
      <c r="Q254" s="116">
        <v>119.05</v>
      </c>
      <c r="R254">
        <v>1012751</v>
      </c>
    </row>
    <row r="255" spans="1:18" x14ac:dyDescent="0.25">
      <c r="A255" s="170">
        <v>42375</v>
      </c>
      <c r="B255" s="116">
        <v>109.016422609899</v>
      </c>
      <c r="C255" s="116">
        <v>107.02028336943501</v>
      </c>
      <c r="D255" s="116">
        <v>106.475881758399</v>
      </c>
      <c r="E255" s="116">
        <v>107.065650170355</v>
      </c>
      <c r="F255" s="116">
        <v>117.95</v>
      </c>
      <c r="G255">
        <v>56840</v>
      </c>
      <c r="H255" s="116"/>
      <c r="I255" s="116"/>
      <c r="L255" s="170">
        <v>42375</v>
      </c>
      <c r="M255" s="116">
        <v>107.22011873563299</v>
      </c>
      <c r="N255" s="116">
        <v>108.808228831167</v>
      </c>
      <c r="O255" s="116">
        <v>106.53950012326101</v>
      </c>
      <c r="P255" s="116">
        <v>108.535981386218</v>
      </c>
      <c r="Q255" s="116">
        <v>118.15</v>
      </c>
      <c r="R255">
        <v>412322</v>
      </c>
    </row>
    <row r="256" spans="1:18" x14ac:dyDescent="0.25">
      <c r="A256" s="170">
        <v>42376</v>
      </c>
      <c r="B256" s="116">
        <v>109.606191021854</v>
      </c>
      <c r="C256" s="116">
        <v>106.88418296667599</v>
      </c>
      <c r="D256" s="116">
        <v>104.797310124372</v>
      </c>
      <c r="E256" s="116">
        <v>107.882252586908</v>
      </c>
      <c r="F256" s="116">
        <v>117.8</v>
      </c>
      <c r="G256">
        <v>137018</v>
      </c>
      <c r="H256" s="116"/>
      <c r="I256" s="116"/>
      <c r="L256" s="170">
        <v>42376</v>
      </c>
      <c r="M256" s="116">
        <v>107.129369587317</v>
      </c>
      <c r="N256" s="116">
        <v>109.80646946264601</v>
      </c>
      <c r="O256" s="116">
        <v>104.906015453569</v>
      </c>
      <c r="P256" s="116">
        <v>106.902496716526</v>
      </c>
      <c r="Q256" s="116">
        <v>118.05</v>
      </c>
      <c r="R256">
        <v>1148207</v>
      </c>
    </row>
    <row r="257" spans="1:18" x14ac:dyDescent="0.25">
      <c r="A257" s="170">
        <v>42377</v>
      </c>
      <c r="B257" s="116">
        <v>109.15252301265799</v>
      </c>
      <c r="C257" s="116">
        <v>107.836885785988</v>
      </c>
      <c r="D257" s="116">
        <v>105.25097813356901</v>
      </c>
      <c r="E257" s="116">
        <v>105.25097813356901</v>
      </c>
      <c r="F257" s="116">
        <v>118.85</v>
      </c>
      <c r="G257">
        <v>98360</v>
      </c>
      <c r="H257" s="116"/>
      <c r="I257" s="116"/>
      <c r="L257" s="170">
        <v>42377</v>
      </c>
      <c r="M257" s="116">
        <v>107.991486496321</v>
      </c>
      <c r="N257" s="116">
        <v>109.352723721065</v>
      </c>
      <c r="O257" s="116">
        <v>106.902496716526</v>
      </c>
      <c r="P257" s="116">
        <v>106.902496716526</v>
      </c>
      <c r="Q257" s="116">
        <v>119</v>
      </c>
      <c r="R257">
        <v>882484</v>
      </c>
    </row>
    <row r="258" spans="1:18" x14ac:dyDescent="0.25">
      <c r="A258" s="170">
        <v>42380</v>
      </c>
      <c r="B258" s="116">
        <v>112.418932678872</v>
      </c>
      <c r="C258" s="116">
        <v>111.239395854962</v>
      </c>
      <c r="D258" s="116">
        <v>105.931480147363</v>
      </c>
      <c r="E258" s="116">
        <v>107.836885785988</v>
      </c>
      <c r="F258" s="116">
        <v>122.6</v>
      </c>
      <c r="G258">
        <v>163336</v>
      </c>
      <c r="H258" s="116"/>
      <c r="I258" s="116"/>
      <c r="L258" s="170">
        <v>42380</v>
      </c>
      <c r="M258" s="116">
        <v>111.48532870649601</v>
      </c>
      <c r="N258" s="116">
        <v>112.302071041342</v>
      </c>
      <c r="O258" s="116">
        <v>106.176503529996</v>
      </c>
      <c r="P258" s="116">
        <v>106.630249271577</v>
      </c>
      <c r="Q258" s="116">
        <v>122.85</v>
      </c>
      <c r="R258">
        <v>915778</v>
      </c>
    </row>
    <row r="259" spans="1:18" x14ac:dyDescent="0.25">
      <c r="A259" s="170">
        <v>42381</v>
      </c>
      <c r="B259" s="116">
        <v>113.235535095426</v>
      </c>
      <c r="C259" s="116">
        <v>109.606191021854</v>
      </c>
      <c r="D259" s="116">
        <v>106.33978135564</v>
      </c>
      <c r="E259" s="116">
        <v>112.509666280712</v>
      </c>
      <c r="F259" s="116">
        <v>120.8</v>
      </c>
      <c r="G259">
        <v>106690</v>
      </c>
      <c r="H259" s="116"/>
      <c r="I259" s="116"/>
      <c r="L259" s="170">
        <v>42381</v>
      </c>
      <c r="M259" s="116">
        <v>109.80646946264601</v>
      </c>
      <c r="N259" s="116">
        <v>113.118813376188</v>
      </c>
      <c r="O259" s="116">
        <v>106.35800182662901</v>
      </c>
      <c r="P259" s="116">
        <v>112.84656593123999</v>
      </c>
      <c r="Q259" s="116">
        <v>121</v>
      </c>
      <c r="R259">
        <v>711815</v>
      </c>
    </row>
    <row r="260" spans="1:18" x14ac:dyDescent="0.25">
      <c r="A260" s="170">
        <v>42382</v>
      </c>
      <c r="B260" s="116">
        <v>110.694994243926</v>
      </c>
      <c r="C260" s="116">
        <v>108.426654197944</v>
      </c>
      <c r="D260" s="116">
        <v>97.992289986426201</v>
      </c>
      <c r="E260" s="116">
        <v>108.15445339242601</v>
      </c>
      <c r="F260" s="116">
        <v>119.5</v>
      </c>
      <c r="G260">
        <v>131873</v>
      </c>
      <c r="H260" s="116"/>
      <c r="I260" s="116"/>
      <c r="L260" s="170">
        <v>42382</v>
      </c>
      <c r="M260" s="116">
        <v>108.49060681205999</v>
      </c>
      <c r="N260" s="116">
        <v>110.85008466828199</v>
      </c>
      <c r="O260" s="116">
        <v>104.906015453569</v>
      </c>
      <c r="P260" s="116">
        <v>109.94259318512</v>
      </c>
      <c r="Q260" s="116">
        <v>119.55</v>
      </c>
      <c r="R260">
        <v>1191489</v>
      </c>
    </row>
    <row r="261" spans="1:18" x14ac:dyDescent="0.25">
      <c r="A261" s="170">
        <v>42383</v>
      </c>
      <c r="B261" s="116">
        <v>107.882252586908</v>
      </c>
      <c r="C261" s="116">
        <v>106.112947351042</v>
      </c>
      <c r="D261" s="116">
        <v>102.57433687931</v>
      </c>
      <c r="E261" s="116">
        <v>102.57433687931</v>
      </c>
      <c r="F261" s="116">
        <v>116.95</v>
      </c>
      <c r="G261">
        <v>69587</v>
      </c>
      <c r="H261" s="116"/>
      <c r="I261" s="116"/>
      <c r="L261" s="170">
        <v>42383</v>
      </c>
      <c r="M261" s="116">
        <v>106.13112895583799</v>
      </c>
      <c r="N261" s="116">
        <v>107.809988199689</v>
      </c>
      <c r="O261" s="116">
        <v>104.951390027727</v>
      </c>
      <c r="P261" s="116">
        <v>106.81174756821</v>
      </c>
      <c r="Q261" s="116">
        <v>116.95</v>
      </c>
      <c r="R261">
        <v>585307</v>
      </c>
    </row>
    <row r="262" spans="1:18" x14ac:dyDescent="0.25">
      <c r="A262" s="170">
        <v>42384</v>
      </c>
      <c r="B262" s="116">
        <v>108.744221804381</v>
      </c>
      <c r="C262" s="116">
        <v>102.89190448574701</v>
      </c>
      <c r="D262" s="116">
        <v>100.71429804160501</v>
      </c>
      <c r="E262" s="116">
        <v>106.158314151962</v>
      </c>
      <c r="F262" s="116">
        <v>113.4</v>
      </c>
      <c r="G262">
        <v>108450</v>
      </c>
      <c r="H262" s="116"/>
      <c r="I262" s="116"/>
      <c r="L262" s="170">
        <v>42384</v>
      </c>
      <c r="M262" s="116">
        <v>102.637286745663</v>
      </c>
      <c r="N262" s="116">
        <v>108.626730534535</v>
      </c>
      <c r="O262" s="116">
        <v>100.277808889441</v>
      </c>
      <c r="P262" s="116">
        <v>107.129369587317</v>
      </c>
      <c r="Q262" s="116">
        <v>113.1</v>
      </c>
      <c r="R262">
        <v>2238562</v>
      </c>
    </row>
    <row r="263" spans="1:18" x14ac:dyDescent="0.25">
      <c r="A263" s="170">
        <v>42387</v>
      </c>
      <c r="B263" s="116">
        <v>100.305996833328</v>
      </c>
      <c r="C263" s="116">
        <v>97.992289986426201</v>
      </c>
      <c r="D263" s="116">
        <v>94.362945912854798</v>
      </c>
      <c r="E263" s="116">
        <v>99.806962023211895</v>
      </c>
      <c r="F263" s="116">
        <v>108</v>
      </c>
      <c r="G263">
        <v>97727</v>
      </c>
      <c r="H263" s="116"/>
      <c r="I263" s="116"/>
      <c r="L263" s="170">
        <v>42387</v>
      </c>
      <c r="M263" s="116">
        <v>98.009080181534998</v>
      </c>
      <c r="N263" s="116">
        <v>100.73155463102199</v>
      </c>
      <c r="O263" s="116">
        <v>94.469863397201806</v>
      </c>
      <c r="P263" s="116">
        <v>100.73155463102199</v>
      </c>
      <c r="Q263" s="116">
        <v>108</v>
      </c>
      <c r="R263">
        <v>1379024</v>
      </c>
    </row>
    <row r="264" spans="1:18" x14ac:dyDescent="0.25">
      <c r="A264" s="170">
        <v>42388</v>
      </c>
      <c r="B264" s="116">
        <v>97.992289986426201</v>
      </c>
      <c r="C264" s="116">
        <v>97.357154773551201</v>
      </c>
      <c r="D264" s="116">
        <v>95.270281931247695</v>
      </c>
      <c r="E264" s="116">
        <v>97.992289986426201</v>
      </c>
      <c r="F264" s="116">
        <v>107.3</v>
      </c>
      <c r="G264">
        <v>43324</v>
      </c>
      <c r="H264" s="116"/>
      <c r="I264" s="116"/>
      <c r="L264" s="170">
        <v>42388</v>
      </c>
      <c r="M264" s="116">
        <v>97.419210717479501</v>
      </c>
      <c r="N264" s="116">
        <v>98.281327626483701</v>
      </c>
      <c r="O264" s="116">
        <v>95.286605732047903</v>
      </c>
      <c r="P264" s="116">
        <v>97.101588698372694</v>
      </c>
      <c r="Q264" s="116">
        <v>107.35</v>
      </c>
      <c r="R264">
        <v>573384</v>
      </c>
    </row>
    <row r="265" spans="1:18" x14ac:dyDescent="0.25">
      <c r="A265" s="170">
        <v>42389</v>
      </c>
      <c r="B265" s="116">
        <v>99.806962023211895</v>
      </c>
      <c r="C265" s="116">
        <v>98.944992805738707</v>
      </c>
      <c r="D265" s="116">
        <v>94.680513519292305</v>
      </c>
      <c r="E265" s="116">
        <v>97.992289986426201</v>
      </c>
      <c r="F265" s="116">
        <v>109.05</v>
      </c>
      <c r="G265">
        <v>63050</v>
      </c>
      <c r="H265" s="116"/>
      <c r="I265" s="116"/>
      <c r="L265" s="170">
        <v>42389</v>
      </c>
      <c r="M265" s="116">
        <v>99.370317406278502</v>
      </c>
      <c r="N265" s="116">
        <v>100.504681760232</v>
      </c>
      <c r="O265" s="116">
        <v>94.878234564624904</v>
      </c>
      <c r="P265" s="116">
        <v>97.419210717479501</v>
      </c>
      <c r="Q265" s="116">
        <v>109.5</v>
      </c>
      <c r="R265">
        <v>571551</v>
      </c>
    </row>
    <row r="266" spans="1:18" x14ac:dyDescent="0.25">
      <c r="A266" s="170">
        <v>42390</v>
      </c>
      <c r="B266" s="116">
        <v>99.806962023211895</v>
      </c>
      <c r="C266" s="116">
        <v>97.266421171711897</v>
      </c>
      <c r="D266" s="116">
        <v>95.270281931247695</v>
      </c>
      <c r="E266" s="116">
        <v>98.899626004818998</v>
      </c>
      <c r="F266" s="116">
        <v>107.2</v>
      </c>
      <c r="G266">
        <v>109281</v>
      </c>
      <c r="H266" s="116"/>
      <c r="I266" s="116"/>
      <c r="L266" s="170">
        <v>42390</v>
      </c>
      <c r="M266" s="116">
        <v>97.464585291637604</v>
      </c>
      <c r="N266" s="116">
        <v>99.778688573701601</v>
      </c>
      <c r="O266" s="116">
        <v>95.286605732047903</v>
      </c>
      <c r="P266" s="116">
        <v>98.9165716646974</v>
      </c>
      <c r="Q266" s="116">
        <v>107.4</v>
      </c>
      <c r="R266">
        <v>650538</v>
      </c>
    </row>
    <row r="267" spans="1:18" x14ac:dyDescent="0.25">
      <c r="A267" s="170">
        <v>42391</v>
      </c>
      <c r="B267" s="116">
        <v>100.623564439765</v>
      </c>
      <c r="C267" s="116">
        <v>99.307927213095795</v>
      </c>
      <c r="D267" s="116">
        <v>95.542482736765507</v>
      </c>
      <c r="E267" s="116">
        <v>96.177617949640506</v>
      </c>
      <c r="F267" s="116">
        <v>109.45</v>
      </c>
      <c r="G267">
        <v>574168</v>
      </c>
      <c r="H267" s="116"/>
      <c r="I267" s="116"/>
      <c r="L267" s="170">
        <v>42391</v>
      </c>
      <c r="M267" s="116">
        <v>99.506441128752897</v>
      </c>
      <c r="N267" s="116">
        <v>100.73155463102199</v>
      </c>
      <c r="O267" s="116">
        <v>95.468104028680401</v>
      </c>
      <c r="P267" s="116">
        <v>96.874715827582094</v>
      </c>
      <c r="Q267" s="116">
        <v>109.65</v>
      </c>
      <c r="R267">
        <v>1463711</v>
      </c>
    </row>
    <row r="268" spans="1:18" x14ac:dyDescent="0.25">
      <c r="A268" s="170">
        <v>42394</v>
      </c>
      <c r="B268" s="116">
        <v>102.98263808758701</v>
      </c>
      <c r="C268" s="116">
        <v>101.167966050801</v>
      </c>
      <c r="D268" s="116">
        <v>98.990359606658302</v>
      </c>
      <c r="E268" s="116">
        <v>99.852328824131504</v>
      </c>
      <c r="F268" s="116">
        <v>111.5</v>
      </c>
      <c r="G268">
        <v>39187</v>
      </c>
      <c r="H268" s="116"/>
      <c r="I268" s="116"/>
      <c r="L268" s="170">
        <v>42394</v>
      </c>
      <c r="M268" s="116">
        <v>101.321424095078</v>
      </c>
      <c r="N268" s="116">
        <v>102.90953419061201</v>
      </c>
      <c r="O268" s="116">
        <v>98.9165716646974</v>
      </c>
      <c r="P268" s="116">
        <v>99.869437722017906</v>
      </c>
      <c r="Q268" s="116">
        <v>111.65</v>
      </c>
      <c r="R268">
        <v>676754</v>
      </c>
    </row>
    <row r="269" spans="1:18" x14ac:dyDescent="0.25">
      <c r="A269" s="170">
        <v>42396</v>
      </c>
      <c r="B269" s="116">
        <v>102.075302069194</v>
      </c>
      <c r="C269" s="116">
        <v>100.396730435167</v>
      </c>
      <c r="D269" s="116">
        <v>98.264490791943999</v>
      </c>
      <c r="E269" s="116">
        <v>99.897695625051099</v>
      </c>
      <c r="F269" s="116">
        <v>110.65</v>
      </c>
      <c r="G269">
        <v>38398</v>
      </c>
      <c r="H269" s="116"/>
      <c r="I269" s="116"/>
      <c r="L269" s="170">
        <v>42396</v>
      </c>
      <c r="M269" s="116">
        <v>100.187059741125</v>
      </c>
      <c r="N269" s="116">
        <v>102.50116302318899</v>
      </c>
      <c r="O269" s="116">
        <v>98.099829329851204</v>
      </c>
      <c r="P269" s="116">
        <v>101.321424095078</v>
      </c>
      <c r="Q269" s="116">
        <v>110.4</v>
      </c>
      <c r="R269">
        <v>507208</v>
      </c>
    </row>
    <row r="270" spans="1:18" x14ac:dyDescent="0.25">
      <c r="A270" s="170">
        <v>42397</v>
      </c>
      <c r="B270" s="116">
        <v>101.621634059998</v>
      </c>
      <c r="C270" s="116">
        <v>100.986498847123</v>
      </c>
      <c r="D270" s="116">
        <v>98.990359606658302</v>
      </c>
      <c r="E270" s="116">
        <v>98.990359606658302</v>
      </c>
      <c r="F270" s="116">
        <v>111.3</v>
      </c>
      <c r="G270">
        <v>23651</v>
      </c>
      <c r="H270" s="116"/>
      <c r="I270" s="116"/>
      <c r="L270" s="170">
        <v>42397</v>
      </c>
      <c r="M270" s="116">
        <v>101.230674946761</v>
      </c>
      <c r="N270" s="116">
        <v>101.639046114184</v>
      </c>
      <c r="O270" s="116">
        <v>99.824063147859704</v>
      </c>
      <c r="P270" s="116">
        <v>100.187059741125</v>
      </c>
      <c r="Q270" s="116">
        <v>111.55</v>
      </c>
      <c r="R270">
        <v>643336</v>
      </c>
    </row>
    <row r="271" spans="1:18" x14ac:dyDescent="0.25">
      <c r="A271" s="170">
        <v>42398</v>
      </c>
      <c r="B271" s="116">
        <v>101.893834865515</v>
      </c>
      <c r="C271" s="116">
        <v>101.031865648042</v>
      </c>
      <c r="D271" s="116">
        <v>99.126460009417201</v>
      </c>
      <c r="E271" s="116">
        <v>101.893834865515</v>
      </c>
      <c r="F271" s="116">
        <v>111.35</v>
      </c>
      <c r="G271">
        <v>33844</v>
      </c>
      <c r="H271" s="116"/>
      <c r="I271" s="116"/>
      <c r="L271" s="170">
        <v>42398</v>
      </c>
      <c r="M271" s="116">
        <v>101.59367154002599</v>
      </c>
      <c r="N271" s="116">
        <v>102.04741728160801</v>
      </c>
      <c r="O271" s="116">
        <v>99.143444535488001</v>
      </c>
      <c r="P271" s="116">
        <v>102.04741728160801</v>
      </c>
      <c r="Q271" s="116">
        <v>111.95</v>
      </c>
      <c r="R271">
        <v>521195</v>
      </c>
    </row>
    <row r="272" spans="1:18" x14ac:dyDescent="0.25">
      <c r="A272" s="170">
        <v>42401</v>
      </c>
      <c r="B272" s="116">
        <v>108.92568900806</v>
      </c>
      <c r="C272" s="116">
        <v>99.897695625051099</v>
      </c>
      <c r="D272" s="116">
        <v>98.264490791943999</v>
      </c>
      <c r="E272" s="116">
        <v>101.621634059998</v>
      </c>
      <c r="F272" s="116">
        <v>110.1</v>
      </c>
      <c r="G272">
        <v>39513</v>
      </c>
      <c r="H272" s="116"/>
      <c r="I272" s="116"/>
      <c r="L272" s="170">
        <v>42401</v>
      </c>
      <c r="M272" s="116">
        <v>99.960186870334098</v>
      </c>
      <c r="N272" s="116">
        <v>102.546537597347</v>
      </c>
      <c r="O272" s="116">
        <v>98.099829329851204</v>
      </c>
      <c r="P272" s="116">
        <v>101.59367154002599</v>
      </c>
      <c r="Q272" s="116">
        <v>110.15</v>
      </c>
      <c r="R272">
        <v>637068</v>
      </c>
    </row>
    <row r="273" spans="1:18" x14ac:dyDescent="0.25">
      <c r="A273" s="170">
        <v>42402</v>
      </c>
      <c r="B273" s="116">
        <v>103.88997410598</v>
      </c>
      <c r="C273" s="116">
        <v>100.03379602781</v>
      </c>
      <c r="D273" s="116">
        <v>98.763525602060099</v>
      </c>
      <c r="E273" s="116">
        <v>103.88997410598</v>
      </c>
      <c r="F273" s="116">
        <v>110.25</v>
      </c>
      <c r="G273">
        <v>57414</v>
      </c>
      <c r="H273" s="116"/>
      <c r="I273" s="116"/>
      <c r="L273" s="170">
        <v>42402</v>
      </c>
      <c r="M273" s="116">
        <v>100.73155463102199</v>
      </c>
      <c r="N273" s="116">
        <v>101.911293559133</v>
      </c>
      <c r="O273" s="116">
        <v>98.462825923116199</v>
      </c>
      <c r="P273" s="116">
        <v>100.005561444492</v>
      </c>
      <c r="Q273" s="116">
        <v>111</v>
      </c>
      <c r="R273">
        <v>1151895</v>
      </c>
    </row>
    <row r="274" spans="1:18" x14ac:dyDescent="0.25">
      <c r="A274" s="170">
        <v>42403</v>
      </c>
      <c r="B274" s="116">
        <v>100.260630032408</v>
      </c>
      <c r="C274" s="116">
        <v>99.897695625051099</v>
      </c>
      <c r="D274" s="116">
        <v>96.177617949640506</v>
      </c>
      <c r="E274" s="116">
        <v>96.177617949640506</v>
      </c>
      <c r="F274" s="116">
        <v>110.1</v>
      </c>
      <c r="G274">
        <v>84724</v>
      </c>
      <c r="H274" s="116"/>
      <c r="I274" s="116"/>
      <c r="L274" s="170">
        <v>42403</v>
      </c>
      <c r="M274" s="116">
        <v>99.824063147859704</v>
      </c>
      <c r="N274" s="116">
        <v>101.185300372603</v>
      </c>
      <c r="O274" s="116">
        <v>97.328461569163196</v>
      </c>
      <c r="P274" s="116">
        <v>101.185300372603</v>
      </c>
      <c r="Q274" s="116">
        <v>110</v>
      </c>
      <c r="R274">
        <v>315766</v>
      </c>
    </row>
    <row r="275" spans="1:18" x14ac:dyDescent="0.25">
      <c r="A275" s="170">
        <v>42404</v>
      </c>
      <c r="B275" s="116">
        <v>102.89190448574701</v>
      </c>
      <c r="C275" s="116">
        <v>101.75773446275601</v>
      </c>
      <c r="D275" s="116">
        <v>99.7615952222922</v>
      </c>
      <c r="E275" s="116">
        <v>100.305996833328</v>
      </c>
      <c r="F275" s="116">
        <v>112.15</v>
      </c>
      <c r="G275">
        <v>138311</v>
      </c>
      <c r="H275" s="116"/>
      <c r="I275" s="116"/>
      <c r="L275" s="170">
        <v>42404</v>
      </c>
      <c r="M275" s="116">
        <v>101.366798669236</v>
      </c>
      <c r="N275" s="116">
        <v>103.363279932193</v>
      </c>
      <c r="O275" s="116">
        <v>99.778688573701601</v>
      </c>
      <c r="P275" s="116">
        <v>99.824063147859704</v>
      </c>
      <c r="Q275" s="116">
        <v>111.7</v>
      </c>
      <c r="R275">
        <v>488381</v>
      </c>
    </row>
    <row r="276" spans="1:18" x14ac:dyDescent="0.25">
      <c r="A276" s="170">
        <v>42405</v>
      </c>
      <c r="B276" s="116">
        <v>103.527039698622</v>
      </c>
      <c r="C276" s="116">
        <v>101.71236766183701</v>
      </c>
      <c r="D276" s="116">
        <v>101.167966050801</v>
      </c>
      <c r="E276" s="116">
        <v>103.436306096783</v>
      </c>
      <c r="F276" s="116">
        <v>112.1</v>
      </c>
      <c r="G276">
        <v>19357</v>
      </c>
      <c r="H276" s="116"/>
      <c r="I276" s="116"/>
      <c r="L276" s="170">
        <v>42405</v>
      </c>
      <c r="M276" s="116">
        <v>101.639046114184</v>
      </c>
      <c r="N276" s="116">
        <v>103.454029080509</v>
      </c>
      <c r="O276" s="116">
        <v>101.185300372603</v>
      </c>
      <c r="P276" s="116">
        <v>102.68266131982099</v>
      </c>
      <c r="Q276" s="116">
        <v>112</v>
      </c>
      <c r="R276">
        <v>420090</v>
      </c>
    </row>
    <row r="277" spans="1:18" x14ac:dyDescent="0.25">
      <c r="A277" s="170">
        <v>42408</v>
      </c>
      <c r="B277" s="116">
        <v>104.978777328051</v>
      </c>
      <c r="C277" s="116">
        <v>103.79924050414</v>
      </c>
      <c r="D277" s="116">
        <v>101.667000860917</v>
      </c>
      <c r="E277" s="116">
        <v>101.667000860917</v>
      </c>
      <c r="F277" s="116">
        <v>114.4</v>
      </c>
      <c r="G277">
        <v>54581</v>
      </c>
      <c r="H277" s="116"/>
      <c r="I277" s="116"/>
      <c r="L277" s="170">
        <v>42408</v>
      </c>
      <c r="M277" s="116">
        <v>103.95314939624799</v>
      </c>
      <c r="N277" s="116">
        <v>104.951390027727</v>
      </c>
      <c r="O277" s="116">
        <v>101.27604952092</v>
      </c>
      <c r="P277" s="116">
        <v>102.319664726556</v>
      </c>
      <c r="Q277" s="116">
        <v>114.55</v>
      </c>
      <c r="R277">
        <v>461651</v>
      </c>
    </row>
    <row r="278" spans="1:18" x14ac:dyDescent="0.25">
      <c r="A278" s="170">
        <v>42409</v>
      </c>
      <c r="B278" s="116">
        <v>103.436306096783</v>
      </c>
      <c r="C278" s="116">
        <v>100.668931240685</v>
      </c>
      <c r="D278" s="116">
        <v>99.897695625051099</v>
      </c>
      <c r="E278" s="116">
        <v>102.256769272873</v>
      </c>
      <c r="F278" s="116">
        <v>110.95</v>
      </c>
      <c r="G278">
        <v>460698</v>
      </c>
      <c r="H278" s="116"/>
      <c r="I278" s="116"/>
      <c r="L278" s="170">
        <v>42409</v>
      </c>
      <c r="M278" s="116">
        <v>100.822303779338</v>
      </c>
      <c r="N278" s="116">
        <v>103.408654506351</v>
      </c>
      <c r="O278" s="116">
        <v>99.914812296175995</v>
      </c>
      <c r="P278" s="116">
        <v>102.546537597347</v>
      </c>
      <c r="Q278" s="116">
        <v>111.1</v>
      </c>
      <c r="R278">
        <v>396792</v>
      </c>
    </row>
    <row r="279" spans="1:18" x14ac:dyDescent="0.25">
      <c r="A279" s="170">
        <v>42410</v>
      </c>
      <c r="B279" s="116">
        <v>101.031865648042</v>
      </c>
      <c r="C279" s="116">
        <v>100.71429804160501</v>
      </c>
      <c r="D279" s="116">
        <v>98.355224393783303</v>
      </c>
      <c r="E279" s="116">
        <v>100.44209723608699</v>
      </c>
      <c r="F279" s="116">
        <v>111</v>
      </c>
      <c r="G279">
        <v>27276</v>
      </c>
      <c r="H279" s="116"/>
      <c r="I279" s="116"/>
      <c r="L279" s="170">
        <v>42410</v>
      </c>
      <c r="M279" s="116">
        <v>100.73155463102199</v>
      </c>
      <c r="N279" s="116">
        <v>101.094551224287</v>
      </c>
      <c r="O279" s="116">
        <v>98.462825923116199</v>
      </c>
      <c r="P279" s="116">
        <v>100.459307186073</v>
      </c>
      <c r="Q279" s="116">
        <v>111</v>
      </c>
      <c r="R279">
        <v>197366</v>
      </c>
    </row>
    <row r="280" spans="1:18" x14ac:dyDescent="0.25">
      <c r="A280" s="170">
        <v>42411</v>
      </c>
      <c r="B280" s="116">
        <v>100.71429804160501</v>
      </c>
      <c r="C280" s="116">
        <v>97.130320768952998</v>
      </c>
      <c r="D280" s="116">
        <v>95.270281931247695</v>
      </c>
      <c r="E280" s="116">
        <v>100.71429804160501</v>
      </c>
      <c r="F280" s="116">
        <v>107.05</v>
      </c>
      <c r="G280">
        <v>90041</v>
      </c>
      <c r="H280" s="116"/>
      <c r="I280" s="116"/>
      <c r="L280" s="170">
        <v>42411</v>
      </c>
      <c r="M280" s="116">
        <v>97.146963272530797</v>
      </c>
      <c r="N280" s="116">
        <v>100.005561444492</v>
      </c>
      <c r="O280" s="116">
        <v>94.651361693834303</v>
      </c>
      <c r="P280" s="116">
        <v>99.052695387171696</v>
      </c>
      <c r="Q280" s="116">
        <v>107.05</v>
      </c>
      <c r="R280">
        <v>360058</v>
      </c>
    </row>
    <row r="281" spans="1:18" x14ac:dyDescent="0.25">
      <c r="A281" s="170">
        <v>42412</v>
      </c>
      <c r="B281" s="116">
        <v>97.084953968033304</v>
      </c>
      <c r="C281" s="116">
        <v>92.639007477908507</v>
      </c>
      <c r="D281" s="116">
        <v>89.372597811694206</v>
      </c>
      <c r="E281" s="116">
        <v>97.084953968033304</v>
      </c>
      <c r="F281" s="116">
        <v>102.1</v>
      </c>
      <c r="G281">
        <v>38727</v>
      </c>
      <c r="H281" s="116"/>
      <c r="I281" s="116"/>
      <c r="L281" s="170">
        <v>42412</v>
      </c>
      <c r="M281" s="116">
        <v>93.380873617407005</v>
      </c>
      <c r="N281" s="116">
        <v>97.101588698372694</v>
      </c>
      <c r="O281" s="116">
        <v>89.4332856656507</v>
      </c>
      <c r="P281" s="116">
        <v>97.101588698372694</v>
      </c>
      <c r="Q281" s="116">
        <v>102.9</v>
      </c>
      <c r="R281">
        <v>823302</v>
      </c>
    </row>
    <row r="282" spans="1:18" x14ac:dyDescent="0.25">
      <c r="A282" s="170">
        <v>42415</v>
      </c>
      <c r="B282" s="116">
        <v>96.585919157917303</v>
      </c>
      <c r="C282" s="116">
        <v>94.771247121131594</v>
      </c>
      <c r="D282" s="116">
        <v>92.003872265033493</v>
      </c>
      <c r="E282" s="116">
        <v>93.500976695381596</v>
      </c>
      <c r="F282" s="116">
        <v>104.45</v>
      </c>
      <c r="G282">
        <v>53771</v>
      </c>
      <c r="H282" s="116"/>
      <c r="I282" s="116"/>
      <c r="L282" s="170">
        <v>42415</v>
      </c>
      <c r="M282" s="116">
        <v>94.878234564624904</v>
      </c>
      <c r="N282" s="116">
        <v>96.874715827582094</v>
      </c>
      <c r="O282" s="116">
        <v>92.201134689295898</v>
      </c>
      <c r="P282" s="116">
        <v>93.290124469090699</v>
      </c>
      <c r="Q282" s="116">
        <v>104.55</v>
      </c>
      <c r="R282">
        <v>651525</v>
      </c>
    </row>
    <row r="283" spans="1:18" x14ac:dyDescent="0.25">
      <c r="A283" s="170">
        <v>42416</v>
      </c>
      <c r="B283" s="116">
        <v>95.769316741363696</v>
      </c>
      <c r="C283" s="116">
        <v>92.548273876069203</v>
      </c>
      <c r="D283" s="116">
        <v>91.414103853078103</v>
      </c>
      <c r="E283" s="116">
        <v>95.270281931247695</v>
      </c>
      <c r="F283" s="116">
        <v>102</v>
      </c>
      <c r="G283">
        <v>42676</v>
      </c>
      <c r="H283" s="116"/>
      <c r="I283" s="116"/>
      <c r="L283" s="170">
        <v>42416</v>
      </c>
      <c r="M283" s="116">
        <v>93.426248191565094</v>
      </c>
      <c r="N283" s="116">
        <v>95.513478602838504</v>
      </c>
      <c r="O283" s="116">
        <v>91.883512670189106</v>
      </c>
      <c r="P283" s="116">
        <v>94.787485416308598</v>
      </c>
      <c r="Q283" s="116">
        <v>102.95</v>
      </c>
      <c r="R283">
        <v>247978</v>
      </c>
    </row>
    <row r="284" spans="1:18" x14ac:dyDescent="0.25">
      <c r="A284" s="170">
        <v>42417</v>
      </c>
      <c r="B284" s="116">
        <v>93.001941885265595</v>
      </c>
      <c r="C284" s="116">
        <v>92.366806672390595</v>
      </c>
      <c r="D284" s="116">
        <v>89.236497408935307</v>
      </c>
      <c r="E284" s="116">
        <v>93.001941885265595</v>
      </c>
      <c r="F284" s="116">
        <v>101.8</v>
      </c>
      <c r="G284">
        <v>21062</v>
      </c>
      <c r="H284" s="116"/>
      <c r="I284" s="116"/>
      <c r="L284" s="170">
        <v>42417</v>
      </c>
      <c r="M284" s="116">
        <v>92.201134689295898</v>
      </c>
      <c r="N284" s="116">
        <v>93.743870210671901</v>
      </c>
      <c r="O284" s="116">
        <v>89.024914498227602</v>
      </c>
      <c r="P284" s="116">
        <v>93.743870210671901</v>
      </c>
      <c r="Q284" s="116">
        <v>101.6</v>
      </c>
      <c r="R284">
        <v>486116</v>
      </c>
    </row>
    <row r="285" spans="1:18" x14ac:dyDescent="0.25">
      <c r="A285" s="170">
        <v>42418</v>
      </c>
      <c r="B285" s="116">
        <v>94.317579111935203</v>
      </c>
      <c r="C285" s="116">
        <v>91.640937857676306</v>
      </c>
      <c r="D285" s="116">
        <v>90.778968640203104</v>
      </c>
      <c r="E285" s="116">
        <v>94.317579111935203</v>
      </c>
      <c r="F285" s="116">
        <v>101</v>
      </c>
      <c r="G285">
        <v>21773</v>
      </c>
      <c r="H285" s="116"/>
      <c r="I285" s="116"/>
      <c r="L285" s="170">
        <v>42418</v>
      </c>
      <c r="M285" s="116">
        <v>91.293643206133495</v>
      </c>
      <c r="N285" s="116">
        <v>93.925368507304398</v>
      </c>
      <c r="O285" s="116">
        <v>90.522275445445501</v>
      </c>
      <c r="P285" s="116">
        <v>92.972502449983907</v>
      </c>
      <c r="Q285" s="116">
        <v>100.6</v>
      </c>
      <c r="R285">
        <v>314835</v>
      </c>
    </row>
    <row r="286" spans="1:18" x14ac:dyDescent="0.25">
      <c r="A286" s="170">
        <v>42419</v>
      </c>
      <c r="B286" s="116">
        <v>92.230706269631696</v>
      </c>
      <c r="C286" s="116">
        <v>91.867771862274495</v>
      </c>
      <c r="D286" s="116">
        <v>89.962366223649596</v>
      </c>
      <c r="E286" s="116">
        <v>90.733601839283494</v>
      </c>
      <c r="F286" s="116">
        <v>101.25</v>
      </c>
      <c r="G286">
        <v>34008</v>
      </c>
      <c r="H286" s="116"/>
      <c r="I286" s="116"/>
      <c r="L286" s="170">
        <v>42419</v>
      </c>
      <c r="M286" s="116">
        <v>92.065010966821504</v>
      </c>
      <c r="N286" s="116">
        <v>92.836378727509597</v>
      </c>
      <c r="O286" s="116">
        <v>89.841656833073799</v>
      </c>
      <c r="P286" s="116">
        <v>89.887031407231902</v>
      </c>
      <c r="Q286" s="116">
        <v>101.45</v>
      </c>
      <c r="R286">
        <v>361241</v>
      </c>
    </row>
    <row r="287" spans="1:18" x14ac:dyDescent="0.25">
      <c r="A287" s="170">
        <v>42422</v>
      </c>
      <c r="B287" s="116">
        <v>93.455609894462</v>
      </c>
      <c r="C287" s="116">
        <v>90.552134635604901</v>
      </c>
      <c r="D287" s="116">
        <v>90.098466626408495</v>
      </c>
      <c r="E287" s="116">
        <v>93.455609894462</v>
      </c>
      <c r="F287" s="116">
        <v>99.8</v>
      </c>
      <c r="G287">
        <v>18224</v>
      </c>
      <c r="H287" s="116"/>
      <c r="I287" s="116"/>
      <c r="L287" s="170">
        <v>42422</v>
      </c>
      <c r="M287" s="116">
        <v>90.749148316236102</v>
      </c>
      <c r="N287" s="116">
        <v>93.017877024141995</v>
      </c>
      <c r="O287" s="116">
        <v>90.386151722971206</v>
      </c>
      <c r="P287" s="116">
        <v>91.202894057817304</v>
      </c>
      <c r="Q287" s="116">
        <v>100</v>
      </c>
      <c r="R287">
        <v>115332</v>
      </c>
    </row>
    <row r="288" spans="1:18" x14ac:dyDescent="0.25">
      <c r="A288" s="170">
        <v>42423</v>
      </c>
      <c r="B288" s="116">
        <v>91.640937857676306</v>
      </c>
      <c r="C288" s="116">
        <v>90.778968640203104</v>
      </c>
      <c r="D288" s="116">
        <v>90.007733024569205</v>
      </c>
      <c r="E288" s="116">
        <v>91.141903047560305</v>
      </c>
      <c r="F288" s="116">
        <v>100.05</v>
      </c>
      <c r="G288">
        <v>12667</v>
      </c>
      <c r="H288" s="116"/>
      <c r="I288" s="116"/>
      <c r="L288" s="170">
        <v>42423</v>
      </c>
      <c r="M288" s="116">
        <v>90.703773742077999</v>
      </c>
      <c r="N288" s="116">
        <v>91.656639799398505</v>
      </c>
      <c r="O288" s="116">
        <v>89.841656833073799</v>
      </c>
      <c r="P288" s="116">
        <v>90.794522890394205</v>
      </c>
      <c r="Q288" s="116">
        <v>99.95</v>
      </c>
      <c r="R288">
        <v>788770</v>
      </c>
    </row>
    <row r="289" spans="1:18" x14ac:dyDescent="0.25">
      <c r="A289" s="170">
        <v>42424</v>
      </c>
      <c r="B289" s="116">
        <v>90.960435843881697</v>
      </c>
      <c r="C289" s="116">
        <v>90.416034232846002</v>
      </c>
      <c r="D289" s="116">
        <v>89.009663404337104</v>
      </c>
      <c r="E289" s="116">
        <v>89.372597811694206</v>
      </c>
      <c r="F289" s="116">
        <v>99.65</v>
      </c>
      <c r="G289">
        <v>12095</v>
      </c>
      <c r="H289" s="116"/>
      <c r="I289" s="116"/>
      <c r="L289" s="170">
        <v>42424</v>
      </c>
      <c r="M289" s="116">
        <v>90.703773742077999</v>
      </c>
      <c r="N289" s="116">
        <v>91.565890651082299</v>
      </c>
      <c r="O289" s="116">
        <v>88.934165349911396</v>
      </c>
      <c r="P289" s="116">
        <v>90.749148316236102</v>
      </c>
      <c r="Q289" s="116">
        <v>99.95</v>
      </c>
      <c r="R289">
        <v>1188621</v>
      </c>
    </row>
    <row r="290" spans="1:18" x14ac:dyDescent="0.25">
      <c r="A290" s="170">
        <v>42425</v>
      </c>
      <c r="B290" s="116">
        <v>90.733601839283494</v>
      </c>
      <c r="C290" s="116">
        <v>90.279933830087103</v>
      </c>
      <c r="D290" s="116">
        <v>89.372597811694206</v>
      </c>
      <c r="E290" s="116">
        <v>90.733601839283494</v>
      </c>
      <c r="F290" s="116">
        <v>99.5</v>
      </c>
      <c r="G290">
        <v>4835</v>
      </c>
      <c r="H290" s="116"/>
      <c r="I290" s="116"/>
      <c r="L290" s="170">
        <v>42425</v>
      </c>
      <c r="M290" s="116">
        <v>90.113904278022503</v>
      </c>
      <c r="N290" s="116">
        <v>91.565890651082299</v>
      </c>
      <c r="O290" s="116">
        <v>89.297161943176306</v>
      </c>
      <c r="P290" s="116">
        <v>91.565890651082299</v>
      </c>
      <c r="Q290" s="116">
        <v>99.3</v>
      </c>
      <c r="R290">
        <v>299718</v>
      </c>
    </row>
    <row r="291" spans="1:18" x14ac:dyDescent="0.25">
      <c r="A291" s="170">
        <v>42426</v>
      </c>
      <c r="B291" s="116">
        <v>90.461401033765696</v>
      </c>
      <c r="C291" s="116">
        <v>89.826265820890697</v>
      </c>
      <c r="D291" s="116">
        <v>89.281864209855001</v>
      </c>
      <c r="E291" s="116">
        <v>90.098466626408495</v>
      </c>
      <c r="F291" s="116">
        <v>99</v>
      </c>
      <c r="G291">
        <v>17623</v>
      </c>
      <c r="H291" s="116"/>
      <c r="I291" s="116"/>
      <c r="L291" s="170">
        <v>42426</v>
      </c>
      <c r="M291" s="116">
        <v>90.0685297038643</v>
      </c>
      <c r="N291" s="116">
        <v>90.749148316236102</v>
      </c>
      <c r="O291" s="116">
        <v>89.251787369018203</v>
      </c>
      <c r="P291" s="116">
        <v>90.749148316236102</v>
      </c>
      <c r="Q291" s="116">
        <v>99.25</v>
      </c>
      <c r="R291">
        <v>417708</v>
      </c>
    </row>
    <row r="292" spans="1:18" x14ac:dyDescent="0.25">
      <c r="A292" s="170">
        <v>42429</v>
      </c>
      <c r="B292" s="116">
        <v>89.826265820890697</v>
      </c>
      <c r="C292" s="116">
        <v>89.055030205256799</v>
      </c>
      <c r="D292" s="116">
        <v>86.6505897565157</v>
      </c>
      <c r="E292" s="116">
        <v>89.826265820890697</v>
      </c>
      <c r="F292" s="116">
        <v>98.15</v>
      </c>
      <c r="G292">
        <v>11472</v>
      </c>
      <c r="H292" s="116"/>
      <c r="I292" s="116"/>
      <c r="L292" s="170">
        <v>42429</v>
      </c>
      <c r="M292" s="116">
        <v>89.070289072385805</v>
      </c>
      <c r="N292" s="116">
        <v>90.703773742077999</v>
      </c>
      <c r="O292" s="116">
        <v>86.347814622898696</v>
      </c>
      <c r="P292" s="116">
        <v>90.703773742077999</v>
      </c>
      <c r="Q292" s="116">
        <v>98.15</v>
      </c>
      <c r="R292">
        <v>491301</v>
      </c>
    </row>
    <row r="293" spans="1:18" x14ac:dyDescent="0.25">
      <c r="A293" s="170">
        <v>42430</v>
      </c>
      <c r="B293" s="116">
        <v>91.096536246640596</v>
      </c>
      <c r="C293" s="116">
        <v>90.869702242042393</v>
      </c>
      <c r="D293" s="116">
        <v>89.009663404337104</v>
      </c>
      <c r="E293" s="116">
        <v>89.281864209855001</v>
      </c>
      <c r="F293" s="116">
        <v>100.15</v>
      </c>
      <c r="G293">
        <v>91064</v>
      </c>
      <c r="H293" s="116"/>
      <c r="I293" s="116"/>
      <c r="L293" s="170">
        <v>42430</v>
      </c>
      <c r="M293" s="116">
        <v>93.63443396226414</v>
      </c>
      <c r="N293" s="116">
        <v>94.336341263330581</v>
      </c>
      <c r="O293" s="116">
        <v>91.71588733934918</v>
      </c>
      <c r="P293" s="116">
        <v>91.80947497949137</v>
      </c>
      <c r="Q293" s="116">
        <v>100.05</v>
      </c>
      <c r="R293">
        <v>1399737</v>
      </c>
    </row>
    <row r="294" spans="1:18" x14ac:dyDescent="0.25">
      <c r="A294" s="170">
        <v>42431</v>
      </c>
      <c r="B294" s="116">
        <v>92.639007477908507</v>
      </c>
      <c r="C294" s="116">
        <v>90.778968640203104</v>
      </c>
      <c r="D294" s="116">
        <v>89.281864209855001</v>
      </c>
      <c r="E294" s="116">
        <v>91.640937857676306</v>
      </c>
      <c r="F294" s="116">
        <v>100.05</v>
      </c>
      <c r="G294">
        <v>43381</v>
      </c>
      <c r="H294" s="116"/>
      <c r="I294" s="116"/>
      <c r="L294" s="170">
        <v>42431</v>
      </c>
      <c r="M294" s="116">
        <v>93.587640142193052</v>
      </c>
      <c r="N294" s="116">
        <v>95.927331145747871</v>
      </c>
      <c r="O294" s="116">
        <v>91.80947497949137</v>
      </c>
      <c r="P294" s="116">
        <v>95.45939294503691</v>
      </c>
      <c r="Q294" s="116">
        <v>100</v>
      </c>
      <c r="R294">
        <v>328123</v>
      </c>
    </row>
    <row r="295" spans="1:18" x14ac:dyDescent="0.25">
      <c r="A295" s="170">
        <v>42432</v>
      </c>
      <c r="B295" s="116">
        <v>91.1872698484799</v>
      </c>
      <c r="C295" s="116">
        <v>90.915069042962102</v>
      </c>
      <c r="D295" s="116">
        <v>89.826265820890697</v>
      </c>
      <c r="E295" s="116">
        <v>90.461401033765696</v>
      </c>
      <c r="F295" s="116">
        <v>100.2</v>
      </c>
      <c r="G295">
        <v>31698</v>
      </c>
      <c r="H295" s="116"/>
      <c r="I295" s="116"/>
      <c r="L295" s="170">
        <v>42432</v>
      </c>
      <c r="M295" s="116">
        <v>93.63443396226414</v>
      </c>
      <c r="N295" s="116">
        <v>94.336341263330581</v>
      </c>
      <c r="O295" s="116">
        <v>92.511382280557825</v>
      </c>
      <c r="P295" s="116">
        <v>94.336341263330581</v>
      </c>
      <c r="Q295" s="116">
        <v>100.05</v>
      </c>
      <c r="R295">
        <v>682196</v>
      </c>
    </row>
    <row r="296" spans="1:18" x14ac:dyDescent="0.25">
      <c r="A296" s="170">
        <v>42433</v>
      </c>
      <c r="B296" s="116">
        <v>90.960435843881697</v>
      </c>
      <c r="C296" s="116">
        <v>90.642868237444205</v>
      </c>
      <c r="D296" s="116">
        <v>89.644798617212103</v>
      </c>
      <c r="E296" s="116">
        <v>90.279933830087103</v>
      </c>
      <c r="F296" s="116">
        <v>99.9</v>
      </c>
      <c r="G296">
        <v>347543</v>
      </c>
      <c r="H296" s="116"/>
      <c r="I296" s="116"/>
      <c r="L296" s="170">
        <v>42433</v>
      </c>
      <c r="M296" s="116">
        <v>93.353671041837558</v>
      </c>
      <c r="N296" s="116">
        <v>94.336341263330581</v>
      </c>
      <c r="O296" s="116">
        <v>92.558176100628927</v>
      </c>
      <c r="P296" s="116">
        <v>94.336341263330581</v>
      </c>
      <c r="Q296" s="116">
        <v>99.75</v>
      </c>
      <c r="R296">
        <v>272904</v>
      </c>
    </row>
    <row r="297" spans="1:18" x14ac:dyDescent="0.25">
      <c r="A297" s="170">
        <v>42437</v>
      </c>
      <c r="B297" s="116">
        <v>92.094605866872797</v>
      </c>
      <c r="C297" s="116">
        <v>89.055030205256799</v>
      </c>
      <c r="D297" s="116">
        <v>88.283794589622801</v>
      </c>
      <c r="E297" s="116">
        <v>90.733601839283494</v>
      </c>
      <c r="F297" s="116">
        <v>98.15</v>
      </c>
      <c r="G297">
        <v>37266</v>
      </c>
      <c r="H297" s="116"/>
      <c r="I297" s="116"/>
      <c r="L297" s="170">
        <v>42437</v>
      </c>
      <c r="M297" s="116">
        <v>91.762681159420282</v>
      </c>
      <c r="N297" s="116">
        <v>94.944660924254848</v>
      </c>
      <c r="O297" s="116">
        <v>91.201155318567132</v>
      </c>
      <c r="P297" s="116">
        <v>93.961990702761824</v>
      </c>
      <c r="Q297" s="116">
        <v>98.05</v>
      </c>
      <c r="R297">
        <v>177975</v>
      </c>
    </row>
    <row r="298" spans="1:18" x14ac:dyDescent="0.25">
      <c r="A298" s="170">
        <v>42438</v>
      </c>
      <c r="B298" s="116">
        <v>90.733601839283494</v>
      </c>
      <c r="C298" s="116">
        <v>89.281864209855001</v>
      </c>
      <c r="D298" s="116">
        <v>87.557925774908597</v>
      </c>
      <c r="E298" s="116">
        <v>89.372597811694206</v>
      </c>
      <c r="F298" s="116">
        <v>98.4</v>
      </c>
      <c r="G298">
        <v>23448</v>
      </c>
      <c r="H298" s="116"/>
      <c r="I298" s="116"/>
      <c r="L298" s="170">
        <v>42438</v>
      </c>
      <c r="M298" s="116">
        <v>92.417794640415636</v>
      </c>
      <c r="N298" s="116">
        <v>93.821609242548533</v>
      </c>
      <c r="O298" s="116">
        <v>90.358866557287385</v>
      </c>
      <c r="P298" s="116">
        <v>92.183825540060155</v>
      </c>
      <c r="Q298" s="116">
        <v>98.75</v>
      </c>
      <c r="R298">
        <v>1009052</v>
      </c>
    </row>
    <row r="299" spans="1:18" x14ac:dyDescent="0.25">
      <c r="A299" s="170">
        <v>42439</v>
      </c>
      <c r="B299" s="116">
        <v>90.098466626408495</v>
      </c>
      <c r="C299" s="116">
        <v>89.4179646126139</v>
      </c>
      <c r="D299" s="116">
        <v>88.9189298024978</v>
      </c>
      <c r="E299" s="116">
        <v>89.644798617212103</v>
      </c>
      <c r="F299" s="116">
        <v>98.55</v>
      </c>
      <c r="G299">
        <v>7700</v>
      </c>
      <c r="H299" s="116"/>
      <c r="I299" s="116"/>
      <c r="L299" s="170">
        <v>42439</v>
      </c>
      <c r="M299" s="116">
        <v>92.558176100628927</v>
      </c>
      <c r="N299" s="116">
        <v>93.026114301339888</v>
      </c>
      <c r="O299" s="116">
        <v>91.903062619633573</v>
      </c>
      <c r="P299" s="116">
        <v>93.026114301339888</v>
      </c>
      <c r="Q299" s="116">
        <v>98.9</v>
      </c>
      <c r="R299">
        <v>121840</v>
      </c>
    </row>
    <row r="300" spans="1:18" x14ac:dyDescent="0.25">
      <c r="A300" s="170">
        <v>42440</v>
      </c>
      <c r="B300" s="116">
        <v>89.735532219051393</v>
      </c>
      <c r="C300" s="116">
        <v>88.782829399738901</v>
      </c>
      <c r="D300" s="116">
        <v>88.147694186863902</v>
      </c>
      <c r="E300" s="116">
        <v>89.145763807096003</v>
      </c>
      <c r="F300" s="116">
        <v>97.85</v>
      </c>
      <c r="G300">
        <v>10910</v>
      </c>
      <c r="H300" s="116"/>
      <c r="I300" s="116"/>
      <c r="L300" s="170">
        <v>42440</v>
      </c>
      <c r="M300" s="116">
        <v>91.669093519278093</v>
      </c>
      <c r="N300" s="116">
        <v>92.651763740771116</v>
      </c>
      <c r="O300" s="116">
        <v>90.92039239814055</v>
      </c>
      <c r="P300" s="116">
        <v>92.558176100628927</v>
      </c>
      <c r="Q300" s="116">
        <v>97.95</v>
      </c>
      <c r="R300">
        <v>227102</v>
      </c>
    </row>
    <row r="301" spans="1:18" x14ac:dyDescent="0.25">
      <c r="A301" s="170">
        <v>42443</v>
      </c>
      <c r="B301" s="116">
        <v>89.463331413533496</v>
      </c>
      <c r="C301" s="116">
        <v>87.966226983185393</v>
      </c>
      <c r="D301" s="116">
        <v>85.833987339962206</v>
      </c>
      <c r="E301" s="116">
        <v>89.055030205256799</v>
      </c>
      <c r="F301" s="116">
        <v>96.95</v>
      </c>
      <c r="G301">
        <v>19893</v>
      </c>
      <c r="H301" s="116"/>
      <c r="I301" s="116"/>
      <c r="L301" s="170">
        <v>42443</v>
      </c>
      <c r="M301" s="116">
        <v>90.733217117856157</v>
      </c>
      <c r="N301" s="116">
        <v>92.371000820344534</v>
      </c>
      <c r="O301" s="116">
        <v>88.674289034727906</v>
      </c>
      <c r="P301" s="116">
        <v>92.371000820344534</v>
      </c>
      <c r="Q301" s="116">
        <v>96.95</v>
      </c>
      <c r="R301">
        <v>431037</v>
      </c>
    </row>
    <row r="302" spans="1:18" x14ac:dyDescent="0.25">
      <c r="A302" s="170">
        <v>42444</v>
      </c>
      <c r="B302" s="116">
        <v>87.7847597795068</v>
      </c>
      <c r="C302" s="116">
        <v>85.289585728926497</v>
      </c>
      <c r="D302" s="116">
        <v>84.291516108694395</v>
      </c>
      <c r="E302" s="116">
        <v>87.7847597795068</v>
      </c>
      <c r="F302" s="116">
        <v>94</v>
      </c>
      <c r="G302">
        <v>36360</v>
      </c>
      <c r="H302" s="116"/>
      <c r="I302" s="116"/>
      <c r="L302" s="170">
        <v>42444</v>
      </c>
      <c r="M302" s="116">
        <v>87.878794093519275</v>
      </c>
      <c r="N302" s="116">
        <v>90.546041837571778</v>
      </c>
      <c r="O302" s="116">
        <v>86.802536231884048</v>
      </c>
      <c r="P302" s="116">
        <v>90.546041837571778</v>
      </c>
      <c r="Q302" s="116">
        <v>93.9</v>
      </c>
      <c r="R302">
        <v>697254</v>
      </c>
    </row>
    <row r="303" spans="1:18" x14ac:dyDescent="0.25">
      <c r="A303" s="170">
        <v>42445</v>
      </c>
      <c r="B303" s="116">
        <v>85.289585728926497</v>
      </c>
      <c r="C303" s="116">
        <v>84.699817316971107</v>
      </c>
      <c r="D303" s="116">
        <v>83.474913692140802</v>
      </c>
      <c r="E303" s="116">
        <v>85.289585728926497</v>
      </c>
      <c r="F303" s="116">
        <v>93.35</v>
      </c>
      <c r="G303">
        <v>57130</v>
      </c>
      <c r="H303" s="116"/>
      <c r="I303" s="116"/>
      <c r="L303" s="170">
        <v>42445</v>
      </c>
      <c r="M303" s="116">
        <v>87.036505332239528</v>
      </c>
      <c r="N303" s="116">
        <v>88.253144654088032</v>
      </c>
      <c r="O303" s="116">
        <v>85.866659830462126</v>
      </c>
      <c r="P303" s="116">
        <v>88.159557013945857</v>
      </c>
      <c r="Q303" s="116">
        <v>93</v>
      </c>
      <c r="R303">
        <v>1771025</v>
      </c>
    </row>
    <row r="304" spans="1:18" x14ac:dyDescent="0.25">
      <c r="A304" s="170">
        <v>42446</v>
      </c>
      <c r="B304" s="116">
        <v>86.6505897565157</v>
      </c>
      <c r="C304" s="116">
        <v>85.425686131685396</v>
      </c>
      <c r="D304" s="116">
        <v>85.062751724328294</v>
      </c>
      <c r="E304" s="116">
        <v>86.151554946399699</v>
      </c>
      <c r="F304" s="116">
        <v>94.15</v>
      </c>
      <c r="G304">
        <v>64694</v>
      </c>
      <c r="H304" s="116"/>
      <c r="I304" s="116"/>
      <c r="L304" s="170">
        <v>42446</v>
      </c>
      <c r="M304" s="116">
        <v>88.065969373803654</v>
      </c>
      <c r="N304" s="116">
        <v>89.469783975936551</v>
      </c>
      <c r="O304" s="116">
        <v>87.504443532950503</v>
      </c>
      <c r="P304" s="116">
        <v>87.878794093519275</v>
      </c>
      <c r="Q304" s="116">
        <v>94.1</v>
      </c>
      <c r="R304">
        <v>775947</v>
      </c>
    </row>
    <row r="305" spans="1:18" x14ac:dyDescent="0.25">
      <c r="A305" s="170">
        <v>42447</v>
      </c>
      <c r="B305" s="116">
        <v>87.104257765712205</v>
      </c>
      <c r="C305" s="116">
        <v>86.514489353756801</v>
      </c>
      <c r="D305" s="116">
        <v>84.926651321569395</v>
      </c>
      <c r="E305" s="116">
        <v>85.833987339962206</v>
      </c>
      <c r="F305" s="116">
        <v>95.35</v>
      </c>
      <c r="G305">
        <v>29861</v>
      </c>
      <c r="H305" s="116"/>
      <c r="I305" s="116"/>
      <c r="L305" s="170">
        <v>42447</v>
      </c>
      <c r="M305" s="116">
        <v>89.422990155865449</v>
      </c>
      <c r="N305" s="116">
        <v>90.358866557287385</v>
      </c>
      <c r="O305" s="116">
        <v>87.504443532950503</v>
      </c>
      <c r="P305" s="116">
        <v>88.440319934372425</v>
      </c>
      <c r="Q305" s="116">
        <v>95.55</v>
      </c>
      <c r="R305">
        <v>821209</v>
      </c>
    </row>
    <row r="306" spans="1:18" x14ac:dyDescent="0.25">
      <c r="A306" s="170">
        <v>42450</v>
      </c>
      <c r="B306" s="116">
        <v>89.281864209855001</v>
      </c>
      <c r="C306" s="116">
        <v>88.601362196060407</v>
      </c>
      <c r="D306" s="116">
        <v>86.6505897565157</v>
      </c>
      <c r="E306" s="116">
        <v>87.104257765712205</v>
      </c>
      <c r="F306" s="116">
        <v>97.65</v>
      </c>
      <c r="G306">
        <v>71170</v>
      </c>
      <c r="H306" s="116"/>
      <c r="I306" s="116"/>
      <c r="L306" s="170">
        <v>42450</v>
      </c>
      <c r="M306" s="116">
        <v>91.575505879135889</v>
      </c>
      <c r="N306" s="116">
        <v>92.090237899917966</v>
      </c>
      <c r="O306" s="116">
        <v>89.422990155865449</v>
      </c>
      <c r="P306" s="116">
        <v>89.844134536505322</v>
      </c>
      <c r="Q306" s="116">
        <v>97.85</v>
      </c>
      <c r="R306">
        <v>857941</v>
      </c>
    </row>
    <row r="307" spans="1:18" x14ac:dyDescent="0.25">
      <c r="A307" s="170">
        <v>42451</v>
      </c>
      <c r="B307" s="116">
        <v>90.370667431926407</v>
      </c>
      <c r="C307" s="116">
        <v>87.694026177667496</v>
      </c>
      <c r="D307" s="116">
        <v>87.013524163872901</v>
      </c>
      <c r="E307" s="116">
        <v>88.465261793301394</v>
      </c>
      <c r="F307" s="116">
        <v>96.65</v>
      </c>
      <c r="G307">
        <v>40134</v>
      </c>
      <c r="H307" s="116"/>
      <c r="I307" s="116"/>
      <c r="L307" s="170">
        <v>42451</v>
      </c>
      <c r="M307" s="116">
        <v>89.984515996718613</v>
      </c>
      <c r="N307" s="116">
        <v>93.30687722176647</v>
      </c>
      <c r="O307" s="116">
        <v>89.376196335794361</v>
      </c>
      <c r="P307" s="116">
        <v>91.575505879135889</v>
      </c>
      <c r="Q307" s="116">
        <v>96.15</v>
      </c>
      <c r="R307">
        <v>4515046</v>
      </c>
    </row>
    <row r="308" spans="1:18" x14ac:dyDescent="0.25">
      <c r="A308" s="170">
        <v>42452</v>
      </c>
      <c r="B308" s="116">
        <v>89.508698214453204</v>
      </c>
      <c r="C308" s="116">
        <v>89.100397006176394</v>
      </c>
      <c r="D308" s="116">
        <v>86.832056960194294</v>
      </c>
      <c r="E308" s="116">
        <v>87.875493381346104</v>
      </c>
      <c r="F308" s="116">
        <v>98.2</v>
      </c>
      <c r="G308">
        <v>14942</v>
      </c>
      <c r="H308" s="116"/>
      <c r="I308" s="116"/>
      <c r="L308" s="170">
        <v>42452</v>
      </c>
      <c r="M308" s="116">
        <v>92.230619360131243</v>
      </c>
      <c r="N308" s="116">
        <v>92.651763740771116</v>
      </c>
      <c r="O308" s="116">
        <v>89.469783975936551</v>
      </c>
      <c r="P308" s="116">
        <v>90.546041837571778</v>
      </c>
      <c r="Q308" s="116">
        <v>98.55</v>
      </c>
      <c r="R308">
        <v>176273</v>
      </c>
    </row>
    <row r="309" spans="1:18" x14ac:dyDescent="0.25">
      <c r="A309" s="170">
        <v>42457</v>
      </c>
      <c r="B309" s="116">
        <v>89.463331413533496</v>
      </c>
      <c r="C309" s="116">
        <v>86.6505897565157</v>
      </c>
      <c r="D309" s="116">
        <v>86.333022150078307</v>
      </c>
      <c r="E309" s="116">
        <v>89.463331413533496</v>
      </c>
      <c r="F309" s="116">
        <v>95.5</v>
      </c>
      <c r="G309">
        <v>26686</v>
      </c>
      <c r="H309" s="116"/>
      <c r="I309" s="116"/>
      <c r="L309" s="170">
        <v>42457</v>
      </c>
      <c r="M309" s="116">
        <v>89.189021055509969</v>
      </c>
      <c r="N309" s="116">
        <v>92.324207000273447</v>
      </c>
      <c r="O309" s="116">
        <v>88.9082581350834</v>
      </c>
      <c r="P309" s="116">
        <v>92.230619360131243</v>
      </c>
      <c r="Q309" s="116">
        <v>95.3</v>
      </c>
      <c r="R309">
        <v>427770</v>
      </c>
    </row>
    <row r="310" spans="1:18" x14ac:dyDescent="0.25">
      <c r="A310" s="170">
        <v>42458</v>
      </c>
      <c r="B310" s="116">
        <v>92.548273876069203</v>
      </c>
      <c r="C310" s="116">
        <v>90.688235038363899</v>
      </c>
      <c r="D310" s="116">
        <v>86.378388950997902</v>
      </c>
      <c r="E310" s="116">
        <v>86.6505897565157</v>
      </c>
      <c r="F310" s="116">
        <v>99.95</v>
      </c>
      <c r="G310">
        <v>40143</v>
      </c>
      <c r="H310" s="116"/>
      <c r="I310" s="116"/>
      <c r="L310" s="170">
        <v>42458</v>
      </c>
      <c r="M310" s="116">
        <v>94.008784522832912</v>
      </c>
      <c r="N310" s="116">
        <v>95.412599124965809</v>
      </c>
      <c r="O310" s="116">
        <v>89.048639595296692</v>
      </c>
      <c r="P310" s="116">
        <v>89.844134536505322</v>
      </c>
      <c r="Q310" s="116">
        <v>100.45</v>
      </c>
      <c r="R310">
        <v>779171</v>
      </c>
    </row>
    <row r="311" spans="1:18" x14ac:dyDescent="0.25">
      <c r="A311" s="170">
        <v>42459</v>
      </c>
      <c r="B311" s="116">
        <v>93.274142690783407</v>
      </c>
      <c r="C311" s="116">
        <v>92.820474681587001</v>
      </c>
      <c r="D311" s="116">
        <v>91.005802644801307</v>
      </c>
      <c r="E311" s="116">
        <v>91.640937857676306</v>
      </c>
      <c r="F311" s="116">
        <v>102.3</v>
      </c>
      <c r="G311">
        <v>192389</v>
      </c>
      <c r="H311" s="116"/>
      <c r="I311" s="116"/>
      <c r="L311" s="170">
        <v>42459</v>
      </c>
      <c r="M311" s="116">
        <v>95.880537325676784</v>
      </c>
      <c r="N311" s="116">
        <v>96.254887886245541</v>
      </c>
      <c r="O311" s="116">
        <v>93.681227782335228</v>
      </c>
      <c r="P311" s="116">
        <v>94.89786710418376</v>
      </c>
      <c r="Q311" s="116">
        <v>102.45</v>
      </c>
      <c r="R311">
        <v>368160</v>
      </c>
    </row>
    <row r="312" spans="1:18" x14ac:dyDescent="0.25">
      <c r="A312" s="170">
        <v>42460</v>
      </c>
      <c r="B312" s="116">
        <v>92.548273876069203</v>
      </c>
      <c r="C312" s="116">
        <v>90.098466626408495</v>
      </c>
      <c r="D312" s="116">
        <v>89.372597811694206</v>
      </c>
      <c r="E312" s="116">
        <v>92.548273876069203</v>
      </c>
      <c r="F312" s="116">
        <v>99.3</v>
      </c>
      <c r="G312">
        <v>14943</v>
      </c>
      <c r="H312" s="116"/>
      <c r="I312" s="116"/>
      <c r="L312" s="170">
        <v>42460</v>
      </c>
      <c r="M312" s="116">
        <v>92.604969920700015</v>
      </c>
      <c r="N312" s="116">
        <v>96.348475526387745</v>
      </c>
      <c r="O312" s="116">
        <v>91.949856439704661</v>
      </c>
      <c r="P312" s="116">
        <v>95.974124965818959</v>
      </c>
      <c r="Q312" s="116">
        <v>98.95</v>
      </c>
      <c r="R312">
        <v>155670</v>
      </c>
    </row>
    <row r="313" spans="1:18" x14ac:dyDescent="0.25">
      <c r="A313" s="170">
        <v>42461</v>
      </c>
      <c r="B313" s="116">
        <v>91.640937857676306</v>
      </c>
      <c r="C313" s="116">
        <v>91.096536246640596</v>
      </c>
      <c r="D313" s="116">
        <v>89.055030205256799</v>
      </c>
      <c r="E313" s="116">
        <v>90.733601839283494</v>
      </c>
      <c r="F313" s="116">
        <v>100.4</v>
      </c>
      <c r="G313">
        <v>371991</v>
      </c>
      <c r="H313" s="116"/>
      <c r="I313" s="116"/>
      <c r="L313" s="170">
        <v>42461</v>
      </c>
      <c r="M313" s="116">
        <v>94.102372162975101</v>
      </c>
      <c r="N313" s="116">
        <v>94.523516543614974</v>
      </c>
      <c r="O313" s="116">
        <v>91.856268799562486</v>
      </c>
      <c r="P313" s="116">
        <v>92.651763740771116</v>
      </c>
      <c r="Q313" s="116">
        <v>100.55</v>
      </c>
      <c r="R313">
        <v>129028</v>
      </c>
    </row>
    <row r="314" spans="1:18" x14ac:dyDescent="0.25">
      <c r="A314" s="170">
        <v>42464</v>
      </c>
      <c r="B314" s="116">
        <v>91.640937857676306</v>
      </c>
      <c r="C314" s="116">
        <v>90.733601839283494</v>
      </c>
      <c r="D314" s="116">
        <v>89.735532219051393</v>
      </c>
      <c r="E314" s="116">
        <v>91.640937857676306</v>
      </c>
      <c r="F314" s="116">
        <v>100</v>
      </c>
      <c r="G314">
        <v>27402</v>
      </c>
      <c r="H314" s="116"/>
      <c r="I314" s="116"/>
      <c r="L314" s="170">
        <v>42464</v>
      </c>
      <c r="M314" s="116">
        <v>93.681227782335228</v>
      </c>
      <c r="N314" s="116">
        <v>94.757485643970455</v>
      </c>
      <c r="O314" s="116">
        <v>92.604969920700015</v>
      </c>
      <c r="P314" s="116">
        <v>94.476722723543887</v>
      </c>
      <c r="Q314" s="116">
        <v>100.1</v>
      </c>
      <c r="R314">
        <v>122826</v>
      </c>
    </row>
    <row r="315" spans="1:18" x14ac:dyDescent="0.25">
      <c r="A315" s="170">
        <v>42465</v>
      </c>
      <c r="B315" s="116">
        <v>93.364876292622696</v>
      </c>
      <c r="C315" s="116">
        <v>90.098466626408495</v>
      </c>
      <c r="D315" s="116">
        <v>89.599431816292494</v>
      </c>
      <c r="E315" s="116">
        <v>89.871632621810306</v>
      </c>
      <c r="F315" s="116">
        <v>99.3</v>
      </c>
      <c r="G315">
        <v>22200</v>
      </c>
      <c r="H315" s="116"/>
      <c r="I315" s="116"/>
      <c r="L315" s="170">
        <v>42465</v>
      </c>
      <c r="M315" s="116">
        <v>93.213289581624267</v>
      </c>
      <c r="N315" s="116">
        <v>96.582444626743225</v>
      </c>
      <c r="O315" s="116">
        <v>92.417794640415636</v>
      </c>
      <c r="P315" s="116">
        <v>93.119701941482077</v>
      </c>
      <c r="Q315" s="116">
        <v>99.6</v>
      </c>
      <c r="R315">
        <v>323777</v>
      </c>
    </row>
    <row r="316" spans="1:18" x14ac:dyDescent="0.25">
      <c r="A316" s="170">
        <v>42466</v>
      </c>
      <c r="B316" s="116">
        <v>92.9565750843459</v>
      </c>
      <c r="C316" s="116">
        <v>92.366806672390595</v>
      </c>
      <c r="D316" s="116">
        <v>90.143833427328104</v>
      </c>
      <c r="E316" s="116">
        <v>90.642868237444205</v>
      </c>
      <c r="F316" s="116">
        <v>101.8</v>
      </c>
      <c r="G316">
        <v>64436</v>
      </c>
      <c r="H316" s="116"/>
      <c r="I316" s="116"/>
      <c r="L316" s="170">
        <v>42466</v>
      </c>
      <c r="M316" s="116">
        <v>95.5529805851791</v>
      </c>
      <c r="N316" s="116">
        <v>95.927331145747871</v>
      </c>
      <c r="O316" s="116">
        <v>92.698557560842204</v>
      </c>
      <c r="P316" s="116">
        <v>93.213289581624267</v>
      </c>
      <c r="Q316" s="116">
        <v>102.1</v>
      </c>
      <c r="R316">
        <v>304253</v>
      </c>
    </row>
    <row r="317" spans="1:18" x14ac:dyDescent="0.25">
      <c r="A317" s="170">
        <v>42467</v>
      </c>
      <c r="B317" s="116">
        <v>92.775107880667406</v>
      </c>
      <c r="C317" s="116">
        <v>90.869702242042393</v>
      </c>
      <c r="D317" s="116">
        <v>90.642868237444205</v>
      </c>
      <c r="E317" s="116">
        <v>91.867771862274495</v>
      </c>
      <c r="F317" s="116">
        <v>100.15</v>
      </c>
      <c r="G317">
        <v>27623</v>
      </c>
      <c r="H317" s="116"/>
      <c r="I317" s="116"/>
      <c r="L317" s="170">
        <v>42467</v>
      </c>
      <c r="M317" s="116">
        <v>94.102372162975101</v>
      </c>
      <c r="N317" s="116">
        <v>95.740155865463478</v>
      </c>
      <c r="O317" s="116">
        <v>93.587640142193052</v>
      </c>
      <c r="P317" s="116">
        <v>94.617104183757164</v>
      </c>
      <c r="Q317" s="116">
        <v>100.55</v>
      </c>
      <c r="R317">
        <v>118102</v>
      </c>
    </row>
    <row r="318" spans="1:18" x14ac:dyDescent="0.25">
      <c r="A318" s="170">
        <v>42468</v>
      </c>
      <c r="B318" s="116">
        <v>92.9565750843459</v>
      </c>
      <c r="C318" s="116">
        <v>92.366806672390595</v>
      </c>
      <c r="D318" s="116">
        <v>90.189200228247799</v>
      </c>
      <c r="E318" s="116">
        <v>91.640937857676306</v>
      </c>
      <c r="F318" s="116">
        <v>101.8</v>
      </c>
      <c r="G318">
        <v>16383</v>
      </c>
      <c r="H318" s="116"/>
      <c r="I318" s="116"/>
      <c r="L318" s="170">
        <v>42468</v>
      </c>
      <c r="M318" s="116">
        <v>95.646568225321289</v>
      </c>
      <c r="N318" s="116">
        <v>96.067712605961162</v>
      </c>
      <c r="O318" s="116">
        <v>92.838939021055509</v>
      </c>
      <c r="P318" s="116">
        <v>94.991454744325935</v>
      </c>
      <c r="Q318" s="116">
        <v>102.2</v>
      </c>
      <c r="R318">
        <v>270725</v>
      </c>
    </row>
    <row r="319" spans="1:18" x14ac:dyDescent="0.25">
      <c r="A319" s="170">
        <v>42471</v>
      </c>
      <c r="B319" s="116">
        <v>93.455609894462</v>
      </c>
      <c r="C319" s="116">
        <v>92.094605866872797</v>
      </c>
      <c r="D319" s="116">
        <v>91.368737052158494</v>
      </c>
      <c r="E319" s="116">
        <v>93.455609894462</v>
      </c>
      <c r="F319" s="116">
        <v>101.5</v>
      </c>
      <c r="G319">
        <v>15255</v>
      </c>
      <c r="H319" s="116"/>
      <c r="I319" s="116"/>
      <c r="L319" s="170">
        <v>42471</v>
      </c>
      <c r="M319" s="116">
        <v>95.178630024610328</v>
      </c>
      <c r="N319" s="116">
        <v>96.348475526387745</v>
      </c>
      <c r="O319" s="116">
        <v>94.102372162975101</v>
      </c>
      <c r="P319" s="116">
        <v>96.348475526387745</v>
      </c>
      <c r="Q319" s="116">
        <v>101.7</v>
      </c>
      <c r="R319">
        <v>268375</v>
      </c>
    </row>
    <row r="320" spans="1:18" x14ac:dyDescent="0.25">
      <c r="A320" s="170">
        <v>42472</v>
      </c>
      <c r="B320" s="116">
        <v>95.315648732167304</v>
      </c>
      <c r="C320" s="116">
        <v>93.818544301819102</v>
      </c>
      <c r="D320" s="116">
        <v>90.960435843881697</v>
      </c>
      <c r="E320" s="116">
        <v>91.141903047560305</v>
      </c>
      <c r="F320" s="116">
        <v>103.4</v>
      </c>
      <c r="G320">
        <v>73474</v>
      </c>
      <c r="H320" s="116"/>
      <c r="I320" s="116"/>
      <c r="L320" s="170">
        <v>42472</v>
      </c>
      <c r="M320" s="116">
        <v>97.003589007383098</v>
      </c>
      <c r="N320" s="116">
        <v>98.688166529942563</v>
      </c>
      <c r="O320" s="116">
        <v>93.587640142193052</v>
      </c>
      <c r="P320" s="116">
        <v>94.055578342904013</v>
      </c>
      <c r="Q320" s="116">
        <v>103.65</v>
      </c>
      <c r="R320">
        <v>660631</v>
      </c>
    </row>
    <row r="321" spans="1:18" x14ac:dyDescent="0.25">
      <c r="A321" s="170">
        <v>42473</v>
      </c>
      <c r="B321" s="116">
        <v>98.219123991024404</v>
      </c>
      <c r="C321" s="116">
        <v>95.587849537685202</v>
      </c>
      <c r="D321" s="116">
        <v>94.408312713774507</v>
      </c>
      <c r="E321" s="116">
        <v>95.270281931247695</v>
      </c>
      <c r="F321" s="116">
        <v>105.35</v>
      </c>
      <c r="G321">
        <v>89053</v>
      </c>
      <c r="H321" s="116"/>
      <c r="I321" s="116"/>
      <c r="L321" s="170">
        <v>42473</v>
      </c>
      <c r="M321" s="116">
        <v>98.407403609515995</v>
      </c>
      <c r="N321" s="116">
        <v>101.26182663385288</v>
      </c>
      <c r="O321" s="116">
        <v>97.892671588733918</v>
      </c>
      <c r="P321" s="116">
        <v>98.267022149302704</v>
      </c>
      <c r="Q321" s="116">
        <v>105.15</v>
      </c>
      <c r="R321">
        <v>354317</v>
      </c>
    </row>
    <row r="322" spans="1:18" x14ac:dyDescent="0.25">
      <c r="A322" s="170">
        <v>42478</v>
      </c>
      <c r="B322" s="116">
        <v>98.808892402979694</v>
      </c>
      <c r="C322" s="116">
        <v>97.992289986426201</v>
      </c>
      <c r="D322" s="116">
        <v>95.224915130328</v>
      </c>
      <c r="E322" s="116">
        <v>95.587849537685202</v>
      </c>
      <c r="F322" s="116">
        <v>108</v>
      </c>
      <c r="G322">
        <v>48264</v>
      </c>
      <c r="H322" s="116"/>
      <c r="I322" s="116"/>
      <c r="L322" s="170">
        <v>42478</v>
      </c>
      <c r="M322" s="116">
        <v>101.58938337435055</v>
      </c>
      <c r="N322" s="116">
        <v>102.38487831555919</v>
      </c>
      <c r="O322" s="116">
        <v>97.331145747880768</v>
      </c>
      <c r="P322" s="116">
        <v>97.331145747880768</v>
      </c>
      <c r="Q322" s="116">
        <v>108.55</v>
      </c>
      <c r="R322">
        <v>847893</v>
      </c>
    </row>
    <row r="323" spans="1:18" x14ac:dyDescent="0.25">
      <c r="A323" s="170">
        <v>42480</v>
      </c>
      <c r="B323" s="116">
        <v>97.901556384586897</v>
      </c>
      <c r="C323" s="116">
        <v>95.361015533086999</v>
      </c>
      <c r="D323" s="116">
        <v>94.771247121131594</v>
      </c>
      <c r="E323" s="116">
        <v>97.901556384586897</v>
      </c>
      <c r="F323" s="116">
        <v>105.1</v>
      </c>
      <c r="G323">
        <v>30373</v>
      </c>
      <c r="H323" s="116"/>
      <c r="I323" s="116"/>
      <c r="L323" s="170">
        <v>42480</v>
      </c>
      <c r="M323" s="116">
        <v>98.360609789444879</v>
      </c>
      <c r="N323" s="116">
        <v>101.72976483456384</v>
      </c>
      <c r="O323" s="116">
        <v>97.892671588733918</v>
      </c>
      <c r="P323" s="116">
        <v>101.58938337435055</v>
      </c>
      <c r="Q323" s="116">
        <v>105.1</v>
      </c>
      <c r="R323">
        <v>352266</v>
      </c>
    </row>
    <row r="324" spans="1:18" x14ac:dyDescent="0.25">
      <c r="A324" s="170">
        <v>42481</v>
      </c>
      <c r="B324" s="116">
        <v>97.221054370792302</v>
      </c>
      <c r="C324" s="116">
        <v>93.001941885265595</v>
      </c>
      <c r="D324" s="116">
        <v>91.141903047560305</v>
      </c>
      <c r="E324" s="116">
        <v>96.676652759756607</v>
      </c>
      <c r="F324" s="116">
        <v>102.5</v>
      </c>
      <c r="G324">
        <v>62490</v>
      </c>
      <c r="H324" s="116"/>
      <c r="I324" s="116"/>
      <c r="L324" s="170">
        <v>42481</v>
      </c>
      <c r="M324" s="116">
        <v>96.161300246103352</v>
      </c>
      <c r="N324" s="116">
        <v>101.0278575334974</v>
      </c>
      <c r="O324" s="116">
        <v>93.681227782335228</v>
      </c>
      <c r="P324" s="116">
        <v>99.998393491933271</v>
      </c>
      <c r="Q324" s="116">
        <v>102.75</v>
      </c>
      <c r="R324">
        <v>502422</v>
      </c>
    </row>
    <row r="325" spans="1:18" x14ac:dyDescent="0.25">
      <c r="A325" s="170">
        <v>42482</v>
      </c>
      <c r="B325" s="116">
        <v>96.903486764354795</v>
      </c>
      <c r="C325" s="116">
        <v>95.315648732167304</v>
      </c>
      <c r="D325" s="116">
        <v>94.589779917453001</v>
      </c>
      <c r="E325" s="116">
        <v>94.680513519292305</v>
      </c>
      <c r="F325" s="116">
        <v>105.05</v>
      </c>
      <c r="G325">
        <v>45812</v>
      </c>
      <c r="H325" s="116"/>
      <c r="I325" s="116"/>
      <c r="L325" s="170">
        <v>42482</v>
      </c>
      <c r="M325" s="116">
        <v>98.360609789444879</v>
      </c>
      <c r="N325" s="116">
        <v>99.717630571506689</v>
      </c>
      <c r="O325" s="116">
        <v>97.143970467596375</v>
      </c>
      <c r="P325" s="116">
        <v>98.454197429587083</v>
      </c>
      <c r="Q325" s="116">
        <v>105.1</v>
      </c>
      <c r="R325">
        <v>419613</v>
      </c>
    </row>
    <row r="326" spans="1:18" x14ac:dyDescent="0.25">
      <c r="A326" s="170">
        <v>42485</v>
      </c>
      <c r="B326" s="116">
        <v>95.814683542283404</v>
      </c>
      <c r="C326" s="116">
        <v>95.406382334006594</v>
      </c>
      <c r="D326" s="116">
        <v>95.043447926649506</v>
      </c>
      <c r="E326" s="116">
        <v>95.270281931247695</v>
      </c>
      <c r="F326" s="116">
        <v>105.15</v>
      </c>
      <c r="G326">
        <v>14865</v>
      </c>
      <c r="H326" s="116"/>
      <c r="I326" s="116"/>
      <c r="L326" s="170">
        <v>42485</v>
      </c>
      <c r="M326" s="116">
        <v>98.360609789444879</v>
      </c>
      <c r="N326" s="116">
        <v>99.156104730653539</v>
      </c>
      <c r="O326" s="116">
        <v>97.845877768662831</v>
      </c>
      <c r="P326" s="116">
        <v>98.220228329231603</v>
      </c>
      <c r="Q326" s="116">
        <v>105.1</v>
      </c>
      <c r="R326">
        <v>239818</v>
      </c>
    </row>
    <row r="327" spans="1:18" x14ac:dyDescent="0.25">
      <c r="A327" s="170">
        <v>42486</v>
      </c>
      <c r="B327" s="116">
        <v>97.402521574470796</v>
      </c>
      <c r="C327" s="116">
        <v>95.270281931247695</v>
      </c>
      <c r="D327" s="116">
        <v>95.179548329408405</v>
      </c>
      <c r="E327" s="116">
        <v>95.179548329408405</v>
      </c>
      <c r="F327" s="116">
        <v>105</v>
      </c>
      <c r="G327">
        <v>29665</v>
      </c>
      <c r="H327" s="116"/>
      <c r="I327" s="116"/>
      <c r="L327" s="170">
        <v>42486</v>
      </c>
      <c r="M327" s="116">
        <v>98.360609789444879</v>
      </c>
      <c r="N327" s="116">
        <v>100.88747607328411</v>
      </c>
      <c r="O327" s="116">
        <v>97.799083948591729</v>
      </c>
      <c r="P327" s="116">
        <v>98.360609789444879</v>
      </c>
      <c r="Q327" s="116">
        <v>105.1</v>
      </c>
      <c r="R327">
        <v>252714</v>
      </c>
    </row>
    <row r="328" spans="1:18" x14ac:dyDescent="0.25">
      <c r="A328" s="170">
        <v>42487</v>
      </c>
      <c r="B328" s="116">
        <v>96.041517546881593</v>
      </c>
      <c r="C328" s="116">
        <v>95.270281931247695</v>
      </c>
      <c r="D328" s="116">
        <v>95.088814727569101</v>
      </c>
      <c r="E328" s="116">
        <v>95.451749134926203</v>
      </c>
      <c r="F328" s="116">
        <v>105</v>
      </c>
      <c r="G328">
        <v>11858</v>
      </c>
      <c r="H328" s="116"/>
      <c r="I328" s="116"/>
      <c r="L328" s="170">
        <v>42487</v>
      </c>
      <c r="M328" s="116">
        <v>98.313815969373792</v>
      </c>
      <c r="N328" s="116">
        <v>99.109310910582437</v>
      </c>
      <c r="O328" s="116">
        <v>97.424733388022958</v>
      </c>
      <c r="P328" s="116">
        <v>99.015723270440233</v>
      </c>
      <c r="Q328" s="116">
        <v>105.05</v>
      </c>
      <c r="R328">
        <v>124275</v>
      </c>
    </row>
    <row r="329" spans="1:18" x14ac:dyDescent="0.25">
      <c r="A329" s="170">
        <v>42488</v>
      </c>
      <c r="B329" s="116">
        <v>96.177617949640506</v>
      </c>
      <c r="C329" s="116">
        <v>95.587849537685202</v>
      </c>
      <c r="D329" s="116">
        <v>95.179548329408405</v>
      </c>
      <c r="E329" s="116">
        <v>95.497115935845898</v>
      </c>
      <c r="F329" s="116">
        <v>105.35</v>
      </c>
      <c r="G329">
        <v>10579</v>
      </c>
      <c r="H329" s="116"/>
      <c r="I329" s="116"/>
      <c r="L329" s="170">
        <v>42488</v>
      </c>
      <c r="M329" s="116">
        <v>98.781754170084753</v>
      </c>
      <c r="N329" s="116">
        <v>99.156104730653539</v>
      </c>
      <c r="O329" s="116">
        <v>98.079846869018311</v>
      </c>
      <c r="P329" s="116">
        <v>98.267022149302704</v>
      </c>
      <c r="Q329" s="116">
        <v>105.55</v>
      </c>
      <c r="R329">
        <v>216358</v>
      </c>
    </row>
    <row r="330" spans="1:18" x14ac:dyDescent="0.25">
      <c r="A330" s="170">
        <v>42489</v>
      </c>
      <c r="B330" s="116">
        <v>95.542482736765507</v>
      </c>
      <c r="C330" s="116">
        <v>95.406382334006594</v>
      </c>
      <c r="D330" s="116">
        <v>93.682443899060203</v>
      </c>
      <c r="E330" s="116">
        <v>95.270281931247695</v>
      </c>
      <c r="F330" s="116">
        <v>105.15</v>
      </c>
      <c r="G330">
        <v>8016</v>
      </c>
      <c r="H330" s="116"/>
      <c r="I330" s="116"/>
      <c r="L330" s="170">
        <v>42489</v>
      </c>
      <c r="M330" s="116">
        <v>98.454197429587083</v>
      </c>
      <c r="N330" s="116">
        <v>98.734960350013665</v>
      </c>
      <c r="O330" s="116">
        <v>96.208094066174453</v>
      </c>
      <c r="P330" s="116">
        <v>98.734960350013665</v>
      </c>
      <c r="Q330" s="116">
        <v>105.2</v>
      </c>
      <c r="R330">
        <v>106031</v>
      </c>
    </row>
    <row r="331" spans="1:18" x14ac:dyDescent="0.25">
      <c r="A331" s="170">
        <v>42492</v>
      </c>
      <c r="B331" s="116">
        <v>94.635146718372695</v>
      </c>
      <c r="C331" s="116">
        <v>93.909277903658406</v>
      </c>
      <c r="D331" s="116">
        <v>93.319509491703101</v>
      </c>
      <c r="E331" s="116">
        <v>94.635146718372695</v>
      </c>
      <c r="F331" s="116">
        <v>103.5</v>
      </c>
      <c r="G331">
        <v>10423</v>
      </c>
      <c r="H331" s="116"/>
      <c r="I331" s="116"/>
      <c r="L331" s="170">
        <v>42492</v>
      </c>
      <c r="M331" s="116">
        <v>97.190764287667477</v>
      </c>
      <c r="N331" s="116">
        <v>98.734960350013665</v>
      </c>
      <c r="O331" s="116">
        <v>96.676032266885414</v>
      </c>
      <c r="P331" s="116">
        <v>98.454197429587083</v>
      </c>
      <c r="Q331" s="116">
        <v>103.85</v>
      </c>
      <c r="R331">
        <v>127184</v>
      </c>
    </row>
    <row r="332" spans="1:18" x14ac:dyDescent="0.25">
      <c r="A332" s="170">
        <v>42493</v>
      </c>
      <c r="B332" s="116">
        <v>95.633216338604797</v>
      </c>
      <c r="C332" s="116">
        <v>94.861980722970898</v>
      </c>
      <c r="D332" s="116">
        <v>93.455609894462</v>
      </c>
      <c r="E332" s="116">
        <v>94.816613922051303</v>
      </c>
      <c r="F332" s="116">
        <v>104.55</v>
      </c>
      <c r="G332">
        <v>40602</v>
      </c>
      <c r="H332" s="116"/>
      <c r="I332" s="116"/>
      <c r="L332" s="170">
        <v>42493</v>
      </c>
      <c r="M332" s="116">
        <v>98.173434509160515</v>
      </c>
      <c r="N332" s="116">
        <v>98.688166529942563</v>
      </c>
      <c r="O332" s="116">
        <v>96.676032266885414</v>
      </c>
      <c r="P332" s="116">
        <v>96.863207547169807</v>
      </c>
      <c r="Q332" s="116">
        <v>104.9</v>
      </c>
      <c r="R332">
        <v>194241</v>
      </c>
    </row>
    <row r="333" spans="1:18" x14ac:dyDescent="0.25">
      <c r="A333" s="170">
        <v>42494</v>
      </c>
      <c r="B333" s="116">
        <v>97.901556384586897</v>
      </c>
      <c r="C333" s="116">
        <v>96.3590851533191</v>
      </c>
      <c r="D333" s="116">
        <v>94.362945912854798</v>
      </c>
      <c r="E333" s="116">
        <v>94.362945912854798</v>
      </c>
      <c r="F333" s="116">
        <v>106.2</v>
      </c>
      <c r="G333">
        <v>53975</v>
      </c>
      <c r="H333" s="116"/>
      <c r="I333" s="116"/>
      <c r="L333" s="170">
        <v>42494</v>
      </c>
      <c r="M333" s="116">
        <v>100.09198113207546</v>
      </c>
      <c r="N333" s="116">
        <v>100.74709461307081</v>
      </c>
      <c r="O333" s="116">
        <v>96.676032266885414</v>
      </c>
      <c r="P333" s="116">
        <v>97.61190866830735</v>
      </c>
      <c r="Q333" s="116">
        <v>106.95</v>
      </c>
      <c r="R333">
        <v>2515141</v>
      </c>
    </row>
    <row r="334" spans="1:18" x14ac:dyDescent="0.25">
      <c r="A334" s="170">
        <v>42495</v>
      </c>
      <c r="B334" s="116">
        <v>96.177617949640506</v>
      </c>
      <c r="C334" s="116">
        <v>95.633216338604797</v>
      </c>
      <c r="D334" s="116">
        <v>95.224915130328</v>
      </c>
      <c r="E334" s="116">
        <v>96.132251148720897</v>
      </c>
      <c r="F334" s="116">
        <v>105.4</v>
      </c>
      <c r="G334">
        <v>8216</v>
      </c>
      <c r="H334" s="116"/>
      <c r="I334" s="116"/>
      <c r="L334" s="170">
        <v>42495</v>
      </c>
      <c r="M334" s="116">
        <v>98.734960350013665</v>
      </c>
      <c r="N334" s="116">
        <v>100.60671315285752</v>
      </c>
      <c r="O334" s="116">
        <v>97.799083948591729</v>
      </c>
      <c r="P334" s="116">
        <v>100.09198113207546</v>
      </c>
      <c r="Q334" s="116">
        <v>105.5</v>
      </c>
      <c r="R334">
        <v>253300</v>
      </c>
    </row>
    <row r="335" spans="1:18" x14ac:dyDescent="0.25">
      <c r="A335" s="170">
        <v>42496</v>
      </c>
      <c r="B335" s="116">
        <v>95.587849537685202</v>
      </c>
      <c r="C335" s="116">
        <v>94.725880320211999</v>
      </c>
      <c r="D335" s="116">
        <v>94.362945912854798</v>
      </c>
      <c r="E335" s="116">
        <v>95.270281931247695</v>
      </c>
      <c r="F335" s="116">
        <v>104.4</v>
      </c>
      <c r="G335">
        <v>24632</v>
      </c>
      <c r="H335" s="116"/>
      <c r="I335" s="116"/>
      <c r="L335" s="170">
        <v>42496</v>
      </c>
      <c r="M335" s="116">
        <v>97.752290128520642</v>
      </c>
      <c r="N335" s="116">
        <v>99.015723270440233</v>
      </c>
      <c r="O335" s="116">
        <v>97.331145747880768</v>
      </c>
      <c r="P335" s="116">
        <v>98.828547990155855</v>
      </c>
      <c r="Q335" s="116">
        <v>104.45</v>
      </c>
      <c r="R335">
        <v>145447</v>
      </c>
    </row>
    <row r="336" spans="1:18" x14ac:dyDescent="0.25">
      <c r="A336" s="170">
        <v>42499</v>
      </c>
      <c r="B336" s="116">
        <v>95.905417144122694</v>
      </c>
      <c r="C336" s="116">
        <v>95.134181528488696</v>
      </c>
      <c r="D336" s="116">
        <v>94.362945912854798</v>
      </c>
      <c r="E336" s="116">
        <v>94.408312713774507</v>
      </c>
      <c r="F336" s="116">
        <v>104.85</v>
      </c>
      <c r="G336">
        <v>21830</v>
      </c>
      <c r="H336" s="116"/>
      <c r="I336" s="116"/>
      <c r="L336" s="170">
        <v>42499</v>
      </c>
      <c r="M336" s="116">
        <v>98.173434509160515</v>
      </c>
      <c r="N336" s="116">
        <v>98.968929450369146</v>
      </c>
      <c r="O336" s="116">
        <v>97.050382827454186</v>
      </c>
      <c r="P336" s="116">
        <v>97.424733388022958</v>
      </c>
      <c r="Q336" s="116">
        <v>104.9</v>
      </c>
      <c r="R336">
        <v>383647</v>
      </c>
    </row>
    <row r="337" spans="1:18" x14ac:dyDescent="0.25">
      <c r="A337" s="170">
        <v>42500</v>
      </c>
      <c r="B337" s="116">
        <v>96.177617949640506</v>
      </c>
      <c r="C337" s="116">
        <v>95.406382334006594</v>
      </c>
      <c r="D337" s="116">
        <v>94.589779917453001</v>
      </c>
      <c r="E337" s="116">
        <v>95.723949940444101</v>
      </c>
      <c r="F337" s="116">
        <v>105.15</v>
      </c>
      <c r="G337">
        <v>31553</v>
      </c>
      <c r="H337" s="116"/>
      <c r="I337" s="116"/>
      <c r="L337" s="170">
        <v>42500</v>
      </c>
      <c r="M337" s="116">
        <v>98.641372709871476</v>
      </c>
      <c r="N337" s="116">
        <v>99.343280010937917</v>
      </c>
      <c r="O337" s="116">
        <v>97.565114848236249</v>
      </c>
      <c r="P337" s="116">
        <v>98.781754170084753</v>
      </c>
      <c r="Q337" s="116">
        <v>105.4</v>
      </c>
      <c r="R337">
        <v>196336</v>
      </c>
    </row>
    <row r="338" spans="1:18" x14ac:dyDescent="0.25">
      <c r="A338" s="170">
        <v>42501</v>
      </c>
      <c r="B338" s="116">
        <v>96.086884347801202</v>
      </c>
      <c r="C338" s="116">
        <v>95.678583139524406</v>
      </c>
      <c r="D338" s="116">
        <v>94.589779917453001</v>
      </c>
      <c r="E338" s="116">
        <v>95.723949940444101</v>
      </c>
      <c r="F338" s="116">
        <v>105.45</v>
      </c>
      <c r="G338">
        <v>13897</v>
      </c>
      <c r="H338" s="116"/>
      <c r="I338" s="116"/>
      <c r="L338" s="170">
        <v>42501</v>
      </c>
      <c r="M338" s="116">
        <v>98.500991249658185</v>
      </c>
      <c r="N338" s="116">
        <v>99.109310910582437</v>
      </c>
      <c r="O338" s="116">
        <v>97.471527208094059</v>
      </c>
      <c r="P338" s="116">
        <v>98.313815969373792</v>
      </c>
      <c r="Q338" s="116">
        <v>105.25</v>
      </c>
      <c r="R338">
        <v>431302</v>
      </c>
    </row>
    <row r="339" spans="1:18" x14ac:dyDescent="0.25">
      <c r="A339" s="170">
        <v>42502</v>
      </c>
      <c r="B339" s="116">
        <v>97.946923185506506</v>
      </c>
      <c r="C339" s="116">
        <v>96.404451954238695</v>
      </c>
      <c r="D339" s="116">
        <v>94.816613922051303</v>
      </c>
      <c r="E339" s="116">
        <v>95.270281931247695</v>
      </c>
      <c r="F339" s="116">
        <v>106.25</v>
      </c>
      <c r="G339">
        <v>53790</v>
      </c>
      <c r="H339" s="116"/>
      <c r="I339" s="116"/>
      <c r="L339" s="170">
        <v>42502</v>
      </c>
      <c r="M339" s="116">
        <v>99.6240429313645</v>
      </c>
      <c r="N339" s="116">
        <v>100.88747607328411</v>
      </c>
      <c r="O339" s="116">
        <v>97.799083948591729</v>
      </c>
      <c r="P339" s="116">
        <v>98.267022149302704</v>
      </c>
      <c r="Q339" s="116">
        <v>106.45</v>
      </c>
      <c r="R339">
        <v>2660159</v>
      </c>
    </row>
    <row r="340" spans="1:18" x14ac:dyDescent="0.25">
      <c r="A340" s="170">
        <v>42503</v>
      </c>
      <c r="B340" s="116">
        <v>102.98263808758701</v>
      </c>
      <c r="C340" s="116">
        <v>102.075302069194</v>
      </c>
      <c r="D340" s="116">
        <v>95.769316741363696</v>
      </c>
      <c r="E340" s="116">
        <v>96.177617949640506</v>
      </c>
      <c r="F340" s="116">
        <v>112.5</v>
      </c>
      <c r="G340">
        <v>152949</v>
      </c>
      <c r="H340" s="116"/>
      <c r="I340" s="116"/>
      <c r="L340" s="170">
        <v>42503</v>
      </c>
      <c r="M340" s="116">
        <v>105.23930133989609</v>
      </c>
      <c r="N340" s="116">
        <v>106.22197156138911</v>
      </c>
      <c r="O340" s="116">
        <v>98.781754170084753</v>
      </c>
      <c r="P340" s="116">
        <v>99.436867651080107</v>
      </c>
      <c r="Q340" s="116">
        <v>112.45</v>
      </c>
      <c r="R340">
        <v>1145414</v>
      </c>
    </row>
    <row r="341" spans="1:18" x14ac:dyDescent="0.25">
      <c r="A341" s="170">
        <v>42506</v>
      </c>
      <c r="B341" s="116">
        <v>106.611982161158</v>
      </c>
      <c r="C341" s="116">
        <v>104.888043726212</v>
      </c>
      <c r="D341" s="116">
        <v>99.7615952222922</v>
      </c>
      <c r="E341" s="116">
        <v>102.52897007839</v>
      </c>
      <c r="F341" s="116">
        <v>115.6</v>
      </c>
      <c r="G341">
        <v>88065</v>
      </c>
      <c r="H341" s="116"/>
      <c r="I341" s="116"/>
      <c r="L341" s="170">
        <v>42506</v>
      </c>
      <c r="M341" s="116">
        <v>108.37448728465955</v>
      </c>
      <c r="N341" s="116">
        <v>110.24624008750341</v>
      </c>
      <c r="O341" s="116">
        <v>102.43167213563029</v>
      </c>
      <c r="P341" s="116">
        <v>105.80082718074924</v>
      </c>
      <c r="Q341" s="116">
        <v>115.8</v>
      </c>
      <c r="R341">
        <v>655878</v>
      </c>
    </row>
    <row r="342" spans="1:18" x14ac:dyDescent="0.25">
      <c r="A342" s="170">
        <v>42507</v>
      </c>
      <c r="B342" s="116">
        <v>107.882252586908</v>
      </c>
      <c r="C342" s="116">
        <v>104.75194332345301</v>
      </c>
      <c r="D342" s="116">
        <v>102.71043728206899</v>
      </c>
      <c r="E342" s="116">
        <v>105.976846948283</v>
      </c>
      <c r="F342" s="116">
        <v>115.45</v>
      </c>
      <c r="G342">
        <v>132884</v>
      </c>
      <c r="H342" s="116"/>
      <c r="I342" s="116"/>
      <c r="L342" s="170">
        <v>42507</v>
      </c>
      <c r="M342" s="116">
        <v>107.95334290401968</v>
      </c>
      <c r="N342" s="116">
        <v>111.18211648892533</v>
      </c>
      <c r="O342" s="116">
        <v>105.75403336067814</v>
      </c>
      <c r="P342" s="116">
        <v>109.49753896636587</v>
      </c>
      <c r="Q342" s="116">
        <v>115.35</v>
      </c>
      <c r="R342">
        <v>1613451</v>
      </c>
    </row>
    <row r="343" spans="1:18" x14ac:dyDescent="0.25">
      <c r="A343" s="170">
        <v>42508</v>
      </c>
      <c r="B343" s="116">
        <v>109.243256614497</v>
      </c>
      <c r="C343" s="116">
        <v>103.436306096783</v>
      </c>
      <c r="D343" s="116">
        <v>101.21333285172101</v>
      </c>
      <c r="E343" s="116">
        <v>104.888043726212</v>
      </c>
      <c r="F343" s="116">
        <v>114</v>
      </c>
      <c r="G343">
        <v>355100</v>
      </c>
      <c r="H343" s="116"/>
      <c r="I343" s="116"/>
      <c r="L343" s="170">
        <v>42508</v>
      </c>
      <c r="M343" s="116">
        <v>107.15784796281103</v>
      </c>
      <c r="N343" s="116">
        <v>112.77310637134262</v>
      </c>
      <c r="O343" s="116">
        <v>106.12838392124692</v>
      </c>
      <c r="P343" s="116">
        <v>107.62578616352201</v>
      </c>
      <c r="Q343" s="116">
        <v>114.5</v>
      </c>
      <c r="R343">
        <v>2026309</v>
      </c>
    </row>
    <row r="344" spans="1:18" x14ac:dyDescent="0.25">
      <c r="A344" s="170">
        <v>42509</v>
      </c>
      <c r="B344" s="116">
        <v>105.976846948283</v>
      </c>
      <c r="C344" s="116">
        <v>102.61970368023</v>
      </c>
      <c r="D344" s="116">
        <v>100.71429804160501</v>
      </c>
      <c r="E344" s="116">
        <v>105.976846948283</v>
      </c>
      <c r="F344" s="116">
        <v>113.1</v>
      </c>
      <c r="G344">
        <v>33515</v>
      </c>
      <c r="H344" s="116"/>
      <c r="I344" s="116"/>
      <c r="L344" s="170">
        <v>42509</v>
      </c>
      <c r="M344" s="116">
        <v>105.75403336067814</v>
      </c>
      <c r="N344" s="116">
        <v>108.56166256494393</v>
      </c>
      <c r="O344" s="116">
        <v>103.97586819797647</v>
      </c>
      <c r="P344" s="116">
        <v>108.56166256494393</v>
      </c>
      <c r="Q344" s="116">
        <v>113</v>
      </c>
      <c r="R344">
        <v>518895</v>
      </c>
    </row>
    <row r="345" spans="1:18" x14ac:dyDescent="0.25">
      <c r="A345" s="170">
        <v>42510</v>
      </c>
      <c r="B345" s="116">
        <v>103.98070770781899</v>
      </c>
      <c r="C345" s="116">
        <v>102.34750287471201</v>
      </c>
      <c r="D345" s="116">
        <v>98.763525602060099</v>
      </c>
      <c r="E345" s="116">
        <v>98.763525602060099</v>
      </c>
      <c r="F345" s="116">
        <v>112.8</v>
      </c>
      <c r="G345">
        <v>33233</v>
      </c>
      <c r="H345" s="116"/>
      <c r="I345" s="116"/>
      <c r="L345" s="170">
        <v>42510</v>
      </c>
      <c r="M345" s="116">
        <v>105.56685808039376</v>
      </c>
      <c r="N345" s="116">
        <v>107.11105414273995</v>
      </c>
      <c r="O345" s="116">
        <v>103.41434235712332</v>
      </c>
      <c r="P345" s="116">
        <v>106.54952830188678</v>
      </c>
      <c r="Q345" s="116">
        <v>112.8</v>
      </c>
      <c r="R345">
        <v>257764</v>
      </c>
    </row>
    <row r="346" spans="1:18" x14ac:dyDescent="0.25">
      <c r="A346" s="170">
        <v>42513</v>
      </c>
      <c r="B346" s="116">
        <v>104.706576522533</v>
      </c>
      <c r="C346" s="116">
        <v>104.298275314256</v>
      </c>
      <c r="D346" s="116">
        <v>100.260630032408</v>
      </c>
      <c r="E346" s="116">
        <v>102.89190448574701</v>
      </c>
      <c r="F346" s="116">
        <v>114.95</v>
      </c>
      <c r="G346">
        <v>49961</v>
      </c>
      <c r="H346" s="116"/>
      <c r="I346" s="116"/>
      <c r="L346" s="170">
        <v>42513</v>
      </c>
      <c r="M346" s="116">
        <v>107.6725799835931</v>
      </c>
      <c r="N346" s="116">
        <v>108.09372436423297</v>
      </c>
      <c r="O346" s="116">
        <v>103.18037325676784</v>
      </c>
      <c r="P346" s="116">
        <v>105.84762100082033</v>
      </c>
      <c r="Q346" s="116">
        <v>115.05</v>
      </c>
      <c r="R346">
        <v>351224</v>
      </c>
    </row>
    <row r="347" spans="1:18" x14ac:dyDescent="0.25">
      <c r="A347" s="170">
        <v>42514</v>
      </c>
      <c r="B347" s="116">
        <v>104.298275314256</v>
      </c>
      <c r="C347" s="116">
        <v>103.708506902301</v>
      </c>
      <c r="D347" s="116">
        <v>100.48746403700601</v>
      </c>
      <c r="E347" s="116">
        <v>103.527039698622</v>
      </c>
      <c r="F347" s="116">
        <v>114.3</v>
      </c>
      <c r="G347">
        <v>101419</v>
      </c>
      <c r="H347" s="116"/>
      <c r="I347" s="116"/>
      <c r="L347" s="170">
        <v>42514</v>
      </c>
      <c r="M347" s="116">
        <v>106.73670358217116</v>
      </c>
      <c r="N347" s="116">
        <v>107.15784796281103</v>
      </c>
      <c r="O347" s="116">
        <v>103.6483114574788</v>
      </c>
      <c r="P347" s="116">
        <v>106.92387886245555</v>
      </c>
      <c r="Q347" s="116">
        <v>114.05</v>
      </c>
      <c r="R347">
        <v>338018</v>
      </c>
    </row>
    <row r="348" spans="1:18" x14ac:dyDescent="0.25">
      <c r="A348" s="170">
        <v>42515</v>
      </c>
      <c r="B348" s="116">
        <v>105.341711735408</v>
      </c>
      <c r="C348" s="116">
        <v>104.933410527131</v>
      </c>
      <c r="D348" s="116">
        <v>102.52897007839</v>
      </c>
      <c r="E348" s="116">
        <v>103.84460730505999</v>
      </c>
      <c r="F348" s="116">
        <v>115.65</v>
      </c>
      <c r="G348">
        <v>99609</v>
      </c>
      <c r="H348" s="116"/>
      <c r="I348" s="116"/>
      <c r="L348" s="170">
        <v>42515</v>
      </c>
      <c r="M348" s="116">
        <v>107.95334290401968</v>
      </c>
      <c r="N348" s="116">
        <v>108.74883784522832</v>
      </c>
      <c r="O348" s="116">
        <v>105.94120864096253</v>
      </c>
      <c r="P348" s="116">
        <v>107.06426032266884</v>
      </c>
      <c r="Q348" s="116">
        <v>115.35</v>
      </c>
      <c r="R348">
        <v>747021</v>
      </c>
    </row>
    <row r="349" spans="1:18" x14ac:dyDescent="0.25">
      <c r="A349" s="170">
        <v>42516</v>
      </c>
      <c r="B349" s="116">
        <v>104.842676925292</v>
      </c>
      <c r="C349" s="116">
        <v>104.389008916096</v>
      </c>
      <c r="D349" s="116">
        <v>103.209472092185</v>
      </c>
      <c r="E349" s="116">
        <v>104.343642115176</v>
      </c>
      <c r="F349" s="116">
        <v>115.05</v>
      </c>
      <c r="G349">
        <v>40321</v>
      </c>
      <c r="H349" s="116"/>
      <c r="I349" s="116"/>
      <c r="L349" s="170">
        <v>42516</v>
      </c>
      <c r="M349" s="116">
        <v>107.7193738036642</v>
      </c>
      <c r="N349" s="116">
        <v>108.56166256494393</v>
      </c>
      <c r="O349" s="116">
        <v>106.54952830188678</v>
      </c>
      <c r="P349" s="116">
        <v>108.56166256494393</v>
      </c>
      <c r="Q349" s="116">
        <v>115.1</v>
      </c>
      <c r="R349">
        <v>762653</v>
      </c>
    </row>
    <row r="350" spans="1:18" x14ac:dyDescent="0.25">
      <c r="A350" s="170">
        <v>42517</v>
      </c>
      <c r="B350" s="116">
        <v>106.566615360238</v>
      </c>
      <c r="C350" s="116">
        <v>105.704646142765</v>
      </c>
      <c r="D350" s="116">
        <v>103.436306096783</v>
      </c>
      <c r="E350" s="116">
        <v>104.343642115176</v>
      </c>
      <c r="F350" s="116">
        <v>116.5</v>
      </c>
      <c r="G350">
        <v>75903</v>
      </c>
      <c r="H350" s="116"/>
      <c r="I350" s="116"/>
      <c r="L350" s="170">
        <v>42517</v>
      </c>
      <c r="M350" s="116">
        <v>108.8892193054416</v>
      </c>
      <c r="N350" s="116">
        <v>110.05906480721902</v>
      </c>
      <c r="O350" s="116">
        <v>106.78349740224226</v>
      </c>
      <c r="P350" s="116">
        <v>107.95334290401968</v>
      </c>
      <c r="Q350" s="116">
        <v>116.35</v>
      </c>
      <c r="R350">
        <v>356864</v>
      </c>
    </row>
    <row r="351" spans="1:18" x14ac:dyDescent="0.25">
      <c r="A351" s="170">
        <v>42520</v>
      </c>
      <c r="B351" s="116">
        <v>107.51931817955099</v>
      </c>
      <c r="C351" s="116">
        <v>107.065650170355</v>
      </c>
      <c r="D351" s="116">
        <v>104.797310124372</v>
      </c>
      <c r="E351" s="116">
        <v>106.158314151962</v>
      </c>
      <c r="F351" s="116">
        <v>118</v>
      </c>
      <c r="G351">
        <v>63878</v>
      </c>
      <c r="H351" s="116"/>
      <c r="I351" s="116"/>
      <c r="L351" s="170">
        <v>42520</v>
      </c>
      <c r="M351" s="116">
        <v>110.48020918785889</v>
      </c>
      <c r="N351" s="116">
        <v>110.99494120864095</v>
      </c>
      <c r="O351" s="116">
        <v>108.00013672409078</v>
      </c>
      <c r="P351" s="116">
        <v>108.56166256494393</v>
      </c>
      <c r="Q351" s="116">
        <v>118.05</v>
      </c>
      <c r="R351">
        <v>415959</v>
      </c>
    </row>
    <row r="352" spans="1:18" x14ac:dyDescent="0.25">
      <c r="A352" s="170">
        <v>42521</v>
      </c>
      <c r="B352" s="116">
        <v>108.698855003462</v>
      </c>
      <c r="C352" s="116">
        <v>106.702715762997</v>
      </c>
      <c r="D352" s="116">
        <v>104.933410527131</v>
      </c>
      <c r="E352" s="116">
        <v>106.43051495748</v>
      </c>
      <c r="F352" s="116">
        <v>117.6</v>
      </c>
      <c r="G352">
        <v>68917</v>
      </c>
      <c r="H352" s="116"/>
      <c r="I352" s="116"/>
      <c r="L352" s="170">
        <v>42521</v>
      </c>
      <c r="M352" s="116">
        <v>110.05906480721902</v>
      </c>
      <c r="N352" s="116">
        <v>112.11799289034727</v>
      </c>
      <c r="O352" s="116">
        <v>108.37448728465955</v>
      </c>
      <c r="P352" s="116">
        <v>110.19944626743231</v>
      </c>
      <c r="Q352" s="116">
        <v>117.6</v>
      </c>
      <c r="R352">
        <v>930820</v>
      </c>
    </row>
    <row r="353" spans="1:18" x14ac:dyDescent="0.25">
      <c r="A353" s="170">
        <v>42522</v>
      </c>
      <c r="B353" s="116">
        <v>109.333990216337</v>
      </c>
      <c r="C353" s="116">
        <v>108.335920596105</v>
      </c>
      <c r="D353" s="116">
        <v>105.341711735408</v>
      </c>
      <c r="E353" s="116">
        <v>106.52124855931901</v>
      </c>
      <c r="F353" s="116">
        <v>119.4</v>
      </c>
      <c r="G353">
        <v>68807</v>
      </c>
      <c r="H353" s="116"/>
      <c r="I353" s="116"/>
      <c r="L353" s="170">
        <v>42522</v>
      </c>
      <c r="M353" s="116">
        <v>111.88402378999179</v>
      </c>
      <c r="N353" s="116">
        <v>113.0070754716981</v>
      </c>
      <c r="O353" s="116">
        <v>108.37448728465955</v>
      </c>
      <c r="P353" s="116">
        <v>108.37448728465955</v>
      </c>
      <c r="Q353" s="116">
        <v>119.55</v>
      </c>
      <c r="R353">
        <v>1013182</v>
      </c>
    </row>
    <row r="354" spans="1:18" x14ac:dyDescent="0.25">
      <c r="A354" s="170">
        <v>42523</v>
      </c>
      <c r="B354" s="116">
        <v>114.278971516578</v>
      </c>
      <c r="C354" s="116">
        <v>112.64576668347</v>
      </c>
      <c r="D354" s="116">
        <v>108.608121401622</v>
      </c>
      <c r="E354" s="116">
        <v>109.515457420015</v>
      </c>
      <c r="F354" s="116">
        <v>124.15</v>
      </c>
      <c r="G354">
        <v>241924</v>
      </c>
      <c r="H354" s="116"/>
      <c r="I354" s="116"/>
      <c r="L354" s="170">
        <v>42523</v>
      </c>
      <c r="M354" s="116">
        <v>116.37623051681705</v>
      </c>
      <c r="N354" s="116">
        <v>117.82683893902104</v>
      </c>
      <c r="O354" s="116">
        <v>111.93081761006287</v>
      </c>
      <c r="P354" s="116">
        <v>112.72631255127153</v>
      </c>
      <c r="Q354" s="116">
        <v>124.35</v>
      </c>
      <c r="R354">
        <v>1712715</v>
      </c>
    </row>
    <row r="355" spans="1:18" x14ac:dyDescent="0.25">
      <c r="A355" s="170">
        <v>42524</v>
      </c>
      <c r="B355" s="116">
        <v>114.09750431289901</v>
      </c>
      <c r="C355" s="116">
        <v>110.694994243926</v>
      </c>
      <c r="D355" s="116">
        <v>109.78765822553299</v>
      </c>
      <c r="E355" s="116">
        <v>112.64576668347</v>
      </c>
      <c r="F355" s="116">
        <v>122</v>
      </c>
      <c r="G355">
        <v>59441</v>
      </c>
      <c r="H355" s="116"/>
      <c r="I355" s="116"/>
      <c r="L355" s="170">
        <v>42524</v>
      </c>
      <c r="M355" s="116">
        <v>114.410890073831</v>
      </c>
      <c r="N355" s="116">
        <v>117.40569455838119</v>
      </c>
      <c r="O355" s="116">
        <v>113.24104457205358</v>
      </c>
      <c r="P355" s="116">
        <v>116.23584905660377</v>
      </c>
      <c r="Q355" s="116">
        <v>122.25</v>
      </c>
      <c r="R355">
        <v>430276</v>
      </c>
    </row>
    <row r="356" spans="1:18" x14ac:dyDescent="0.25">
      <c r="A356" s="170">
        <v>42527</v>
      </c>
      <c r="B356" s="116">
        <v>112.010631470595</v>
      </c>
      <c r="C356" s="116">
        <v>111.69306386415801</v>
      </c>
      <c r="D356" s="116">
        <v>108.834955406221</v>
      </c>
      <c r="E356" s="116">
        <v>111.148662253122</v>
      </c>
      <c r="F356" s="116">
        <v>123.1</v>
      </c>
      <c r="G356">
        <v>68261</v>
      </c>
      <c r="H356" s="116"/>
      <c r="I356" s="116"/>
      <c r="L356" s="170">
        <v>42527</v>
      </c>
      <c r="M356" s="116">
        <v>115.25317883511075</v>
      </c>
      <c r="N356" s="116">
        <v>115.8147046759639</v>
      </c>
      <c r="O356" s="116">
        <v>111.46287940935191</v>
      </c>
      <c r="P356" s="116">
        <v>115.11279737489744</v>
      </c>
      <c r="Q356" s="116">
        <v>123.15</v>
      </c>
      <c r="R356">
        <v>395319</v>
      </c>
    </row>
    <row r="357" spans="1:18" x14ac:dyDescent="0.25">
      <c r="A357" s="170">
        <v>42528</v>
      </c>
      <c r="B357" s="116">
        <v>113.144801493587</v>
      </c>
      <c r="C357" s="116">
        <v>112.19209867427401</v>
      </c>
      <c r="D357" s="116">
        <v>109.606191021854</v>
      </c>
      <c r="E357" s="116">
        <v>111.69306386415801</v>
      </c>
      <c r="F357" s="116">
        <v>123.65</v>
      </c>
      <c r="G357">
        <v>54222</v>
      </c>
      <c r="H357" s="116"/>
      <c r="I357" s="116"/>
      <c r="L357" s="170">
        <v>42528</v>
      </c>
      <c r="M357" s="116">
        <v>115.6275293956795</v>
      </c>
      <c r="N357" s="116">
        <v>116.89096253759912</v>
      </c>
      <c r="O357" s="116">
        <v>112.77310637134262</v>
      </c>
      <c r="P357" s="116">
        <v>115.11279737489744</v>
      </c>
      <c r="Q357" s="116">
        <v>123.55</v>
      </c>
      <c r="R357">
        <v>381255</v>
      </c>
    </row>
    <row r="358" spans="1:18" x14ac:dyDescent="0.25">
      <c r="A358" s="170">
        <v>42529</v>
      </c>
      <c r="B358" s="116">
        <v>116.683411965319</v>
      </c>
      <c r="C358" s="116">
        <v>114.415071919336</v>
      </c>
      <c r="D358" s="116">
        <v>112.509666280712</v>
      </c>
      <c r="E358" s="116">
        <v>112.509666280712</v>
      </c>
      <c r="F358" s="116">
        <v>126.1</v>
      </c>
      <c r="G358">
        <v>289120</v>
      </c>
      <c r="H358" s="116"/>
      <c r="I358" s="116"/>
      <c r="L358" s="170">
        <v>42529</v>
      </c>
      <c r="M358" s="116">
        <v>118.01401421930542</v>
      </c>
      <c r="N358" s="116">
        <v>120.63446814328684</v>
      </c>
      <c r="O358" s="116">
        <v>115.6275293956795</v>
      </c>
      <c r="P358" s="116">
        <v>115.6275293956795</v>
      </c>
      <c r="Q358" s="116">
        <v>126.1</v>
      </c>
      <c r="R358">
        <v>1031182</v>
      </c>
    </row>
    <row r="359" spans="1:18" x14ac:dyDescent="0.25">
      <c r="A359" s="170">
        <v>42530</v>
      </c>
      <c r="B359" s="116">
        <v>114.868739928533</v>
      </c>
      <c r="C359" s="116">
        <v>113.371635498185</v>
      </c>
      <c r="D359" s="116">
        <v>111.602330262319</v>
      </c>
      <c r="E359" s="116">
        <v>113.91603710922</v>
      </c>
      <c r="F359" s="116">
        <v>124.95</v>
      </c>
      <c r="G359">
        <v>38737</v>
      </c>
      <c r="H359" s="116"/>
      <c r="I359" s="116"/>
      <c r="L359" s="170">
        <v>42530</v>
      </c>
      <c r="M359" s="116">
        <v>117.0313439978124</v>
      </c>
      <c r="N359" s="116">
        <v>118.57554006015859</v>
      </c>
      <c r="O359" s="116">
        <v>114.92562209461306</v>
      </c>
      <c r="P359" s="116">
        <v>118.34157095980311</v>
      </c>
      <c r="Q359" s="116">
        <v>125.05</v>
      </c>
      <c r="R359">
        <v>304151</v>
      </c>
    </row>
    <row r="360" spans="1:18" x14ac:dyDescent="0.25">
      <c r="A360" s="170">
        <v>42531</v>
      </c>
      <c r="B360" s="116">
        <v>115.322407937729</v>
      </c>
      <c r="C360" s="116">
        <v>113.779936706462</v>
      </c>
      <c r="D360" s="116">
        <v>113.054067891747</v>
      </c>
      <c r="E360" s="116">
        <v>113.417002299104</v>
      </c>
      <c r="F360" s="116">
        <v>125.4</v>
      </c>
      <c r="G360">
        <v>39439</v>
      </c>
      <c r="H360" s="116"/>
      <c r="I360" s="116"/>
      <c r="L360" s="170">
        <v>42531</v>
      </c>
      <c r="M360" s="116">
        <v>117.45248837845227</v>
      </c>
      <c r="N360" s="116">
        <v>119.04347826086956</v>
      </c>
      <c r="O360" s="116">
        <v>116.51661197703034</v>
      </c>
      <c r="P360" s="116">
        <v>117.40569455838119</v>
      </c>
      <c r="Q360" s="116">
        <v>125.5</v>
      </c>
      <c r="R360">
        <v>328855</v>
      </c>
    </row>
    <row r="361" spans="1:18" x14ac:dyDescent="0.25">
      <c r="A361" s="170">
        <v>42534</v>
      </c>
      <c r="B361" s="116">
        <v>113.689203104622</v>
      </c>
      <c r="C361" s="116">
        <v>111.829164266917</v>
      </c>
      <c r="D361" s="116">
        <v>110.740361044846</v>
      </c>
      <c r="E361" s="116">
        <v>113.19016829450599</v>
      </c>
      <c r="F361" s="116">
        <v>123.25</v>
      </c>
      <c r="G361">
        <v>49460</v>
      </c>
      <c r="H361" s="116"/>
      <c r="I361" s="116"/>
      <c r="L361" s="170">
        <v>42534</v>
      </c>
      <c r="M361" s="116">
        <v>115.39356029532402</v>
      </c>
      <c r="N361" s="116">
        <v>117.45248837845227</v>
      </c>
      <c r="O361" s="116">
        <v>114.410890073831</v>
      </c>
      <c r="P361" s="116">
        <v>116.98455017774131</v>
      </c>
      <c r="Q361" s="116">
        <v>123.3</v>
      </c>
      <c r="R361">
        <v>264629</v>
      </c>
    </row>
    <row r="362" spans="1:18" x14ac:dyDescent="0.25">
      <c r="A362" s="170">
        <v>42535</v>
      </c>
      <c r="B362" s="116">
        <v>113.19016829450599</v>
      </c>
      <c r="C362" s="116">
        <v>112.600399882551</v>
      </c>
      <c r="D362" s="116">
        <v>111.829164266917</v>
      </c>
      <c r="E362" s="116">
        <v>111.829164266917</v>
      </c>
      <c r="F362" s="116">
        <v>124.1</v>
      </c>
      <c r="G362">
        <v>37711</v>
      </c>
      <c r="H362" s="116"/>
      <c r="I362" s="116"/>
      <c r="L362" s="170">
        <v>42535</v>
      </c>
      <c r="M362" s="116">
        <v>116.61019961717253</v>
      </c>
      <c r="N362" s="116">
        <v>116.89096253759912</v>
      </c>
      <c r="O362" s="116">
        <v>115.20638501503963</v>
      </c>
      <c r="P362" s="116">
        <v>116.04867377631938</v>
      </c>
      <c r="Q362" s="116">
        <v>124.6</v>
      </c>
      <c r="R362">
        <v>290079</v>
      </c>
    </row>
    <row r="363" spans="1:18" x14ac:dyDescent="0.25">
      <c r="A363" s="170">
        <v>42536</v>
      </c>
      <c r="B363" s="116">
        <v>117.046346372676</v>
      </c>
      <c r="C363" s="116">
        <v>115.59460874324699</v>
      </c>
      <c r="D363" s="116">
        <v>112.600399882551</v>
      </c>
      <c r="E363" s="116">
        <v>112.600399882551</v>
      </c>
      <c r="F363" s="116">
        <v>127.4</v>
      </c>
      <c r="G363">
        <v>115368</v>
      </c>
      <c r="H363" s="116"/>
      <c r="I363" s="116"/>
      <c r="L363" s="170">
        <v>42536</v>
      </c>
      <c r="M363" s="116">
        <v>119.41782882143832</v>
      </c>
      <c r="N363" s="116">
        <v>121.19599398413999</v>
      </c>
      <c r="O363" s="116">
        <v>116.32943669674596</v>
      </c>
      <c r="P363" s="116">
        <v>116.98455017774131</v>
      </c>
      <c r="Q363" s="116">
        <v>127.6</v>
      </c>
      <c r="R363">
        <v>716758</v>
      </c>
    </row>
    <row r="364" spans="1:18" x14ac:dyDescent="0.25">
      <c r="A364" s="170">
        <v>42537</v>
      </c>
      <c r="B364" s="116">
        <v>120.675690446247</v>
      </c>
      <c r="C364" s="116">
        <v>118.180516395667</v>
      </c>
      <c r="D364" s="116">
        <v>117.590747983711</v>
      </c>
      <c r="E364" s="116">
        <v>117.95368239106899</v>
      </c>
      <c r="F364" s="116">
        <v>130.25</v>
      </c>
      <c r="G364">
        <v>243849</v>
      </c>
      <c r="H364" s="116"/>
      <c r="I364" s="116"/>
      <c r="L364" s="170">
        <v>42537</v>
      </c>
      <c r="M364" s="116">
        <v>121.75751982499315</v>
      </c>
      <c r="N364" s="116">
        <v>124.47156138911676</v>
      </c>
      <c r="O364" s="116">
        <v>121.42996308449548</v>
      </c>
      <c r="P364" s="116">
        <v>121.94469510527755</v>
      </c>
      <c r="Q364" s="116">
        <v>130.1</v>
      </c>
      <c r="R364">
        <v>1369742</v>
      </c>
    </row>
    <row r="365" spans="1:18" x14ac:dyDescent="0.25">
      <c r="A365" s="170">
        <v>42538</v>
      </c>
      <c r="B365" s="116">
        <v>122.490362483033</v>
      </c>
      <c r="C365" s="116">
        <v>121.49229286280099</v>
      </c>
      <c r="D365" s="116">
        <v>118.77028480762201</v>
      </c>
      <c r="E365" s="116">
        <v>118.861018409461</v>
      </c>
      <c r="F365" s="116">
        <v>133.9</v>
      </c>
      <c r="G365">
        <v>137977</v>
      </c>
      <c r="H365" s="116"/>
      <c r="I365" s="116"/>
      <c r="L365" s="170">
        <v>42538</v>
      </c>
      <c r="M365" s="116">
        <v>125.26705633032539</v>
      </c>
      <c r="N365" s="116">
        <v>126.34331419196062</v>
      </c>
      <c r="O365" s="116">
        <v>122.22545802570411</v>
      </c>
      <c r="P365" s="116">
        <v>122.69339622641508</v>
      </c>
      <c r="Q365" s="116">
        <v>133.85</v>
      </c>
      <c r="R365">
        <v>1248774</v>
      </c>
    </row>
    <row r="366" spans="1:18" x14ac:dyDescent="0.25">
      <c r="A366" s="170">
        <v>42541</v>
      </c>
      <c r="B366" s="116">
        <v>124.30503451981799</v>
      </c>
      <c r="C366" s="116">
        <v>120.811790849006</v>
      </c>
      <c r="D366" s="116">
        <v>119.72298762693499</v>
      </c>
      <c r="E366" s="116">
        <v>120.584956844408</v>
      </c>
      <c r="F366" s="116">
        <v>133.15</v>
      </c>
      <c r="G366">
        <v>456202</v>
      </c>
      <c r="H366" s="116"/>
      <c r="I366" s="116"/>
      <c r="L366" s="170">
        <v>42541</v>
      </c>
      <c r="M366" s="116">
        <v>124.28438610883238</v>
      </c>
      <c r="N366" s="116">
        <v>128.30865463494666</v>
      </c>
      <c r="O366" s="116">
        <v>123.06774678698386</v>
      </c>
      <c r="P366" s="116">
        <v>124.93949958982772</v>
      </c>
      <c r="Q366" s="116">
        <v>132.80000000000001</v>
      </c>
      <c r="R366">
        <v>1113704</v>
      </c>
    </row>
    <row r="367" spans="1:18" x14ac:dyDescent="0.25">
      <c r="A367" s="170">
        <v>42542</v>
      </c>
      <c r="B367" s="116">
        <v>122.399628881193</v>
      </c>
      <c r="C367" s="116">
        <v>118.316616798426</v>
      </c>
      <c r="D367" s="116">
        <v>117.77221518739</v>
      </c>
      <c r="E367" s="116">
        <v>120.811790849006</v>
      </c>
      <c r="F367" s="116">
        <v>130.4</v>
      </c>
      <c r="G367">
        <v>143912</v>
      </c>
      <c r="H367" s="116"/>
      <c r="I367" s="116"/>
      <c r="L367" s="170">
        <v>42542</v>
      </c>
      <c r="M367" s="116">
        <v>121.75751982499315</v>
      </c>
      <c r="N367" s="116">
        <v>126.06255127153402</v>
      </c>
      <c r="O367" s="116">
        <v>121.38316926442437</v>
      </c>
      <c r="P367" s="116">
        <v>125.1266748701121</v>
      </c>
      <c r="Q367" s="116">
        <v>130.1</v>
      </c>
      <c r="R367">
        <v>816118</v>
      </c>
    </row>
    <row r="368" spans="1:18" x14ac:dyDescent="0.25">
      <c r="A368" s="170">
        <v>42543</v>
      </c>
      <c r="B368" s="116">
        <v>120.040555233372</v>
      </c>
      <c r="C368" s="116">
        <v>118.543450803024</v>
      </c>
      <c r="D368" s="116">
        <v>117.409280780033</v>
      </c>
      <c r="E368" s="116">
        <v>117.95368239106899</v>
      </c>
      <c r="F368" s="116">
        <v>130.65</v>
      </c>
      <c r="G368">
        <v>100179</v>
      </c>
      <c r="H368" s="116"/>
      <c r="I368" s="116"/>
      <c r="L368" s="170">
        <v>42543</v>
      </c>
      <c r="M368" s="116">
        <v>122.5062209461307</v>
      </c>
      <c r="N368" s="116">
        <v>123.8164479081214</v>
      </c>
      <c r="O368" s="116">
        <v>120.82164342357122</v>
      </c>
      <c r="P368" s="116">
        <v>121.33637544435329</v>
      </c>
      <c r="Q368" s="116">
        <v>130.9</v>
      </c>
      <c r="R368">
        <v>1652560</v>
      </c>
    </row>
    <row r="369" spans="1:18" x14ac:dyDescent="0.25">
      <c r="A369" s="170">
        <v>42544</v>
      </c>
      <c r="B369" s="116">
        <v>120.31275603889</v>
      </c>
      <c r="C369" s="116">
        <v>119.813721228774</v>
      </c>
      <c r="D369" s="116">
        <v>117.409280780033</v>
      </c>
      <c r="E369" s="116">
        <v>118.543450803024</v>
      </c>
      <c r="F369" s="116">
        <v>132.05000000000001</v>
      </c>
      <c r="G369">
        <v>55520</v>
      </c>
      <c r="H369" s="116"/>
      <c r="I369" s="116"/>
      <c r="L369" s="170">
        <v>42544</v>
      </c>
      <c r="M369" s="116">
        <v>123.48889116762372</v>
      </c>
      <c r="N369" s="116">
        <v>124.09721082854797</v>
      </c>
      <c r="O369" s="116">
        <v>121.28958162428218</v>
      </c>
      <c r="P369" s="116">
        <v>122.59980858627289</v>
      </c>
      <c r="Q369" s="116">
        <v>131.94999999999999</v>
      </c>
      <c r="R369">
        <v>1202939</v>
      </c>
    </row>
    <row r="370" spans="1:18" x14ac:dyDescent="0.25">
      <c r="A370" s="170">
        <v>42545</v>
      </c>
      <c r="B370" s="116">
        <v>121.083991654524</v>
      </c>
      <c r="C370" s="116">
        <v>118.543450803024</v>
      </c>
      <c r="D370" s="116">
        <v>112.464299479792</v>
      </c>
      <c r="E370" s="116">
        <v>117.227813576354</v>
      </c>
      <c r="F370" s="116">
        <v>130.65</v>
      </c>
      <c r="G370">
        <v>116916</v>
      </c>
      <c r="H370" s="116"/>
      <c r="I370" s="116"/>
      <c r="L370" s="170">
        <v>42545</v>
      </c>
      <c r="M370" s="116">
        <v>122.08507656549082</v>
      </c>
      <c r="N370" s="116">
        <v>125.1734686901832</v>
      </c>
      <c r="O370" s="116">
        <v>115.58073557560841</v>
      </c>
      <c r="P370" s="116">
        <v>121.19599398413999</v>
      </c>
      <c r="Q370" s="116">
        <v>130.44999999999999</v>
      </c>
      <c r="R370">
        <v>756426</v>
      </c>
    </row>
    <row r="371" spans="1:18" x14ac:dyDescent="0.25">
      <c r="A371" s="170">
        <v>42548</v>
      </c>
      <c r="B371" s="116">
        <v>120.222022437051</v>
      </c>
      <c r="C371" s="116">
        <v>118.724918006702</v>
      </c>
      <c r="D371" s="116">
        <v>117.182446775435</v>
      </c>
      <c r="E371" s="116">
        <v>118.861018409461</v>
      </c>
      <c r="F371" s="116">
        <v>130.85</v>
      </c>
      <c r="G371">
        <v>35617</v>
      </c>
      <c r="H371" s="116"/>
      <c r="I371" s="116"/>
      <c r="L371" s="170">
        <v>42548</v>
      </c>
      <c r="M371" s="116">
        <v>122.45942712605959</v>
      </c>
      <c r="N371" s="116">
        <v>123.8164479081214</v>
      </c>
      <c r="O371" s="116">
        <v>120.96202488378451</v>
      </c>
      <c r="P371" s="116">
        <v>121.19599398413999</v>
      </c>
      <c r="Q371" s="116">
        <v>130.85</v>
      </c>
      <c r="R371">
        <v>647033</v>
      </c>
    </row>
    <row r="372" spans="1:18" x14ac:dyDescent="0.25">
      <c r="A372" s="170">
        <v>42549</v>
      </c>
      <c r="B372" s="116">
        <v>119.314686418658</v>
      </c>
      <c r="C372" s="116">
        <v>115.866809548765</v>
      </c>
      <c r="D372" s="116">
        <v>115.23167433589001</v>
      </c>
      <c r="E372" s="116">
        <v>117.046346372676</v>
      </c>
      <c r="F372" s="116">
        <v>127.7</v>
      </c>
      <c r="G372">
        <v>40329</v>
      </c>
      <c r="H372" s="116"/>
      <c r="I372" s="116"/>
      <c r="L372" s="170">
        <v>42549</v>
      </c>
      <c r="M372" s="116">
        <v>119.69859174186492</v>
      </c>
      <c r="N372" s="116">
        <v>123.25492206726823</v>
      </c>
      <c r="O372" s="116">
        <v>119.13706590101174</v>
      </c>
      <c r="P372" s="116">
        <v>122.08507656549082</v>
      </c>
      <c r="Q372" s="116">
        <v>127.9</v>
      </c>
      <c r="R372">
        <v>406175</v>
      </c>
    </row>
    <row r="373" spans="1:18" x14ac:dyDescent="0.25">
      <c r="A373" s="170">
        <v>42550</v>
      </c>
      <c r="B373" s="116">
        <v>118.271249997506</v>
      </c>
      <c r="C373" s="116">
        <v>117.77221518739</v>
      </c>
      <c r="D373" s="116">
        <v>115.73070914600601</v>
      </c>
      <c r="E373" s="116">
        <v>116.22974395612199</v>
      </c>
      <c r="F373" s="116">
        <v>129.80000000000001</v>
      </c>
      <c r="G373">
        <v>41335</v>
      </c>
      <c r="H373" s="116"/>
      <c r="I373" s="116"/>
      <c r="L373" s="170">
        <v>42550</v>
      </c>
      <c r="M373" s="116">
        <v>121.66393218485096</v>
      </c>
      <c r="N373" s="116">
        <v>122.08507656549082</v>
      </c>
      <c r="O373" s="116">
        <v>119.37103500136723</v>
      </c>
      <c r="P373" s="116">
        <v>120.35370522286026</v>
      </c>
      <c r="Q373" s="116">
        <v>130</v>
      </c>
      <c r="R373">
        <v>254726</v>
      </c>
    </row>
    <row r="374" spans="1:18" x14ac:dyDescent="0.25">
      <c r="A374" s="170">
        <v>42551</v>
      </c>
      <c r="B374" s="116">
        <v>119.76835442785401</v>
      </c>
      <c r="C374" s="116">
        <v>115.322407937729</v>
      </c>
      <c r="D374" s="116">
        <v>113.643836303703</v>
      </c>
      <c r="E374" s="116">
        <v>119.13321921497899</v>
      </c>
      <c r="F374" s="116">
        <v>127.1</v>
      </c>
      <c r="G374">
        <v>84608</v>
      </c>
      <c r="H374" s="116"/>
      <c r="I374" s="116"/>
      <c r="L374" s="170">
        <v>42551</v>
      </c>
      <c r="M374" s="116">
        <v>119.55821028165161</v>
      </c>
      <c r="N374" s="116">
        <v>123.53568498769482</v>
      </c>
      <c r="O374" s="116">
        <v>116.98455017774131</v>
      </c>
      <c r="P374" s="116">
        <v>122.41263330598852</v>
      </c>
      <c r="Q374" s="116">
        <v>127.75</v>
      </c>
      <c r="R374">
        <v>1087866</v>
      </c>
    </row>
    <row r="375" spans="1:18" x14ac:dyDescent="0.25">
      <c r="A375" s="170">
        <v>42552</v>
      </c>
      <c r="B375" s="116">
        <v>119.22395281681899</v>
      </c>
      <c r="C375" s="116">
        <v>117.50001438187201</v>
      </c>
      <c r="D375" s="116">
        <v>116.411211159801</v>
      </c>
      <c r="E375" s="116">
        <v>116.50194476164</v>
      </c>
      <c r="F375" s="116">
        <v>129.5</v>
      </c>
      <c r="G375">
        <v>75607</v>
      </c>
      <c r="H375" s="116"/>
      <c r="I375" s="116"/>
      <c r="L375" s="170">
        <v>42552</v>
      </c>
      <c r="M375" s="116">
        <v>121.10240634399781</v>
      </c>
      <c r="N375" s="116">
        <v>122.88057150669948</v>
      </c>
      <c r="O375" s="116">
        <v>119.46462264150942</v>
      </c>
      <c r="P375" s="116">
        <v>120.26011758271807</v>
      </c>
      <c r="Q375" s="116">
        <v>129.4</v>
      </c>
      <c r="R375">
        <v>424549</v>
      </c>
    </row>
    <row r="376" spans="1:18" x14ac:dyDescent="0.25">
      <c r="A376" s="170">
        <v>42555</v>
      </c>
      <c r="B376" s="116">
        <v>122.490362483033</v>
      </c>
      <c r="C376" s="116">
        <v>118.861018409461</v>
      </c>
      <c r="D376" s="116">
        <v>118.044415992908</v>
      </c>
      <c r="E376" s="116">
        <v>120.721057247167</v>
      </c>
      <c r="F376" s="116">
        <v>131</v>
      </c>
      <c r="G376">
        <v>159942</v>
      </c>
      <c r="H376" s="116"/>
      <c r="I376" s="116"/>
      <c r="L376" s="170">
        <v>42555</v>
      </c>
      <c r="M376" s="116">
        <v>122.59980858627289</v>
      </c>
      <c r="N376" s="116">
        <v>126.34331419196062</v>
      </c>
      <c r="O376" s="116">
        <v>121.80431364506425</v>
      </c>
      <c r="P376" s="116">
        <v>124.47156138911676</v>
      </c>
      <c r="Q376" s="116">
        <v>131</v>
      </c>
      <c r="R376">
        <v>710847</v>
      </c>
    </row>
    <row r="377" spans="1:18" x14ac:dyDescent="0.25">
      <c r="A377" s="170">
        <v>42556</v>
      </c>
      <c r="B377" s="116">
        <v>120.630323645327</v>
      </c>
      <c r="C377" s="116">
        <v>116.50194476164</v>
      </c>
      <c r="D377" s="116">
        <v>115.549241942328</v>
      </c>
      <c r="E377" s="116">
        <v>119.76835442785401</v>
      </c>
      <c r="F377" s="116">
        <v>128.4</v>
      </c>
      <c r="G377">
        <v>50219</v>
      </c>
      <c r="H377" s="116"/>
      <c r="I377" s="116"/>
      <c r="L377" s="170">
        <v>42556</v>
      </c>
      <c r="M377" s="116">
        <v>120.02614848236259</v>
      </c>
      <c r="N377" s="116">
        <v>124.84591194968553</v>
      </c>
      <c r="O377" s="116">
        <v>118.85630298058517</v>
      </c>
      <c r="P377" s="116">
        <v>123.53568498769482</v>
      </c>
      <c r="Q377" s="116">
        <v>128.25</v>
      </c>
      <c r="R377">
        <v>641405</v>
      </c>
    </row>
    <row r="378" spans="1:18" x14ac:dyDescent="0.25">
      <c r="A378" s="170">
        <v>42558</v>
      </c>
      <c r="B378" s="116">
        <v>119.314686418658</v>
      </c>
      <c r="C378" s="116">
        <v>116.50194476164</v>
      </c>
      <c r="D378" s="116">
        <v>116.139010354283</v>
      </c>
      <c r="E378" s="116">
        <v>117.409280780033</v>
      </c>
      <c r="F378" s="116">
        <v>128.4</v>
      </c>
      <c r="G378">
        <v>30487</v>
      </c>
      <c r="H378" s="116"/>
      <c r="I378" s="116"/>
      <c r="L378" s="170">
        <v>42558</v>
      </c>
      <c r="M378" s="116">
        <v>120.44729286300245</v>
      </c>
      <c r="N378" s="116">
        <v>123.16133442712604</v>
      </c>
      <c r="O378" s="116">
        <v>119.69859174186492</v>
      </c>
      <c r="P378" s="116">
        <v>120.16652994257588</v>
      </c>
      <c r="Q378" s="116">
        <v>128.69999999999999</v>
      </c>
      <c r="R378">
        <v>418306</v>
      </c>
    </row>
    <row r="379" spans="1:18" x14ac:dyDescent="0.25">
      <c r="A379" s="170">
        <v>42559</v>
      </c>
      <c r="B379" s="116">
        <v>118.316616798426</v>
      </c>
      <c r="C379" s="116">
        <v>116.45657796072</v>
      </c>
      <c r="D379" s="116">
        <v>116.139010354283</v>
      </c>
      <c r="E379" s="116">
        <v>118.316616798426</v>
      </c>
      <c r="F379" s="116">
        <v>128.35</v>
      </c>
      <c r="G379">
        <v>30512</v>
      </c>
      <c r="H379" s="116"/>
      <c r="I379" s="116"/>
      <c r="L379" s="170">
        <v>42559</v>
      </c>
      <c r="M379" s="116">
        <v>120.11973612250478</v>
      </c>
      <c r="N379" s="116">
        <v>121.66393218485096</v>
      </c>
      <c r="O379" s="116">
        <v>119.55821028165161</v>
      </c>
      <c r="P379" s="116">
        <v>121.19599398413999</v>
      </c>
      <c r="Q379" s="116">
        <v>128.35</v>
      </c>
      <c r="R379">
        <v>356686</v>
      </c>
    </row>
    <row r="380" spans="1:18" x14ac:dyDescent="0.25">
      <c r="A380" s="170">
        <v>42562</v>
      </c>
      <c r="B380" s="116">
        <v>119.76835442785401</v>
      </c>
      <c r="C380" s="116">
        <v>118.316616798426</v>
      </c>
      <c r="D380" s="116">
        <v>116.638045164399</v>
      </c>
      <c r="E380" s="116">
        <v>117.046346372676</v>
      </c>
      <c r="F380" s="116">
        <v>130.4</v>
      </c>
      <c r="G380">
        <v>92228</v>
      </c>
      <c r="H380" s="116"/>
      <c r="I380" s="116"/>
      <c r="L380" s="170">
        <v>42562</v>
      </c>
      <c r="M380" s="116">
        <v>122.45942712605959</v>
      </c>
      <c r="N380" s="116">
        <v>123.62927262783701</v>
      </c>
      <c r="O380" s="116">
        <v>120.07294230243369</v>
      </c>
      <c r="P380" s="116">
        <v>121.19599398413999</v>
      </c>
      <c r="Q380" s="116">
        <v>130.85</v>
      </c>
      <c r="R380">
        <v>1316602</v>
      </c>
    </row>
    <row r="381" spans="1:18" x14ac:dyDescent="0.25">
      <c r="A381" s="170">
        <v>42563</v>
      </c>
      <c r="B381" s="116">
        <v>119.72298762693499</v>
      </c>
      <c r="C381" s="116">
        <v>118.407350400265</v>
      </c>
      <c r="D381" s="116">
        <v>115.866809548765</v>
      </c>
      <c r="E381" s="116">
        <v>118.316616798426</v>
      </c>
      <c r="F381" s="116">
        <v>130.5</v>
      </c>
      <c r="G381">
        <v>52337</v>
      </c>
      <c r="H381" s="116"/>
      <c r="I381" s="116"/>
      <c r="L381" s="170">
        <v>42563</v>
      </c>
      <c r="M381" s="116">
        <v>122.03828274541974</v>
      </c>
      <c r="N381" s="116">
        <v>123.58247880776592</v>
      </c>
      <c r="O381" s="116">
        <v>121.0556125239267</v>
      </c>
      <c r="P381" s="116">
        <v>123.02095296691274</v>
      </c>
      <c r="Q381" s="116">
        <v>130.4</v>
      </c>
      <c r="R381">
        <v>517080</v>
      </c>
    </row>
    <row r="382" spans="1:18" x14ac:dyDescent="0.25">
      <c r="A382" s="170">
        <v>42564</v>
      </c>
      <c r="B382" s="116">
        <v>119.360053219577</v>
      </c>
      <c r="C382" s="116">
        <v>117.86294878922899</v>
      </c>
      <c r="D382" s="116">
        <v>117.046346372676</v>
      </c>
      <c r="E382" s="116">
        <v>117.590747983711</v>
      </c>
      <c r="F382" s="116">
        <v>129.9</v>
      </c>
      <c r="G382">
        <v>46179</v>
      </c>
      <c r="H382" s="116"/>
      <c r="I382" s="116"/>
      <c r="L382" s="170">
        <v>42564</v>
      </c>
      <c r="M382" s="116">
        <v>121.80431364506425</v>
      </c>
      <c r="N382" s="116">
        <v>123.53568498769482</v>
      </c>
      <c r="O382" s="116">
        <v>120.72805578342903</v>
      </c>
      <c r="P382" s="116">
        <v>122.03828274541974</v>
      </c>
      <c r="Q382" s="116">
        <v>130.15</v>
      </c>
      <c r="R382">
        <v>881764</v>
      </c>
    </row>
    <row r="383" spans="1:18" x14ac:dyDescent="0.25">
      <c r="A383" s="170">
        <v>42565</v>
      </c>
      <c r="B383" s="116">
        <v>129.74905063017499</v>
      </c>
      <c r="C383" s="116">
        <v>120.675690446247</v>
      </c>
      <c r="D383" s="116">
        <v>119.72298762693499</v>
      </c>
      <c r="E383" s="116">
        <v>127.027042574997</v>
      </c>
      <c r="F383" s="116">
        <v>133</v>
      </c>
      <c r="G383">
        <v>582892</v>
      </c>
      <c r="H383" s="116"/>
      <c r="I383" s="116"/>
      <c r="L383" s="170">
        <v>42565</v>
      </c>
      <c r="M383" s="116">
        <v>124.37797374897457</v>
      </c>
      <c r="N383" s="116">
        <v>133.83032540333605</v>
      </c>
      <c r="O383" s="116">
        <v>123.25492206726823</v>
      </c>
      <c r="P383" s="116">
        <v>131.02269619907025</v>
      </c>
      <c r="Q383" s="116">
        <v>132.9</v>
      </c>
      <c r="R383">
        <v>3651225</v>
      </c>
    </row>
    <row r="384" spans="1:18" x14ac:dyDescent="0.25">
      <c r="A384" s="170">
        <v>42566</v>
      </c>
      <c r="B384" s="116">
        <v>122.490362483033</v>
      </c>
      <c r="C384" s="116">
        <v>119.813721228774</v>
      </c>
      <c r="D384" s="116">
        <v>119.405420020497</v>
      </c>
      <c r="E384" s="116">
        <v>120.675690446247</v>
      </c>
      <c r="F384" s="116">
        <v>132.05000000000001</v>
      </c>
      <c r="G384">
        <v>79001</v>
      </c>
      <c r="H384" s="116"/>
      <c r="I384" s="116"/>
      <c r="L384" s="170">
        <v>42566</v>
      </c>
      <c r="M384" s="116">
        <v>123.39530352748153</v>
      </c>
      <c r="N384" s="116">
        <v>126.34331419196062</v>
      </c>
      <c r="O384" s="116">
        <v>123.11454060705496</v>
      </c>
      <c r="P384" s="116">
        <v>124.47156138911676</v>
      </c>
      <c r="Q384" s="116">
        <v>131.85</v>
      </c>
      <c r="R384">
        <v>976639</v>
      </c>
    </row>
    <row r="385" spans="1:18" x14ac:dyDescent="0.25">
      <c r="A385" s="170">
        <v>42569</v>
      </c>
      <c r="B385" s="116">
        <v>122.490362483033</v>
      </c>
      <c r="C385" s="116">
        <v>118.724918006702</v>
      </c>
      <c r="D385" s="116">
        <v>117.77221518739</v>
      </c>
      <c r="E385" s="116">
        <v>122.490362483033</v>
      </c>
      <c r="F385" s="116">
        <v>130.85</v>
      </c>
      <c r="G385">
        <v>53654</v>
      </c>
      <c r="H385" s="116"/>
      <c r="I385" s="116"/>
      <c r="L385" s="170">
        <v>42569</v>
      </c>
      <c r="M385" s="116">
        <v>122.5062209461307</v>
      </c>
      <c r="N385" s="116">
        <v>125.40743779053868</v>
      </c>
      <c r="O385" s="116">
        <v>121.2427878042111</v>
      </c>
      <c r="P385" s="116">
        <v>124.33117992890345</v>
      </c>
      <c r="Q385" s="116">
        <v>130.9</v>
      </c>
      <c r="R385">
        <v>266746</v>
      </c>
    </row>
    <row r="386" spans="1:18" x14ac:dyDescent="0.25">
      <c r="A386" s="170">
        <v>42570</v>
      </c>
      <c r="B386" s="116">
        <v>120.675690446247</v>
      </c>
      <c r="C386" s="116">
        <v>120.131288835211</v>
      </c>
      <c r="D386" s="116">
        <v>116.72877876623799</v>
      </c>
      <c r="E386" s="116">
        <v>118.49808400210399</v>
      </c>
      <c r="F386" s="116">
        <v>132.4</v>
      </c>
      <c r="G386">
        <v>93290</v>
      </c>
      <c r="H386" s="116"/>
      <c r="I386" s="116"/>
      <c r="L386" s="170">
        <v>42570</v>
      </c>
      <c r="M386" s="116">
        <v>124.23759228876126</v>
      </c>
      <c r="N386" s="116">
        <v>124.56514902925893</v>
      </c>
      <c r="O386" s="116">
        <v>120.40049904293136</v>
      </c>
      <c r="P386" s="116">
        <v>121.47675690456659</v>
      </c>
      <c r="Q386" s="116">
        <v>132.75</v>
      </c>
      <c r="R386">
        <v>894245</v>
      </c>
    </row>
    <row r="387" spans="1:18" x14ac:dyDescent="0.25">
      <c r="A387" s="170">
        <v>42571</v>
      </c>
      <c r="B387" s="116">
        <v>123.26159809866699</v>
      </c>
      <c r="C387" s="116">
        <v>122.082061274756</v>
      </c>
      <c r="D387" s="116">
        <v>119.178586015899</v>
      </c>
      <c r="E387" s="116">
        <v>120.630323645327</v>
      </c>
      <c r="F387" s="116">
        <v>134.55000000000001</v>
      </c>
      <c r="G387">
        <v>161275</v>
      </c>
      <c r="H387" s="116"/>
      <c r="I387" s="116"/>
      <c r="L387" s="170">
        <v>42571</v>
      </c>
      <c r="M387" s="116">
        <v>126.15613891167624</v>
      </c>
      <c r="N387" s="116">
        <v>127.27919059338254</v>
      </c>
      <c r="O387" s="116">
        <v>122.59980858627289</v>
      </c>
      <c r="P387" s="116">
        <v>124.47156138911676</v>
      </c>
      <c r="Q387" s="116">
        <v>134.80000000000001</v>
      </c>
      <c r="R387">
        <v>1440586</v>
      </c>
    </row>
    <row r="388" spans="1:18" x14ac:dyDescent="0.25">
      <c r="A388" s="170">
        <v>42572</v>
      </c>
      <c r="B388" s="116">
        <v>122.444995682113</v>
      </c>
      <c r="C388" s="116">
        <v>121.083991654524</v>
      </c>
      <c r="D388" s="116">
        <v>120.35812283980999</v>
      </c>
      <c r="E388" s="116">
        <v>121.855227270158</v>
      </c>
      <c r="F388" s="116">
        <v>133.44999999999999</v>
      </c>
      <c r="G388">
        <v>40559</v>
      </c>
      <c r="H388" s="116"/>
      <c r="I388" s="116"/>
      <c r="L388" s="170">
        <v>42572</v>
      </c>
      <c r="M388" s="116">
        <v>124.93949958982772</v>
      </c>
      <c r="N388" s="116">
        <v>126.34331419196062</v>
      </c>
      <c r="O388" s="116">
        <v>124.19079846869016</v>
      </c>
      <c r="P388" s="116">
        <v>126.01575745146295</v>
      </c>
      <c r="Q388" s="116">
        <v>133.5</v>
      </c>
      <c r="R388">
        <v>168662</v>
      </c>
    </row>
    <row r="389" spans="1:18" x14ac:dyDescent="0.25">
      <c r="A389" s="170">
        <v>42573</v>
      </c>
      <c r="B389" s="116">
        <v>120.99325805268499</v>
      </c>
      <c r="C389" s="116">
        <v>120.539590043488</v>
      </c>
      <c r="D389" s="116">
        <v>119.360053219577</v>
      </c>
      <c r="E389" s="116">
        <v>120.90252445084499</v>
      </c>
      <c r="F389" s="116">
        <v>132.85</v>
      </c>
      <c r="G389">
        <v>40433</v>
      </c>
      <c r="H389" s="116"/>
      <c r="I389" s="116"/>
      <c r="L389" s="170">
        <v>42573</v>
      </c>
      <c r="M389" s="116">
        <v>124.47156138911676</v>
      </c>
      <c r="N389" s="116">
        <v>125.50102543068087</v>
      </c>
      <c r="O389" s="116">
        <v>123.02095296691274</v>
      </c>
      <c r="P389" s="116">
        <v>124.98629340989882</v>
      </c>
      <c r="Q389" s="116">
        <v>133</v>
      </c>
      <c r="R389">
        <v>513886</v>
      </c>
    </row>
    <row r="390" spans="1:18" x14ac:dyDescent="0.25">
      <c r="A390" s="170">
        <v>42576</v>
      </c>
      <c r="B390" s="116">
        <v>122.490362483033</v>
      </c>
      <c r="C390" s="116">
        <v>120.40348964072901</v>
      </c>
      <c r="D390" s="116">
        <v>119.541520423256</v>
      </c>
      <c r="E390" s="116">
        <v>120.26738923796999</v>
      </c>
      <c r="F390" s="116">
        <v>132.69999999999999</v>
      </c>
      <c r="G390">
        <v>53757</v>
      </c>
      <c r="H390" s="116"/>
      <c r="I390" s="116"/>
      <c r="L390" s="170">
        <v>42576</v>
      </c>
      <c r="M390" s="116">
        <v>124.51835520918786</v>
      </c>
      <c r="N390" s="116">
        <v>126.81125239267158</v>
      </c>
      <c r="O390" s="116">
        <v>123.20812824719715</v>
      </c>
      <c r="P390" s="116">
        <v>123.91003554826359</v>
      </c>
      <c r="Q390" s="116">
        <v>133.05000000000001</v>
      </c>
      <c r="R390">
        <v>1580511</v>
      </c>
    </row>
    <row r="391" spans="1:18" x14ac:dyDescent="0.25">
      <c r="A391" s="170">
        <v>42577</v>
      </c>
      <c r="B391" s="116">
        <v>120.99325805268499</v>
      </c>
      <c r="C391" s="116">
        <v>119.22395281681899</v>
      </c>
      <c r="D391" s="116">
        <v>117.95368239106899</v>
      </c>
      <c r="E391" s="116">
        <v>120.40348964072901</v>
      </c>
      <c r="F391" s="116">
        <v>131.4</v>
      </c>
      <c r="G391">
        <v>147432</v>
      </c>
      <c r="H391" s="116"/>
      <c r="I391" s="116"/>
      <c r="L391" s="170">
        <v>42577</v>
      </c>
      <c r="M391" s="116">
        <v>123.02095296691274</v>
      </c>
      <c r="N391" s="116">
        <v>125.36064397046758</v>
      </c>
      <c r="O391" s="116">
        <v>121.75751982499315</v>
      </c>
      <c r="P391" s="116">
        <v>125.26705633032539</v>
      </c>
      <c r="Q391" s="116">
        <v>131.44999999999999</v>
      </c>
      <c r="R391">
        <v>302507</v>
      </c>
    </row>
    <row r="392" spans="1:18" x14ac:dyDescent="0.25">
      <c r="A392" s="170">
        <v>42578</v>
      </c>
      <c r="B392" s="116">
        <v>123.579165705104</v>
      </c>
      <c r="C392" s="116">
        <v>122.62646288579199</v>
      </c>
      <c r="D392" s="116">
        <v>119.08785241405999</v>
      </c>
      <c r="E392" s="116">
        <v>120.222022437051</v>
      </c>
      <c r="F392" s="116">
        <v>135.15</v>
      </c>
      <c r="G392">
        <v>228106</v>
      </c>
      <c r="H392" s="116"/>
      <c r="I392" s="116"/>
      <c r="L392" s="170">
        <v>42578</v>
      </c>
      <c r="M392" s="116">
        <v>126.53048947224498</v>
      </c>
      <c r="N392" s="116">
        <v>128.12147935466228</v>
      </c>
      <c r="O392" s="116">
        <v>122.78698386655726</v>
      </c>
      <c r="P392" s="116">
        <v>123.7228602679792</v>
      </c>
      <c r="Q392" s="116">
        <v>135.19999999999999</v>
      </c>
      <c r="R392">
        <v>4030732</v>
      </c>
    </row>
    <row r="393" spans="1:18" x14ac:dyDescent="0.25">
      <c r="A393" s="170">
        <v>42579</v>
      </c>
      <c r="B393" s="116">
        <v>125.121636936372</v>
      </c>
      <c r="C393" s="116">
        <v>124.259667718899</v>
      </c>
      <c r="D393" s="116">
        <v>120.811790849006</v>
      </c>
      <c r="E393" s="116">
        <v>123.39769850142601</v>
      </c>
      <c r="F393" s="116">
        <v>136.94999999999999</v>
      </c>
      <c r="G393">
        <v>102749</v>
      </c>
      <c r="H393" s="116"/>
      <c r="I393" s="116"/>
      <c r="L393" s="170">
        <v>42579</v>
      </c>
      <c r="M393" s="116">
        <v>127.98109789444899</v>
      </c>
      <c r="N393" s="116">
        <v>129.05735575608421</v>
      </c>
      <c r="O393" s="116">
        <v>124.56514902925893</v>
      </c>
      <c r="P393" s="116">
        <v>126.34331419196062</v>
      </c>
      <c r="Q393" s="116">
        <v>136.75</v>
      </c>
      <c r="R393">
        <v>904954</v>
      </c>
    </row>
    <row r="394" spans="1:18" x14ac:dyDescent="0.25">
      <c r="A394" s="170">
        <v>42580</v>
      </c>
      <c r="B394" s="116">
        <v>125.620671746488</v>
      </c>
      <c r="C394" s="116">
        <v>121.945960871997</v>
      </c>
      <c r="D394" s="116">
        <v>120.947891251765</v>
      </c>
      <c r="E394" s="116">
        <v>124.30503451981799</v>
      </c>
      <c r="F394" s="116">
        <v>134.4</v>
      </c>
      <c r="G394">
        <v>89630</v>
      </c>
      <c r="H394" s="116"/>
      <c r="I394" s="116"/>
      <c r="L394" s="170">
        <v>42580</v>
      </c>
      <c r="M394" s="116">
        <v>125.78178835110747</v>
      </c>
      <c r="N394" s="116">
        <v>129.66567541700849</v>
      </c>
      <c r="O394" s="116">
        <v>124.75232430954334</v>
      </c>
      <c r="P394" s="116">
        <v>127.41957205359584</v>
      </c>
      <c r="Q394" s="116">
        <v>134.4</v>
      </c>
      <c r="R394">
        <v>4607897</v>
      </c>
    </row>
    <row r="395" spans="1:18" x14ac:dyDescent="0.25">
      <c r="A395" s="170">
        <v>42583</v>
      </c>
      <c r="B395" s="116">
        <v>123.216231297747</v>
      </c>
      <c r="C395" s="116">
        <v>120.40348964072901</v>
      </c>
      <c r="D395" s="116">
        <v>118.99711881221999</v>
      </c>
      <c r="E395" s="116">
        <v>121.809860469238</v>
      </c>
      <c r="F395" s="116">
        <v>132.69999999999999</v>
      </c>
      <c r="G395">
        <v>53588</v>
      </c>
      <c r="H395" s="116"/>
      <c r="I395" s="116"/>
      <c r="L395" s="170">
        <v>42583</v>
      </c>
      <c r="M395" s="116">
        <v>124.51835520918786</v>
      </c>
      <c r="N395" s="116">
        <v>127.18560295324035</v>
      </c>
      <c r="O395" s="116">
        <v>123.06774678698386</v>
      </c>
      <c r="P395" s="116">
        <v>126.24972655181843</v>
      </c>
      <c r="Q395" s="116">
        <v>133.05000000000001</v>
      </c>
      <c r="R395">
        <v>304976</v>
      </c>
    </row>
    <row r="396" spans="1:18" x14ac:dyDescent="0.25">
      <c r="A396" s="170">
        <v>42584</v>
      </c>
      <c r="B396" s="116">
        <v>122.490362483033</v>
      </c>
      <c r="C396" s="116">
        <v>121.719126867399</v>
      </c>
      <c r="D396" s="116">
        <v>119.314686418658</v>
      </c>
      <c r="E396" s="116">
        <v>120.40348964072901</v>
      </c>
      <c r="F396" s="116">
        <v>134.15</v>
      </c>
      <c r="G396">
        <v>37183</v>
      </c>
      <c r="H396" s="116"/>
      <c r="I396" s="116"/>
      <c r="L396" s="170">
        <v>42584</v>
      </c>
      <c r="M396" s="116">
        <v>125.45423161060978</v>
      </c>
      <c r="N396" s="116">
        <v>126.5772832923161</v>
      </c>
      <c r="O396" s="116">
        <v>122.646602406344</v>
      </c>
      <c r="P396" s="116">
        <v>123.8164479081214</v>
      </c>
      <c r="Q396" s="116">
        <v>134.05000000000001</v>
      </c>
      <c r="R396">
        <v>306334</v>
      </c>
    </row>
    <row r="397" spans="1:18" x14ac:dyDescent="0.25">
      <c r="A397" s="170">
        <v>42585</v>
      </c>
      <c r="B397" s="116">
        <v>122.308895279354</v>
      </c>
      <c r="C397" s="116">
        <v>121.58302646464</v>
      </c>
      <c r="D397" s="116">
        <v>119.450786821417</v>
      </c>
      <c r="E397" s="116">
        <v>121.62839326556001</v>
      </c>
      <c r="F397" s="116">
        <v>134</v>
      </c>
      <c r="G397">
        <v>38759</v>
      </c>
      <c r="H397" s="116"/>
      <c r="I397" s="116"/>
      <c r="L397" s="170">
        <v>42585</v>
      </c>
      <c r="M397" s="116">
        <v>125.40743779053868</v>
      </c>
      <c r="N397" s="116">
        <v>126.20293273174731</v>
      </c>
      <c r="O397" s="116">
        <v>123.02095296691274</v>
      </c>
      <c r="P397" s="116">
        <v>125.31385015039649</v>
      </c>
      <c r="Q397" s="116">
        <v>134</v>
      </c>
      <c r="R397">
        <v>301875</v>
      </c>
    </row>
    <row r="398" spans="1:18" x14ac:dyDescent="0.25">
      <c r="A398" s="170">
        <v>42586</v>
      </c>
      <c r="B398" s="116">
        <v>122.03669447383599</v>
      </c>
      <c r="C398" s="116">
        <v>120.176655636131</v>
      </c>
      <c r="D398" s="116">
        <v>119.677620826015</v>
      </c>
      <c r="E398" s="116">
        <v>121.58302646464</v>
      </c>
      <c r="F398" s="116">
        <v>132.44999999999999</v>
      </c>
      <c r="G398">
        <v>852005</v>
      </c>
      <c r="H398" s="116"/>
      <c r="I398" s="116"/>
      <c r="L398" s="170">
        <v>42586</v>
      </c>
      <c r="M398" s="116">
        <v>123.48889116762372</v>
      </c>
      <c r="N398" s="116">
        <v>126.76445857260047</v>
      </c>
      <c r="O398" s="116">
        <v>123.11454060705496</v>
      </c>
      <c r="P398" s="116">
        <v>126.24972655181843</v>
      </c>
      <c r="Q398" s="116">
        <v>131.94999999999999</v>
      </c>
      <c r="R398">
        <v>609168</v>
      </c>
    </row>
    <row r="399" spans="1:18" x14ac:dyDescent="0.25">
      <c r="A399" s="170">
        <v>42587</v>
      </c>
      <c r="B399" s="116">
        <v>121.67376006647901</v>
      </c>
      <c r="C399" s="116">
        <v>121.129358455443</v>
      </c>
      <c r="D399" s="116">
        <v>119.76835442785401</v>
      </c>
      <c r="E399" s="116">
        <v>119.76835442785401</v>
      </c>
      <c r="F399" s="116">
        <v>133.5</v>
      </c>
      <c r="G399">
        <v>37437</v>
      </c>
      <c r="H399" s="116"/>
      <c r="I399" s="116"/>
      <c r="L399" s="170">
        <v>42587</v>
      </c>
      <c r="M399" s="116">
        <v>125.07988105004101</v>
      </c>
      <c r="N399" s="116">
        <v>125.82858217117854</v>
      </c>
      <c r="O399" s="116">
        <v>123.62927262783701</v>
      </c>
      <c r="P399" s="116">
        <v>124.23759228876126</v>
      </c>
      <c r="Q399" s="116">
        <v>133.65</v>
      </c>
      <c r="R399">
        <v>1266523</v>
      </c>
    </row>
    <row r="400" spans="1:18" x14ac:dyDescent="0.25">
      <c r="A400" s="170">
        <v>42590</v>
      </c>
      <c r="B400" s="116">
        <v>121.945960871997</v>
      </c>
      <c r="C400" s="116">
        <v>118.63418440486301</v>
      </c>
      <c r="D400" s="116">
        <v>118.180516395667</v>
      </c>
      <c r="E400" s="116">
        <v>121.129358455443</v>
      </c>
      <c r="F400" s="116">
        <v>130.75</v>
      </c>
      <c r="G400">
        <v>42575</v>
      </c>
      <c r="H400" s="116"/>
      <c r="I400" s="116"/>
      <c r="L400" s="170">
        <v>42590</v>
      </c>
      <c r="M400" s="116">
        <v>122.55301476620178</v>
      </c>
      <c r="N400" s="116">
        <v>126.20293273174731</v>
      </c>
      <c r="O400" s="116">
        <v>121.94469510527755</v>
      </c>
      <c r="P400" s="116">
        <v>126.20293273174731</v>
      </c>
      <c r="Q400" s="116">
        <v>130.94999999999999</v>
      </c>
      <c r="R400">
        <v>1104302</v>
      </c>
    </row>
    <row r="401" spans="1:18" x14ac:dyDescent="0.25">
      <c r="A401" s="170">
        <v>42591</v>
      </c>
      <c r="B401" s="116">
        <v>120.222022437051</v>
      </c>
      <c r="C401" s="116">
        <v>116.86487916899701</v>
      </c>
      <c r="D401" s="116">
        <v>116.139010354283</v>
      </c>
      <c r="E401" s="116">
        <v>119.813721228774</v>
      </c>
      <c r="F401" s="116">
        <v>128.80000000000001</v>
      </c>
      <c r="G401">
        <v>537323</v>
      </c>
      <c r="H401" s="116"/>
      <c r="I401" s="116"/>
      <c r="L401" s="170">
        <v>42591</v>
      </c>
      <c r="M401" s="116">
        <v>121.19599398413999</v>
      </c>
      <c r="N401" s="116">
        <v>124.23759228876126</v>
      </c>
      <c r="O401" s="116">
        <v>119.79217938200709</v>
      </c>
      <c r="P401" s="116">
        <v>123.44209734755263</v>
      </c>
      <c r="Q401" s="116">
        <v>129.5</v>
      </c>
      <c r="R401">
        <v>407464</v>
      </c>
    </row>
    <row r="402" spans="1:18" x14ac:dyDescent="0.25">
      <c r="A402" s="170">
        <v>42592</v>
      </c>
      <c r="B402" s="116">
        <v>121.083991654524</v>
      </c>
      <c r="C402" s="116">
        <v>115.23167433589001</v>
      </c>
      <c r="D402" s="116">
        <v>114.868739928533</v>
      </c>
      <c r="E402" s="116">
        <v>117.99904919198799</v>
      </c>
      <c r="F402" s="116">
        <v>127</v>
      </c>
      <c r="G402">
        <v>45066</v>
      </c>
      <c r="H402" s="116"/>
      <c r="I402" s="116"/>
      <c r="L402" s="170">
        <v>42592</v>
      </c>
      <c r="M402" s="116">
        <v>119.04347826086956</v>
      </c>
      <c r="N402" s="116">
        <v>124.93949958982772</v>
      </c>
      <c r="O402" s="116">
        <v>118.48195242001638</v>
      </c>
      <c r="P402" s="116">
        <v>121.19599398413999</v>
      </c>
      <c r="Q402" s="116">
        <v>127.2</v>
      </c>
      <c r="R402">
        <v>692641</v>
      </c>
    </row>
    <row r="403" spans="1:18" x14ac:dyDescent="0.25">
      <c r="A403" s="170">
        <v>42593</v>
      </c>
      <c r="B403" s="116">
        <v>117.81758198831</v>
      </c>
      <c r="C403" s="116">
        <v>116.45657796072</v>
      </c>
      <c r="D403" s="116">
        <v>112.05599827151499</v>
      </c>
      <c r="E403" s="116">
        <v>115.59460874324699</v>
      </c>
      <c r="F403" s="116">
        <v>128.35</v>
      </c>
      <c r="G403">
        <v>46698</v>
      </c>
      <c r="H403" s="116"/>
      <c r="I403" s="116"/>
      <c r="L403" s="170">
        <v>42593</v>
      </c>
      <c r="M403" s="116">
        <v>120.11973612250478</v>
      </c>
      <c r="N403" s="116">
        <v>121.66393218485096</v>
      </c>
      <c r="O403" s="116">
        <v>115.58073557560841</v>
      </c>
      <c r="P403" s="116">
        <v>120.07294230243369</v>
      </c>
      <c r="Q403" s="116">
        <v>128.35</v>
      </c>
      <c r="R403">
        <v>329071</v>
      </c>
    </row>
    <row r="404" spans="1:18" x14ac:dyDescent="0.25">
      <c r="A404" s="170">
        <v>42594</v>
      </c>
      <c r="B404" s="116">
        <v>117.046346372676</v>
      </c>
      <c r="C404" s="116">
        <v>115.413141539569</v>
      </c>
      <c r="D404" s="116">
        <v>114.551172322095</v>
      </c>
      <c r="E404" s="116">
        <v>116.910245969917</v>
      </c>
      <c r="F404" s="116">
        <v>127.2</v>
      </c>
      <c r="G404">
        <v>35143</v>
      </c>
      <c r="H404" s="116"/>
      <c r="I404" s="116"/>
      <c r="L404" s="170">
        <v>42594</v>
      </c>
      <c r="M404" s="116">
        <v>118.90309680065626</v>
      </c>
      <c r="N404" s="116">
        <v>121.00881870385562</v>
      </c>
      <c r="O404" s="116">
        <v>117.92042657916323</v>
      </c>
      <c r="P404" s="116">
        <v>119.9325608422204</v>
      </c>
      <c r="Q404" s="116">
        <v>127.05</v>
      </c>
      <c r="R404">
        <v>1055463</v>
      </c>
    </row>
    <row r="405" spans="1:18" x14ac:dyDescent="0.25">
      <c r="A405" s="170">
        <v>42598</v>
      </c>
      <c r="B405" s="116">
        <v>117.318547178194</v>
      </c>
      <c r="C405" s="116">
        <v>115.821442747845</v>
      </c>
      <c r="D405" s="116">
        <v>113.734569905542</v>
      </c>
      <c r="E405" s="116">
        <v>114.823373127613</v>
      </c>
      <c r="F405" s="116">
        <v>127.65</v>
      </c>
      <c r="G405">
        <v>28310</v>
      </c>
      <c r="H405" s="116"/>
      <c r="I405" s="116"/>
      <c r="L405" s="170">
        <v>42598</v>
      </c>
      <c r="M405" s="116">
        <v>119.32424118129613</v>
      </c>
      <c r="N405" s="116">
        <v>121.19599398413999</v>
      </c>
      <c r="O405" s="116">
        <v>117.45248837845227</v>
      </c>
      <c r="P405" s="116">
        <v>119.18385972108284</v>
      </c>
      <c r="Q405" s="116">
        <v>127.5</v>
      </c>
      <c r="R405">
        <v>1175608</v>
      </c>
    </row>
    <row r="406" spans="1:18" x14ac:dyDescent="0.25">
      <c r="A406" s="170">
        <v>42599</v>
      </c>
      <c r="B406" s="116">
        <v>121.356192460042</v>
      </c>
      <c r="C406" s="116">
        <v>120.630323645327</v>
      </c>
      <c r="D406" s="116">
        <v>115.413141539569</v>
      </c>
      <c r="E406" s="116">
        <v>115.413141539569</v>
      </c>
      <c r="F406" s="116">
        <v>132.94999999999999</v>
      </c>
      <c r="G406">
        <v>63851</v>
      </c>
      <c r="H406" s="116"/>
      <c r="I406" s="116"/>
      <c r="L406" s="170">
        <v>42599</v>
      </c>
      <c r="M406" s="116">
        <v>124.8927057697566</v>
      </c>
      <c r="N406" s="116">
        <v>125.87537599124964</v>
      </c>
      <c r="O406" s="116">
        <v>118.4351585999453</v>
      </c>
      <c r="P406" s="116">
        <v>118.85630298058517</v>
      </c>
      <c r="Q406" s="116">
        <v>133.44999999999999</v>
      </c>
      <c r="R406">
        <v>499895</v>
      </c>
    </row>
    <row r="407" spans="1:18" x14ac:dyDescent="0.25">
      <c r="A407" s="170">
        <v>42600</v>
      </c>
      <c r="B407" s="116">
        <v>122.082061274756</v>
      </c>
      <c r="C407" s="116">
        <v>119.813721228774</v>
      </c>
      <c r="D407" s="116">
        <v>118.044415992908</v>
      </c>
      <c r="E407" s="116">
        <v>118.044415992908</v>
      </c>
      <c r="F407" s="116">
        <v>132.05000000000001</v>
      </c>
      <c r="G407">
        <v>33765</v>
      </c>
      <c r="H407" s="116"/>
      <c r="I407" s="116"/>
      <c r="L407" s="170">
        <v>42600</v>
      </c>
      <c r="M407" s="116">
        <v>124.14400464861907</v>
      </c>
      <c r="N407" s="116">
        <v>126.34331419196062</v>
      </c>
      <c r="O407" s="116">
        <v>123.06774678698386</v>
      </c>
      <c r="P407" s="116">
        <v>126.10934509160514</v>
      </c>
      <c r="Q407" s="116">
        <v>132.65</v>
      </c>
      <c r="R407">
        <v>356692</v>
      </c>
    </row>
    <row r="408" spans="1:18" x14ac:dyDescent="0.25">
      <c r="A408" s="170">
        <v>42601</v>
      </c>
      <c r="B408" s="116">
        <v>126.981675774077</v>
      </c>
      <c r="C408" s="116">
        <v>122.717196487631</v>
      </c>
      <c r="D408" s="116">
        <v>118.679551205783</v>
      </c>
      <c r="E408" s="116">
        <v>119.04248561314</v>
      </c>
      <c r="F408" s="116">
        <v>135.25</v>
      </c>
      <c r="G408">
        <v>341857</v>
      </c>
      <c r="H408" s="116"/>
      <c r="I408" s="116"/>
      <c r="L408" s="170">
        <v>42601</v>
      </c>
      <c r="M408" s="116">
        <v>126.90484003281377</v>
      </c>
      <c r="N408" s="116">
        <v>130.92910855892808</v>
      </c>
      <c r="O408" s="116">
        <v>122.22545802570411</v>
      </c>
      <c r="P408" s="116">
        <v>124.47156138911676</v>
      </c>
      <c r="Q408" s="116">
        <v>135.6</v>
      </c>
      <c r="R408">
        <v>2693644</v>
      </c>
    </row>
    <row r="409" spans="1:18" x14ac:dyDescent="0.25">
      <c r="A409" s="170">
        <v>42604</v>
      </c>
      <c r="B409" s="116">
        <v>123.76063290878299</v>
      </c>
      <c r="C409" s="116">
        <v>117.908315590149</v>
      </c>
      <c r="D409" s="116">
        <v>117.318547178194</v>
      </c>
      <c r="E409" s="116">
        <v>122.490362483033</v>
      </c>
      <c r="F409" s="116">
        <v>129.94999999999999</v>
      </c>
      <c r="G409">
        <v>53859</v>
      </c>
      <c r="H409" s="116"/>
      <c r="I409" s="116"/>
      <c r="L409" s="170">
        <v>42604</v>
      </c>
      <c r="M409" s="116">
        <v>121.52355072463766</v>
      </c>
      <c r="N409" s="116">
        <v>127.55995351380913</v>
      </c>
      <c r="O409" s="116">
        <v>120.72805578342903</v>
      </c>
      <c r="P409" s="116">
        <v>126.90484003281377</v>
      </c>
      <c r="Q409" s="116">
        <v>129.85</v>
      </c>
      <c r="R409">
        <v>378307</v>
      </c>
    </row>
    <row r="410" spans="1:18" x14ac:dyDescent="0.25">
      <c r="A410" s="170">
        <v>42605</v>
      </c>
      <c r="B410" s="116">
        <v>123.39769850142601</v>
      </c>
      <c r="C410" s="116">
        <v>117.454647580952</v>
      </c>
      <c r="D410" s="116">
        <v>117.046346372676</v>
      </c>
      <c r="E410" s="116">
        <v>117.95368239106899</v>
      </c>
      <c r="F410" s="116">
        <v>129.44999999999999</v>
      </c>
      <c r="G410">
        <v>68253</v>
      </c>
      <c r="H410" s="116"/>
      <c r="I410" s="116"/>
      <c r="L410" s="170">
        <v>42605</v>
      </c>
      <c r="M410" s="116">
        <v>121.19599398413999</v>
      </c>
      <c r="N410" s="116">
        <v>127.37277823352473</v>
      </c>
      <c r="O410" s="116">
        <v>120.68126196335793</v>
      </c>
      <c r="P410" s="116">
        <v>122.22545802570411</v>
      </c>
      <c r="Q410" s="116">
        <v>129.5</v>
      </c>
      <c r="R410">
        <v>612680</v>
      </c>
    </row>
    <row r="411" spans="1:18" x14ac:dyDescent="0.25">
      <c r="A411" s="170">
        <v>42606</v>
      </c>
      <c r="B411" s="116">
        <v>119.949821631533</v>
      </c>
      <c r="C411" s="116">
        <v>118.452717201185</v>
      </c>
      <c r="D411" s="116">
        <v>117.545381182792</v>
      </c>
      <c r="E411" s="116">
        <v>118.225883196586</v>
      </c>
      <c r="F411" s="116">
        <v>130.55000000000001</v>
      </c>
      <c r="G411">
        <v>255808</v>
      </c>
      <c r="H411" s="116"/>
      <c r="I411" s="116"/>
      <c r="L411" s="170">
        <v>42606</v>
      </c>
      <c r="M411" s="116">
        <v>122.17866420563303</v>
      </c>
      <c r="N411" s="116">
        <v>123.91003554826359</v>
      </c>
      <c r="O411" s="116">
        <v>121.19599398413999</v>
      </c>
      <c r="P411" s="116">
        <v>121.61713836477985</v>
      </c>
      <c r="Q411" s="116">
        <v>130.55000000000001</v>
      </c>
      <c r="R411">
        <v>1573351</v>
      </c>
    </row>
    <row r="412" spans="1:18" x14ac:dyDescent="0.25">
      <c r="A412" s="170">
        <v>42607</v>
      </c>
      <c r="B412" s="116">
        <v>120.40348964072901</v>
      </c>
      <c r="C412" s="116">
        <v>118.724918006702</v>
      </c>
      <c r="D412" s="116">
        <v>117.00097957175601</v>
      </c>
      <c r="E412" s="116">
        <v>119.72298762693499</v>
      </c>
      <c r="F412" s="116">
        <v>130.85</v>
      </c>
      <c r="G412">
        <v>341393</v>
      </c>
      <c r="H412" s="116"/>
      <c r="I412" s="116"/>
      <c r="L412" s="170">
        <v>42607</v>
      </c>
      <c r="M412" s="116">
        <v>123.20812824719715</v>
      </c>
      <c r="N412" s="116">
        <v>124.47156138911676</v>
      </c>
      <c r="O412" s="116">
        <v>119.88576702214928</v>
      </c>
      <c r="P412" s="116">
        <v>122.78698386655726</v>
      </c>
      <c r="Q412" s="116">
        <v>131.65</v>
      </c>
      <c r="R412">
        <v>1529930</v>
      </c>
    </row>
    <row r="413" spans="1:18" x14ac:dyDescent="0.25">
      <c r="A413" s="170">
        <v>42608</v>
      </c>
      <c r="B413" s="116">
        <v>120.675690446247</v>
      </c>
      <c r="C413" s="116">
        <v>117.273180377274</v>
      </c>
      <c r="D413" s="116">
        <v>116.139010354283</v>
      </c>
      <c r="E413" s="116">
        <v>120.675690446247</v>
      </c>
      <c r="F413" s="116">
        <v>129.25</v>
      </c>
      <c r="G413">
        <v>545696</v>
      </c>
      <c r="H413" s="116"/>
      <c r="I413" s="116"/>
      <c r="L413" s="170">
        <v>42608</v>
      </c>
      <c r="M413" s="116">
        <v>121.28958162428218</v>
      </c>
      <c r="N413" s="116">
        <v>124.84591194968553</v>
      </c>
      <c r="O413" s="116">
        <v>120.72805578342903</v>
      </c>
      <c r="P413" s="116">
        <v>123.53568498769482</v>
      </c>
      <c r="Q413" s="116">
        <v>129.6</v>
      </c>
      <c r="R413">
        <v>245171</v>
      </c>
    </row>
    <row r="414" spans="1:18" x14ac:dyDescent="0.25">
      <c r="A414" s="170">
        <v>42611</v>
      </c>
      <c r="B414" s="116">
        <v>118.316616798426</v>
      </c>
      <c r="C414" s="116">
        <v>117.454647580952</v>
      </c>
      <c r="D414" s="116">
        <v>116.320477557961</v>
      </c>
      <c r="E414" s="116">
        <v>116.910245969917</v>
      </c>
      <c r="F414" s="116">
        <v>129.44999999999999</v>
      </c>
      <c r="G414">
        <v>636361</v>
      </c>
      <c r="H414" s="116"/>
      <c r="I414" s="116"/>
      <c r="L414" s="170">
        <v>42611</v>
      </c>
      <c r="M414" s="116">
        <v>120.91523106371341</v>
      </c>
      <c r="N414" s="116">
        <v>121.99148892534863</v>
      </c>
      <c r="O414" s="116">
        <v>119.83897320207821</v>
      </c>
      <c r="P414" s="116">
        <v>121.19599398413999</v>
      </c>
      <c r="Q414" s="116">
        <v>129.19999999999999</v>
      </c>
      <c r="R414">
        <v>912746</v>
      </c>
    </row>
    <row r="415" spans="1:18" x14ac:dyDescent="0.25">
      <c r="A415" s="170">
        <v>42612</v>
      </c>
      <c r="B415" s="116">
        <v>119.26931961773801</v>
      </c>
      <c r="C415" s="116">
        <v>118.861018409461</v>
      </c>
      <c r="D415" s="116">
        <v>116.638045164399</v>
      </c>
      <c r="E415" s="116">
        <v>116.638045164399</v>
      </c>
      <c r="F415" s="116">
        <v>131</v>
      </c>
      <c r="G415">
        <v>59336</v>
      </c>
      <c r="H415" s="116"/>
      <c r="I415" s="116"/>
      <c r="L415" s="170">
        <v>42612</v>
      </c>
      <c r="M415" s="116">
        <v>122.88057150669948</v>
      </c>
      <c r="N415" s="116">
        <v>123.30171588733934</v>
      </c>
      <c r="O415" s="116">
        <v>120.35370522286026</v>
      </c>
      <c r="P415" s="116">
        <v>121.14920016406889</v>
      </c>
      <c r="Q415" s="116">
        <v>131.30000000000001</v>
      </c>
      <c r="R415">
        <v>2321655</v>
      </c>
    </row>
    <row r="416" spans="1:18" x14ac:dyDescent="0.25">
      <c r="A416" s="170">
        <v>42613</v>
      </c>
      <c r="B416" s="116">
        <v>120.584956844408</v>
      </c>
      <c r="C416" s="116">
        <v>118.13514959474701</v>
      </c>
      <c r="D416" s="116">
        <v>117.36391397911299</v>
      </c>
      <c r="E416" s="116">
        <v>118.861018409461</v>
      </c>
      <c r="F416" s="116">
        <v>130.19999999999999</v>
      </c>
      <c r="G416">
        <v>70260</v>
      </c>
      <c r="H416" s="116"/>
      <c r="I416" s="116"/>
      <c r="L416" s="170">
        <v>42613</v>
      </c>
      <c r="M416" s="116">
        <v>121.75751982499315</v>
      </c>
      <c r="N416" s="116">
        <v>124.47156138911676</v>
      </c>
      <c r="O416" s="116">
        <v>120.72805578342903</v>
      </c>
      <c r="P416" s="116">
        <v>122.59980858627289</v>
      </c>
      <c r="Q416" s="116">
        <v>130.1</v>
      </c>
      <c r="R416">
        <v>1913646</v>
      </c>
    </row>
    <row r="417" spans="1:18" x14ac:dyDescent="0.25">
      <c r="A417" s="170">
        <v>42614</v>
      </c>
      <c r="B417" s="116">
        <v>119.314686418658</v>
      </c>
      <c r="C417" s="116">
        <v>116.45657796072</v>
      </c>
      <c r="D417" s="116">
        <v>115.639975544167</v>
      </c>
      <c r="E417" s="116">
        <v>118.407350400265</v>
      </c>
      <c r="F417" s="116">
        <v>128.35</v>
      </c>
      <c r="G417">
        <v>102287</v>
      </c>
      <c r="H417" s="116"/>
      <c r="I417" s="116"/>
      <c r="L417" s="170">
        <v>42614</v>
      </c>
      <c r="M417" s="116">
        <v>120.11973612250478</v>
      </c>
      <c r="N417" s="116">
        <v>123.34850970741044</v>
      </c>
      <c r="O417" s="116">
        <v>119.04347826086956</v>
      </c>
      <c r="P417" s="116">
        <v>122.59980858627289</v>
      </c>
      <c r="Q417" s="116">
        <v>128.35</v>
      </c>
      <c r="R417">
        <v>1416540</v>
      </c>
    </row>
    <row r="418" spans="1:18" x14ac:dyDescent="0.25">
      <c r="A418" s="170">
        <v>42615</v>
      </c>
      <c r="B418" s="116">
        <v>117.409280780033</v>
      </c>
      <c r="C418" s="116">
        <v>114.278971516578</v>
      </c>
      <c r="D418" s="116">
        <v>113.099434692667</v>
      </c>
      <c r="E418" s="116">
        <v>117.091713173595</v>
      </c>
      <c r="F418" s="116">
        <v>125.95</v>
      </c>
      <c r="G418">
        <v>67131</v>
      </c>
      <c r="H418" s="116"/>
      <c r="I418" s="116"/>
      <c r="L418" s="170">
        <v>42615</v>
      </c>
      <c r="M418" s="116">
        <v>118.10760185944763</v>
      </c>
      <c r="N418" s="116">
        <v>121.0556125239267</v>
      </c>
      <c r="O418" s="116">
        <v>116.65699343724364</v>
      </c>
      <c r="P418" s="116">
        <v>120.58767432321574</v>
      </c>
      <c r="Q418" s="116">
        <v>126.2</v>
      </c>
      <c r="R418">
        <v>1011421</v>
      </c>
    </row>
    <row r="419" spans="1:18" x14ac:dyDescent="0.25">
      <c r="A419" s="170">
        <v>42619</v>
      </c>
      <c r="B419" s="116">
        <v>121.58302646464</v>
      </c>
      <c r="C419" s="116">
        <v>121.174725256363</v>
      </c>
      <c r="D419" s="116">
        <v>114.95947353037199</v>
      </c>
      <c r="E419" s="116">
        <v>116.002909951524</v>
      </c>
      <c r="F419" s="116">
        <v>133.55000000000001</v>
      </c>
      <c r="G419">
        <v>105236</v>
      </c>
      <c r="H419" s="116"/>
      <c r="I419" s="116"/>
      <c r="L419" s="170">
        <v>42619</v>
      </c>
      <c r="M419" s="116">
        <v>125.1266748701121</v>
      </c>
      <c r="N419" s="116">
        <v>125.40743779053868</v>
      </c>
      <c r="O419" s="116">
        <v>118.57554006015859</v>
      </c>
      <c r="P419" s="116">
        <v>118.85630298058517</v>
      </c>
      <c r="Q419" s="116">
        <v>133.69999999999999</v>
      </c>
      <c r="R419">
        <v>1177744</v>
      </c>
    </row>
    <row r="420" spans="1:18" x14ac:dyDescent="0.25">
      <c r="A420" s="170">
        <v>42620</v>
      </c>
      <c r="B420" s="116">
        <v>123.26159809866699</v>
      </c>
      <c r="C420" s="116">
        <v>122.444995682113</v>
      </c>
      <c r="D420" s="116">
        <v>118.58881760394399</v>
      </c>
      <c r="E420" s="116">
        <v>121.129358455443</v>
      </c>
      <c r="F420" s="116">
        <v>134.94999999999999</v>
      </c>
      <c r="G420">
        <v>105290</v>
      </c>
      <c r="H420" s="116"/>
      <c r="I420" s="116"/>
      <c r="L420" s="170">
        <v>42620</v>
      </c>
      <c r="M420" s="116">
        <v>126.43690183210281</v>
      </c>
      <c r="N420" s="116">
        <v>127.23239677331144</v>
      </c>
      <c r="O420" s="116">
        <v>122.27225184577522</v>
      </c>
      <c r="P420" s="116">
        <v>125.26705633032539</v>
      </c>
      <c r="Q420" s="116">
        <v>135.1</v>
      </c>
      <c r="R420">
        <v>811965</v>
      </c>
    </row>
    <row r="421" spans="1:18" x14ac:dyDescent="0.25">
      <c r="A421" s="170">
        <v>42621</v>
      </c>
      <c r="B421" s="116">
        <v>123.39769850142601</v>
      </c>
      <c r="C421" s="116">
        <v>121.220092057283</v>
      </c>
      <c r="D421" s="116">
        <v>119.995188432452</v>
      </c>
      <c r="E421" s="116">
        <v>122.399628881193</v>
      </c>
      <c r="F421" s="116">
        <v>133.6</v>
      </c>
      <c r="G421">
        <v>43944</v>
      </c>
      <c r="H421" s="116"/>
      <c r="I421" s="116"/>
      <c r="L421" s="170">
        <v>42621</v>
      </c>
      <c r="M421" s="116">
        <v>125.40743779053868</v>
      </c>
      <c r="N421" s="116">
        <v>127.23239677331144</v>
      </c>
      <c r="O421" s="116">
        <v>124.00362318840578</v>
      </c>
      <c r="P421" s="116">
        <v>125.40743779053868</v>
      </c>
      <c r="Q421" s="116">
        <v>134</v>
      </c>
      <c r="R421">
        <v>454751</v>
      </c>
    </row>
    <row r="422" spans="1:18" x14ac:dyDescent="0.25">
      <c r="A422" s="170">
        <v>42622</v>
      </c>
      <c r="B422" s="116">
        <v>122.12742807567599</v>
      </c>
      <c r="C422" s="116">
        <v>117.95368239106899</v>
      </c>
      <c r="D422" s="116">
        <v>116.683411965319</v>
      </c>
      <c r="E422" s="116">
        <v>121.67376006647901</v>
      </c>
      <c r="F422" s="116">
        <v>130</v>
      </c>
      <c r="G422">
        <v>62661</v>
      </c>
      <c r="H422" s="116"/>
      <c r="I422" s="116"/>
      <c r="L422" s="170">
        <v>42622</v>
      </c>
      <c r="M422" s="116">
        <v>121.71072600492207</v>
      </c>
      <c r="N422" s="116">
        <v>126.24972655181843</v>
      </c>
      <c r="O422" s="116">
        <v>120.58767432321574</v>
      </c>
      <c r="P422" s="116">
        <v>125.40743779053868</v>
      </c>
      <c r="Q422" s="116">
        <v>130.05000000000001</v>
      </c>
      <c r="R422">
        <v>622459</v>
      </c>
    </row>
    <row r="423" spans="1:18" x14ac:dyDescent="0.25">
      <c r="A423" s="170">
        <v>42625</v>
      </c>
      <c r="B423" s="116">
        <v>119.13321921497899</v>
      </c>
      <c r="C423" s="116">
        <v>114.778006326694</v>
      </c>
      <c r="D423" s="116">
        <v>114.32433831749699</v>
      </c>
      <c r="E423" s="116">
        <v>116.683411965319</v>
      </c>
      <c r="F423" s="116">
        <v>126.5</v>
      </c>
      <c r="G423">
        <v>48765</v>
      </c>
      <c r="H423" s="116"/>
      <c r="I423" s="116"/>
      <c r="L423" s="170">
        <v>42625</v>
      </c>
      <c r="M423" s="116">
        <v>118.06080803937654</v>
      </c>
      <c r="N423" s="116">
        <v>122.88057150669948</v>
      </c>
      <c r="O423" s="116">
        <v>117.92042657916323</v>
      </c>
      <c r="P423" s="116">
        <v>119.88576702214928</v>
      </c>
      <c r="Q423" s="116">
        <v>126.15</v>
      </c>
      <c r="R423">
        <v>287283</v>
      </c>
    </row>
    <row r="424" spans="1:18" x14ac:dyDescent="0.25">
      <c r="A424" s="170">
        <v>42627</v>
      </c>
      <c r="B424" s="116">
        <v>116.139010354283</v>
      </c>
      <c r="C424" s="116">
        <v>114.188237914738</v>
      </c>
      <c r="D424" s="116">
        <v>113.779936706462</v>
      </c>
      <c r="E424" s="116">
        <v>115.27704113681</v>
      </c>
      <c r="F424" s="116">
        <v>125.85</v>
      </c>
      <c r="G424">
        <v>25784</v>
      </c>
      <c r="H424" s="116"/>
      <c r="I424" s="116"/>
      <c r="L424" s="170">
        <v>42627</v>
      </c>
      <c r="M424" s="116">
        <v>118.06080803937654</v>
      </c>
      <c r="N424" s="116">
        <v>120.11973612250478</v>
      </c>
      <c r="O424" s="116">
        <v>117.17172545802569</v>
      </c>
      <c r="P424" s="116">
        <v>117.59286983866556</v>
      </c>
      <c r="Q424" s="116">
        <v>126.15</v>
      </c>
      <c r="R424">
        <v>218938</v>
      </c>
    </row>
    <row r="425" spans="1:18" x14ac:dyDescent="0.25">
      <c r="A425" s="170">
        <v>42628</v>
      </c>
      <c r="B425" s="116">
        <v>116.45657796072</v>
      </c>
      <c r="C425" s="116">
        <v>115.140940734051</v>
      </c>
      <c r="D425" s="116">
        <v>114.823373127613</v>
      </c>
      <c r="E425" s="116">
        <v>114.823373127613</v>
      </c>
      <c r="F425" s="116">
        <v>126.9</v>
      </c>
      <c r="G425">
        <v>45933</v>
      </c>
      <c r="H425" s="116"/>
      <c r="I425" s="116"/>
      <c r="L425" s="170">
        <v>42628</v>
      </c>
      <c r="M425" s="116">
        <v>119.09027208094065</v>
      </c>
      <c r="N425" s="116">
        <v>120.11973612250478</v>
      </c>
      <c r="O425" s="116">
        <v>118.06080803937654</v>
      </c>
      <c r="P425" s="116">
        <v>118.06080803937654</v>
      </c>
      <c r="Q425" s="116">
        <v>127.25</v>
      </c>
      <c r="R425">
        <v>294554</v>
      </c>
    </row>
    <row r="426" spans="1:18" x14ac:dyDescent="0.25">
      <c r="A426" s="170">
        <v>42629</v>
      </c>
      <c r="B426" s="116">
        <v>117.454647580952</v>
      </c>
      <c r="C426" s="116">
        <v>115.549241942328</v>
      </c>
      <c r="D426" s="116">
        <v>113.779936706462</v>
      </c>
      <c r="E426" s="116">
        <v>115.957543150604</v>
      </c>
      <c r="F426" s="116">
        <v>127.35</v>
      </c>
      <c r="G426">
        <v>246010</v>
      </c>
      <c r="H426" s="116"/>
      <c r="I426" s="116"/>
      <c r="L426" s="170">
        <v>42629</v>
      </c>
      <c r="M426" s="116">
        <v>119.55821028165161</v>
      </c>
      <c r="N426" s="116">
        <v>121.19599398413999</v>
      </c>
      <c r="O426" s="116">
        <v>117.26531309816788</v>
      </c>
      <c r="P426" s="116">
        <v>120.21332376264695</v>
      </c>
      <c r="Q426" s="116">
        <v>127.75</v>
      </c>
      <c r="R426">
        <v>410324</v>
      </c>
    </row>
    <row r="427" spans="1:18" x14ac:dyDescent="0.25">
      <c r="A427" s="170">
        <v>42632</v>
      </c>
      <c r="B427" s="116">
        <v>116.592678363479</v>
      </c>
      <c r="C427" s="116">
        <v>114.09750431289901</v>
      </c>
      <c r="D427" s="116">
        <v>113.417002299104</v>
      </c>
      <c r="E427" s="116">
        <v>115.549241942328</v>
      </c>
      <c r="F427" s="116">
        <v>125.75</v>
      </c>
      <c r="G427">
        <v>23689</v>
      </c>
      <c r="H427" s="116"/>
      <c r="I427" s="116"/>
      <c r="L427" s="170">
        <v>42632</v>
      </c>
      <c r="M427" s="116">
        <v>118.01401421930542</v>
      </c>
      <c r="N427" s="116">
        <v>119.88576702214928</v>
      </c>
      <c r="O427" s="116">
        <v>117.49928219852336</v>
      </c>
      <c r="P427" s="116">
        <v>118.85630298058517</v>
      </c>
      <c r="Q427" s="116">
        <v>126.1</v>
      </c>
      <c r="R427">
        <v>197228</v>
      </c>
    </row>
    <row r="428" spans="1:18" x14ac:dyDescent="0.25">
      <c r="A428" s="170">
        <v>42633</v>
      </c>
      <c r="B428" s="116">
        <v>116.139010354283</v>
      </c>
      <c r="C428" s="116">
        <v>114.732639525774</v>
      </c>
      <c r="D428" s="116">
        <v>113.82530350738099</v>
      </c>
      <c r="E428" s="116">
        <v>114.732639525774</v>
      </c>
      <c r="F428" s="116">
        <v>126.45</v>
      </c>
      <c r="G428">
        <v>31323</v>
      </c>
      <c r="H428" s="116"/>
      <c r="I428" s="116"/>
      <c r="L428" s="170">
        <v>42633</v>
      </c>
      <c r="M428" s="116">
        <v>117.92042657916323</v>
      </c>
      <c r="N428" s="116">
        <v>118.71592152037188</v>
      </c>
      <c r="O428" s="116">
        <v>116.98455017774131</v>
      </c>
      <c r="P428" s="116">
        <v>118.71592152037188</v>
      </c>
      <c r="Q428" s="116">
        <v>126</v>
      </c>
      <c r="R428">
        <v>320415</v>
      </c>
    </row>
    <row r="429" spans="1:18" x14ac:dyDescent="0.25">
      <c r="A429" s="170">
        <v>42634</v>
      </c>
      <c r="B429" s="116">
        <v>118.861018409461</v>
      </c>
      <c r="C429" s="116">
        <v>115.09557393313101</v>
      </c>
      <c r="D429" s="116">
        <v>113.91603710922</v>
      </c>
      <c r="E429" s="116">
        <v>113.96140391014001</v>
      </c>
      <c r="F429" s="116">
        <v>126.85</v>
      </c>
      <c r="G429">
        <v>84225</v>
      </c>
      <c r="H429" s="116"/>
      <c r="I429" s="116"/>
      <c r="L429" s="170">
        <v>42634</v>
      </c>
      <c r="M429" s="116">
        <v>118.90309680065626</v>
      </c>
      <c r="N429" s="116">
        <v>122.92736532677056</v>
      </c>
      <c r="O429" s="116">
        <v>117.45248837845227</v>
      </c>
      <c r="P429" s="116">
        <v>117.92042657916323</v>
      </c>
      <c r="Q429" s="116">
        <v>127.05</v>
      </c>
      <c r="R429">
        <v>3472613</v>
      </c>
    </row>
    <row r="430" spans="1:18" x14ac:dyDescent="0.25">
      <c r="A430" s="170">
        <v>42635</v>
      </c>
      <c r="B430" s="116">
        <v>118.861018409461</v>
      </c>
      <c r="C430" s="116">
        <v>117.182446775435</v>
      </c>
      <c r="D430" s="116">
        <v>115.776075946926</v>
      </c>
      <c r="E430" s="116">
        <v>116.86487916899701</v>
      </c>
      <c r="F430" s="116">
        <v>129.15</v>
      </c>
      <c r="G430">
        <v>58588</v>
      </c>
      <c r="H430" s="116"/>
      <c r="I430" s="116"/>
      <c r="L430" s="170">
        <v>42635</v>
      </c>
      <c r="M430" s="116">
        <v>120.91523106371341</v>
      </c>
      <c r="N430" s="116">
        <v>122.59980858627289</v>
      </c>
      <c r="O430" s="116">
        <v>119.41782882143832</v>
      </c>
      <c r="P430" s="116">
        <v>119.79217938200709</v>
      </c>
      <c r="Q430" s="116">
        <v>129.19999999999999</v>
      </c>
      <c r="R430">
        <v>466203</v>
      </c>
    </row>
    <row r="431" spans="1:18" x14ac:dyDescent="0.25">
      <c r="A431" s="170">
        <v>42636</v>
      </c>
      <c r="B431" s="116">
        <v>122.399628881193</v>
      </c>
      <c r="C431" s="116">
        <v>120.31275603889</v>
      </c>
      <c r="D431" s="116">
        <v>116.638045164399</v>
      </c>
      <c r="E431" s="116">
        <v>117.273180377274</v>
      </c>
      <c r="F431" s="116">
        <v>132.6</v>
      </c>
      <c r="G431">
        <v>106467</v>
      </c>
      <c r="H431" s="116"/>
      <c r="I431" s="116"/>
      <c r="L431" s="170">
        <v>42636</v>
      </c>
      <c r="M431" s="116">
        <v>124.14400464861907</v>
      </c>
      <c r="N431" s="116">
        <v>126.24972655181843</v>
      </c>
      <c r="O431" s="116">
        <v>120.35370522286026</v>
      </c>
      <c r="P431" s="116">
        <v>121.66393218485096</v>
      </c>
      <c r="Q431" s="116">
        <v>132.65</v>
      </c>
      <c r="R431">
        <v>918009</v>
      </c>
    </row>
    <row r="432" spans="1:18" x14ac:dyDescent="0.25">
      <c r="A432" s="170">
        <v>42639</v>
      </c>
      <c r="B432" s="116">
        <v>120.222022437051</v>
      </c>
      <c r="C432" s="116">
        <v>117.86294878922899</v>
      </c>
      <c r="D432" s="116">
        <v>117.00097957175601</v>
      </c>
      <c r="E432" s="116">
        <v>120.222022437051</v>
      </c>
      <c r="F432" s="116">
        <v>129.9</v>
      </c>
      <c r="G432">
        <v>37308</v>
      </c>
      <c r="H432" s="116"/>
      <c r="I432" s="116"/>
      <c r="L432" s="170">
        <v>42639</v>
      </c>
      <c r="M432" s="116">
        <v>121.61713836477985</v>
      </c>
      <c r="N432" s="116">
        <v>124.98629340989882</v>
      </c>
      <c r="O432" s="116">
        <v>120.49408668307355</v>
      </c>
      <c r="P432" s="116">
        <v>124.98629340989882</v>
      </c>
      <c r="Q432" s="116">
        <v>129.94999999999999</v>
      </c>
      <c r="R432">
        <v>377205</v>
      </c>
    </row>
    <row r="433" spans="1:18" x14ac:dyDescent="0.25">
      <c r="A433" s="170">
        <v>42640</v>
      </c>
      <c r="B433" s="116">
        <v>118.58881760394399</v>
      </c>
      <c r="C433" s="116">
        <v>117.636114784631</v>
      </c>
      <c r="D433" s="116">
        <v>116.910245969917</v>
      </c>
      <c r="E433" s="116">
        <v>118.49808400210399</v>
      </c>
      <c r="F433" s="116">
        <v>129.65</v>
      </c>
      <c r="G433">
        <v>34029</v>
      </c>
      <c r="H433" s="116"/>
      <c r="I433" s="116"/>
      <c r="L433" s="170">
        <v>42640</v>
      </c>
      <c r="M433" s="116">
        <v>121.52355072463766</v>
      </c>
      <c r="N433" s="116">
        <v>122.5062209461307</v>
      </c>
      <c r="O433" s="116">
        <v>120.40049904293136</v>
      </c>
      <c r="P433" s="116">
        <v>122.13187038556192</v>
      </c>
      <c r="Q433" s="116">
        <v>129.85</v>
      </c>
      <c r="R433">
        <v>323040</v>
      </c>
    </row>
    <row r="434" spans="1:18" x14ac:dyDescent="0.25">
      <c r="A434" s="170">
        <v>42641</v>
      </c>
      <c r="B434" s="116">
        <v>119.541520423256</v>
      </c>
      <c r="C434" s="116">
        <v>118.361983599345</v>
      </c>
      <c r="D434" s="116">
        <v>116.275110757042</v>
      </c>
      <c r="E434" s="116">
        <v>117.454647580952</v>
      </c>
      <c r="F434" s="116">
        <v>130.44999999999999</v>
      </c>
      <c r="G434">
        <v>23122</v>
      </c>
      <c r="H434" s="116"/>
      <c r="I434" s="116"/>
      <c r="L434" s="170">
        <v>42641</v>
      </c>
      <c r="M434" s="116">
        <v>122.17866420563303</v>
      </c>
      <c r="N434" s="116">
        <v>123.44209734755263</v>
      </c>
      <c r="O434" s="116">
        <v>119.9325608422204</v>
      </c>
      <c r="P434" s="116">
        <v>121.52355072463766</v>
      </c>
      <c r="Q434" s="116">
        <v>130.55000000000001</v>
      </c>
      <c r="R434">
        <v>613494</v>
      </c>
    </row>
    <row r="435" spans="1:18" x14ac:dyDescent="0.25">
      <c r="A435" s="170">
        <v>42642</v>
      </c>
      <c r="B435" s="116">
        <v>118.58881760394399</v>
      </c>
      <c r="C435" s="116">
        <v>115.73070914600601</v>
      </c>
      <c r="D435" s="116">
        <v>111.69306386415801</v>
      </c>
      <c r="E435" s="116">
        <v>118.316616798426</v>
      </c>
      <c r="F435" s="116">
        <v>127.55</v>
      </c>
      <c r="G435">
        <v>119716</v>
      </c>
      <c r="H435" s="116"/>
      <c r="I435" s="116"/>
      <c r="L435" s="170">
        <v>42642</v>
      </c>
      <c r="M435" s="116">
        <v>119.97935466229147</v>
      </c>
      <c r="N435" s="116">
        <v>123.25492206726823</v>
      </c>
      <c r="O435" s="116">
        <v>115.11279737489744</v>
      </c>
      <c r="P435" s="116">
        <v>123.25492206726823</v>
      </c>
      <c r="Q435" s="116">
        <v>128.19999999999999</v>
      </c>
      <c r="R435">
        <v>970533</v>
      </c>
    </row>
    <row r="436" spans="1:18" x14ac:dyDescent="0.25">
      <c r="A436" s="170">
        <v>42643</v>
      </c>
      <c r="B436" s="116">
        <v>120.448856441649</v>
      </c>
      <c r="C436" s="116">
        <v>118.679551205783</v>
      </c>
      <c r="D436" s="116">
        <v>114.823373127613</v>
      </c>
      <c r="E436" s="116">
        <v>115.549241942328</v>
      </c>
      <c r="F436" s="116">
        <v>130.80000000000001</v>
      </c>
      <c r="G436">
        <v>48400</v>
      </c>
      <c r="H436" s="116"/>
      <c r="I436" s="116"/>
      <c r="L436" s="170">
        <v>42643</v>
      </c>
      <c r="M436" s="116">
        <v>122.08507656549082</v>
      </c>
      <c r="N436" s="116">
        <v>124.70553048947224</v>
      </c>
      <c r="O436" s="116">
        <v>118.20118949958982</v>
      </c>
      <c r="P436" s="116">
        <v>119.745385561936</v>
      </c>
      <c r="Q436" s="116">
        <v>130.44999999999999</v>
      </c>
      <c r="R436">
        <v>1177207</v>
      </c>
    </row>
    <row r="437" spans="1:18" x14ac:dyDescent="0.25">
      <c r="A437" s="170">
        <v>42646</v>
      </c>
      <c r="B437" s="116">
        <v>119.76835442785401</v>
      </c>
      <c r="C437" s="116">
        <v>118.77028480762201</v>
      </c>
      <c r="D437" s="116">
        <v>117.545381182792</v>
      </c>
      <c r="E437" s="116">
        <v>119.314686418658</v>
      </c>
      <c r="F437" s="116">
        <v>130.9</v>
      </c>
      <c r="G437">
        <v>22126</v>
      </c>
      <c r="H437" s="116"/>
      <c r="I437" s="116"/>
      <c r="L437" s="170">
        <v>42646</v>
      </c>
      <c r="M437" s="116">
        <v>122.88057150669948</v>
      </c>
      <c r="N437" s="116">
        <v>124.33117992890345</v>
      </c>
      <c r="O437" s="116">
        <v>121.33637544435329</v>
      </c>
      <c r="P437" s="116">
        <v>123.67606644790811</v>
      </c>
      <c r="Q437" s="116">
        <v>131.30000000000001</v>
      </c>
      <c r="R437">
        <v>776618</v>
      </c>
    </row>
    <row r="438" spans="1:18" x14ac:dyDescent="0.25">
      <c r="A438" s="170">
        <v>42647</v>
      </c>
      <c r="B438" s="116">
        <v>119.63225402509499</v>
      </c>
      <c r="C438" s="116">
        <v>119.13321921497899</v>
      </c>
      <c r="D438" s="116">
        <v>117.046346372676</v>
      </c>
      <c r="E438" s="116">
        <v>119.13321921497899</v>
      </c>
      <c r="F438" s="116">
        <v>131.30000000000001</v>
      </c>
      <c r="G438">
        <v>17462</v>
      </c>
      <c r="H438" s="116"/>
      <c r="I438" s="116"/>
      <c r="L438" s="170">
        <v>42647</v>
      </c>
      <c r="M438" s="116">
        <v>122.74019004648619</v>
      </c>
      <c r="N438" s="116">
        <v>123.53568498769482</v>
      </c>
      <c r="O438" s="116">
        <v>120.77484960350013</v>
      </c>
      <c r="P438" s="116">
        <v>121.85110746513533</v>
      </c>
      <c r="Q438" s="116">
        <v>131.15</v>
      </c>
      <c r="R438">
        <v>259581</v>
      </c>
    </row>
    <row r="439" spans="1:18" x14ac:dyDescent="0.25">
      <c r="A439" s="170">
        <v>42648</v>
      </c>
      <c r="B439" s="116">
        <v>120.675690446247</v>
      </c>
      <c r="C439" s="116">
        <v>117.454647580952</v>
      </c>
      <c r="D439" s="116">
        <v>117.046346372676</v>
      </c>
      <c r="E439" s="116">
        <v>119.76835442785401</v>
      </c>
      <c r="F439" s="116">
        <v>129.44999999999999</v>
      </c>
      <c r="G439">
        <v>27175</v>
      </c>
      <c r="H439" s="116"/>
      <c r="I439" s="116"/>
      <c r="L439" s="170">
        <v>42648</v>
      </c>
      <c r="M439" s="116">
        <v>120.91523106371341</v>
      </c>
      <c r="N439" s="116">
        <v>124.70553048947224</v>
      </c>
      <c r="O439" s="116">
        <v>119.83897320207821</v>
      </c>
      <c r="P439" s="116">
        <v>124.70553048947224</v>
      </c>
      <c r="Q439" s="116">
        <v>129.19999999999999</v>
      </c>
      <c r="R439">
        <v>258580</v>
      </c>
    </row>
    <row r="440" spans="1:18" x14ac:dyDescent="0.25">
      <c r="A440" s="170">
        <v>42649</v>
      </c>
      <c r="B440" s="116">
        <v>119.72298762693499</v>
      </c>
      <c r="C440" s="116">
        <v>118.63418440486301</v>
      </c>
      <c r="D440" s="116">
        <v>116.81951236807799</v>
      </c>
      <c r="E440" s="116">
        <v>118.815651608542</v>
      </c>
      <c r="F440" s="116">
        <v>130.75</v>
      </c>
      <c r="G440">
        <v>48981</v>
      </c>
      <c r="H440" s="116"/>
      <c r="I440" s="116"/>
      <c r="L440" s="170">
        <v>42649</v>
      </c>
      <c r="M440" s="116">
        <v>122.646602406344</v>
      </c>
      <c r="N440" s="116">
        <v>123.48889116762372</v>
      </c>
      <c r="O440" s="116">
        <v>120.44729286300245</v>
      </c>
      <c r="P440" s="116">
        <v>121.94469510527755</v>
      </c>
      <c r="Q440" s="116">
        <v>131.05000000000001</v>
      </c>
      <c r="R440">
        <v>323019</v>
      </c>
    </row>
    <row r="441" spans="1:18" x14ac:dyDescent="0.25">
      <c r="A441" s="170">
        <v>42650</v>
      </c>
      <c r="B441" s="116">
        <v>120.222022437051</v>
      </c>
      <c r="C441" s="116">
        <v>115.957543150604</v>
      </c>
      <c r="D441" s="116">
        <v>115.59460874324699</v>
      </c>
      <c r="E441" s="116">
        <v>119.22395281681899</v>
      </c>
      <c r="F441" s="116">
        <v>127.8</v>
      </c>
      <c r="G441">
        <v>50186</v>
      </c>
      <c r="H441" s="116"/>
      <c r="I441" s="116"/>
      <c r="L441" s="170">
        <v>42650</v>
      </c>
      <c r="M441" s="116">
        <v>119.51141646158052</v>
      </c>
      <c r="N441" s="116">
        <v>124.33117992890345</v>
      </c>
      <c r="O441" s="116">
        <v>119.13706590101174</v>
      </c>
      <c r="P441" s="116">
        <v>123.02095296691274</v>
      </c>
      <c r="Q441" s="116">
        <v>127.7</v>
      </c>
      <c r="R441">
        <v>242934</v>
      </c>
    </row>
    <row r="442" spans="1:18" x14ac:dyDescent="0.25">
      <c r="A442" s="170">
        <v>42653</v>
      </c>
      <c r="B442" s="116">
        <v>117.227813576354</v>
      </c>
      <c r="C442" s="116">
        <v>116.18437715520299</v>
      </c>
      <c r="D442" s="116">
        <v>115.685342345086</v>
      </c>
      <c r="E442" s="116">
        <v>116.910245969917</v>
      </c>
      <c r="F442" s="116">
        <v>128.05000000000001</v>
      </c>
      <c r="G442">
        <v>16013</v>
      </c>
      <c r="H442" s="116"/>
      <c r="I442" s="116"/>
      <c r="L442" s="170">
        <v>42653</v>
      </c>
      <c r="M442" s="116">
        <v>119.69859174186492</v>
      </c>
      <c r="N442" s="116">
        <v>121.00881870385562</v>
      </c>
      <c r="O442" s="116">
        <v>119.18385972108284</v>
      </c>
      <c r="P442" s="116">
        <v>120.21332376264695</v>
      </c>
      <c r="Q442" s="116">
        <v>127.9</v>
      </c>
      <c r="R442">
        <v>123892</v>
      </c>
    </row>
    <row r="443" spans="1:18" x14ac:dyDescent="0.25">
      <c r="A443" s="170">
        <v>42656</v>
      </c>
      <c r="B443" s="116">
        <v>117.50001438187201</v>
      </c>
      <c r="C443" s="116">
        <v>115.140940734051</v>
      </c>
      <c r="D443" s="116">
        <v>114.369705118417</v>
      </c>
      <c r="E443" s="116">
        <v>116.139010354283</v>
      </c>
      <c r="F443" s="116">
        <v>126.9</v>
      </c>
      <c r="G443">
        <v>76022</v>
      </c>
      <c r="H443" s="116"/>
      <c r="I443" s="116"/>
      <c r="L443" s="170">
        <v>42656</v>
      </c>
      <c r="M443" s="116">
        <v>119.13706590101174</v>
      </c>
      <c r="N443" s="116">
        <v>121.47675690456659</v>
      </c>
      <c r="O443" s="116">
        <v>118.66912770030078</v>
      </c>
      <c r="P443" s="116">
        <v>119.69859174186492</v>
      </c>
      <c r="Q443" s="116">
        <v>127.3</v>
      </c>
      <c r="R443">
        <v>418744</v>
      </c>
    </row>
    <row r="444" spans="1:18" x14ac:dyDescent="0.25">
      <c r="A444" s="170">
        <v>42657</v>
      </c>
      <c r="B444" s="116">
        <v>116.955612770836</v>
      </c>
      <c r="C444" s="116">
        <v>116.18437715520299</v>
      </c>
      <c r="D444" s="116">
        <v>115.322407937729</v>
      </c>
      <c r="E444" s="116">
        <v>115.322407937729</v>
      </c>
      <c r="F444" s="116">
        <v>128.05000000000001</v>
      </c>
      <c r="G444">
        <v>21084</v>
      </c>
      <c r="H444" s="116"/>
      <c r="I444" s="116"/>
      <c r="L444" s="170">
        <v>42657</v>
      </c>
      <c r="M444" s="116">
        <v>120.16652994257588</v>
      </c>
      <c r="N444" s="116">
        <v>120.72805578342903</v>
      </c>
      <c r="O444" s="116">
        <v>118.66912770030078</v>
      </c>
      <c r="P444" s="116">
        <v>119.60500410172271</v>
      </c>
      <c r="Q444" s="116">
        <v>128.4</v>
      </c>
      <c r="R444">
        <v>161006</v>
      </c>
    </row>
    <row r="445" spans="1:18" x14ac:dyDescent="0.25">
      <c r="A445" s="170">
        <v>42660</v>
      </c>
      <c r="B445" s="116">
        <v>118.815651608542</v>
      </c>
      <c r="C445" s="116">
        <v>117.046346372676</v>
      </c>
      <c r="D445" s="116">
        <v>115.821442747845</v>
      </c>
      <c r="E445" s="116">
        <v>117.046346372676</v>
      </c>
      <c r="F445" s="116">
        <v>129</v>
      </c>
      <c r="G445">
        <v>35700</v>
      </c>
      <c r="H445" s="116"/>
      <c r="I445" s="116"/>
      <c r="L445" s="170">
        <v>42660</v>
      </c>
      <c r="M445" s="116">
        <v>120.86843724364232</v>
      </c>
      <c r="N445" s="116">
        <v>122.59980858627289</v>
      </c>
      <c r="O445" s="116">
        <v>119.09027208094065</v>
      </c>
      <c r="P445" s="116">
        <v>121.0556125239267</v>
      </c>
      <c r="Q445" s="116">
        <v>129.15</v>
      </c>
      <c r="R445">
        <v>389799</v>
      </c>
    </row>
    <row r="446" spans="1:18" x14ac:dyDescent="0.25">
      <c r="A446" s="170">
        <v>42661</v>
      </c>
      <c r="B446" s="116">
        <v>119.314686418658</v>
      </c>
      <c r="C446" s="116">
        <v>117.273180377274</v>
      </c>
      <c r="D446" s="116">
        <v>117.00097957175601</v>
      </c>
      <c r="E446" s="116">
        <v>118.543450803024</v>
      </c>
      <c r="F446" s="116">
        <v>129.25</v>
      </c>
      <c r="G446">
        <v>36626</v>
      </c>
      <c r="H446" s="116"/>
      <c r="I446" s="116"/>
      <c r="L446" s="170">
        <v>42661</v>
      </c>
      <c r="M446" s="116">
        <v>121.10240634399781</v>
      </c>
      <c r="N446" s="116">
        <v>122.97415914684167</v>
      </c>
      <c r="O446" s="116">
        <v>120.77484960350013</v>
      </c>
      <c r="P446" s="116">
        <v>121.42996308449548</v>
      </c>
      <c r="Q446" s="116">
        <v>129.4</v>
      </c>
      <c r="R446">
        <v>266797</v>
      </c>
    </row>
    <row r="447" spans="1:18" x14ac:dyDescent="0.25">
      <c r="A447" s="170">
        <v>42662</v>
      </c>
      <c r="B447" s="116">
        <v>118.316616798426</v>
      </c>
      <c r="C447" s="116">
        <v>117.091713173595</v>
      </c>
      <c r="D447" s="116">
        <v>115.776075946926</v>
      </c>
      <c r="E447" s="116">
        <v>117.50001438187201</v>
      </c>
      <c r="F447" s="116">
        <v>129.05000000000001</v>
      </c>
      <c r="G447">
        <v>21505</v>
      </c>
      <c r="H447" s="116"/>
      <c r="I447" s="116"/>
      <c r="L447" s="170">
        <v>42662</v>
      </c>
      <c r="M447" s="116">
        <v>120.44729286300245</v>
      </c>
      <c r="N447" s="116">
        <v>122.22545802570411</v>
      </c>
      <c r="O447" s="116">
        <v>118.94989062072736</v>
      </c>
      <c r="P447" s="116">
        <v>121.0556125239267</v>
      </c>
      <c r="Q447" s="116">
        <v>128.69999999999999</v>
      </c>
      <c r="R447">
        <v>2734823</v>
      </c>
    </row>
    <row r="448" spans="1:18" x14ac:dyDescent="0.25">
      <c r="A448" s="170">
        <v>42663</v>
      </c>
      <c r="B448" s="116">
        <v>119.13321921497899</v>
      </c>
      <c r="C448" s="116">
        <v>117.95368239106899</v>
      </c>
      <c r="D448" s="116">
        <v>116.683411965319</v>
      </c>
      <c r="E448" s="116">
        <v>117.046346372676</v>
      </c>
      <c r="F448" s="116">
        <v>130</v>
      </c>
      <c r="G448">
        <v>30476</v>
      </c>
      <c r="H448" s="116"/>
      <c r="I448" s="116"/>
      <c r="L448" s="170">
        <v>42663</v>
      </c>
      <c r="M448" s="116">
        <v>121.57034454470877</v>
      </c>
      <c r="N448" s="116">
        <v>123.06774678698386</v>
      </c>
      <c r="O448" s="116">
        <v>119.9325608422204</v>
      </c>
      <c r="P448" s="116">
        <v>120.82164342357122</v>
      </c>
      <c r="Q448" s="116">
        <v>129.9</v>
      </c>
      <c r="R448">
        <v>3945599</v>
      </c>
    </row>
    <row r="449" spans="1:18" x14ac:dyDescent="0.25">
      <c r="A449" s="170">
        <v>42664</v>
      </c>
      <c r="B449" s="116">
        <v>121.49229286280099</v>
      </c>
      <c r="C449" s="116">
        <v>120.26738923796999</v>
      </c>
      <c r="D449" s="116">
        <v>116.54731156256</v>
      </c>
      <c r="E449" s="116">
        <v>118.679551205783</v>
      </c>
      <c r="F449" s="116">
        <v>132.55000000000001</v>
      </c>
      <c r="G449">
        <v>77600</v>
      </c>
      <c r="H449" s="116"/>
      <c r="I449" s="116"/>
      <c r="L449" s="170">
        <v>42664</v>
      </c>
      <c r="M449" s="116">
        <v>124.19079846869016</v>
      </c>
      <c r="N449" s="116">
        <v>125.40743779053868</v>
      </c>
      <c r="O449" s="116">
        <v>120.26011758271807</v>
      </c>
      <c r="P449" s="116">
        <v>121.66393218485096</v>
      </c>
      <c r="Q449" s="116">
        <v>132.69999999999999</v>
      </c>
      <c r="R449">
        <v>1125515</v>
      </c>
    </row>
    <row r="450" spans="1:18" x14ac:dyDescent="0.25">
      <c r="A450" s="170">
        <v>42667</v>
      </c>
      <c r="B450" s="116">
        <v>121.174725256363</v>
      </c>
      <c r="C450" s="116">
        <v>117.72684838647</v>
      </c>
      <c r="D450" s="116">
        <v>116.638045164399</v>
      </c>
      <c r="E450" s="116">
        <v>121.174725256363</v>
      </c>
      <c r="F450" s="116">
        <v>129.75</v>
      </c>
      <c r="G450">
        <v>53865</v>
      </c>
      <c r="H450" s="116"/>
      <c r="I450" s="116"/>
      <c r="L450" s="170">
        <v>42667</v>
      </c>
      <c r="M450" s="116">
        <v>121.0556125239267</v>
      </c>
      <c r="N450" s="116">
        <v>125.36064397046758</v>
      </c>
      <c r="O450" s="116">
        <v>119.83897320207821</v>
      </c>
      <c r="P450" s="116">
        <v>124.47156138911676</v>
      </c>
      <c r="Q450" s="116">
        <v>129.35</v>
      </c>
      <c r="R450">
        <v>462931</v>
      </c>
    </row>
    <row r="451" spans="1:18" x14ac:dyDescent="0.25">
      <c r="A451" s="170">
        <v>42668</v>
      </c>
      <c r="B451" s="116">
        <v>116.18437715520299</v>
      </c>
      <c r="C451" s="116">
        <v>114.00677071106</v>
      </c>
      <c r="D451" s="116">
        <v>112.781867086229</v>
      </c>
      <c r="E451" s="116">
        <v>116.139010354283</v>
      </c>
      <c r="F451" s="116">
        <v>125.65</v>
      </c>
      <c r="G451">
        <v>115490</v>
      </c>
      <c r="H451" s="116"/>
      <c r="I451" s="116"/>
      <c r="L451" s="170">
        <v>42668</v>
      </c>
      <c r="M451" s="116">
        <v>117.45248837845227</v>
      </c>
      <c r="N451" s="116">
        <v>119.60500410172271</v>
      </c>
      <c r="O451" s="116">
        <v>116.14226141646157</v>
      </c>
      <c r="P451" s="116">
        <v>119.27744736122504</v>
      </c>
      <c r="Q451" s="116">
        <v>125.5</v>
      </c>
      <c r="R451">
        <v>796264</v>
      </c>
    </row>
    <row r="452" spans="1:18" x14ac:dyDescent="0.25">
      <c r="A452" s="170">
        <v>42669</v>
      </c>
      <c r="B452" s="116">
        <v>114.505805521176</v>
      </c>
      <c r="C452" s="116">
        <v>110.15059263289</v>
      </c>
      <c r="D452" s="116">
        <v>105.25097813356901</v>
      </c>
      <c r="E452" s="116">
        <v>113.870670308301</v>
      </c>
      <c r="F452" s="116">
        <v>121.4</v>
      </c>
      <c r="G452">
        <v>98389</v>
      </c>
      <c r="H452" s="116"/>
      <c r="I452" s="116"/>
      <c r="L452" s="170">
        <v>42669</v>
      </c>
      <c r="M452" s="116">
        <v>111.97761143013399</v>
      </c>
      <c r="N452" s="116">
        <v>118.10760185944763</v>
      </c>
      <c r="O452" s="116">
        <v>108.37448728465955</v>
      </c>
      <c r="P452" s="116">
        <v>117.45248837845227</v>
      </c>
      <c r="Q452" s="116">
        <v>119.65</v>
      </c>
      <c r="R452">
        <v>880224</v>
      </c>
    </row>
    <row r="453" spans="1:18" x14ac:dyDescent="0.25">
      <c r="A453" s="170">
        <v>42670</v>
      </c>
      <c r="B453" s="116">
        <v>105.25097813356901</v>
      </c>
      <c r="C453" s="116">
        <v>104.343642115176</v>
      </c>
      <c r="D453" s="116">
        <v>96.177617949640506</v>
      </c>
      <c r="E453" s="116">
        <v>102.98263808758701</v>
      </c>
      <c r="F453" s="116">
        <v>115</v>
      </c>
      <c r="G453">
        <v>698996</v>
      </c>
      <c r="H453" s="116"/>
      <c r="I453" s="116"/>
      <c r="L453" s="170">
        <v>42670</v>
      </c>
      <c r="M453" s="116">
        <v>107.57899234345091</v>
      </c>
      <c r="N453" s="116">
        <v>108.56166256494393</v>
      </c>
      <c r="O453" s="116">
        <v>99.202898550724626</v>
      </c>
      <c r="P453" s="116">
        <v>107.62578616352201</v>
      </c>
      <c r="Q453" s="116">
        <v>114.95</v>
      </c>
      <c r="R453">
        <v>6841521</v>
      </c>
    </row>
    <row r="454" spans="1:18" x14ac:dyDescent="0.25">
      <c r="A454" s="170">
        <v>42671</v>
      </c>
      <c r="B454" s="116">
        <v>106.294414554721</v>
      </c>
      <c r="C454" s="116">
        <v>104.706576522533</v>
      </c>
      <c r="D454" s="116">
        <v>102.52897007839</v>
      </c>
      <c r="E454" s="116">
        <v>104.11680811057801</v>
      </c>
      <c r="F454" s="116">
        <v>115.4</v>
      </c>
      <c r="G454">
        <v>108883</v>
      </c>
      <c r="H454" s="116"/>
      <c r="I454" s="116"/>
      <c r="L454" s="170">
        <v>42671</v>
      </c>
      <c r="M454" s="116">
        <v>108.04693054416187</v>
      </c>
      <c r="N454" s="116">
        <v>109.63792042657916</v>
      </c>
      <c r="O454" s="116">
        <v>105.75403336067814</v>
      </c>
      <c r="P454" s="116">
        <v>108.56166256494393</v>
      </c>
      <c r="Q454" s="116">
        <v>115.45</v>
      </c>
      <c r="R454">
        <v>2903403</v>
      </c>
    </row>
    <row r="455" spans="1:18" x14ac:dyDescent="0.25">
      <c r="A455" s="170">
        <v>42673</v>
      </c>
      <c r="B455" s="116">
        <v>107.791518985069</v>
      </c>
      <c r="C455" s="116">
        <v>107.201750573113</v>
      </c>
      <c r="D455" s="116">
        <v>105.704646142765</v>
      </c>
      <c r="E455" s="116">
        <v>106.158314151962</v>
      </c>
      <c r="F455" s="116">
        <v>118.15</v>
      </c>
      <c r="G455">
        <v>80251</v>
      </c>
      <c r="H455" s="116"/>
      <c r="I455" s="116"/>
      <c r="L455" s="170">
        <v>42673</v>
      </c>
      <c r="M455" s="116">
        <v>110.24624008750341</v>
      </c>
      <c r="N455" s="116">
        <v>110.85455974842766</v>
      </c>
      <c r="O455" s="116">
        <v>108.56166256494393</v>
      </c>
      <c r="P455" s="116">
        <v>109.49753896636587</v>
      </c>
      <c r="Q455" s="116">
        <v>117.8</v>
      </c>
      <c r="R455">
        <v>114466</v>
      </c>
    </row>
    <row r="456" spans="1:18" x14ac:dyDescent="0.25">
      <c r="A456" s="170">
        <v>42675</v>
      </c>
      <c r="B456" s="116">
        <v>113.417002299104</v>
      </c>
      <c r="C456" s="116">
        <v>107.428584577712</v>
      </c>
      <c r="D456" s="116">
        <v>103.254838893105</v>
      </c>
      <c r="E456" s="116">
        <v>106.929549767596</v>
      </c>
      <c r="F456" s="116">
        <v>118.4</v>
      </c>
      <c r="G456">
        <v>104514</v>
      </c>
      <c r="H456" s="116"/>
      <c r="I456" s="116"/>
      <c r="L456" s="170">
        <v>42675</v>
      </c>
      <c r="M456" s="116">
        <v>109.54433278643695</v>
      </c>
      <c r="N456" s="116">
        <v>110.66738446814328</v>
      </c>
      <c r="O456" s="116">
        <v>107.62578616352201</v>
      </c>
      <c r="P456" s="116">
        <v>110.43341536778779</v>
      </c>
      <c r="Q456" s="116">
        <v>117.05</v>
      </c>
      <c r="R456">
        <v>1164579</v>
      </c>
    </row>
    <row r="457" spans="1:18" x14ac:dyDescent="0.25">
      <c r="A457" s="170">
        <v>42676</v>
      </c>
      <c r="B457" s="116">
        <v>105.341711735408</v>
      </c>
      <c r="C457" s="116">
        <v>103.708506902301</v>
      </c>
      <c r="D457" s="116">
        <v>103.436306096783</v>
      </c>
      <c r="E457" s="116">
        <v>105.25097813356901</v>
      </c>
      <c r="F457" s="116">
        <v>114.3</v>
      </c>
      <c r="G457">
        <v>61891</v>
      </c>
      <c r="H457" s="116"/>
      <c r="I457" s="116"/>
      <c r="L457" s="170">
        <v>42676</v>
      </c>
      <c r="M457" s="116">
        <v>107.29822942302434</v>
      </c>
      <c r="N457" s="116">
        <v>108.04693054416187</v>
      </c>
      <c r="O457" s="116">
        <v>106.68990976210007</v>
      </c>
      <c r="P457" s="116">
        <v>107.15784796281103</v>
      </c>
      <c r="Q457" s="116">
        <v>114.65</v>
      </c>
      <c r="R457">
        <v>472702</v>
      </c>
    </row>
    <row r="458" spans="1:18" x14ac:dyDescent="0.25">
      <c r="A458" s="170">
        <v>42677</v>
      </c>
      <c r="B458" s="116">
        <v>103.663140101381</v>
      </c>
      <c r="C458" s="116">
        <v>98.899626004818998</v>
      </c>
      <c r="D458" s="116">
        <v>98.309857592863693</v>
      </c>
      <c r="E458" s="116">
        <v>102.89190448574701</v>
      </c>
      <c r="F458" s="116">
        <v>109</v>
      </c>
      <c r="G458">
        <v>82086</v>
      </c>
      <c r="H458" s="116"/>
      <c r="I458" s="116"/>
      <c r="L458" s="170">
        <v>42677</v>
      </c>
      <c r="M458" s="116">
        <v>102.05732157506151</v>
      </c>
      <c r="N458" s="116">
        <v>106.97067268252665</v>
      </c>
      <c r="O458" s="116">
        <v>101.16823899371067</v>
      </c>
      <c r="P458" s="116">
        <v>106.68990976210007</v>
      </c>
      <c r="Q458" s="116">
        <v>109.05</v>
      </c>
      <c r="R458">
        <v>636854</v>
      </c>
    </row>
    <row r="459" spans="1:18" x14ac:dyDescent="0.25">
      <c r="A459" s="170">
        <v>42678</v>
      </c>
      <c r="B459" s="116">
        <v>105.704646142765</v>
      </c>
      <c r="C459" s="116">
        <v>102.029935268274</v>
      </c>
      <c r="D459" s="116">
        <v>96.812753162515506</v>
      </c>
      <c r="E459" s="116">
        <v>98.944992805738707</v>
      </c>
      <c r="F459" s="116">
        <v>112.45</v>
      </c>
      <c r="G459">
        <v>154281</v>
      </c>
      <c r="H459" s="116"/>
      <c r="I459" s="116"/>
      <c r="L459" s="170">
        <v>42678</v>
      </c>
      <c r="M459" s="116">
        <v>105.61365190046484</v>
      </c>
      <c r="N459" s="116">
        <v>108.93601312551272</v>
      </c>
      <c r="O459" s="116">
        <v>101.54258955427946</v>
      </c>
      <c r="P459" s="116">
        <v>102.52525977577248</v>
      </c>
      <c r="Q459" s="116">
        <v>112.85</v>
      </c>
      <c r="R459">
        <v>1409379</v>
      </c>
    </row>
    <row r="460" spans="1:18" x14ac:dyDescent="0.25">
      <c r="A460" s="170">
        <v>42681</v>
      </c>
      <c r="B460" s="116">
        <v>104.071441309658</v>
      </c>
      <c r="C460" s="116">
        <v>102.801170883908</v>
      </c>
      <c r="D460" s="116">
        <v>100.71429804160501</v>
      </c>
      <c r="E460" s="116">
        <v>103.436306096783</v>
      </c>
      <c r="F460" s="116">
        <v>113.3</v>
      </c>
      <c r="G460">
        <v>136132</v>
      </c>
      <c r="H460" s="116"/>
      <c r="I460" s="116"/>
      <c r="L460" s="170">
        <v>42681</v>
      </c>
      <c r="M460" s="116">
        <v>106.50273448181568</v>
      </c>
      <c r="N460" s="116">
        <v>107.62578616352201</v>
      </c>
      <c r="O460" s="116">
        <v>104.06945583811867</v>
      </c>
      <c r="P460" s="116">
        <v>106.68990976210007</v>
      </c>
      <c r="Q460" s="116">
        <v>113.8</v>
      </c>
      <c r="R460">
        <v>885440</v>
      </c>
    </row>
    <row r="461" spans="1:18" x14ac:dyDescent="0.25">
      <c r="A461" s="170">
        <v>42682</v>
      </c>
      <c r="B461" s="116">
        <v>104.434375717015</v>
      </c>
      <c r="C461" s="116">
        <v>103.61777330046201</v>
      </c>
      <c r="D461" s="116">
        <v>102.120668870114</v>
      </c>
      <c r="E461" s="116">
        <v>103.436306096783</v>
      </c>
      <c r="F461" s="116">
        <v>114.2</v>
      </c>
      <c r="G461">
        <v>21735</v>
      </c>
      <c r="H461" s="116"/>
      <c r="I461" s="116"/>
      <c r="L461" s="170">
        <v>42682</v>
      </c>
      <c r="M461" s="116">
        <v>107.11105414273995</v>
      </c>
      <c r="N461" s="116">
        <v>108.00013672409078</v>
      </c>
      <c r="O461" s="116">
        <v>105.52006426032266</v>
      </c>
      <c r="P461" s="116">
        <v>106.73670358217116</v>
      </c>
      <c r="Q461" s="116">
        <v>114.45</v>
      </c>
      <c r="R461">
        <v>237520</v>
      </c>
    </row>
    <row r="462" spans="1:18" x14ac:dyDescent="0.25">
      <c r="A462" s="170">
        <v>42683</v>
      </c>
      <c r="B462" s="116">
        <v>99.988429226890403</v>
      </c>
      <c r="C462" s="116">
        <v>99.353294014015404</v>
      </c>
      <c r="D462" s="116">
        <v>82.930512081105107</v>
      </c>
      <c r="E462" s="116">
        <v>97.992289986426201</v>
      </c>
      <c r="F462" s="116">
        <v>109.5</v>
      </c>
      <c r="G462">
        <v>217764</v>
      </c>
      <c r="H462" s="116"/>
      <c r="I462" s="116"/>
      <c r="L462" s="170">
        <v>42683</v>
      </c>
      <c r="M462" s="116">
        <v>102.01052775499042</v>
      </c>
      <c r="N462" s="116">
        <v>103.6483114574788</v>
      </c>
      <c r="O462" s="116">
        <v>93.213289581624267</v>
      </c>
      <c r="P462" s="116">
        <v>103.6483114574788</v>
      </c>
      <c r="Q462" s="116">
        <v>109</v>
      </c>
      <c r="R462">
        <v>3746198</v>
      </c>
    </row>
    <row r="463" spans="1:18" x14ac:dyDescent="0.25">
      <c r="A463" s="170">
        <v>42684</v>
      </c>
      <c r="B463" s="116">
        <v>100.805031643444</v>
      </c>
      <c r="C463" s="116">
        <v>95.224915130328</v>
      </c>
      <c r="D463" s="116">
        <v>94.589779917453001</v>
      </c>
      <c r="E463" s="116">
        <v>100.44209723608699</v>
      </c>
      <c r="F463" s="116">
        <v>104.95</v>
      </c>
      <c r="G463">
        <v>94593</v>
      </c>
      <c r="H463" s="116"/>
      <c r="I463" s="116"/>
      <c r="L463" s="170">
        <v>42684</v>
      </c>
      <c r="M463" s="116">
        <v>98.173434509160515</v>
      </c>
      <c r="N463" s="116">
        <v>103.97586819797647</v>
      </c>
      <c r="O463" s="116">
        <v>97.331145747880768</v>
      </c>
      <c r="P463" s="116">
        <v>103.22716707683892</v>
      </c>
      <c r="Q463" s="116">
        <v>104.9</v>
      </c>
      <c r="R463">
        <v>591131</v>
      </c>
    </row>
    <row r="464" spans="1:18" x14ac:dyDescent="0.25">
      <c r="A464" s="170">
        <v>42685</v>
      </c>
      <c r="B464" s="116">
        <v>98.083023588265505</v>
      </c>
      <c r="C464" s="116">
        <v>89.372597811694206</v>
      </c>
      <c r="D464" s="116">
        <v>88.9189298024978</v>
      </c>
      <c r="E464" s="116">
        <v>95.270281931247695</v>
      </c>
      <c r="F464" s="116">
        <v>98.5</v>
      </c>
      <c r="G464">
        <v>272275</v>
      </c>
      <c r="H464" s="116"/>
      <c r="I464" s="116"/>
      <c r="L464" s="170">
        <v>42685</v>
      </c>
      <c r="M464" s="116">
        <v>92.183825540060155</v>
      </c>
      <c r="N464" s="116">
        <v>100.13877495214656</v>
      </c>
      <c r="O464" s="116">
        <v>91.71588733934918</v>
      </c>
      <c r="P464" s="116">
        <v>98.267022149302704</v>
      </c>
      <c r="Q464" s="116">
        <v>98.5</v>
      </c>
      <c r="R464">
        <v>2565413</v>
      </c>
    </row>
    <row r="465" spans="1:18" x14ac:dyDescent="0.25">
      <c r="A465" s="170">
        <v>42689</v>
      </c>
      <c r="B465" s="116">
        <v>90.733601839283494</v>
      </c>
      <c r="C465" s="116">
        <v>84.019315303176498</v>
      </c>
      <c r="D465" s="116">
        <v>82.204643266390804</v>
      </c>
      <c r="E465" s="116">
        <v>90.733601839283494</v>
      </c>
      <c r="F465" s="116">
        <v>92.6</v>
      </c>
      <c r="G465">
        <v>210239</v>
      </c>
      <c r="H465" s="116"/>
      <c r="I465" s="116"/>
      <c r="L465" s="170">
        <v>42689</v>
      </c>
      <c r="M465" s="116">
        <v>86.84933005195515</v>
      </c>
      <c r="N465" s="116">
        <v>92.979320481268786</v>
      </c>
      <c r="O465" s="116">
        <v>84.977577249111278</v>
      </c>
      <c r="P465" s="116">
        <v>92.651763740771116</v>
      </c>
      <c r="Q465" s="116">
        <v>92.8</v>
      </c>
      <c r="R465">
        <v>1487937</v>
      </c>
    </row>
    <row r="466" spans="1:18" x14ac:dyDescent="0.25">
      <c r="A466" s="170">
        <v>42690</v>
      </c>
      <c r="B466" s="116">
        <v>89.191130608015698</v>
      </c>
      <c r="C466" s="116">
        <v>86.0154545436408</v>
      </c>
      <c r="D466" s="116">
        <v>85.017384923408599</v>
      </c>
      <c r="E466" s="116">
        <v>85.198852127087207</v>
      </c>
      <c r="F466" s="116">
        <v>94.8</v>
      </c>
      <c r="G466">
        <v>51111</v>
      </c>
      <c r="H466" s="116"/>
      <c r="I466" s="116"/>
      <c r="L466" s="170">
        <v>42690</v>
      </c>
      <c r="M466" s="116">
        <v>88.580701394585716</v>
      </c>
      <c r="N466" s="116">
        <v>92.511382280557825</v>
      </c>
      <c r="O466" s="116">
        <v>87.504443532950503</v>
      </c>
      <c r="P466" s="116">
        <v>87.504443532950503</v>
      </c>
      <c r="Q466" s="116">
        <v>94.65</v>
      </c>
      <c r="R466">
        <v>2109198</v>
      </c>
    </row>
    <row r="467" spans="1:18" x14ac:dyDescent="0.25">
      <c r="A467" s="170">
        <v>42691</v>
      </c>
      <c r="B467" s="116">
        <v>86.196921747319294</v>
      </c>
      <c r="C467" s="116">
        <v>82.522210872828396</v>
      </c>
      <c r="D467" s="116">
        <v>81.660241655355193</v>
      </c>
      <c r="E467" s="116">
        <v>86.196921747319294</v>
      </c>
      <c r="F467" s="116">
        <v>90.95</v>
      </c>
      <c r="G467">
        <v>75073</v>
      </c>
      <c r="H467" s="116"/>
      <c r="I467" s="116"/>
      <c r="L467" s="170">
        <v>42691</v>
      </c>
      <c r="M467" s="116">
        <v>84.790401968826899</v>
      </c>
      <c r="N467" s="116">
        <v>88.9082581350834</v>
      </c>
      <c r="O467" s="116">
        <v>84.088494667760443</v>
      </c>
      <c r="P467" s="116">
        <v>88.9082581350834</v>
      </c>
      <c r="Q467" s="116">
        <v>90.6</v>
      </c>
      <c r="R467">
        <v>1497405</v>
      </c>
    </row>
    <row r="468" spans="1:18" x14ac:dyDescent="0.25">
      <c r="A468" s="170">
        <v>42692</v>
      </c>
      <c r="B468" s="116">
        <v>83.429546891221193</v>
      </c>
      <c r="C468" s="116">
        <v>82.6129444746676</v>
      </c>
      <c r="D468" s="116">
        <v>81.388040849837296</v>
      </c>
      <c r="E468" s="116">
        <v>82.567577673748005</v>
      </c>
      <c r="F468" s="116">
        <v>91.05</v>
      </c>
      <c r="G468">
        <v>260591</v>
      </c>
      <c r="H468" s="116"/>
      <c r="I468" s="116"/>
      <c r="L468" s="170">
        <v>42692</v>
      </c>
      <c r="M468" s="116">
        <v>85.305133989608962</v>
      </c>
      <c r="N468" s="116">
        <v>86.100628930817606</v>
      </c>
      <c r="O468" s="116">
        <v>83.667350287120584</v>
      </c>
      <c r="P468" s="116">
        <v>86.100628930817606</v>
      </c>
      <c r="Q468" s="116">
        <v>91.15</v>
      </c>
      <c r="R468">
        <v>2095278</v>
      </c>
    </row>
    <row r="469" spans="1:18" x14ac:dyDescent="0.25">
      <c r="A469" s="170">
        <v>42695</v>
      </c>
      <c r="B469" s="116">
        <v>83.248079687542599</v>
      </c>
      <c r="C469" s="116">
        <v>82.522210872828396</v>
      </c>
      <c r="D469" s="116">
        <v>80.571438433283703</v>
      </c>
      <c r="E469" s="116">
        <v>82.749044877426599</v>
      </c>
      <c r="F469" s="116">
        <v>90.95</v>
      </c>
      <c r="G469">
        <v>87709</v>
      </c>
      <c r="H469" s="116"/>
      <c r="I469" s="116"/>
      <c r="L469" s="170">
        <v>42695</v>
      </c>
      <c r="M469" s="116">
        <v>84.883989608969088</v>
      </c>
      <c r="N469" s="116">
        <v>86.007041290675417</v>
      </c>
      <c r="O469" s="116">
        <v>83.01223680612523</v>
      </c>
      <c r="P469" s="116">
        <v>85.305133989608962</v>
      </c>
      <c r="Q469" s="116">
        <v>90.7</v>
      </c>
      <c r="R469">
        <v>3425239</v>
      </c>
    </row>
    <row r="470" spans="1:18" x14ac:dyDescent="0.25">
      <c r="A470" s="170">
        <v>42696</v>
      </c>
      <c r="B470" s="116">
        <v>88.782829399738901</v>
      </c>
      <c r="C470" s="116">
        <v>86.514489353756801</v>
      </c>
      <c r="D470" s="116">
        <v>81.025106442480194</v>
      </c>
      <c r="E470" s="116">
        <v>83.474913692140802</v>
      </c>
      <c r="F470" s="116">
        <v>95.35</v>
      </c>
      <c r="G470">
        <v>61482</v>
      </c>
      <c r="H470" s="116"/>
      <c r="I470" s="116"/>
      <c r="L470" s="170">
        <v>42696</v>
      </c>
      <c r="M470" s="116">
        <v>88.674289034727906</v>
      </c>
      <c r="N470" s="116">
        <v>91.247949138638219</v>
      </c>
      <c r="O470" s="116">
        <v>83.292999726551813</v>
      </c>
      <c r="P470" s="116">
        <v>84.228876127973734</v>
      </c>
      <c r="Q470" s="116">
        <v>94.75</v>
      </c>
      <c r="R470">
        <v>949441</v>
      </c>
    </row>
    <row r="471" spans="1:18" x14ac:dyDescent="0.25">
      <c r="A471" s="170">
        <v>42697</v>
      </c>
      <c r="B471" s="116">
        <v>88.193060987783596</v>
      </c>
      <c r="C471" s="116">
        <v>87.104257765712205</v>
      </c>
      <c r="D471" s="116">
        <v>85.244218928006802</v>
      </c>
      <c r="E471" s="116">
        <v>86.6505897565157</v>
      </c>
      <c r="F471" s="116">
        <v>96</v>
      </c>
      <c r="G471">
        <v>49704</v>
      </c>
      <c r="H471" s="116"/>
      <c r="I471" s="116"/>
      <c r="L471" s="170">
        <v>42697</v>
      </c>
      <c r="M471" s="116">
        <v>89.984515996718613</v>
      </c>
      <c r="N471" s="116">
        <v>91.71588733934918</v>
      </c>
      <c r="O471" s="116">
        <v>87.785206453377072</v>
      </c>
      <c r="P471" s="116">
        <v>89.844134536505322</v>
      </c>
      <c r="Q471" s="116">
        <v>96.15</v>
      </c>
      <c r="R471">
        <v>300393</v>
      </c>
    </row>
    <row r="472" spans="1:18" x14ac:dyDescent="0.25">
      <c r="A472" s="170">
        <v>42698</v>
      </c>
      <c r="B472" s="116">
        <v>87.920860182265699</v>
      </c>
      <c r="C472" s="116">
        <v>86.196921747319294</v>
      </c>
      <c r="D472" s="116">
        <v>85.879354140881802</v>
      </c>
      <c r="E472" s="116">
        <v>87.285724969390699</v>
      </c>
      <c r="F472" s="116">
        <v>95</v>
      </c>
      <c r="G472">
        <v>14727</v>
      </c>
      <c r="H472" s="116"/>
      <c r="I472" s="116"/>
      <c r="L472" s="170">
        <v>42698</v>
      </c>
      <c r="M472" s="116">
        <v>88.955051955154488</v>
      </c>
      <c r="N472" s="116">
        <v>90.780010937927258</v>
      </c>
      <c r="O472" s="116">
        <v>88.9082581350834</v>
      </c>
      <c r="P472" s="116">
        <v>90.780010937927258</v>
      </c>
      <c r="Q472" s="116">
        <v>95.05</v>
      </c>
      <c r="R472">
        <v>130729</v>
      </c>
    </row>
    <row r="473" spans="1:18" x14ac:dyDescent="0.25">
      <c r="A473" s="170">
        <v>42699</v>
      </c>
      <c r="B473" s="116">
        <v>88.782829399738901</v>
      </c>
      <c r="C473" s="116">
        <v>87.920860182265699</v>
      </c>
      <c r="D473" s="116">
        <v>86.287655349158598</v>
      </c>
      <c r="E473" s="116">
        <v>86.423755751917497</v>
      </c>
      <c r="F473" s="116">
        <v>96.9</v>
      </c>
      <c r="G473">
        <v>44206</v>
      </c>
      <c r="H473" s="116"/>
      <c r="I473" s="116"/>
      <c r="L473" s="170">
        <v>42699</v>
      </c>
      <c r="M473" s="116">
        <v>90.967186218211637</v>
      </c>
      <c r="N473" s="116">
        <v>91.71588733934918</v>
      </c>
      <c r="O473" s="116">
        <v>88.9082581350834</v>
      </c>
      <c r="P473" s="116">
        <v>89.844134536505322</v>
      </c>
      <c r="Q473" s="116">
        <v>97.2</v>
      </c>
      <c r="R473">
        <v>291092</v>
      </c>
    </row>
    <row r="474" spans="1:18" x14ac:dyDescent="0.25">
      <c r="A474" s="170">
        <v>42702</v>
      </c>
      <c r="B474" s="116">
        <v>92.457540274229899</v>
      </c>
      <c r="C474" s="116">
        <v>91.867771862274495</v>
      </c>
      <c r="D474" s="116">
        <v>87.648659376747901</v>
      </c>
      <c r="E474" s="116">
        <v>88.011593784105003</v>
      </c>
      <c r="F474" s="116">
        <v>101.25</v>
      </c>
      <c r="G474">
        <v>73242</v>
      </c>
      <c r="H474" s="116"/>
      <c r="I474" s="116"/>
      <c r="L474" s="170">
        <v>42702</v>
      </c>
      <c r="M474" s="116">
        <v>94.757485643970455</v>
      </c>
      <c r="N474" s="116">
        <v>95.272217664752517</v>
      </c>
      <c r="O474" s="116">
        <v>89.937722176647512</v>
      </c>
      <c r="P474" s="116">
        <v>90.218485097074108</v>
      </c>
      <c r="Q474" s="116">
        <v>101.25</v>
      </c>
      <c r="R474">
        <v>449629</v>
      </c>
    </row>
    <row r="475" spans="1:18" x14ac:dyDescent="0.25">
      <c r="A475" s="170">
        <v>42703</v>
      </c>
      <c r="B475" s="116">
        <v>95.723949940444101</v>
      </c>
      <c r="C475" s="116">
        <v>94.952714324810202</v>
      </c>
      <c r="D475" s="116">
        <v>91.777038260435305</v>
      </c>
      <c r="E475" s="116">
        <v>92.548273876069203</v>
      </c>
      <c r="F475" s="116">
        <v>104.65</v>
      </c>
      <c r="G475">
        <v>48038</v>
      </c>
      <c r="H475" s="116"/>
      <c r="I475" s="116"/>
      <c r="L475" s="170">
        <v>42703</v>
      </c>
      <c r="M475" s="116">
        <v>98.03305304894721</v>
      </c>
      <c r="N475" s="116">
        <v>98.641372709871476</v>
      </c>
      <c r="O475" s="116">
        <v>94.991454744325935</v>
      </c>
      <c r="P475" s="116">
        <v>95.45939294503691</v>
      </c>
      <c r="Q475" s="116">
        <v>104.75</v>
      </c>
      <c r="R475">
        <v>484409</v>
      </c>
    </row>
    <row r="476" spans="1:18" x14ac:dyDescent="0.25">
      <c r="A476" s="170">
        <v>42704</v>
      </c>
      <c r="B476" s="116">
        <v>96.994220366194099</v>
      </c>
      <c r="C476" s="116">
        <v>92.366806672390595</v>
      </c>
      <c r="D476" s="116">
        <v>89.962366223649596</v>
      </c>
      <c r="E476" s="116">
        <v>96.994220366194099</v>
      </c>
      <c r="F476" s="116">
        <v>101.8</v>
      </c>
      <c r="G476">
        <v>110490</v>
      </c>
      <c r="H476" s="116"/>
      <c r="I476" s="116"/>
      <c r="L476" s="170">
        <v>42704</v>
      </c>
      <c r="M476" s="116">
        <v>95.412599124965809</v>
      </c>
      <c r="N476" s="116">
        <v>100.04518731200437</v>
      </c>
      <c r="O476" s="116">
        <v>92.932526661197699</v>
      </c>
      <c r="P476" s="116">
        <v>98.641372709871476</v>
      </c>
      <c r="Q476" s="116">
        <v>101.95</v>
      </c>
      <c r="R476">
        <v>1219892</v>
      </c>
    </row>
    <row r="477" spans="1:18" x14ac:dyDescent="0.25">
      <c r="A477" s="170">
        <v>42705</v>
      </c>
      <c r="B477" s="116">
        <v>93.818544301819102</v>
      </c>
      <c r="C477" s="116">
        <v>91.005802644801307</v>
      </c>
      <c r="D477" s="116">
        <v>90.733601839283494</v>
      </c>
      <c r="E477" s="116">
        <v>93.319509491703101</v>
      </c>
      <c r="F477" s="116">
        <v>100.3</v>
      </c>
      <c r="G477">
        <v>19140</v>
      </c>
      <c r="H477" s="116"/>
      <c r="I477" s="116"/>
      <c r="L477" s="170">
        <v>42705</v>
      </c>
      <c r="M477" s="116">
        <v>93.681227782335228</v>
      </c>
      <c r="N477" s="116">
        <v>97.190764287667477</v>
      </c>
      <c r="O477" s="116">
        <v>93.166495761553179</v>
      </c>
      <c r="P477" s="116">
        <v>95.927331145747871</v>
      </c>
      <c r="Q477" s="116">
        <v>100.1</v>
      </c>
      <c r="R477">
        <v>156110</v>
      </c>
    </row>
    <row r="478" spans="1:18" x14ac:dyDescent="0.25">
      <c r="A478" s="170">
        <v>42706</v>
      </c>
      <c r="B478" s="116">
        <v>94.725880320211999</v>
      </c>
      <c r="C478" s="116">
        <v>90.189200228247799</v>
      </c>
      <c r="D478" s="116">
        <v>89.826265820890697</v>
      </c>
      <c r="E478" s="116">
        <v>90.234567029167494</v>
      </c>
      <c r="F478" s="116">
        <v>99.4</v>
      </c>
      <c r="G478">
        <v>45790</v>
      </c>
      <c r="H478" s="116"/>
      <c r="I478" s="116"/>
      <c r="L478" s="170">
        <v>42706</v>
      </c>
      <c r="M478" s="116">
        <v>92.932526661197699</v>
      </c>
      <c r="N478" s="116">
        <v>95.178630024610328</v>
      </c>
      <c r="O478" s="116">
        <v>92.230619360131243</v>
      </c>
      <c r="P478" s="116">
        <v>93.07290812141099</v>
      </c>
      <c r="Q478" s="116">
        <v>99.3</v>
      </c>
      <c r="R478">
        <v>238346</v>
      </c>
    </row>
    <row r="479" spans="1:18" x14ac:dyDescent="0.25">
      <c r="A479" s="170">
        <v>42709</v>
      </c>
      <c r="B479" s="116">
        <v>90.143833427328104</v>
      </c>
      <c r="C479" s="116">
        <v>89.372597811694206</v>
      </c>
      <c r="D479" s="116">
        <v>89.145763807096003</v>
      </c>
      <c r="E479" s="116">
        <v>90.143833427328104</v>
      </c>
      <c r="F479" s="116">
        <v>98.5</v>
      </c>
      <c r="G479">
        <v>12875</v>
      </c>
      <c r="H479" s="116"/>
      <c r="I479" s="116"/>
      <c r="L479" s="170">
        <v>42709</v>
      </c>
      <c r="M479" s="116">
        <v>91.71588733934918</v>
      </c>
      <c r="N479" s="116">
        <v>93.026114301339888</v>
      </c>
      <c r="O479" s="116">
        <v>91.71588733934918</v>
      </c>
      <c r="P479" s="116">
        <v>92.651763740771116</v>
      </c>
      <c r="Q479" s="116">
        <v>98</v>
      </c>
      <c r="R479">
        <v>1114621</v>
      </c>
    </row>
    <row r="480" spans="1:18" x14ac:dyDescent="0.25">
      <c r="A480" s="170">
        <v>42710</v>
      </c>
      <c r="B480" s="116">
        <v>90.733601839283494</v>
      </c>
      <c r="C480" s="116">
        <v>89.4179646126139</v>
      </c>
      <c r="D480" s="116">
        <v>89.191130608015698</v>
      </c>
      <c r="E480" s="116">
        <v>90.733601839283494</v>
      </c>
      <c r="F480" s="116">
        <v>98.55</v>
      </c>
      <c r="G480">
        <v>19786</v>
      </c>
      <c r="H480" s="116"/>
      <c r="I480" s="116"/>
      <c r="L480" s="170">
        <v>42710</v>
      </c>
      <c r="M480" s="116">
        <v>91.903062619633573</v>
      </c>
      <c r="N480" s="116">
        <v>93.30687722176647</v>
      </c>
      <c r="O480" s="116">
        <v>91.71588733934918</v>
      </c>
      <c r="P480" s="116">
        <v>92.511382280557825</v>
      </c>
      <c r="Q480" s="116">
        <v>98.2</v>
      </c>
      <c r="R480">
        <v>154355</v>
      </c>
    </row>
    <row r="481" spans="1:18" x14ac:dyDescent="0.25">
      <c r="A481" s="170">
        <v>42711</v>
      </c>
      <c r="B481" s="116">
        <v>89.916999422729901</v>
      </c>
      <c r="C481" s="116">
        <v>88.9189298024978</v>
      </c>
      <c r="D481" s="116">
        <v>88.646728996980002</v>
      </c>
      <c r="E481" s="116">
        <v>89.372597811694206</v>
      </c>
      <c r="F481" s="116">
        <v>98</v>
      </c>
      <c r="G481">
        <v>20651</v>
      </c>
      <c r="H481" s="116"/>
      <c r="I481" s="116"/>
      <c r="L481" s="170">
        <v>42711</v>
      </c>
      <c r="M481" s="116">
        <v>92.04344407984685</v>
      </c>
      <c r="N481" s="116">
        <v>92.885732841126597</v>
      </c>
      <c r="O481" s="116">
        <v>91.435124418922612</v>
      </c>
      <c r="P481" s="116">
        <v>91.996650259775762</v>
      </c>
      <c r="Q481" s="116">
        <v>98.35</v>
      </c>
      <c r="R481">
        <v>1032090</v>
      </c>
    </row>
    <row r="482" spans="1:18" x14ac:dyDescent="0.25">
      <c r="A482" s="170">
        <v>42712</v>
      </c>
      <c r="B482" s="116">
        <v>91.368737052158494</v>
      </c>
      <c r="C482" s="116">
        <v>91.051169445721001</v>
      </c>
      <c r="D482" s="116">
        <v>89.145763807096003</v>
      </c>
      <c r="E482" s="116">
        <v>89.644798617212103</v>
      </c>
      <c r="F482" s="116">
        <v>100.35</v>
      </c>
      <c r="G482">
        <v>39849</v>
      </c>
      <c r="H482" s="116"/>
      <c r="I482" s="116"/>
      <c r="L482" s="170">
        <v>42712</v>
      </c>
      <c r="M482" s="116">
        <v>94.149165983046203</v>
      </c>
      <c r="N482" s="116">
        <v>94.523516543614974</v>
      </c>
      <c r="O482" s="116">
        <v>90.546041837571778</v>
      </c>
      <c r="P482" s="116">
        <v>91.949856439704661</v>
      </c>
      <c r="Q482" s="116">
        <v>100.6</v>
      </c>
      <c r="R482">
        <v>329957</v>
      </c>
    </row>
    <row r="483" spans="1:18" x14ac:dyDescent="0.25">
      <c r="A483" s="170">
        <v>42713</v>
      </c>
      <c r="B483" s="116">
        <v>94.635146718372695</v>
      </c>
      <c r="C483" s="116">
        <v>93.773177500899493</v>
      </c>
      <c r="D483" s="116">
        <v>91.1872698484799</v>
      </c>
      <c r="E483" s="116">
        <v>91.640937857676306</v>
      </c>
      <c r="F483" s="116">
        <v>103.35</v>
      </c>
      <c r="G483">
        <v>61698</v>
      </c>
      <c r="H483" s="116"/>
      <c r="I483" s="116"/>
      <c r="L483" s="170">
        <v>42713</v>
      </c>
      <c r="M483" s="116">
        <v>97.050382827454186</v>
      </c>
      <c r="N483" s="116">
        <v>97.799083948591729</v>
      </c>
      <c r="O483" s="116">
        <v>93.86840306261962</v>
      </c>
      <c r="P483" s="116">
        <v>94.523516543614974</v>
      </c>
      <c r="Q483" s="116">
        <v>103.7</v>
      </c>
      <c r="R483">
        <v>283951</v>
      </c>
    </row>
    <row r="484" spans="1:18" x14ac:dyDescent="0.25">
      <c r="A484" s="170">
        <v>42716</v>
      </c>
      <c r="B484" s="116">
        <v>94.000011505497696</v>
      </c>
      <c r="C484" s="116">
        <v>92.593640676988798</v>
      </c>
      <c r="D484" s="116">
        <v>92.003872265033493</v>
      </c>
      <c r="E484" s="116">
        <v>93.138042288024494</v>
      </c>
      <c r="F484" s="116">
        <v>102.05</v>
      </c>
      <c r="G484">
        <v>12040</v>
      </c>
      <c r="H484" s="116"/>
      <c r="I484" s="116"/>
      <c r="L484" s="170">
        <v>42716</v>
      </c>
      <c r="M484" s="116">
        <v>95.319011484823605</v>
      </c>
      <c r="N484" s="116">
        <v>97.237558107738579</v>
      </c>
      <c r="O484" s="116">
        <v>94.710691823899367</v>
      </c>
      <c r="P484" s="116">
        <v>96.863207547169807</v>
      </c>
      <c r="Q484" s="116">
        <v>101.85</v>
      </c>
      <c r="R484">
        <v>162178</v>
      </c>
    </row>
    <row r="485" spans="1:18" x14ac:dyDescent="0.25">
      <c r="A485" s="170">
        <v>42717</v>
      </c>
      <c r="B485" s="116">
        <v>96.631285958836898</v>
      </c>
      <c r="C485" s="116">
        <v>92.230706269631696</v>
      </c>
      <c r="D485" s="116">
        <v>91.731671459515596</v>
      </c>
      <c r="E485" s="116">
        <v>95.270281931247695</v>
      </c>
      <c r="F485" s="116">
        <v>101.65</v>
      </c>
      <c r="G485">
        <v>71263</v>
      </c>
      <c r="H485" s="116"/>
      <c r="I485" s="116"/>
      <c r="L485" s="170">
        <v>42717</v>
      </c>
      <c r="M485" s="116">
        <v>95.319011484823605</v>
      </c>
      <c r="N485" s="116">
        <v>99.904805851791082</v>
      </c>
      <c r="O485" s="116">
        <v>94.710691823899367</v>
      </c>
      <c r="P485" s="116">
        <v>97.331145747880768</v>
      </c>
      <c r="Q485" s="116">
        <v>101.85</v>
      </c>
      <c r="R485">
        <v>357894</v>
      </c>
    </row>
    <row r="486" spans="1:18" x14ac:dyDescent="0.25">
      <c r="A486" s="170">
        <v>42718</v>
      </c>
      <c r="B486" s="116">
        <v>95.270281931247695</v>
      </c>
      <c r="C486" s="116">
        <v>90.098466626408495</v>
      </c>
      <c r="D486" s="116">
        <v>89.916999422729901</v>
      </c>
      <c r="E486" s="116">
        <v>92.911208283426305</v>
      </c>
      <c r="F486" s="116">
        <v>99.3</v>
      </c>
      <c r="G486">
        <v>60363</v>
      </c>
      <c r="H486" s="116"/>
      <c r="I486" s="116"/>
      <c r="L486" s="170">
        <v>42718</v>
      </c>
      <c r="M486" s="116">
        <v>92.792145200984407</v>
      </c>
      <c r="N486" s="116">
        <v>98.734960350013665</v>
      </c>
      <c r="O486" s="116">
        <v>92.417794640415636</v>
      </c>
      <c r="P486" s="116">
        <v>97.331145747880768</v>
      </c>
      <c r="Q486" s="116">
        <v>99.15</v>
      </c>
      <c r="R486">
        <v>599225</v>
      </c>
    </row>
    <row r="487" spans="1:18" x14ac:dyDescent="0.25">
      <c r="A487" s="170">
        <v>42719</v>
      </c>
      <c r="B487" s="116">
        <v>90.642868237444205</v>
      </c>
      <c r="C487" s="116">
        <v>89.826265820890697</v>
      </c>
      <c r="D487" s="116">
        <v>88.873563001578205</v>
      </c>
      <c r="E487" s="116">
        <v>90.461401033765696</v>
      </c>
      <c r="F487" s="116">
        <v>99</v>
      </c>
      <c r="G487">
        <v>58148</v>
      </c>
      <c r="H487" s="116"/>
      <c r="I487" s="116"/>
      <c r="L487" s="170">
        <v>42719</v>
      </c>
      <c r="M487" s="116">
        <v>92.371000820344534</v>
      </c>
      <c r="N487" s="116">
        <v>93.540846322121951</v>
      </c>
      <c r="O487" s="116">
        <v>91.71588733934918</v>
      </c>
      <c r="P487" s="116">
        <v>93.260083401695368</v>
      </c>
      <c r="Q487" s="116">
        <v>98.7</v>
      </c>
      <c r="R487">
        <v>192449</v>
      </c>
    </row>
    <row r="488" spans="1:18" x14ac:dyDescent="0.25">
      <c r="A488" s="170">
        <v>42720</v>
      </c>
      <c r="B488" s="116">
        <v>90.279933830087103</v>
      </c>
      <c r="C488" s="116">
        <v>90.0530998254889</v>
      </c>
      <c r="D488" s="116">
        <v>89.372597811694206</v>
      </c>
      <c r="E488" s="116">
        <v>89.871632621810306</v>
      </c>
      <c r="F488" s="116">
        <v>99.25</v>
      </c>
      <c r="G488">
        <v>24855</v>
      </c>
      <c r="H488" s="116"/>
      <c r="I488" s="116"/>
      <c r="L488" s="170">
        <v>42720</v>
      </c>
      <c r="M488" s="116">
        <v>92.932526661197699</v>
      </c>
      <c r="N488" s="116">
        <v>93.119701941482077</v>
      </c>
      <c r="O488" s="116">
        <v>91.903062619633573</v>
      </c>
      <c r="P488" s="116">
        <v>93.119701941482077</v>
      </c>
      <c r="Q488" s="116">
        <v>99.3</v>
      </c>
      <c r="R488">
        <v>314183</v>
      </c>
    </row>
    <row r="489" spans="1:18" x14ac:dyDescent="0.25">
      <c r="A489" s="170">
        <v>42723</v>
      </c>
      <c r="B489" s="116">
        <v>90.098466626408495</v>
      </c>
      <c r="C489" s="116">
        <v>89.4179646126139</v>
      </c>
      <c r="D489" s="116">
        <v>89.100397006176394</v>
      </c>
      <c r="E489" s="116">
        <v>90.0530998254889</v>
      </c>
      <c r="F489" s="116">
        <v>98.55</v>
      </c>
      <c r="G489">
        <v>41730</v>
      </c>
      <c r="H489" s="116"/>
      <c r="I489" s="116"/>
      <c r="L489" s="170">
        <v>42723</v>
      </c>
      <c r="M489" s="116">
        <v>92.137031719989054</v>
      </c>
      <c r="N489" s="116">
        <v>93.494052502050863</v>
      </c>
      <c r="O489" s="116">
        <v>91.71588733934918</v>
      </c>
      <c r="P489" s="116">
        <v>93.494052502050863</v>
      </c>
      <c r="Q489" s="116">
        <v>98.45</v>
      </c>
      <c r="R489">
        <v>259997</v>
      </c>
    </row>
    <row r="490" spans="1:18" x14ac:dyDescent="0.25">
      <c r="A490" s="170">
        <v>42724</v>
      </c>
      <c r="B490" s="116">
        <v>90.143833427328104</v>
      </c>
      <c r="C490" s="116">
        <v>87.376458571230003</v>
      </c>
      <c r="D490" s="116">
        <v>86.469122552837206</v>
      </c>
      <c r="E490" s="116">
        <v>89.5540650153728</v>
      </c>
      <c r="F490" s="116">
        <v>96.3</v>
      </c>
      <c r="G490">
        <v>71790</v>
      </c>
      <c r="H490" s="116"/>
      <c r="I490" s="116"/>
      <c r="L490" s="170">
        <v>42724</v>
      </c>
      <c r="M490" s="116">
        <v>89.937722176647512</v>
      </c>
      <c r="N490" s="116">
        <v>92.885732841126597</v>
      </c>
      <c r="O490" s="116">
        <v>89.095433415367779</v>
      </c>
      <c r="P490" s="116">
        <v>92.090237899917966</v>
      </c>
      <c r="Q490" s="116">
        <v>96.1</v>
      </c>
      <c r="R490">
        <v>570586</v>
      </c>
    </row>
    <row r="491" spans="1:18" x14ac:dyDescent="0.25">
      <c r="A491" s="170">
        <v>42725</v>
      </c>
      <c r="B491" s="116">
        <v>88.510628594221004</v>
      </c>
      <c r="C491" s="116">
        <v>87.194991367551395</v>
      </c>
      <c r="D491" s="116">
        <v>86.605222955596105</v>
      </c>
      <c r="E491" s="116">
        <v>87.739392978587105</v>
      </c>
      <c r="F491" s="116">
        <v>96.1</v>
      </c>
      <c r="G491">
        <v>117644</v>
      </c>
      <c r="H491" s="116"/>
      <c r="I491" s="116"/>
      <c r="L491" s="170">
        <v>42725</v>
      </c>
      <c r="M491" s="116">
        <v>89.422990155865449</v>
      </c>
      <c r="N491" s="116">
        <v>91.80947497949137</v>
      </c>
      <c r="O491" s="116">
        <v>89.048639595296692</v>
      </c>
      <c r="P491" s="116">
        <v>89.937722176647512</v>
      </c>
      <c r="Q491" s="116">
        <v>95.55</v>
      </c>
      <c r="R491">
        <v>592029</v>
      </c>
    </row>
    <row r="492" spans="1:18" x14ac:dyDescent="0.25">
      <c r="A492" s="170">
        <v>42726</v>
      </c>
      <c r="B492" s="116">
        <v>87.194991367551395</v>
      </c>
      <c r="C492" s="116">
        <v>86.151554946399699</v>
      </c>
      <c r="D492" s="116">
        <v>85.652520136283599</v>
      </c>
      <c r="E492" s="116">
        <v>87.194991367551395</v>
      </c>
      <c r="F492" s="116">
        <v>94.95</v>
      </c>
      <c r="G492">
        <v>154756</v>
      </c>
      <c r="H492" s="116"/>
      <c r="I492" s="116"/>
      <c r="L492" s="170">
        <v>42726</v>
      </c>
      <c r="M492" s="116">
        <v>88.767876674870095</v>
      </c>
      <c r="N492" s="116">
        <v>89.376196335794361</v>
      </c>
      <c r="O492" s="116">
        <v>88.206350834016945</v>
      </c>
      <c r="P492" s="116">
        <v>89.376196335794361</v>
      </c>
      <c r="Q492" s="116">
        <v>94.85</v>
      </c>
      <c r="R492">
        <v>524967</v>
      </c>
    </row>
    <row r="493" spans="1:18" x14ac:dyDescent="0.25">
      <c r="A493" s="170">
        <v>42727</v>
      </c>
      <c r="B493" s="116">
        <v>87.104257765712205</v>
      </c>
      <c r="C493" s="116">
        <v>86.196921747319294</v>
      </c>
      <c r="D493" s="116">
        <v>85.652520136283599</v>
      </c>
      <c r="E493" s="116">
        <v>86.287655349158598</v>
      </c>
      <c r="F493" s="116">
        <v>95</v>
      </c>
      <c r="G493">
        <v>29530</v>
      </c>
      <c r="H493" s="116"/>
      <c r="I493" s="116"/>
      <c r="L493" s="170">
        <v>42727</v>
      </c>
      <c r="M493" s="116">
        <v>89.142227235438881</v>
      </c>
      <c r="N493" s="116">
        <v>89.750546896363133</v>
      </c>
      <c r="O493" s="116">
        <v>88.159557013945857</v>
      </c>
      <c r="P493" s="116">
        <v>89.750546896363133</v>
      </c>
      <c r="Q493" s="116">
        <v>95.25</v>
      </c>
      <c r="R493">
        <v>75336</v>
      </c>
    </row>
    <row r="494" spans="1:18" x14ac:dyDescent="0.25">
      <c r="A494" s="170">
        <v>42730</v>
      </c>
      <c r="B494" s="116">
        <v>87.966226983185393</v>
      </c>
      <c r="C494" s="116">
        <v>87.694026177667496</v>
      </c>
      <c r="D494" s="116">
        <v>85.289585728926497</v>
      </c>
      <c r="E494" s="116">
        <v>86.6505897565157</v>
      </c>
      <c r="F494" s="116">
        <v>96.65</v>
      </c>
      <c r="G494">
        <v>20564</v>
      </c>
      <c r="H494" s="116"/>
      <c r="I494" s="116"/>
      <c r="L494" s="170">
        <v>42730</v>
      </c>
      <c r="M494" s="116">
        <v>90.639629477713953</v>
      </c>
      <c r="N494" s="116">
        <v>90.967186218211637</v>
      </c>
      <c r="O494" s="116">
        <v>87.878794093519275</v>
      </c>
      <c r="P494" s="116">
        <v>89.844134536505322</v>
      </c>
      <c r="Q494" s="116">
        <v>96.85</v>
      </c>
      <c r="R494">
        <v>298685</v>
      </c>
    </row>
    <row r="495" spans="1:18" x14ac:dyDescent="0.25">
      <c r="A495" s="170">
        <v>42731</v>
      </c>
      <c r="B495" s="116">
        <v>89.871632621810306</v>
      </c>
      <c r="C495" s="116">
        <v>89.4179646126139</v>
      </c>
      <c r="D495" s="116">
        <v>88.056960585024598</v>
      </c>
      <c r="E495" s="116">
        <v>88.056960585024598</v>
      </c>
      <c r="F495" s="116">
        <v>98.55</v>
      </c>
      <c r="G495">
        <v>219826</v>
      </c>
      <c r="H495" s="116"/>
      <c r="I495" s="116"/>
      <c r="L495" s="170">
        <v>42731</v>
      </c>
      <c r="M495" s="116">
        <v>92.277413180202345</v>
      </c>
      <c r="N495" s="116">
        <v>93.119701941482077</v>
      </c>
      <c r="O495" s="116">
        <v>90.780010937927258</v>
      </c>
      <c r="P495" s="116">
        <v>91.38833059885151</v>
      </c>
      <c r="Q495" s="116">
        <v>98.6</v>
      </c>
      <c r="R495">
        <v>7115893</v>
      </c>
    </row>
    <row r="496" spans="1:18" x14ac:dyDescent="0.25">
      <c r="A496" s="170">
        <v>42732</v>
      </c>
      <c r="B496" s="116">
        <v>90.279933830087103</v>
      </c>
      <c r="C496" s="116">
        <v>88.510628594221004</v>
      </c>
      <c r="D496" s="116">
        <v>88.056960585024598</v>
      </c>
      <c r="E496" s="116">
        <v>89.871632621810306</v>
      </c>
      <c r="F496" s="116">
        <v>97.55</v>
      </c>
      <c r="G496">
        <v>40626</v>
      </c>
      <c r="H496" s="116"/>
      <c r="I496" s="116"/>
      <c r="L496" s="170">
        <v>42732</v>
      </c>
      <c r="M496" s="116">
        <v>91.341536778780409</v>
      </c>
      <c r="N496" s="116">
        <v>93.494052502050863</v>
      </c>
      <c r="O496" s="116">
        <v>90.780010937927258</v>
      </c>
      <c r="P496" s="116">
        <v>92.558176100628927</v>
      </c>
      <c r="Q496" s="116">
        <v>97.6</v>
      </c>
      <c r="R496">
        <v>347050</v>
      </c>
    </row>
    <row r="497" spans="1:18" x14ac:dyDescent="0.25">
      <c r="A497" s="170">
        <v>42733</v>
      </c>
      <c r="B497" s="116">
        <v>89.100397006176394</v>
      </c>
      <c r="C497" s="116">
        <v>88.510628594221004</v>
      </c>
      <c r="D497" s="116">
        <v>88.193060987783596</v>
      </c>
      <c r="E497" s="116">
        <v>88.193060987783596</v>
      </c>
      <c r="F497" s="116">
        <v>97.55</v>
      </c>
      <c r="G497">
        <v>11692</v>
      </c>
      <c r="H497" s="116"/>
      <c r="I497" s="116"/>
      <c r="L497" s="170">
        <v>42733</v>
      </c>
      <c r="M497" s="116">
        <v>91.669093519278093</v>
      </c>
      <c r="N497" s="116">
        <v>91.996650259775762</v>
      </c>
      <c r="O497" s="116">
        <v>90.780010937927258</v>
      </c>
      <c r="P497" s="116">
        <v>91.341536778780409</v>
      </c>
      <c r="Q497" s="116">
        <v>97.95</v>
      </c>
      <c r="R497">
        <v>564957</v>
      </c>
    </row>
    <row r="498" spans="1:18" x14ac:dyDescent="0.25">
      <c r="A498" s="170">
        <v>42734</v>
      </c>
      <c r="B498" s="116">
        <v>89.644798617212103</v>
      </c>
      <c r="C498" s="116">
        <v>89.100397006176394</v>
      </c>
      <c r="D498" s="116">
        <v>88.782829399738901</v>
      </c>
      <c r="E498" s="116">
        <v>89.100397006176394</v>
      </c>
      <c r="F498" s="116">
        <v>98.2</v>
      </c>
      <c r="G498">
        <v>23572</v>
      </c>
      <c r="H498" s="116"/>
      <c r="I498" s="116"/>
      <c r="L498" s="170">
        <v>42734</v>
      </c>
      <c r="M498" s="116">
        <v>92.230619360131243</v>
      </c>
      <c r="N498" s="116">
        <v>92.511382280557825</v>
      </c>
      <c r="O498" s="116">
        <v>91.4819182389937</v>
      </c>
      <c r="P498" s="116">
        <v>91.575505879135889</v>
      </c>
      <c r="Q498" s="116">
        <v>98.55</v>
      </c>
      <c r="R498">
        <v>491652</v>
      </c>
    </row>
    <row r="499" spans="1:18" x14ac:dyDescent="0.25">
      <c r="A499" s="170">
        <v>42737</v>
      </c>
      <c r="B499" s="116">
        <v>89.599431816292494</v>
      </c>
      <c r="C499" s="116">
        <v>89.508698214453204</v>
      </c>
      <c r="D499" s="116">
        <v>88.374528191462105</v>
      </c>
      <c r="E499" s="116">
        <v>89.009663404337104</v>
      </c>
      <c r="F499" s="116">
        <v>98.65</v>
      </c>
      <c r="G499">
        <v>8218</v>
      </c>
      <c r="H499" s="116"/>
      <c r="I499" s="116"/>
      <c r="L499" s="170">
        <v>42737</v>
      </c>
      <c r="M499" s="116">
        <v>92.04344407984685</v>
      </c>
      <c r="N499" s="116">
        <v>92.511382280557825</v>
      </c>
      <c r="O499" s="116">
        <v>90.780010937927258</v>
      </c>
      <c r="P499" s="116">
        <v>92.511382280557825</v>
      </c>
      <c r="Q499" s="116">
        <v>98.35</v>
      </c>
      <c r="R499">
        <v>169775</v>
      </c>
    </row>
    <row r="500" spans="1:18" x14ac:dyDescent="0.25">
      <c r="A500" s="170">
        <v>42738</v>
      </c>
      <c r="B500" s="116">
        <v>89.508698214453204</v>
      </c>
      <c r="C500" s="116">
        <v>88.238427788703206</v>
      </c>
      <c r="D500" s="116">
        <v>87.557925774908597</v>
      </c>
      <c r="E500" s="116">
        <v>89.055030205256799</v>
      </c>
      <c r="F500" s="116">
        <v>97.25</v>
      </c>
      <c r="G500">
        <v>39445</v>
      </c>
      <c r="H500" s="116"/>
      <c r="I500" s="116"/>
      <c r="L500" s="170">
        <v>42738</v>
      </c>
      <c r="M500" s="116">
        <v>90.92039239814055</v>
      </c>
      <c r="N500" s="116">
        <v>92.324207000273447</v>
      </c>
      <c r="O500" s="116">
        <v>90.312072737216283</v>
      </c>
      <c r="P500" s="116">
        <v>91.38833059885151</v>
      </c>
      <c r="Q500" s="116">
        <v>97.15</v>
      </c>
      <c r="R500">
        <v>315939</v>
      </c>
    </row>
    <row r="501" spans="1:18" x14ac:dyDescent="0.25">
      <c r="A501" s="170">
        <v>42739</v>
      </c>
      <c r="B501" s="116">
        <v>89.372597811694206</v>
      </c>
      <c r="C501" s="116">
        <v>88.056960585024598</v>
      </c>
      <c r="D501" s="116">
        <v>87.285724969390699</v>
      </c>
      <c r="E501" s="116">
        <v>88.193060987783596</v>
      </c>
      <c r="F501" s="116">
        <v>97.05</v>
      </c>
      <c r="G501">
        <v>35364</v>
      </c>
      <c r="H501" s="116"/>
      <c r="I501" s="116"/>
      <c r="L501" s="170">
        <v>42739</v>
      </c>
      <c r="M501" s="116">
        <v>90.499248017500676</v>
      </c>
      <c r="N501" s="116">
        <v>92.137031719989054</v>
      </c>
      <c r="O501" s="116">
        <v>89.750546896363133</v>
      </c>
      <c r="P501" s="116">
        <v>91.060773858353826</v>
      </c>
      <c r="Q501" s="116">
        <v>96.7</v>
      </c>
      <c r="R501">
        <v>265308</v>
      </c>
    </row>
    <row r="502" spans="1:18" x14ac:dyDescent="0.25">
      <c r="A502" s="170">
        <v>42740</v>
      </c>
      <c r="B502" s="116">
        <v>88.692095797899597</v>
      </c>
      <c r="C502" s="116">
        <v>86.559856154676496</v>
      </c>
      <c r="D502" s="116">
        <v>86.333022150078307</v>
      </c>
      <c r="E502" s="116">
        <v>88.646728996980002</v>
      </c>
      <c r="F502" s="116">
        <v>95.4</v>
      </c>
      <c r="G502">
        <v>80365</v>
      </c>
      <c r="H502" s="116"/>
      <c r="I502" s="116"/>
      <c r="L502" s="170">
        <v>42740</v>
      </c>
      <c r="M502" s="116">
        <v>88.9082581350834</v>
      </c>
      <c r="N502" s="116">
        <v>91.4819182389937</v>
      </c>
      <c r="O502" s="116">
        <v>88.814670494941211</v>
      </c>
      <c r="P502" s="116">
        <v>90.780010937927258</v>
      </c>
      <c r="Q502" s="116">
        <v>95</v>
      </c>
      <c r="R502">
        <v>1579684</v>
      </c>
    </row>
    <row r="503" spans="1:18" x14ac:dyDescent="0.25">
      <c r="A503" s="170">
        <v>42741</v>
      </c>
      <c r="B503" s="116">
        <v>87.603292575828206</v>
      </c>
      <c r="C503" s="116">
        <v>87.013524163872901</v>
      </c>
      <c r="D503" s="116">
        <v>86.287655349158598</v>
      </c>
      <c r="E503" s="116">
        <v>86.877423761113903</v>
      </c>
      <c r="F503" s="116">
        <v>95.9</v>
      </c>
      <c r="G503">
        <v>38140</v>
      </c>
      <c r="H503" s="116"/>
      <c r="I503" s="116"/>
      <c r="L503" s="170">
        <v>42741</v>
      </c>
      <c r="M503" s="116">
        <v>89.610165436149842</v>
      </c>
      <c r="N503" s="116">
        <v>90.312072737216283</v>
      </c>
      <c r="O503" s="116">
        <v>88.955051955154488</v>
      </c>
      <c r="P503" s="116">
        <v>89.376196335794361</v>
      </c>
      <c r="Q503" s="116">
        <v>95.75</v>
      </c>
      <c r="R503">
        <v>2629996</v>
      </c>
    </row>
    <row r="504" spans="1:18" x14ac:dyDescent="0.25">
      <c r="A504" s="170">
        <v>42744</v>
      </c>
      <c r="B504" s="116">
        <v>88.828196200658596</v>
      </c>
      <c r="C504" s="116">
        <v>88.329161390542495</v>
      </c>
      <c r="D504" s="116">
        <v>86.786690159274698</v>
      </c>
      <c r="E504" s="116">
        <v>87.512558973988902</v>
      </c>
      <c r="F504" s="116">
        <v>97.35</v>
      </c>
      <c r="G504">
        <v>1056058</v>
      </c>
      <c r="H504" s="116"/>
      <c r="I504" s="116"/>
      <c r="L504" s="170">
        <v>42744</v>
      </c>
      <c r="M504" s="116">
        <v>91.060773858353826</v>
      </c>
      <c r="N504" s="116">
        <v>91.71588733934918</v>
      </c>
      <c r="O504" s="116">
        <v>88.955051955154488</v>
      </c>
      <c r="P504" s="116">
        <v>90.171691277002992</v>
      </c>
      <c r="Q504" s="116">
        <v>97.3</v>
      </c>
      <c r="R504">
        <v>413573</v>
      </c>
    </row>
    <row r="505" spans="1:18" x14ac:dyDescent="0.25">
      <c r="A505" s="170">
        <v>42745</v>
      </c>
      <c r="B505" s="116">
        <v>89.372597811694206</v>
      </c>
      <c r="C505" s="116">
        <v>88.419894992381799</v>
      </c>
      <c r="D505" s="116">
        <v>87.512558973988902</v>
      </c>
      <c r="E505" s="116">
        <v>88.011593784105003</v>
      </c>
      <c r="F505" s="116">
        <v>97.45</v>
      </c>
      <c r="G505">
        <v>72322</v>
      </c>
      <c r="H505" s="116"/>
      <c r="I505" s="116"/>
      <c r="L505" s="170">
        <v>42745</v>
      </c>
      <c r="M505" s="116">
        <v>91.107567678424928</v>
      </c>
      <c r="N505" s="116">
        <v>92.183825540060155</v>
      </c>
      <c r="O505" s="116">
        <v>90.218485097074108</v>
      </c>
      <c r="P505" s="116">
        <v>91.71588733934918</v>
      </c>
      <c r="Q505" s="116">
        <v>97.35</v>
      </c>
      <c r="R505">
        <v>607120</v>
      </c>
    </row>
    <row r="506" spans="1:18" x14ac:dyDescent="0.25">
      <c r="A506" s="170">
        <v>42746</v>
      </c>
      <c r="B506" s="116">
        <v>89.100397006176394</v>
      </c>
      <c r="C506" s="116">
        <v>88.646728996980002</v>
      </c>
      <c r="D506" s="116">
        <v>88.011593784105003</v>
      </c>
      <c r="E506" s="116">
        <v>88.465261793301394</v>
      </c>
      <c r="F506" s="116">
        <v>97.7</v>
      </c>
      <c r="G506">
        <v>41569</v>
      </c>
      <c r="H506" s="116"/>
      <c r="I506" s="116"/>
      <c r="L506" s="170">
        <v>42746</v>
      </c>
      <c r="M506" s="116">
        <v>91.4819182389937</v>
      </c>
      <c r="N506" s="116">
        <v>91.856268799562486</v>
      </c>
      <c r="O506" s="116">
        <v>90.686423297785069</v>
      </c>
      <c r="P506" s="116">
        <v>91.71588733934918</v>
      </c>
      <c r="Q506" s="116">
        <v>97.75</v>
      </c>
      <c r="R506">
        <v>319068</v>
      </c>
    </row>
    <row r="507" spans="1:18" x14ac:dyDescent="0.25">
      <c r="A507" s="170">
        <v>42747</v>
      </c>
      <c r="B507" s="116">
        <v>93.954644704578101</v>
      </c>
      <c r="C507" s="116">
        <v>91.550204255837102</v>
      </c>
      <c r="D507" s="116">
        <v>88.646728996980002</v>
      </c>
      <c r="E507" s="116">
        <v>88.646728996980002</v>
      </c>
      <c r="F507" s="116">
        <v>100.9</v>
      </c>
      <c r="G507">
        <v>333231</v>
      </c>
      <c r="H507" s="116"/>
      <c r="I507" s="116"/>
      <c r="L507" s="170">
        <v>42747</v>
      </c>
      <c r="M507" s="116">
        <v>94.008784522832912</v>
      </c>
      <c r="N507" s="116">
        <v>97.050382827454186</v>
      </c>
      <c r="O507" s="116">
        <v>91.247949138638219</v>
      </c>
      <c r="P507" s="116">
        <v>91.71588733934918</v>
      </c>
      <c r="Q507" s="116">
        <v>100.45</v>
      </c>
      <c r="R507">
        <v>1748089</v>
      </c>
    </row>
    <row r="508" spans="1:18" x14ac:dyDescent="0.25">
      <c r="A508" s="170">
        <v>42748</v>
      </c>
      <c r="B508" s="116">
        <v>94.861980722970898</v>
      </c>
      <c r="C508" s="116">
        <v>93.092675487104898</v>
      </c>
      <c r="D508" s="116">
        <v>91.459470653997798</v>
      </c>
      <c r="E508" s="116">
        <v>93.364876292622696</v>
      </c>
      <c r="F508" s="116">
        <v>102.6</v>
      </c>
      <c r="G508">
        <v>268165</v>
      </c>
      <c r="H508" s="116"/>
      <c r="I508" s="116"/>
      <c r="L508" s="170">
        <v>42748</v>
      </c>
      <c r="M508" s="116">
        <v>95.974124965818959</v>
      </c>
      <c r="N508" s="116">
        <v>97.892671588733918</v>
      </c>
      <c r="O508" s="116">
        <v>94.523516543614974</v>
      </c>
      <c r="P508" s="116">
        <v>95.833743505605682</v>
      </c>
      <c r="Q508" s="116">
        <v>102.55</v>
      </c>
      <c r="R508">
        <v>2053328</v>
      </c>
    </row>
    <row r="509" spans="1:18" x14ac:dyDescent="0.25">
      <c r="A509" s="170">
        <v>42751</v>
      </c>
      <c r="B509" s="116">
        <v>95.270281931247695</v>
      </c>
      <c r="C509" s="116">
        <v>92.457540274229899</v>
      </c>
      <c r="D509" s="116">
        <v>91.640937857676306</v>
      </c>
      <c r="E509" s="116">
        <v>95.270281931247695</v>
      </c>
      <c r="F509" s="116">
        <v>101.9</v>
      </c>
      <c r="G509">
        <v>44077</v>
      </c>
      <c r="H509" s="116"/>
      <c r="I509" s="116"/>
      <c r="L509" s="170">
        <v>42751</v>
      </c>
      <c r="M509" s="116">
        <v>95.365805304894721</v>
      </c>
      <c r="N509" s="116">
        <v>96.254887886245541</v>
      </c>
      <c r="O509" s="116">
        <v>94.757485643970455</v>
      </c>
      <c r="P509" s="116">
        <v>95.5529805851791</v>
      </c>
      <c r="Q509" s="116">
        <v>101.9</v>
      </c>
      <c r="R509">
        <v>1921908</v>
      </c>
    </row>
    <row r="510" spans="1:18" x14ac:dyDescent="0.25">
      <c r="A510" s="170">
        <v>42752</v>
      </c>
      <c r="B510" s="116">
        <v>94.771247121131594</v>
      </c>
      <c r="C510" s="116">
        <v>93.047308686185204</v>
      </c>
      <c r="D510" s="116">
        <v>92.457540274229899</v>
      </c>
      <c r="E510" s="116">
        <v>93.001941885265595</v>
      </c>
      <c r="F510" s="116">
        <v>102.55</v>
      </c>
      <c r="G510">
        <v>72157</v>
      </c>
      <c r="H510" s="116"/>
      <c r="I510" s="116"/>
      <c r="L510" s="170">
        <v>42752</v>
      </c>
      <c r="M510" s="116">
        <v>96.208094066174453</v>
      </c>
      <c r="N510" s="116">
        <v>97.892671588733918</v>
      </c>
      <c r="O510" s="116">
        <v>95.272217664752517</v>
      </c>
      <c r="P510" s="116">
        <v>95.365805304894721</v>
      </c>
      <c r="Q510" s="116">
        <v>102.8</v>
      </c>
      <c r="R510">
        <v>1360952</v>
      </c>
    </row>
    <row r="511" spans="1:18" x14ac:dyDescent="0.25">
      <c r="A511" s="170">
        <v>42753</v>
      </c>
      <c r="B511" s="116">
        <v>97.175687569872593</v>
      </c>
      <c r="C511" s="116">
        <v>96.676652759756607</v>
      </c>
      <c r="D511" s="116">
        <v>93.092675487104898</v>
      </c>
      <c r="E511" s="116">
        <v>93.092675487104898</v>
      </c>
      <c r="F511" s="116">
        <v>106.55</v>
      </c>
      <c r="G511">
        <v>136337</v>
      </c>
      <c r="H511" s="116"/>
      <c r="I511" s="116"/>
      <c r="L511" s="170">
        <v>42753</v>
      </c>
      <c r="M511" s="116">
        <v>99.998393491933271</v>
      </c>
      <c r="N511" s="116">
        <v>100.60671315285752</v>
      </c>
      <c r="O511" s="116">
        <v>96.442063166529934</v>
      </c>
      <c r="P511" s="116">
        <v>97.050382827454186</v>
      </c>
      <c r="Q511" s="116">
        <v>106.85</v>
      </c>
      <c r="R511">
        <v>2474068</v>
      </c>
    </row>
    <row r="512" spans="1:18" x14ac:dyDescent="0.25">
      <c r="A512" s="170">
        <v>42754</v>
      </c>
      <c r="B512" s="116">
        <v>98.536691597461896</v>
      </c>
      <c r="C512" s="116">
        <v>98.173757190104794</v>
      </c>
      <c r="D512" s="116">
        <v>95.769316741363696</v>
      </c>
      <c r="E512" s="116">
        <v>97.447888375390505</v>
      </c>
      <c r="F512" s="116">
        <v>108.2</v>
      </c>
      <c r="G512">
        <v>64990</v>
      </c>
      <c r="H512" s="116"/>
      <c r="I512" s="116"/>
      <c r="L512" s="170">
        <v>42754</v>
      </c>
      <c r="M512" s="116">
        <v>101.54258955427946</v>
      </c>
      <c r="N512" s="116">
        <v>101.91694011484823</v>
      </c>
      <c r="O512" s="116">
        <v>98.734960350013665</v>
      </c>
      <c r="P512" s="116">
        <v>100.51312551271533</v>
      </c>
      <c r="Q512" s="116">
        <v>108.5</v>
      </c>
      <c r="R512">
        <v>769691</v>
      </c>
    </row>
    <row r="513" spans="1:18" x14ac:dyDescent="0.25">
      <c r="A513" s="170">
        <v>42755</v>
      </c>
      <c r="B513" s="116">
        <v>98.718158801140405</v>
      </c>
      <c r="C513" s="116">
        <v>97.039587167113694</v>
      </c>
      <c r="D513" s="116">
        <v>96.767386361595896</v>
      </c>
      <c r="E513" s="116">
        <v>98.1283903891851</v>
      </c>
      <c r="F513" s="116">
        <v>106.95</v>
      </c>
      <c r="G513">
        <v>56419</v>
      </c>
      <c r="H513" s="116"/>
      <c r="I513" s="116"/>
      <c r="L513" s="170">
        <v>42755</v>
      </c>
      <c r="M513" s="116">
        <v>100.18556877221765</v>
      </c>
      <c r="N513" s="116">
        <v>102.01052775499042</v>
      </c>
      <c r="O513" s="116">
        <v>99.951599671862169</v>
      </c>
      <c r="P513" s="116">
        <v>101.30862045392398</v>
      </c>
      <c r="Q513" s="116">
        <v>107.05</v>
      </c>
      <c r="R513">
        <v>409318</v>
      </c>
    </row>
    <row r="514" spans="1:18" x14ac:dyDescent="0.25">
      <c r="A514" s="170">
        <v>42758</v>
      </c>
      <c r="B514" s="116">
        <v>99.534761217693998</v>
      </c>
      <c r="C514" s="116">
        <v>98.808892402979694</v>
      </c>
      <c r="D514" s="116">
        <v>95.814683542283404</v>
      </c>
      <c r="E514" s="116">
        <v>97.084953968033304</v>
      </c>
      <c r="F514" s="116">
        <v>108.9</v>
      </c>
      <c r="G514">
        <v>83529</v>
      </c>
      <c r="H514" s="116"/>
      <c r="I514" s="116"/>
      <c r="L514" s="170">
        <v>42758</v>
      </c>
      <c r="M514" s="116">
        <v>101.91694011484823</v>
      </c>
      <c r="N514" s="116">
        <v>102.61884741591469</v>
      </c>
      <c r="O514" s="116">
        <v>98.641372709871476</v>
      </c>
      <c r="P514" s="116">
        <v>100.13877495214656</v>
      </c>
      <c r="Q514" s="116">
        <v>108.9</v>
      </c>
      <c r="R514">
        <v>1828519</v>
      </c>
    </row>
    <row r="515" spans="1:18" x14ac:dyDescent="0.25">
      <c r="A515" s="170">
        <v>42759</v>
      </c>
      <c r="B515" s="116">
        <v>99.398660814935099</v>
      </c>
      <c r="C515" s="116">
        <v>98.718158801140405</v>
      </c>
      <c r="D515" s="116">
        <v>97.901556384586897</v>
      </c>
      <c r="E515" s="116">
        <v>98.718158801140405</v>
      </c>
      <c r="F515" s="116">
        <v>108.8</v>
      </c>
      <c r="G515">
        <v>49663</v>
      </c>
      <c r="H515" s="116"/>
      <c r="I515" s="116"/>
      <c r="L515" s="170">
        <v>42759</v>
      </c>
      <c r="M515" s="116">
        <v>101.91694011484823</v>
      </c>
      <c r="N515" s="116">
        <v>102.75922887612796</v>
      </c>
      <c r="O515" s="116">
        <v>101.16823899371067</v>
      </c>
      <c r="P515" s="116">
        <v>102.01052775499042</v>
      </c>
      <c r="Q515" s="116">
        <v>108.9</v>
      </c>
      <c r="R515">
        <v>404874</v>
      </c>
    </row>
    <row r="516" spans="1:18" x14ac:dyDescent="0.25">
      <c r="A516" s="170">
        <v>42760</v>
      </c>
      <c r="B516" s="116">
        <v>99.534761217693998</v>
      </c>
      <c r="C516" s="116">
        <v>98.944992805738707</v>
      </c>
      <c r="D516" s="116">
        <v>97.084953968033304</v>
      </c>
      <c r="E516" s="116">
        <v>98.899626004818998</v>
      </c>
      <c r="F516" s="116">
        <v>109.05</v>
      </c>
      <c r="G516">
        <v>64619</v>
      </c>
      <c r="H516" s="116"/>
      <c r="I516" s="116"/>
      <c r="L516" s="170">
        <v>42760</v>
      </c>
      <c r="M516" s="116">
        <v>102.38487831555919</v>
      </c>
      <c r="N516" s="116">
        <v>102.94640415641236</v>
      </c>
      <c r="O516" s="116">
        <v>100.13877495214656</v>
      </c>
      <c r="P516" s="116">
        <v>102.52525977577248</v>
      </c>
      <c r="Q516" s="116">
        <v>109.4</v>
      </c>
      <c r="R516">
        <v>636409</v>
      </c>
    </row>
    <row r="517" spans="1:18" x14ac:dyDescent="0.25">
      <c r="A517" s="170">
        <v>42762</v>
      </c>
      <c r="B517" s="116">
        <v>101.530900458158</v>
      </c>
      <c r="C517" s="116">
        <v>101.031865648042</v>
      </c>
      <c r="D517" s="116">
        <v>98.990359606658302</v>
      </c>
      <c r="E517" s="116">
        <v>98.990359606658302</v>
      </c>
      <c r="F517" s="116">
        <v>111.35</v>
      </c>
      <c r="G517">
        <v>68834</v>
      </c>
      <c r="H517" s="116"/>
      <c r="I517" s="116"/>
      <c r="L517" s="170">
        <v>42762</v>
      </c>
      <c r="M517" s="116">
        <v>104.53739403882963</v>
      </c>
      <c r="N517" s="116">
        <v>105.14571369975388</v>
      </c>
      <c r="O517" s="116">
        <v>102.01052775499042</v>
      </c>
      <c r="P517" s="116">
        <v>102.01052775499042</v>
      </c>
      <c r="Q517" s="116">
        <v>111.7</v>
      </c>
      <c r="R517">
        <v>588881</v>
      </c>
    </row>
    <row r="518" spans="1:18" x14ac:dyDescent="0.25">
      <c r="A518" s="170">
        <v>42765</v>
      </c>
      <c r="B518" s="116">
        <v>100.71429804160501</v>
      </c>
      <c r="C518" s="116">
        <v>99.534761217693998</v>
      </c>
      <c r="D518" s="116">
        <v>99.2625604121762</v>
      </c>
      <c r="E518" s="116">
        <v>100.169896430569</v>
      </c>
      <c r="F518" s="116">
        <v>109.7</v>
      </c>
      <c r="G518">
        <v>70913</v>
      </c>
      <c r="H518" s="116"/>
      <c r="I518" s="116"/>
      <c r="L518" s="170">
        <v>42765</v>
      </c>
      <c r="M518" s="116">
        <v>102.89961033634125</v>
      </c>
      <c r="N518" s="116">
        <v>103.88228055783428</v>
      </c>
      <c r="O518" s="116">
        <v>102.2444968553459</v>
      </c>
      <c r="P518" s="116">
        <v>103.88228055783428</v>
      </c>
      <c r="Q518" s="116">
        <v>109.95</v>
      </c>
      <c r="R518">
        <v>444434</v>
      </c>
    </row>
    <row r="519" spans="1:18" x14ac:dyDescent="0.25">
      <c r="A519" s="170">
        <v>42766</v>
      </c>
      <c r="B519" s="116">
        <v>101.530900458158</v>
      </c>
      <c r="C519" s="116">
        <v>97.901556384586897</v>
      </c>
      <c r="D519" s="116">
        <v>97.538621977229795</v>
      </c>
      <c r="E519" s="116">
        <v>101.530900458158</v>
      </c>
      <c r="F519" s="116">
        <v>107.9</v>
      </c>
      <c r="G519">
        <v>25393</v>
      </c>
      <c r="H519" s="116"/>
      <c r="I519" s="116"/>
      <c r="L519" s="170">
        <v>42766</v>
      </c>
      <c r="M519" s="116">
        <v>101.12144517363959</v>
      </c>
      <c r="N519" s="116">
        <v>103.36754853705222</v>
      </c>
      <c r="O519" s="116">
        <v>100.74709461307081</v>
      </c>
      <c r="P519" s="116">
        <v>102.94640415641236</v>
      </c>
      <c r="Q519" s="116">
        <v>108.05</v>
      </c>
      <c r="R519">
        <v>586834</v>
      </c>
    </row>
    <row r="520" spans="1:18" x14ac:dyDescent="0.25">
      <c r="A520" s="170">
        <v>42767</v>
      </c>
      <c r="B520" s="116">
        <v>101.30406645356</v>
      </c>
      <c r="C520" s="116">
        <v>100.71429804160501</v>
      </c>
      <c r="D520" s="116">
        <v>96.676652759756607</v>
      </c>
      <c r="E520" s="116">
        <v>96.676652759756607</v>
      </c>
      <c r="F520" s="116">
        <v>111</v>
      </c>
      <c r="G520">
        <v>44675</v>
      </c>
      <c r="H520" s="116"/>
      <c r="I520" s="116"/>
      <c r="L520" s="170">
        <v>42767</v>
      </c>
      <c r="M520" s="116">
        <v>104.06945583811867</v>
      </c>
      <c r="N520" s="116">
        <v>104.81815695925621</v>
      </c>
      <c r="O520" s="116">
        <v>100.65350697292862</v>
      </c>
      <c r="P520" s="116">
        <v>101.16823899371067</v>
      </c>
      <c r="Q520" s="116">
        <v>111.2</v>
      </c>
      <c r="R520">
        <v>559662</v>
      </c>
    </row>
    <row r="521" spans="1:18" x14ac:dyDescent="0.25">
      <c r="A521" s="170">
        <v>42768</v>
      </c>
      <c r="B521" s="116">
        <v>101.25869965264</v>
      </c>
      <c r="C521" s="116">
        <v>99.897695625051099</v>
      </c>
      <c r="D521" s="116">
        <v>99.171826810336896</v>
      </c>
      <c r="E521" s="116">
        <v>100.71429804160501</v>
      </c>
      <c r="F521" s="116">
        <v>110.1</v>
      </c>
      <c r="G521">
        <v>26194</v>
      </c>
      <c r="H521" s="116"/>
      <c r="I521" s="116"/>
      <c r="L521" s="170">
        <v>42768</v>
      </c>
      <c r="M521" s="116">
        <v>103.13357943669673</v>
      </c>
      <c r="N521" s="116">
        <v>104.81815695925621</v>
      </c>
      <c r="O521" s="116">
        <v>102.57205359584357</v>
      </c>
      <c r="P521" s="116">
        <v>104.81815695925621</v>
      </c>
      <c r="Q521" s="116">
        <v>110.2</v>
      </c>
      <c r="R521">
        <v>193588</v>
      </c>
    </row>
    <row r="522" spans="1:18" x14ac:dyDescent="0.25">
      <c r="A522" s="170">
        <v>42769</v>
      </c>
      <c r="B522" s="116">
        <v>102.166035671033</v>
      </c>
      <c r="C522" s="116">
        <v>99.444027615854694</v>
      </c>
      <c r="D522" s="116">
        <v>98.808892402979694</v>
      </c>
      <c r="E522" s="116">
        <v>100.215263231489</v>
      </c>
      <c r="F522" s="116">
        <v>109.6</v>
      </c>
      <c r="G522">
        <v>71716</v>
      </c>
      <c r="H522" s="116"/>
      <c r="I522" s="116"/>
      <c r="L522" s="170">
        <v>42769</v>
      </c>
      <c r="M522" s="116">
        <v>102.291290675417</v>
      </c>
      <c r="N522" s="116">
        <v>105.61365190046484</v>
      </c>
      <c r="O522" s="116">
        <v>101.77655865463494</v>
      </c>
      <c r="P522" s="116">
        <v>102.2444968553459</v>
      </c>
      <c r="Q522" s="116">
        <v>109.3</v>
      </c>
      <c r="R522">
        <v>446562</v>
      </c>
    </row>
    <row r="523" spans="1:18" x14ac:dyDescent="0.25">
      <c r="A523" s="170">
        <v>42772</v>
      </c>
      <c r="B523" s="116">
        <v>107.882252586908</v>
      </c>
      <c r="C523" s="116">
        <v>104.162174911497</v>
      </c>
      <c r="D523" s="116">
        <v>102.755804082989</v>
      </c>
      <c r="E523" s="116">
        <v>103.164105291265</v>
      </c>
      <c r="F523" s="116">
        <v>114.8</v>
      </c>
      <c r="G523">
        <v>181833</v>
      </c>
      <c r="H523" s="116"/>
      <c r="I523" s="116"/>
      <c r="L523" s="170">
        <v>42772</v>
      </c>
      <c r="M523" s="116">
        <v>107.57899234345091</v>
      </c>
      <c r="N523" s="116">
        <v>111.36929176920972</v>
      </c>
      <c r="O523" s="116">
        <v>105.75403336067814</v>
      </c>
      <c r="P523" s="116">
        <v>105.75403336067814</v>
      </c>
      <c r="Q523" s="116">
        <v>114.95</v>
      </c>
      <c r="R523">
        <v>2016215</v>
      </c>
    </row>
    <row r="524" spans="1:18" x14ac:dyDescent="0.25">
      <c r="A524" s="170">
        <v>42773</v>
      </c>
      <c r="B524" s="116">
        <v>105.06951092989</v>
      </c>
      <c r="C524" s="116">
        <v>103.164105291265</v>
      </c>
      <c r="D524" s="116">
        <v>102.61970368023</v>
      </c>
      <c r="E524" s="116">
        <v>104.343642115176</v>
      </c>
      <c r="F524" s="116">
        <v>113.7</v>
      </c>
      <c r="G524">
        <v>43375</v>
      </c>
      <c r="H524" s="116"/>
      <c r="I524" s="116"/>
      <c r="L524" s="170">
        <v>42773</v>
      </c>
      <c r="M524" s="116">
        <v>106.73670358217116</v>
      </c>
      <c r="N524" s="116">
        <v>108.56166256494393</v>
      </c>
      <c r="O524" s="116">
        <v>106.22197156138911</v>
      </c>
      <c r="P524" s="116">
        <v>107.7193738036642</v>
      </c>
      <c r="Q524" s="116">
        <v>114.05</v>
      </c>
      <c r="R524">
        <v>370433</v>
      </c>
    </row>
    <row r="525" spans="1:18" x14ac:dyDescent="0.25">
      <c r="A525" s="170">
        <v>42774</v>
      </c>
      <c r="B525" s="116">
        <v>105.06951092989</v>
      </c>
      <c r="C525" s="116">
        <v>104.661209721614</v>
      </c>
      <c r="D525" s="116">
        <v>100.71429804160501</v>
      </c>
      <c r="E525" s="116">
        <v>100.71429804160501</v>
      </c>
      <c r="F525" s="116">
        <v>115.35</v>
      </c>
      <c r="G525">
        <v>50382</v>
      </c>
      <c r="H525" s="116"/>
      <c r="I525" s="116"/>
      <c r="L525" s="170">
        <v>42774</v>
      </c>
      <c r="M525" s="116">
        <v>108.18731200437516</v>
      </c>
      <c r="N525" s="116">
        <v>108.56166256494393</v>
      </c>
      <c r="O525" s="116">
        <v>106.45594066174459</v>
      </c>
      <c r="P525" s="116">
        <v>107.43861088323762</v>
      </c>
      <c r="Q525" s="116">
        <v>115.6</v>
      </c>
      <c r="R525">
        <v>994219</v>
      </c>
    </row>
    <row r="526" spans="1:18" x14ac:dyDescent="0.25">
      <c r="A526" s="170">
        <v>42775</v>
      </c>
      <c r="B526" s="116">
        <v>108.199820193346</v>
      </c>
      <c r="C526" s="116">
        <v>106.748082563917</v>
      </c>
      <c r="D526" s="116">
        <v>104.162174911497</v>
      </c>
      <c r="E526" s="116">
        <v>105.25097813356901</v>
      </c>
      <c r="F526" s="116">
        <v>117.65</v>
      </c>
      <c r="G526">
        <v>60786</v>
      </c>
      <c r="H526" s="116"/>
      <c r="I526" s="116"/>
      <c r="L526" s="170">
        <v>42775</v>
      </c>
      <c r="M526" s="116">
        <v>110.05906480721902</v>
      </c>
      <c r="N526" s="116">
        <v>111.83722996992068</v>
      </c>
      <c r="O526" s="116">
        <v>107.29822942302434</v>
      </c>
      <c r="P526" s="116">
        <v>107.6725799835931</v>
      </c>
      <c r="Q526" s="116">
        <v>117.6</v>
      </c>
      <c r="R526">
        <v>1364997</v>
      </c>
    </row>
    <row r="527" spans="1:18" x14ac:dyDescent="0.25">
      <c r="A527" s="170">
        <v>42776</v>
      </c>
      <c r="B527" s="116">
        <v>107.972986188747</v>
      </c>
      <c r="C527" s="116">
        <v>106.657348962078</v>
      </c>
      <c r="D527" s="116">
        <v>105.06951092989</v>
      </c>
      <c r="E527" s="116">
        <v>105.06951092989</v>
      </c>
      <c r="F527" s="116">
        <v>117.55</v>
      </c>
      <c r="G527">
        <v>91241</v>
      </c>
      <c r="H527" s="116"/>
      <c r="I527" s="116"/>
      <c r="L527" s="170">
        <v>42776</v>
      </c>
      <c r="M527" s="116">
        <v>110.05906480721902</v>
      </c>
      <c r="N527" s="116">
        <v>111.36929176920972</v>
      </c>
      <c r="O527" s="116">
        <v>108.56166256494393</v>
      </c>
      <c r="P527" s="116">
        <v>110.99494120864095</v>
      </c>
      <c r="Q527" s="116">
        <v>117.6</v>
      </c>
      <c r="R527">
        <v>347005</v>
      </c>
    </row>
    <row r="528" spans="1:18" x14ac:dyDescent="0.25">
      <c r="A528" s="170">
        <v>42779</v>
      </c>
      <c r="B528" s="116">
        <v>107.247117374033</v>
      </c>
      <c r="C528" s="116">
        <v>104.978777328051</v>
      </c>
      <c r="D528" s="116">
        <v>102.61970368023</v>
      </c>
      <c r="E528" s="116">
        <v>107.247117374033</v>
      </c>
      <c r="F528" s="116">
        <v>115.7</v>
      </c>
      <c r="G528">
        <v>70501</v>
      </c>
      <c r="H528" s="116"/>
      <c r="I528" s="116"/>
      <c r="L528" s="170">
        <v>42779</v>
      </c>
      <c r="M528" s="116">
        <v>108.46807492480174</v>
      </c>
      <c r="N528" s="116">
        <v>111.13532266885424</v>
      </c>
      <c r="O528" s="116">
        <v>106.12838392124692</v>
      </c>
      <c r="P528" s="116">
        <v>110.62059064807218</v>
      </c>
      <c r="Q528" s="116">
        <v>115.9</v>
      </c>
      <c r="R528">
        <v>492574</v>
      </c>
    </row>
    <row r="529" spans="1:18" x14ac:dyDescent="0.25">
      <c r="A529" s="170">
        <v>42780</v>
      </c>
      <c r="B529" s="116">
        <v>106.974916568515</v>
      </c>
      <c r="C529" s="116">
        <v>106.702715762997</v>
      </c>
      <c r="D529" s="116">
        <v>104.343642115176</v>
      </c>
      <c r="E529" s="116">
        <v>105.25097813356901</v>
      </c>
      <c r="F529" s="116">
        <v>117.6</v>
      </c>
      <c r="G529">
        <v>62194</v>
      </c>
      <c r="H529" s="116"/>
      <c r="I529" s="116"/>
      <c r="L529" s="170">
        <v>42780</v>
      </c>
      <c r="M529" s="116">
        <v>109.87188952693464</v>
      </c>
      <c r="N529" s="116">
        <v>110.85455974842766</v>
      </c>
      <c r="O529" s="116">
        <v>107.4854047033087</v>
      </c>
      <c r="P529" s="116">
        <v>109.02960076565491</v>
      </c>
      <c r="Q529" s="116">
        <v>117.4</v>
      </c>
      <c r="R529">
        <v>2053013</v>
      </c>
    </row>
    <row r="530" spans="1:18" x14ac:dyDescent="0.25">
      <c r="A530" s="170">
        <v>42781</v>
      </c>
      <c r="B530" s="116">
        <v>108.381287397024</v>
      </c>
      <c r="C530" s="116">
        <v>107.791518985069</v>
      </c>
      <c r="D530" s="116">
        <v>105.704646142765</v>
      </c>
      <c r="E530" s="116">
        <v>105.795379744605</v>
      </c>
      <c r="F530" s="116">
        <v>118.8</v>
      </c>
      <c r="G530">
        <v>112665</v>
      </c>
      <c r="H530" s="116"/>
      <c r="I530" s="116"/>
      <c r="L530" s="170">
        <v>42781</v>
      </c>
      <c r="M530" s="116">
        <v>111.50967322942302</v>
      </c>
      <c r="N530" s="116">
        <v>112.16478671041835</v>
      </c>
      <c r="O530" s="116">
        <v>108.84242548537051</v>
      </c>
      <c r="P530" s="116">
        <v>109.26356986601039</v>
      </c>
      <c r="Q530" s="116">
        <v>119.15</v>
      </c>
      <c r="R530">
        <v>1497451</v>
      </c>
    </row>
    <row r="531" spans="1:18" x14ac:dyDescent="0.25">
      <c r="A531" s="170">
        <v>42782</v>
      </c>
      <c r="B531" s="116">
        <v>109.515457420015</v>
      </c>
      <c r="C531" s="116">
        <v>109.107156211738</v>
      </c>
      <c r="D531" s="116">
        <v>106.657348962078</v>
      </c>
      <c r="E531" s="116">
        <v>108.426654197944</v>
      </c>
      <c r="F531" s="116">
        <v>120.25</v>
      </c>
      <c r="G531">
        <v>47443</v>
      </c>
      <c r="H531" s="116"/>
      <c r="I531" s="116"/>
      <c r="L531" s="170">
        <v>42782</v>
      </c>
      <c r="M531" s="116">
        <v>112.58593109105823</v>
      </c>
      <c r="N531" s="116">
        <v>113.14745693191139</v>
      </c>
      <c r="O531" s="116">
        <v>109.96547716707683</v>
      </c>
      <c r="P531" s="116">
        <v>111.7436423297785</v>
      </c>
      <c r="Q531" s="116">
        <v>120.3</v>
      </c>
      <c r="R531">
        <v>1302939</v>
      </c>
    </row>
    <row r="532" spans="1:18" x14ac:dyDescent="0.25">
      <c r="A532" s="170">
        <v>42783</v>
      </c>
      <c r="B532" s="116">
        <v>109.742291424613</v>
      </c>
      <c r="C532" s="116">
        <v>105.568545740006</v>
      </c>
      <c r="D532" s="116">
        <v>105.16024453173</v>
      </c>
      <c r="E532" s="116">
        <v>108.92568900806</v>
      </c>
      <c r="F532" s="116">
        <v>116.35</v>
      </c>
      <c r="G532">
        <v>58213</v>
      </c>
      <c r="H532" s="116"/>
      <c r="I532" s="116"/>
      <c r="L532" s="170">
        <v>42783</v>
      </c>
      <c r="M532" s="116">
        <v>108.8892193054416</v>
      </c>
      <c r="N532" s="116">
        <v>113.66218895269346</v>
      </c>
      <c r="O532" s="116">
        <v>108.32769346458845</v>
      </c>
      <c r="P532" s="116">
        <v>112.39875581077385</v>
      </c>
      <c r="Q532" s="116">
        <v>116.35</v>
      </c>
      <c r="R532">
        <v>260402</v>
      </c>
    </row>
    <row r="533" spans="1:18" x14ac:dyDescent="0.25">
      <c r="A533" s="170">
        <v>42786</v>
      </c>
      <c r="B533" s="116">
        <v>109.606191021854</v>
      </c>
      <c r="C533" s="116">
        <v>109.061789410819</v>
      </c>
      <c r="D533" s="116">
        <v>105.25097813356901</v>
      </c>
      <c r="E533" s="116">
        <v>106.158314151962</v>
      </c>
      <c r="F533" s="116">
        <v>120.2</v>
      </c>
      <c r="G533">
        <v>100488</v>
      </c>
      <c r="H533" s="116"/>
      <c r="I533" s="116"/>
      <c r="L533" s="170">
        <v>42786</v>
      </c>
      <c r="M533" s="116">
        <v>112.58593109105823</v>
      </c>
      <c r="N533" s="116">
        <v>113.10066311184029</v>
      </c>
      <c r="O533" s="116">
        <v>108.84242548537051</v>
      </c>
      <c r="P533" s="116">
        <v>108.93601312551272</v>
      </c>
      <c r="Q533" s="116">
        <v>120.3</v>
      </c>
      <c r="R533">
        <v>328116</v>
      </c>
    </row>
    <row r="534" spans="1:18" x14ac:dyDescent="0.25">
      <c r="A534" s="170">
        <v>42787</v>
      </c>
      <c r="B534" s="116">
        <v>115.776075946926</v>
      </c>
      <c r="C534" s="116">
        <v>112.69113348438999</v>
      </c>
      <c r="D534" s="116">
        <v>108.744221804381</v>
      </c>
      <c r="E534" s="116">
        <v>108.88032220714</v>
      </c>
      <c r="F534" s="116">
        <v>124.2</v>
      </c>
      <c r="G534">
        <v>167575</v>
      </c>
      <c r="H534" s="116"/>
      <c r="I534" s="116"/>
      <c r="L534" s="170">
        <v>42787</v>
      </c>
      <c r="M534" s="116">
        <v>116.18905523653267</v>
      </c>
      <c r="N534" s="116">
        <v>119.51141646158052</v>
      </c>
      <c r="O534" s="116">
        <v>111.50967322942302</v>
      </c>
      <c r="P534" s="116">
        <v>111.50967322942302</v>
      </c>
      <c r="Q534" s="116">
        <v>124.15</v>
      </c>
      <c r="R534">
        <v>952796</v>
      </c>
    </row>
    <row r="535" spans="1:18" x14ac:dyDescent="0.25">
      <c r="A535" s="170">
        <v>42788</v>
      </c>
      <c r="B535" s="116">
        <v>112.917967488988</v>
      </c>
      <c r="C535" s="116">
        <v>110.649627443006</v>
      </c>
      <c r="D535" s="116">
        <v>109.606191021854</v>
      </c>
      <c r="E535" s="116">
        <v>112.509666280712</v>
      </c>
      <c r="F535" s="116">
        <v>121.95</v>
      </c>
      <c r="G535">
        <v>49114</v>
      </c>
      <c r="H535" s="116"/>
      <c r="I535" s="116"/>
      <c r="L535" s="170">
        <v>42788</v>
      </c>
      <c r="M535" s="116">
        <v>114.55127153404429</v>
      </c>
      <c r="N535" s="116">
        <v>116.65699343724364</v>
      </c>
      <c r="O535" s="116">
        <v>113.24104457205358</v>
      </c>
      <c r="P535" s="116">
        <v>116.65699343724364</v>
      </c>
      <c r="Q535" s="116">
        <v>122.4</v>
      </c>
      <c r="R535">
        <v>303141</v>
      </c>
    </row>
    <row r="536" spans="1:18" x14ac:dyDescent="0.25">
      <c r="A536" s="170">
        <v>42789</v>
      </c>
      <c r="B536" s="116">
        <v>111.05792865128301</v>
      </c>
      <c r="C536" s="116">
        <v>110.604260642087</v>
      </c>
      <c r="D536" s="116">
        <v>108.92568900806</v>
      </c>
      <c r="E536" s="116">
        <v>110.694994243926</v>
      </c>
      <c r="F536" s="116">
        <v>121.9</v>
      </c>
      <c r="G536">
        <v>34459</v>
      </c>
      <c r="H536" s="116"/>
      <c r="I536" s="116"/>
      <c r="L536" s="170">
        <v>42789</v>
      </c>
      <c r="M536" s="116">
        <v>114.13012715340442</v>
      </c>
      <c r="N536" s="116">
        <v>114.97241591468415</v>
      </c>
      <c r="O536" s="116">
        <v>112.39875581077385</v>
      </c>
      <c r="P536" s="116">
        <v>113.24104457205358</v>
      </c>
      <c r="Q536" s="116">
        <v>121.95</v>
      </c>
      <c r="R536">
        <v>865514</v>
      </c>
    </row>
    <row r="537" spans="1:18" x14ac:dyDescent="0.25">
      <c r="A537" s="170">
        <v>42793</v>
      </c>
      <c r="B537" s="116">
        <v>111.330129456801</v>
      </c>
      <c r="C537" s="116">
        <v>109.28862341541701</v>
      </c>
      <c r="D537" s="116">
        <v>108.88032220714</v>
      </c>
      <c r="E537" s="116">
        <v>111.330129456801</v>
      </c>
      <c r="F537" s="116">
        <v>120.45</v>
      </c>
      <c r="G537">
        <v>18197</v>
      </c>
      <c r="H537" s="116"/>
      <c r="I537" s="116"/>
      <c r="L537" s="170">
        <v>42793</v>
      </c>
      <c r="M537" s="116">
        <v>113.0070754716981</v>
      </c>
      <c r="N537" s="116">
        <v>115.11279737489744</v>
      </c>
      <c r="O537" s="116">
        <v>112.44554963084495</v>
      </c>
      <c r="P537" s="116">
        <v>113.24104457205358</v>
      </c>
      <c r="Q537" s="116">
        <v>120.75</v>
      </c>
      <c r="R537">
        <v>144010</v>
      </c>
    </row>
    <row r="538" spans="1:18" x14ac:dyDescent="0.25">
      <c r="A538" s="170">
        <v>42794</v>
      </c>
      <c r="B538" s="116">
        <v>114.778006326694</v>
      </c>
      <c r="C538" s="116">
        <v>113.417002299104</v>
      </c>
      <c r="D538" s="116">
        <v>107.473951378631</v>
      </c>
      <c r="E538" s="116">
        <v>109.333990216337</v>
      </c>
      <c r="F538" s="116">
        <v>125</v>
      </c>
      <c r="G538">
        <v>84481</v>
      </c>
      <c r="H538" s="116"/>
      <c r="I538" s="116"/>
      <c r="L538" s="170">
        <v>42794</v>
      </c>
      <c r="M538" s="116">
        <v>117.40569455838119</v>
      </c>
      <c r="N538" s="116">
        <v>118.76271534044298</v>
      </c>
      <c r="O538" s="116">
        <v>110.66738446814328</v>
      </c>
      <c r="P538" s="116">
        <v>113.0070754716981</v>
      </c>
      <c r="Q538" s="116">
        <v>125.45</v>
      </c>
      <c r="R538">
        <v>1699417</v>
      </c>
    </row>
    <row r="539" spans="1:18" x14ac:dyDescent="0.25">
      <c r="A539" s="170">
        <v>42795</v>
      </c>
      <c r="B539" s="116">
        <v>116.139010354283</v>
      </c>
      <c r="C539" s="116">
        <v>113.870670308301</v>
      </c>
      <c r="D539" s="116">
        <v>112.509666280712</v>
      </c>
      <c r="E539" s="116">
        <v>114.32433831749699</v>
      </c>
      <c r="F539" s="116">
        <v>125.5</v>
      </c>
      <c r="G539">
        <v>67919</v>
      </c>
      <c r="H539" s="116"/>
      <c r="I539" s="116"/>
      <c r="L539" s="170">
        <v>42795</v>
      </c>
      <c r="M539" s="116">
        <v>117.92042657916323</v>
      </c>
      <c r="N539" s="116">
        <v>119.9325608422204</v>
      </c>
      <c r="O539" s="116">
        <v>115.90829231610608</v>
      </c>
      <c r="P539" s="116">
        <v>119.55821028165161</v>
      </c>
      <c r="Q539" s="116">
        <v>126</v>
      </c>
      <c r="R539">
        <v>524088</v>
      </c>
    </row>
    <row r="540" spans="1:18" x14ac:dyDescent="0.25">
      <c r="A540" s="170">
        <v>42796</v>
      </c>
      <c r="B540" s="116">
        <v>114.142871113819</v>
      </c>
      <c r="C540" s="116">
        <v>111.874531067837</v>
      </c>
      <c r="D540" s="116">
        <v>108.15445339242601</v>
      </c>
      <c r="E540" s="116">
        <v>113.417002299104</v>
      </c>
      <c r="F540" s="116">
        <v>123.3</v>
      </c>
      <c r="G540">
        <v>141900</v>
      </c>
      <c r="H540" s="116"/>
      <c r="I540" s="116"/>
      <c r="L540" s="170">
        <v>42796</v>
      </c>
      <c r="M540" s="116">
        <v>115.53394175553731</v>
      </c>
      <c r="N540" s="116">
        <v>117.92042657916323</v>
      </c>
      <c r="O540" s="116">
        <v>111.83722996992068</v>
      </c>
      <c r="P540" s="116">
        <v>117.73325129887886</v>
      </c>
      <c r="Q540" s="116">
        <v>123.45</v>
      </c>
      <c r="R540">
        <v>529292</v>
      </c>
    </row>
    <row r="541" spans="1:18" x14ac:dyDescent="0.25">
      <c r="A541" s="170">
        <v>42797</v>
      </c>
      <c r="B541" s="116">
        <v>111.148662253122</v>
      </c>
      <c r="C541" s="116">
        <v>109.42472381817601</v>
      </c>
      <c r="D541" s="116">
        <v>108.88032220714</v>
      </c>
      <c r="E541" s="116">
        <v>110.28669303564899</v>
      </c>
      <c r="F541" s="116">
        <v>120.6</v>
      </c>
      <c r="G541">
        <v>34902</v>
      </c>
      <c r="H541" s="116"/>
      <c r="I541" s="116"/>
      <c r="L541" s="170">
        <v>42797</v>
      </c>
      <c r="M541" s="116">
        <v>113.10066311184029</v>
      </c>
      <c r="N541" s="116">
        <v>115.01920973475526</v>
      </c>
      <c r="O541" s="116">
        <v>112.49234345091604</v>
      </c>
      <c r="P541" s="116">
        <v>114.17692097347552</v>
      </c>
      <c r="Q541" s="116">
        <v>120.85</v>
      </c>
      <c r="R541">
        <v>276579</v>
      </c>
    </row>
    <row r="542" spans="1:18" x14ac:dyDescent="0.25">
      <c r="A542" s="170">
        <v>42800</v>
      </c>
      <c r="B542" s="116">
        <v>110.694994243926</v>
      </c>
      <c r="C542" s="116">
        <v>108.51738779978299</v>
      </c>
      <c r="D542" s="116">
        <v>107.065650170355</v>
      </c>
      <c r="E542" s="116">
        <v>109.742291424613</v>
      </c>
      <c r="F542" s="116">
        <v>119.6</v>
      </c>
      <c r="G542">
        <v>31979</v>
      </c>
      <c r="H542" s="116"/>
      <c r="I542" s="116"/>
      <c r="L542" s="170">
        <v>42800</v>
      </c>
      <c r="M542" s="116">
        <v>111.83722996992068</v>
      </c>
      <c r="N542" s="116">
        <v>114.22371479354661</v>
      </c>
      <c r="O542" s="116">
        <v>110.33982772764561</v>
      </c>
      <c r="P542" s="116">
        <v>112.63272491112933</v>
      </c>
      <c r="Q542" s="116">
        <v>119.5</v>
      </c>
      <c r="R542">
        <v>1337000</v>
      </c>
    </row>
    <row r="543" spans="1:18" x14ac:dyDescent="0.25">
      <c r="A543" s="170">
        <v>42801</v>
      </c>
      <c r="B543" s="116">
        <v>111.829164266917</v>
      </c>
      <c r="C543" s="116">
        <v>111.103295452203</v>
      </c>
      <c r="D543" s="116">
        <v>107.61005178139</v>
      </c>
      <c r="E543" s="116">
        <v>108.109086591506</v>
      </c>
      <c r="F543" s="116">
        <v>122.45</v>
      </c>
      <c r="G543">
        <v>28713</v>
      </c>
      <c r="H543" s="116"/>
      <c r="I543" s="116"/>
      <c r="L543" s="170">
        <v>42801</v>
      </c>
      <c r="M543" s="116">
        <v>114.55127153404429</v>
      </c>
      <c r="N543" s="116">
        <v>115.48714793546623</v>
      </c>
      <c r="O543" s="116">
        <v>111.36929176920972</v>
      </c>
      <c r="P543" s="116">
        <v>111.55646704949412</v>
      </c>
      <c r="Q543" s="116">
        <v>122.4</v>
      </c>
      <c r="R543">
        <v>683680</v>
      </c>
    </row>
    <row r="544" spans="1:18" x14ac:dyDescent="0.25">
      <c r="A544" s="170">
        <v>42802</v>
      </c>
      <c r="B544" s="116">
        <v>111.874531067837</v>
      </c>
      <c r="C544" s="116">
        <v>111.05792865128301</v>
      </c>
      <c r="D544" s="116">
        <v>109.78765822553299</v>
      </c>
      <c r="E544" s="116">
        <v>109.78765822553299</v>
      </c>
      <c r="F544" s="116">
        <v>122.4</v>
      </c>
      <c r="G544">
        <v>33320</v>
      </c>
      <c r="H544" s="116"/>
      <c r="I544" s="116"/>
      <c r="L544" s="170">
        <v>42802</v>
      </c>
      <c r="M544" s="116">
        <v>114.83203445447087</v>
      </c>
      <c r="N544" s="116">
        <v>115.58073557560841</v>
      </c>
      <c r="O544" s="116">
        <v>113.28783839212468</v>
      </c>
      <c r="P544" s="116">
        <v>114.83203445447087</v>
      </c>
      <c r="Q544" s="116">
        <v>122.7</v>
      </c>
      <c r="R544">
        <v>373846</v>
      </c>
    </row>
    <row r="545" spans="1:18" x14ac:dyDescent="0.25">
      <c r="A545" s="170">
        <v>42803</v>
      </c>
      <c r="B545" s="116">
        <v>112.101365072435</v>
      </c>
      <c r="C545" s="116">
        <v>109.470090619096</v>
      </c>
      <c r="D545" s="116">
        <v>109.15252301265799</v>
      </c>
      <c r="E545" s="116">
        <v>111.602330262319</v>
      </c>
      <c r="F545" s="116">
        <v>120.65</v>
      </c>
      <c r="G545">
        <v>11344</v>
      </c>
      <c r="H545" s="116"/>
      <c r="I545" s="116"/>
      <c r="L545" s="170">
        <v>42803</v>
      </c>
      <c r="M545" s="116">
        <v>113.28783839212468</v>
      </c>
      <c r="N545" s="116">
        <v>115.76791085589279</v>
      </c>
      <c r="O545" s="116">
        <v>112.58593109105823</v>
      </c>
      <c r="P545" s="116">
        <v>115.76791085589279</v>
      </c>
      <c r="Q545" s="116">
        <v>121.05</v>
      </c>
      <c r="R545">
        <v>267825</v>
      </c>
    </row>
    <row r="546" spans="1:18" x14ac:dyDescent="0.25">
      <c r="A546" s="170">
        <v>42804</v>
      </c>
      <c r="B546" s="116">
        <v>110.694994243926</v>
      </c>
      <c r="C546" s="116">
        <v>109.515457420015</v>
      </c>
      <c r="D546" s="116">
        <v>108.51738779978299</v>
      </c>
      <c r="E546" s="116">
        <v>109.878391827372</v>
      </c>
      <c r="F546" s="116">
        <v>120.7</v>
      </c>
      <c r="G546">
        <v>56858</v>
      </c>
      <c r="H546" s="116"/>
      <c r="I546" s="116"/>
      <c r="L546" s="170">
        <v>42804</v>
      </c>
      <c r="M546" s="116">
        <v>113.24104457205358</v>
      </c>
      <c r="N546" s="116">
        <v>114.36409625375991</v>
      </c>
      <c r="O546" s="116">
        <v>111.6032608695652</v>
      </c>
      <c r="P546" s="116">
        <v>114.13012715340442</v>
      </c>
      <c r="Q546" s="116">
        <v>121</v>
      </c>
      <c r="R546">
        <v>596702</v>
      </c>
    </row>
    <row r="547" spans="1:18" x14ac:dyDescent="0.25">
      <c r="A547" s="170">
        <v>42808</v>
      </c>
      <c r="B547" s="116">
        <v>112.82723388714901</v>
      </c>
      <c r="C547" s="116">
        <v>109.243256614497</v>
      </c>
      <c r="D547" s="116">
        <v>108.063719790587</v>
      </c>
      <c r="E547" s="116">
        <v>112.82723388714901</v>
      </c>
      <c r="F547" s="116">
        <v>120.4</v>
      </c>
      <c r="G547">
        <v>74192</v>
      </c>
      <c r="H547" s="116"/>
      <c r="I547" s="116"/>
      <c r="L547" s="170">
        <v>42808</v>
      </c>
      <c r="M547" s="116">
        <v>113.10066311184029</v>
      </c>
      <c r="N547" s="116">
        <v>115.48714793546623</v>
      </c>
      <c r="O547" s="116">
        <v>110.99494120864095</v>
      </c>
      <c r="P547" s="116">
        <v>114.17692097347552</v>
      </c>
      <c r="Q547" s="116">
        <v>120.85</v>
      </c>
      <c r="R547">
        <v>404350</v>
      </c>
    </row>
    <row r="548" spans="1:18" x14ac:dyDescent="0.25">
      <c r="A548" s="170">
        <v>42809</v>
      </c>
      <c r="B548" s="116">
        <v>111.602330262319</v>
      </c>
      <c r="C548" s="116">
        <v>110.241326234729</v>
      </c>
      <c r="D548" s="116">
        <v>109.78765822553299</v>
      </c>
      <c r="E548" s="116">
        <v>109.878391827372</v>
      </c>
      <c r="F548" s="116">
        <v>121.5</v>
      </c>
      <c r="G548">
        <v>38317</v>
      </c>
      <c r="H548" s="116"/>
      <c r="I548" s="116"/>
      <c r="L548" s="170">
        <v>42809</v>
      </c>
      <c r="M548" s="116">
        <v>114.17692097347552</v>
      </c>
      <c r="N548" s="116">
        <v>114.73844681432867</v>
      </c>
      <c r="O548" s="116">
        <v>113.28783839212468</v>
      </c>
      <c r="P548" s="116">
        <v>113.42821985233797</v>
      </c>
      <c r="Q548" s="116">
        <v>122</v>
      </c>
      <c r="R548">
        <v>425738</v>
      </c>
    </row>
    <row r="549" spans="1:18" x14ac:dyDescent="0.25">
      <c r="A549" s="170">
        <v>42810</v>
      </c>
      <c r="B549" s="116">
        <v>112.05599827151499</v>
      </c>
      <c r="C549" s="116">
        <v>110.468160239328</v>
      </c>
      <c r="D549" s="116">
        <v>109.379357017256</v>
      </c>
      <c r="E549" s="116">
        <v>110.241326234729</v>
      </c>
      <c r="F549" s="116">
        <v>121.75</v>
      </c>
      <c r="G549">
        <v>47825</v>
      </c>
      <c r="H549" s="116"/>
      <c r="I549" s="116"/>
      <c r="L549" s="170">
        <v>42810</v>
      </c>
      <c r="M549" s="116">
        <v>113.80257041290673</v>
      </c>
      <c r="N549" s="116">
        <v>115.58073557560841</v>
      </c>
      <c r="O549" s="116">
        <v>113.14745693191139</v>
      </c>
      <c r="P549" s="116">
        <v>113.98974569319113</v>
      </c>
      <c r="Q549" s="116">
        <v>121.6</v>
      </c>
      <c r="R549">
        <v>553843</v>
      </c>
    </row>
    <row r="550" spans="1:18" x14ac:dyDescent="0.25">
      <c r="A550" s="170">
        <v>42811</v>
      </c>
      <c r="B550" s="116">
        <v>112.464299479792</v>
      </c>
      <c r="C550" s="116">
        <v>111.55696346139899</v>
      </c>
      <c r="D550" s="116">
        <v>109.470090619096</v>
      </c>
      <c r="E550" s="116">
        <v>109.833025026453</v>
      </c>
      <c r="F550" s="116">
        <v>122.95</v>
      </c>
      <c r="G550">
        <v>41240</v>
      </c>
      <c r="H550" s="116"/>
      <c r="I550" s="116"/>
      <c r="L550" s="170">
        <v>42811</v>
      </c>
      <c r="M550" s="116">
        <v>115.11279737489744</v>
      </c>
      <c r="N550" s="116">
        <v>116.04867377631938</v>
      </c>
      <c r="O550" s="116">
        <v>112.96028165162701</v>
      </c>
      <c r="P550" s="116">
        <v>113.98974569319113</v>
      </c>
      <c r="Q550" s="116">
        <v>123</v>
      </c>
      <c r="R550">
        <v>527861</v>
      </c>
    </row>
    <row r="551" spans="1:18" x14ac:dyDescent="0.25">
      <c r="A551" s="170">
        <v>42814</v>
      </c>
      <c r="B551" s="116">
        <v>112.917967488988</v>
      </c>
      <c r="C551" s="116">
        <v>110.468160239328</v>
      </c>
      <c r="D551" s="116">
        <v>110.059859031051</v>
      </c>
      <c r="E551" s="116">
        <v>111.602330262319</v>
      </c>
      <c r="F551" s="116">
        <v>121.75</v>
      </c>
      <c r="G551">
        <v>142084</v>
      </c>
      <c r="H551" s="116"/>
      <c r="I551" s="116"/>
      <c r="L551" s="170">
        <v>42814</v>
      </c>
      <c r="M551" s="116">
        <v>114.55127153404429</v>
      </c>
      <c r="N551" s="116">
        <v>116.93775635767021</v>
      </c>
      <c r="O551" s="116">
        <v>113.24104457205358</v>
      </c>
      <c r="P551" s="116">
        <v>116.04867377631938</v>
      </c>
      <c r="Q551" s="116">
        <v>122.4</v>
      </c>
      <c r="R551">
        <v>495303</v>
      </c>
    </row>
    <row r="552" spans="1:18" x14ac:dyDescent="0.25">
      <c r="A552" s="170">
        <v>42815</v>
      </c>
      <c r="B552" s="116">
        <v>114.32433831749699</v>
      </c>
      <c r="C552" s="116">
        <v>111.602330262319</v>
      </c>
      <c r="D552" s="116">
        <v>110.55889384116701</v>
      </c>
      <c r="E552" s="116">
        <v>113.598469502783</v>
      </c>
      <c r="F552" s="116">
        <v>123</v>
      </c>
      <c r="G552">
        <v>104074</v>
      </c>
      <c r="H552" s="116"/>
      <c r="I552" s="116"/>
      <c r="L552" s="170">
        <v>42815</v>
      </c>
      <c r="M552" s="116">
        <v>114.97241591468415</v>
      </c>
      <c r="N552" s="116">
        <v>116.98455017774131</v>
      </c>
      <c r="O552" s="116">
        <v>113.80257041290673</v>
      </c>
      <c r="P552" s="116">
        <v>116.98455017774131</v>
      </c>
      <c r="Q552" s="116">
        <v>122.85</v>
      </c>
      <c r="R552">
        <v>4297358</v>
      </c>
    </row>
    <row r="553" spans="1:18" x14ac:dyDescent="0.25">
      <c r="A553" s="170">
        <v>42816</v>
      </c>
      <c r="B553" s="116">
        <v>111.919897868756</v>
      </c>
      <c r="C553" s="116">
        <v>110.468160239328</v>
      </c>
      <c r="D553" s="116">
        <v>109.651557822774</v>
      </c>
      <c r="E553" s="116">
        <v>110.831094646685</v>
      </c>
      <c r="F553" s="116">
        <v>121.75</v>
      </c>
      <c r="G553">
        <v>3811544</v>
      </c>
      <c r="H553" s="116"/>
      <c r="I553" s="116"/>
      <c r="L553" s="170">
        <v>42816</v>
      </c>
      <c r="M553" s="116">
        <v>114.17692097347552</v>
      </c>
      <c r="N553" s="116">
        <v>115.48714793546623</v>
      </c>
      <c r="O553" s="116">
        <v>113.24104457205358</v>
      </c>
      <c r="P553" s="116">
        <v>114.92562209461306</v>
      </c>
      <c r="Q553" s="116">
        <v>122</v>
      </c>
      <c r="R553">
        <v>4611731</v>
      </c>
    </row>
    <row r="554" spans="1:18" x14ac:dyDescent="0.25">
      <c r="A554" s="170">
        <v>42817</v>
      </c>
      <c r="B554" s="116">
        <v>116.22974395612199</v>
      </c>
      <c r="C554" s="116">
        <v>112.73650028531</v>
      </c>
      <c r="D554" s="116">
        <v>110.694994243926</v>
      </c>
      <c r="E554" s="116">
        <v>110.694994243926</v>
      </c>
      <c r="F554" s="116">
        <v>124.25</v>
      </c>
      <c r="G554">
        <v>171905</v>
      </c>
      <c r="H554" s="116"/>
      <c r="I554" s="116"/>
      <c r="L554" s="170">
        <v>42817</v>
      </c>
      <c r="M554" s="116">
        <v>116.37623051681705</v>
      </c>
      <c r="N554" s="116">
        <v>120.26011758271807</v>
      </c>
      <c r="O554" s="116">
        <v>114.17692097347552</v>
      </c>
      <c r="P554" s="116">
        <v>114.17692097347552</v>
      </c>
      <c r="Q554" s="116">
        <v>124.35</v>
      </c>
      <c r="R554">
        <v>857735</v>
      </c>
    </row>
    <row r="555" spans="1:18" x14ac:dyDescent="0.25">
      <c r="A555" s="170">
        <v>42818</v>
      </c>
      <c r="B555" s="116">
        <v>114.00677071106</v>
      </c>
      <c r="C555" s="116">
        <v>112.464299479792</v>
      </c>
      <c r="D555" s="116">
        <v>111.148662253122</v>
      </c>
      <c r="E555" s="116">
        <v>112.509666280712</v>
      </c>
      <c r="F555" s="116">
        <v>123.95</v>
      </c>
      <c r="G555">
        <v>99073</v>
      </c>
      <c r="H555" s="116"/>
      <c r="I555" s="116"/>
      <c r="L555" s="170">
        <v>42818</v>
      </c>
      <c r="M555" s="116">
        <v>115.76791085589279</v>
      </c>
      <c r="N555" s="116">
        <v>117.59286983866556</v>
      </c>
      <c r="O555" s="116">
        <v>114.55127153404429</v>
      </c>
      <c r="P555" s="116">
        <v>116.79737489745692</v>
      </c>
      <c r="Q555" s="116">
        <v>123.7</v>
      </c>
      <c r="R555">
        <v>211196</v>
      </c>
    </row>
    <row r="556" spans="1:18" x14ac:dyDescent="0.25">
      <c r="A556" s="170">
        <v>42821</v>
      </c>
      <c r="B556" s="116">
        <v>113.371635498185</v>
      </c>
      <c r="C556" s="116">
        <v>111.330129456801</v>
      </c>
      <c r="D556" s="116">
        <v>110.649627443006</v>
      </c>
      <c r="E556" s="116">
        <v>112.282832276113</v>
      </c>
      <c r="F556" s="116">
        <v>122.7</v>
      </c>
      <c r="G556">
        <v>57019</v>
      </c>
      <c r="H556" s="116"/>
      <c r="I556" s="116"/>
      <c r="L556" s="170">
        <v>42821</v>
      </c>
      <c r="M556" s="116">
        <v>115.11279737489744</v>
      </c>
      <c r="N556" s="116">
        <v>116.70378725731473</v>
      </c>
      <c r="O556" s="116">
        <v>113.94295187312004</v>
      </c>
      <c r="P556" s="116">
        <v>116.04867377631938</v>
      </c>
      <c r="Q556" s="116">
        <v>123</v>
      </c>
      <c r="R556">
        <v>469004</v>
      </c>
    </row>
    <row r="557" spans="1:18" x14ac:dyDescent="0.25">
      <c r="A557" s="170">
        <v>42822</v>
      </c>
      <c r="B557" s="116">
        <v>113.598469502783</v>
      </c>
      <c r="C557" s="116">
        <v>112.781867086229</v>
      </c>
      <c r="D557" s="116">
        <v>111.19402905404201</v>
      </c>
      <c r="E557" s="116">
        <v>111.602330262319</v>
      </c>
      <c r="F557" s="116">
        <v>124.3</v>
      </c>
      <c r="G557">
        <v>248180</v>
      </c>
      <c r="H557" s="116"/>
      <c r="I557" s="116"/>
      <c r="L557" s="170">
        <v>42822</v>
      </c>
      <c r="M557" s="116">
        <v>116.70378725731473</v>
      </c>
      <c r="N557" s="116">
        <v>117.21851927809679</v>
      </c>
      <c r="O557" s="116">
        <v>114.64485917418648</v>
      </c>
      <c r="P557" s="116">
        <v>116.89096253759912</v>
      </c>
      <c r="Q557" s="116">
        <v>124.7</v>
      </c>
      <c r="R557">
        <v>838056</v>
      </c>
    </row>
    <row r="558" spans="1:18" x14ac:dyDescent="0.25">
      <c r="A558" s="170">
        <v>42823</v>
      </c>
      <c r="B558" s="116">
        <v>114.641905923935</v>
      </c>
      <c r="C558" s="116">
        <v>113.46236910002401</v>
      </c>
      <c r="D558" s="116">
        <v>112.32819907703301</v>
      </c>
      <c r="E558" s="116">
        <v>112.872600688069</v>
      </c>
      <c r="F558" s="116">
        <v>125.05</v>
      </c>
      <c r="G558">
        <v>58912</v>
      </c>
      <c r="H558" s="116"/>
      <c r="I558" s="116"/>
      <c r="L558" s="170">
        <v>42823</v>
      </c>
      <c r="M558" s="116">
        <v>117.21851927809679</v>
      </c>
      <c r="N558" s="116">
        <v>118.5287462400875</v>
      </c>
      <c r="O558" s="116">
        <v>115.86149849603498</v>
      </c>
      <c r="P558" s="116">
        <v>116.18905523653267</v>
      </c>
      <c r="Q558" s="116">
        <v>125.25</v>
      </c>
      <c r="R558">
        <v>396696</v>
      </c>
    </row>
    <row r="559" spans="1:18" x14ac:dyDescent="0.25">
      <c r="A559" s="170">
        <v>42824</v>
      </c>
      <c r="B559" s="116">
        <v>115.23167433589001</v>
      </c>
      <c r="C559" s="116">
        <v>114.415071919336</v>
      </c>
      <c r="D559" s="116">
        <v>112.509666280712</v>
      </c>
      <c r="E559" s="116">
        <v>114.278971516578</v>
      </c>
      <c r="F559" s="116">
        <v>126.1</v>
      </c>
      <c r="G559">
        <v>358107</v>
      </c>
      <c r="H559" s="116"/>
      <c r="I559" s="116"/>
      <c r="L559" s="170">
        <v>42824</v>
      </c>
      <c r="M559" s="116">
        <v>118.4351585999453</v>
      </c>
      <c r="N559" s="116">
        <v>118.85630298058517</v>
      </c>
      <c r="O559" s="116">
        <v>116.70378725731473</v>
      </c>
      <c r="P559" s="116">
        <v>117.92042657916323</v>
      </c>
      <c r="Q559" s="116">
        <v>126.55</v>
      </c>
      <c r="R559">
        <v>462843</v>
      </c>
    </row>
    <row r="560" spans="1:18" x14ac:dyDescent="0.25">
      <c r="A560" s="170">
        <v>42825</v>
      </c>
      <c r="B560" s="116">
        <v>116.86487916899701</v>
      </c>
      <c r="C560" s="116">
        <v>115.23167433589001</v>
      </c>
      <c r="D560" s="116">
        <v>113.96140391014001</v>
      </c>
      <c r="E560" s="116">
        <v>114.32433831749699</v>
      </c>
      <c r="F560" s="116">
        <v>127</v>
      </c>
      <c r="G560">
        <v>55498</v>
      </c>
      <c r="H560" s="116"/>
      <c r="I560" s="116"/>
      <c r="L560" s="170">
        <v>42825</v>
      </c>
      <c r="M560" s="116">
        <v>118.76271534044298</v>
      </c>
      <c r="N560" s="116">
        <v>120.40049904293136</v>
      </c>
      <c r="O560" s="116">
        <v>117.45248837845227</v>
      </c>
      <c r="P560" s="116">
        <v>117.73325129887886</v>
      </c>
      <c r="Q560" s="116">
        <v>126.9</v>
      </c>
      <c r="R560">
        <v>357326</v>
      </c>
    </row>
    <row r="561" spans="1:18" x14ac:dyDescent="0.25">
      <c r="A561" s="170">
        <v>42828</v>
      </c>
      <c r="B561" s="116">
        <v>115.458508340488</v>
      </c>
      <c r="C561" s="116">
        <v>114.95947353037199</v>
      </c>
      <c r="D561" s="116">
        <v>113.19016829450599</v>
      </c>
      <c r="E561" s="116">
        <v>113.417002299104</v>
      </c>
      <c r="F561" s="116">
        <v>126.7</v>
      </c>
      <c r="G561">
        <v>50590</v>
      </c>
      <c r="H561" s="116"/>
      <c r="I561" s="116"/>
      <c r="L561" s="170">
        <v>42828</v>
      </c>
      <c r="M561" s="116">
        <v>119.13706590101174</v>
      </c>
      <c r="N561" s="116">
        <v>119.69859174186492</v>
      </c>
      <c r="O561" s="116">
        <v>116.70378725731473</v>
      </c>
      <c r="P561" s="116">
        <v>118.80950916051407</v>
      </c>
      <c r="Q561" s="116">
        <v>127.3</v>
      </c>
      <c r="R561">
        <v>393591</v>
      </c>
    </row>
    <row r="562" spans="1:18" x14ac:dyDescent="0.25">
      <c r="A562" s="170">
        <v>42830</v>
      </c>
      <c r="B562" s="116">
        <v>119.405420020497</v>
      </c>
      <c r="C562" s="116">
        <v>117.908315590149</v>
      </c>
      <c r="D562" s="116">
        <v>117.046346372676</v>
      </c>
      <c r="E562" s="116">
        <v>117.95368239106899</v>
      </c>
      <c r="F562" s="116">
        <v>129.94999999999999</v>
      </c>
      <c r="G562">
        <v>111458</v>
      </c>
      <c r="H562" s="116"/>
      <c r="I562" s="116"/>
      <c r="L562" s="170">
        <v>42830</v>
      </c>
      <c r="M562" s="116">
        <v>122.41263330598852</v>
      </c>
      <c r="N562" s="116">
        <v>123.06774678698386</v>
      </c>
      <c r="O562" s="116">
        <v>120.72805578342903</v>
      </c>
      <c r="P562" s="116">
        <v>120.72805578342903</v>
      </c>
      <c r="Q562" s="116">
        <v>130.80000000000001</v>
      </c>
      <c r="R562">
        <v>649330</v>
      </c>
    </row>
    <row r="563" spans="1:18" x14ac:dyDescent="0.25">
      <c r="A563" s="170">
        <v>42831</v>
      </c>
      <c r="B563" s="116">
        <v>117.99904919198799</v>
      </c>
      <c r="C563" s="116">
        <v>117.36391397911299</v>
      </c>
      <c r="D563" s="116">
        <v>116.45657796072</v>
      </c>
      <c r="E563" s="116">
        <v>117.046346372676</v>
      </c>
      <c r="F563" s="116">
        <v>129.35</v>
      </c>
      <c r="G563">
        <v>18104</v>
      </c>
      <c r="H563" s="116"/>
      <c r="I563" s="116"/>
      <c r="L563" s="170">
        <v>42831</v>
      </c>
      <c r="M563" s="116">
        <v>121.52355072463766</v>
      </c>
      <c r="N563" s="116">
        <v>122.45942712605959</v>
      </c>
      <c r="O563" s="116">
        <v>120.11973612250478</v>
      </c>
      <c r="P563" s="116">
        <v>122.45942712605959</v>
      </c>
      <c r="Q563" s="116">
        <v>129.85</v>
      </c>
      <c r="R563">
        <v>251125</v>
      </c>
    </row>
    <row r="564" spans="1:18" x14ac:dyDescent="0.25">
      <c r="A564" s="170">
        <v>42832</v>
      </c>
      <c r="B564" s="116">
        <v>118.452717201185</v>
      </c>
      <c r="C564" s="116">
        <v>117.908315590149</v>
      </c>
      <c r="D564" s="116">
        <v>116.774145567158</v>
      </c>
      <c r="E564" s="116">
        <v>117.95368239106899</v>
      </c>
      <c r="F564" s="116">
        <v>129.94999999999999</v>
      </c>
      <c r="G564">
        <v>21018</v>
      </c>
      <c r="H564" s="116"/>
      <c r="I564" s="116"/>
      <c r="L564" s="170">
        <v>42832</v>
      </c>
      <c r="M564" s="116">
        <v>121.99148892534863</v>
      </c>
      <c r="N564" s="116">
        <v>122.59980858627289</v>
      </c>
      <c r="O564" s="116">
        <v>120.44729286300245</v>
      </c>
      <c r="P564" s="116">
        <v>121.66393218485096</v>
      </c>
      <c r="Q564" s="116">
        <v>130.35</v>
      </c>
      <c r="R564">
        <v>1142525</v>
      </c>
    </row>
    <row r="565" spans="1:18" x14ac:dyDescent="0.25">
      <c r="A565" s="170">
        <v>42835</v>
      </c>
      <c r="B565" s="116">
        <v>118.77028480762201</v>
      </c>
      <c r="C565" s="116">
        <v>117.00097957175601</v>
      </c>
      <c r="D565" s="116">
        <v>116.50194476164</v>
      </c>
      <c r="E565" s="116">
        <v>118.77028480762201</v>
      </c>
      <c r="F565" s="116">
        <v>128.94999999999999</v>
      </c>
      <c r="G565">
        <v>29320</v>
      </c>
      <c r="H565" s="116"/>
      <c r="I565" s="116"/>
      <c r="L565" s="170">
        <v>42835</v>
      </c>
      <c r="M565" s="116">
        <v>120.96202488378451</v>
      </c>
      <c r="N565" s="116">
        <v>122.36583948591741</v>
      </c>
      <c r="O565" s="116">
        <v>120.30691140278917</v>
      </c>
      <c r="P565" s="116">
        <v>122.36583948591741</v>
      </c>
      <c r="Q565" s="116">
        <v>129.25</v>
      </c>
      <c r="R565">
        <v>303141</v>
      </c>
    </row>
    <row r="566" spans="1:18" x14ac:dyDescent="0.25">
      <c r="A566" s="170">
        <v>42836</v>
      </c>
      <c r="B566" s="116">
        <v>117.95368239106899</v>
      </c>
      <c r="C566" s="116">
        <v>117.091713173595</v>
      </c>
      <c r="D566" s="116">
        <v>115.821442747845</v>
      </c>
      <c r="E566" s="116">
        <v>117.046346372676</v>
      </c>
      <c r="F566" s="116">
        <v>129.05000000000001</v>
      </c>
      <c r="G566">
        <v>52456</v>
      </c>
      <c r="H566" s="116"/>
      <c r="I566" s="116"/>
      <c r="L566" s="170">
        <v>42836</v>
      </c>
      <c r="M566" s="116">
        <v>120.96202488378451</v>
      </c>
      <c r="N566" s="116">
        <v>121.99148892534863</v>
      </c>
      <c r="O566" s="116">
        <v>119.60500410172271</v>
      </c>
      <c r="P566" s="116">
        <v>120.91523106371341</v>
      </c>
      <c r="Q566" s="116">
        <v>129.25</v>
      </c>
      <c r="R566">
        <v>465279</v>
      </c>
    </row>
    <row r="567" spans="1:18" x14ac:dyDescent="0.25">
      <c r="A567" s="170">
        <v>42837</v>
      </c>
      <c r="B567" s="116">
        <v>118.63418440486301</v>
      </c>
      <c r="C567" s="116">
        <v>116.36584435888101</v>
      </c>
      <c r="D567" s="116">
        <v>115.23167433589001</v>
      </c>
      <c r="E567" s="116">
        <v>117.046346372676</v>
      </c>
      <c r="F567" s="116">
        <v>128.25</v>
      </c>
      <c r="G567">
        <v>178261</v>
      </c>
      <c r="H567" s="116"/>
      <c r="I567" s="116"/>
      <c r="L567" s="170">
        <v>42837</v>
      </c>
      <c r="M567" s="116">
        <v>119.88576702214928</v>
      </c>
      <c r="N567" s="116">
        <v>122.59980858627289</v>
      </c>
      <c r="O567" s="116">
        <v>118.5287462400875</v>
      </c>
      <c r="P567" s="116">
        <v>121.66393218485096</v>
      </c>
      <c r="Q567" s="116">
        <v>128.1</v>
      </c>
      <c r="R567">
        <v>188603</v>
      </c>
    </row>
    <row r="568" spans="1:18" x14ac:dyDescent="0.25">
      <c r="A568" s="170">
        <v>42838</v>
      </c>
      <c r="B568" s="116">
        <v>117.137079974515</v>
      </c>
      <c r="C568" s="116">
        <v>116.002909951524</v>
      </c>
      <c r="D568" s="116">
        <v>115.685342345086</v>
      </c>
      <c r="E568" s="116">
        <v>116.18437715520299</v>
      </c>
      <c r="F568" s="116">
        <v>127.85</v>
      </c>
      <c r="G568">
        <v>16468</v>
      </c>
      <c r="H568" s="116"/>
      <c r="I568" s="116"/>
      <c r="L568" s="170">
        <v>42838</v>
      </c>
      <c r="M568" s="116">
        <v>119.97935466229147</v>
      </c>
      <c r="N568" s="116">
        <v>121.19599398413999</v>
      </c>
      <c r="O568" s="116">
        <v>119.41782882143832</v>
      </c>
      <c r="P568" s="116">
        <v>120.68126196335793</v>
      </c>
      <c r="Q568" s="116">
        <v>128.19999999999999</v>
      </c>
      <c r="R568">
        <v>529509</v>
      </c>
    </row>
    <row r="569" spans="1:18" x14ac:dyDescent="0.25">
      <c r="A569" s="170">
        <v>42842</v>
      </c>
      <c r="B569" s="116">
        <v>116.81951236807799</v>
      </c>
      <c r="C569" s="116">
        <v>116.139010354283</v>
      </c>
      <c r="D569" s="116">
        <v>115.140940734051</v>
      </c>
      <c r="E569" s="116">
        <v>116.139010354283</v>
      </c>
      <c r="F569" s="116">
        <v>128</v>
      </c>
      <c r="G569">
        <v>130915</v>
      </c>
      <c r="H569" s="116"/>
      <c r="I569" s="116"/>
      <c r="L569" s="170">
        <v>42842</v>
      </c>
      <c r="M569" s="116">
        <v>119.60500410172271</v>
      </c>
      <c r="N569" s="116">
        <v>121.14920016406889</v>
      </c>
      <c r="O569" s="116">
        <v>118.99668444079846</v>
      </c>
      <c r="P569" s="116">
        <v>121.14920016406889</v>
      </c>
      <c r="Q569" s="116">
        <v>127.8</v>
      </c>
      <c r="R569">
        <v>187659</v>
      </c>
    </row>
    <row r="570" spans="1:18" x14ac:dyDescent="0.25">
      <c r="A570" s="170">
        <v>42843</v>
      </c>
      <c r="B570" s="116">
        <v>119.586887224176</v>
      </c>
      <c r="C570" s="116">
        <v>116.411211159801</v>
      </c>
      <c r="D570" s="116">
        <v>115.458508340488</v>
      </c>
      <c r="E570" s="116">
        <v>116.139010354283</v>
      </c>
      <c r="F570" s="116">
        <v>128.30000000000001</v>
      </c>
      <c r="G570">
        <v>102198</v>
      </c>
      <c r="H570" s="116"/>
      <c r="I570" s="116"/>
      <c r="L570" s="170">
        <v>42843</v>
      </c>
      <c r="M570" s="116">
        <v>120.40049904293136</v>
      </c>
      <c r="N570" s="116">
        <v>123.53568498769482</v>
      </c>
      <c r="O570" s="116">
        <v>119.41782882143832</v>
      </c>
      <c r="P570" s="116">
        <v>120.11973612250478</v>
      </c>
      <c r="Q570" s="116">
        <v>128.65</v>
      </c>
      <c r="R570">
        <v>655944</v>
      </c>
    </row>
    <row r="571" spans="1:18" x14ac:dyDescent="0.25">
      <c r="A571" s="170">
        <v>42844</v>
      </c>
      <c r="B571" s="116">
        <v>118.13514959474701</v>
      </c>
      <c r="C571" s="116">
        <v>116.320477557961</v>
      </c>
      <c r="D571" s="116">
        <v>115.322407937729</v>
      </c>
      <c r="E571" s="116">
        <v>117.182446775435</v>
      </c>
      <c r="F571" s="116">
        <v>128.19999999999999</v>
      </c>
      <c r="G571">
        <v>38725</v>
      </c>
      <c r="H571" s="116"/>
      <c r="I571" s="116"/>
      <c r="L571" s="170">
        <v>42844</v>
      </c>
      <c r="M571" s="116">
        <v>119.745385561936</v>
      </c>
      <c r="N571" s="116">
        <v>122.08507656549082</v>
      </c>
      <c r="O571" s="116">
        <v>118.94989062072736</v>
      </c>
      <c r="P571" s="116">
        <v>121.0556125239267</v>
      </c>
      <c r="Q571" s="116">
        <v>127.95</v>
      </c>
      <c r="R571">
        <v>630151</v>
      </c>
    </row>
    <row r="572" spans="1:18" x14ac:dyDescent="0.25">
      <c r="A572" s="170">
        <v>42845</v>
      </c>
      <c r="B572" s="116">
        <v>117.046346372676</v>
      </c>
      <c r="C572" s="116">
        <v>114.778006326694</v>
      </c>
      <c r="D572" s="116">
        <v>112.32819907703301</v>
      </c>
      <c r="E572" s="116">
        <v>116.36584435888101</v>
      </c>
      <c r="F572" s="116">
        <v>126.5</v>
      </c>
      <c r="G572">
        <v>130421</v>
      </c>
      <c r="H572" s="116"/>
      <c r="I572" s="116"/>
      <c r="L572" s="170">
        <v>42845</v>
      </c>
      <c r="M572" s="116">
        <v>118.4351585999453</v>
      </c>
      <c r="N572" s="116">
        <v>121.10240634399781</v>
      </c>
      <c r="O572" s="116">
        <v>115.72111703582171</v>
      </c>
      <c r="P572" s="116">
        <v>120.21332376264695</v>
      </c>
      <c r="Q572" s="116">
        <v>126.55</v>
      </c>
      <c r="R572">
        <v>1065143</v>
      </c>
    </row>
    <row r="573" spans="1:18" x14ac:dyDescent="0.25">
      <c r="A573" s="170">
        <v>42846</v>
      </c>
      <c r="B573" s="116">
        <v>116.139010354283</v>
      </c>
      <c r="C573" s="116">
        <v>114.687272724854</v>
      </c>
      <c r="D573" s="116">
        <v>114.188237914738</v>
      </c>
      <c r="E573" s="116">
        <v>114.95947353037199</v>
      </c>
      <c r="F573" s="116">
        <v>126.4</v>
      </c>
      <c r="G573">
        <v>152403</v>
      </c>
      <c r="H573" s="116"/>
      <c r="I573" s="116"/>
      <c r="L573" s="170">
        <v>42846</v>
      </c>
      <c r="M573" s="116">
        <v>118.34157095980311</v>
      </c>
      <c r="N573" s="116">
        <v>119.79217938200709</v>
      </c>
      <c r="O573" s="116">
        <v>117.54607601859446</v>
      </c>
      <c r="P573" s="116">
        <v>117.96722039923434</v>
      </c>
      <c r="Q573" s="116">
        <v>126.45</v>
      </c>
      <c r="R573">
        <v>325172</v>
      </c>
    </row>
    <row r="574" spans="1:18" x14ac:dyDescent="0.25">
      <c r="A574" s="170">
        <v>42849</v>
      </c>
      <c r="B574" s="116">
        <v>115.912176349685</v>
      </c>
      <c r="C574" s="116">
        <v>113.96140391014001</v>
      </c>
      <c r="D574" s="116">
        <v>113.507735900944</v>
      </c>
      <c r="E574" s="116">
        <v>114.59653912301501</v>
      </c>
      <c r="F574" s="116">
        <v>125.6</v>
      </c>
      <c r="G574">
        <v>44722</v>
      </c>
      <c r="H574" s="116"/>
      <c r="I574" s="116"/>
      <c r="L574" s="170">
        <v>42849</v>
      </c>
      <c r="M574" s="116">
        <v>117.82683893902104</v>
      </c>
      <c r="N574" s="116">
        <v>119.745385561936</v>
      </c>
      <c r="O574" s="116">
        <v>117.0781378178835</v>
      </c>
      <c r="P574" s="116">
        <v>118.85630298058517</v>
      </c>
      <c r="Q574" s="116">
        <v>125.9</v>
      </c>
      <c r="R574">
        <v>198883</v>
      </c>
    </row>
    <row r="575" spans="1:18" x14ac:dyDescent="0.25">
      <c r="A575" s="170">
        <v>42850</v>
      </c>
      <c r="B575" s="116">
        <v>115.367774738649</v>
      </c>
      <c r="C575" s="116">
        <v>114.823373127613</v>
      </c>
      <c r="D575" s="116">
        <v>114.233604715658</v>
      </c>
      <c r="E575" s="116">
        <v>114.95947353037199</v>
      </c>
      <c r="F575" s="116">
        <v>126.55</v>
      </c>
      <c r="G575">
        <v>164806</v>
      </c>
      <c r="H575" s="116"/>
      <c r="I575" s="116"/>
      <c r="L575" s="170">
        <v>42850</v>
      </c>
      <c r="M575" s="116">
        <v>118.48195242001638</v>
      </c>
      <c r="N575" s="116">
        <v>119.18385972108284</v>
      </c>
      <c r="O575" s="116">
        <v>117.54607601859446</v>
      </c>
      <c r="P575" s="116">
        <v>118.76271534044298</v>
      </c>
      <c r="Q575" s="116">
        <v>126.6</v>
      </c>
      <c r="R575">
        <v>218397</v>
      </c>
    </row>
    <row r="576" spans="1:18" x14ac:dyDescent="0.25">
      <c r="A576" s="170">
        <v>42851</v>
      </c>
      <c r="B576" s="116">
        <v>115.59460874324699</v>
      </c>
      <c r="C576" s="116">
        <v>114.823373127613</v>
      </c>
      <c r="D576" s="116">
        <v>113.417002299104</v>
      </c>
      <c r="E576" s="116">
        <v>114.823373127613</v>
      </c>
      <c r="F576" s="116">
        <v>126.55</v>
      </c>
      <c r="G576">
        <v>61771</v>
      </c>
      <c r="H576" s="116"/>
      <c r="I576" s="116"/>
      <c r="L576" s="170">
        <v>42851</v>
      </c>
      <c r="M576" s="116">
        <v>118.71592152037188</v>
      </c>
      <c r="N576" s="116">
        <v>119.51141646158052</v>
      </c>
      <c r="O576" s="116">
        <v>117.54607601859446</v>
      </c>
      <c r="P576" s="116">
        <v>119.13706590101174</v>
      </c>
      <c r="Q576" s="116">
        <v>126.85</v>
      </c>
      <c r="R576">
        <v>233794</v>
      </c>
    </row>
    <row r="577" spans="1:18" x14ac:dyDescent="0.25">
      <c r="A577" s="170">
        <v>42852</v>
      </c>
      <c r="B577" s="116">
        <v>114.95947353037199</v>
      </c>
      <c r="C577" s="116">
        <v>113.507735900944</v>
      </c>
      <c r="D577" s="116">
        <v>112.872600688069</v>
      </c>
      <c r="E577" s="116">
        <v>114.95947353037199</v>
      </c>
      <c r="F577" s="116">
        <v>125.1</v>
      </c>
      <c r="G577">
        <v>26827</v>
      </c>
      <c r="H577" s="116"/>
      <c r="I577" s="116"/>
      <c r="L577" s="170">
        <v>42852</v>
      </c>
      <c r="M577" s="116">
        <v>117.68645747880775</v>
      </c>
      <c r="N577" s="116">
        <v>119.18385972108284</v>
      </c>
      <c r="O577" s="116">
        <v>116.61019961717253</v>
      </c>
      <c r="P577" s="116">
        <v>119.18385972108284</v>
      </c>
      <c r="Q577" s="116">
        <v>125.75</v>
      </c>
      <c r="R577">
        <v>242131</v>
      </c>
    </row>
    <row r="578" spans="1:18" x14ac:dyDescent="0.25">
      <c r="A578" s="170">
        <v>42853</v>
      </c>
      <c r="B578" s="116">
        <v>118.271249997506</v>
      </c>
      <c r="C578" s="116">
        <v>116.638045164399</v>
      </c>
      <c r="D578" s="116">
        <v>114.142871113819</v>
      </c>
      <c r="E578" s="116">
        <v>114.278971516578</v>
      </c>
      <c r="F578" s="116">
        <v>128.55000000000001</v>
      </c>
      <c r="G578">
        <v>342538</v>
      </c>
      <c r="H578" s="116"/>
      <c r="I578" s="116"/>
      <c r="L578" s="170">
        <v>42853</v>
      </c>
      <c r="M578" s="116">
        <v>120.11973612250478</v>
      </c>
      <c r="N578" s="116">
        <v>122.13187038556192</v>
      </c>
      <c r="O578" s="116">
        <v>117.31210691823898</v>
      </c>
      <c r="P578" s="116">
        <v>118.38836477987421</v>
      </c>
      <c r="Q578" s="116">
        <v>128.35</v>
      </c>
      <c r="R578">
        <v>339330</v>
      </c>
    </row>
    <row r="579" spans="1:18" x14ac:dyDescent="0.25">
      <c r="A579" s="170">
        <v>42857</v>
      </c>
      <c r="B579" s="116">
        <v>117.409280780033</v>
      </c>
      <c r="C579" s="116">
        <v>116.86487916899701</v>
      </c>
      <c r="D579" s="116">
        <v>114.46043872025599</v>
      </c>
      <c r="E579" s="116">
        <v>114.95947353037199</v>
      </c>
      <c r="F579" s="116">
        <v>128.80000000000001</v>
      </c>
      <c r="G579">
        <v>53259</v>
      </c>
      <c r="H579" s="116"/>
      <c r="I579" s="116"/>
      <c r="L579" s="170">
        <v>42857</v>
      </c>
      <c r="M579" s="116">
        <v>120.82164342357122</v>
      </c>
      <c r="N579" s="116">
        <v>121.19599398413999</v>
      </c>
      <c r="O579" s="116">
        <v>118.38836477987421</v>
      </c>
      <c r="P579" s="116">
        <v>120.72805578342903</v>
      </c>
      <c r="Q579" s="116">
        <v>129.1</v>
      </c>
      <c r="R579">
        <v>308891</v>
      </c>
    </row>
    <row r="580" spans="1:18" x14ac:dyDescent="0.25">
      <c r="A580" s="170">
        <v>42858</v>
      </c>
      <c r="B580" s="116">
        <v>117.00097957175601</v>
      </c>
      <c r="C580" s="116">
        <v>116.139010354283</v>
      </c>
      <c r="D580" s="116">
        <v>114.59653912301501</v>
      </c>
      <c r="E580" s="116">
        <v>114.95947353037199</v>
      </c>
      <c r="F580" s="116">
        <v>128</v>
      </c>
      <c r="G580">
        <v>34597</v>
      </c>
      <c r="H580" s="116"/>
      <c r="I580" s="116"/>
      <c r="L580" s="170">
        <v>42858</v>
      </c>
      <c r="M580" s="116">
        <v>119.88576702214928</v>
      </c>
      <c r="N580" s="116">
        <v>120.49408668307355</v>
      </c>
      <c r="O580" s="116">
        <v>117.73325129887886</v>
      </c>
      <c r="P580" s="116">
        <v>120.16652994257588</v>
      </c>
      <c r="Q580" s="116">
        <v>128.1</v>
      </c>
      <c r="R580">
        <v>166626</v>
      </c>
    </row>
    <row r="581" spans="1:18" x14ac:dyDescent="0.25">
      <c r="A581" s="170">
        <v>42859</v>
      </c>
      <c r="B581" s="116">
        <v>117.36391397911299</v>
      </c>
      <c r="C581" s="116">
        <v>117.046346372676</v>
      </c>
      <c r="D581" s="116">
        <v>116.18437715520299</v>
      </c>
      <c r="E581" s="116">
        <v>116.36584435888101</v>
      </c>
      <c r="F581" s="116">
        <v>129</v>
      </c>
      <c r="G581">
        <v>38655</v>
      </c>
      <c r="H581" s="116"/>
      <c r="I581" s="116"/>
      <c r="L581" s="170">
        <v>42859</v>
      </c>
      <c r="M581" s="116">
        <v>120.82164342357122</v>
      </c>
      <c r="N581" s="116">
        <v>121.28958162428218</v>
      </c>
      <c r="O581" s="116">
        <v>119.18385972108284</v>
      </c>
      <c r="P581" s="116">
        <v>119.18385972108284</v>
      </c>
      <c r="Q581" s="116">
        <v>129.1</v>
      </c>
      <c r="R581">
        <v>240018</v>
      </c>
    </row>
    <row r="582" spans="1:18" x14ac:dyDescent="0.25">
      <c r="A582" s="170">
        <v>42860</v>
      </c>
      <c r="B582" s="116">
        <v>117.409280780033</v>
      </c>
      <c r="C582" s="116">
        <v>116.683411965319</v>
      </c>
      <c r="D582" s="116">
        <v>115.639975544167</v>
      </c>
      <c r="E582" s="116">
        <v>117.409280780033</v>
      </c>
      <c r="F582" s="116">
        <v>128.6</v>
      </c>
      <c r="G582">
        <v>28420</v>
      </c>
      <c r="H582" s="116"/>
      <c r="I582" s="116"/>
      <c r="L582" s="170">
        <v>42860</v>
      </c>
      <c r="M582" s="116">
        <v>120.68126196335793</v>
      </c>
      <c r="N582" s="116">
        <v>121.42996308449548</v>
      </c>
      <c r="O582" s="116">
        <v>119.32424118129613</v>
      </c>
      <c r="P582" s="116">
        <v>121.42996308449548</v>
      </c>
      <c r="Q582" s="116">
        <v>128.94999999999999</v>
      </c>
      <c r="R582">
        <v>319916</v>
      </c>
    </row>
    <row r="583" spans="1:18" x14ac:dyDescent="0.25">
      <c r="A583" s="170">
        <v>42863</v>
      </c>
      <c r="B583" s="116">
        <v>117.227813576354</v>
      </c>
      <c r="C583" s="116">
        <v>116.683411965319</v>
      </c>
      <c r="D583" s="116">
        <v>116.048276752444</v>
      </c>
      <c r="E583" s="116">
        <v>116.09364355336299</v>
      </c>
      <c r="F583" s="116">
        <v>128.6</v>
      </c>
      <c r="G583">
        <v>33789</v>
      </c>
      <c r="H583" s="116"/>
      <c r="I583" s="116"/>
      <c r="L583" s="170">
        <v>42863</v>
      </c>
      <c r="M583" s="116">
        <v>120.68126196335793</v>
      </c>
      <c r="N583" s="116">
        <v>121.10240634399781</v>
      </c>
      <c r="O583" s="116">
        <v>119.83897320207821</v>
      </c>
      <c r="P583" s="116">
        <v>120.16652994257588</v>
      </c>
      <c r="Q583" s="116">
        <v>128.94999999999999</v>
      </c>
      <c r="R583">
        <v>191392</v>
      </c>
    </row>
    <row r="584" spans="1:18" x14ac:dyDescent="0.25">
      <c r="A584" s="170">
        <v>42864</v>
      </c>
      <c r="B584" s="116">
        <v>118.58881760394399</v>
      </c>
      <c r="C584" s="116">
        <v>117.681481585551</v>
      </c>
      <c r="D584" s="116">
        <v>116.048276752444</v>
      </c>
      <c r="E584" s="116">
        <v>116.683411965319</v>
      </c>
      <c r="F584" s="116">
        <v>129.69999999999999</v>
      </c>
      <c r="G584">
        <v>32538</v>
      </c>
      <c r="H584" s="116"/>
      <c r="I584" s="116"/>
      <c r="L584" s="170">
        <v>42864</v>
      </c>
      <c r="M584" s="116">
        <v>121.75751982499315</v>
      </c>
      <c r="N584" s="116">
        <v>122.59980858627289</v>
      </c>
      <c r="O584" s="116">
        <v>119.79217938200709</v>
      </c>
      <c r="P584" s="116">
        <v>120.72805578342903</v>
      </c>
      <c r="Q584" s="116">
        <v>130.1</v>
      </c>
      <c r="R584">
        <v>700546</v>
      </c>
    </row>
    <row r="585" spans="1:18" x14ac:dyDescent="0.25">
      <c r="A585" s="170">
        <v>42865</v>
      </c>
      <c r="B585" s="116">
        <v>121.083991654524</v>
      </c>
      <c r="C585" s="116">
        <v>119.949821631533</v>
      </c>
      <c r="D585" s="116">
        <v>118.679551205783</v>
      </c>
      <c r="E585" s="116">
        <v>118.77028480762201</v>
      </c>
      <c r="F585" s="116">
        <v>132.19999999999999</v>
      </c>
      <c r="G585">
        <v>93692</v>
      </c>
      <c r="H585" s="116"/>
      <c r="I585" s="116"/>
      <c r="L585" s="170">
        <v>42865</v>
      </c>
      <c r="M585" s="116">
        <v>124.00362318840578</v>
      </c>
      <c r="N585" s="116">
        <v>124.93949958982772</v>
      </c>
      <c r="O585" s="116">
        <v>122.03828274541974</v>
      </c>
      <c r="P585" s="116">
        <v>122.59980858627289</v>
      </c>
      <c r="Q585" s="116">
        <v>132.5</v>
      </c>
      <c r="R585">
        <v>469506</v>
      </c>
    </row>
    <row r="586" spans="1:18" x14ac:dyDescent="0.25">
      <c r="A586" s="170">
        <v>42866</v>
      </c>
      <c r="B586" s="116">
        <v>123.216231297747</v>
      </c>
      <c r="C586" s="116">
        <v>121.90059407107699</v>
      </c>
      <c r="D586" s="116">
        <v>119.76835442785401</v>
      </c>
      <c r="E586" s="116">
        <v>119.76835442785401</v>
      </c>
      <c r="F586" s="116">
        <v>134.35</v>
      </c>
      <c r="G586">
        <v>94153</v>
      </c>
      <c r="H586" s="116"/>
      <c r="I586" s="116"/>
      <c r="L586" s="170">
        <v>42866</v>
      </c>
      <c r="M586" s="116">
        <v>125.59461307082306</v>
      </c>
      <c r="N586" s="116">
        <v>127.18560295324035</v>
      </c>
      <c r="O586" s="116">
        <v>123.53568498769482</v>
      </c>
      <c r="P586" s="116">
        <v>123.8164479081214</v>
      </c>
      <c r="Q586" s="116">
        <v>134.19999999999999</v>
      </c>
      <c r="R586">
        <v>498394</v>
      </c>
    </row>
    <row r="587" spans="1:18" x14ac:dyDescent="0.25">
      <c r="A587" s="170">
        <v>42867</v>
      </c>
      <c r="B587" s="116">
        <v>121.855227270158</v>
      </c>
      <c r="C587" s="116">
        <v>120.721057247167</v>
      </c>
      <c r="D587" s="116">
        <v>119.13321921497899</v>
      </c>
      <c r="E587" s="116">
        <v>121.809860469238</v>
      </c>
      <c r="F587" s="116">
        <v>133.05000000000001</v>
      </c>
      <c r="G587">
        <v>42358</v>
      </c>
      <c r="H587" s="116"/>
      <c r="I587" s="116"/>
      <c r="L587" s="170">
        <v>42867</v>
      </c>
      <c r="M587" s="116">
        <v>124.56514902925893</v>
      </c>
      <c r="N587" s="116">
        <v>125.87537599124964</v>
      </c>
      <c r="O587" s="116">
        <v>122.69339622641508</v>
      </c>
      <c r="P587" s="116">
        <v>125.2202625102543</v>
      </c>
      <c r="Q587" s="116">
        <v>133.1</v>
      </c>
      <c r="R587">
        <v>237856</v>
      </c>
    </row>
    <row r="588" spans="1:18" x14ac:dyDescent="0.25">
      <c r="A588" s="170">
        <v>42870</v>
      </c>
      <c r="B588" s="116">
        <v>125.212370538211</v>
      </c>
      <c r="C588" s="116">
        <v>124.53186852441701</v>
      </c>
      <c r="D588" s="116">
        <v>120.675690446247</v>
      </c>
      <c r="E588" s="116">
        <v>121.083991654524</v>
      </c>
      <c r="F588" s="116">
        <v>137.25</v>
      </c>
      <c r="G588">
        <v>79889</v>
      </c>
      <c r="H588" s="116"/>
      <c r="I588" s="116"/>
      <c r="L588" s="170">
        <v>42870</v>
      </c>
      <c r="M588" s="116">
        <v>128.35544845501778</v>
      </c>
      <c r="N588" s="116">
        <v>129.24453103636858</v>
      </c>
      <c r="O588" s="116">
        <v>124.42476756904564</v>
      </c>
      <c r="P588" s="116">
        <v>124.56514902925893</v>
      </c>
      <c r="Q588" s="116">
        <v>137.15</v>
      </c>
      <c r="R588">
        <v>944279</v>
      </c>
    </row>
    <row r="589" spans="1:18" x14ac:dyDescent="0.25">
      <c r="A589" s="170">
        <v>42871</v>
      </c>
      <c r="B589" s="116">
        <v>131.56372266696101</v>
      </c>
      <c r="C589" s="116">
        <v>130.97395425500599</v>
      </c>
      <c r="D589" s="116">
        <v>125.43920454280899</v>
      </c>
      <c r="E589" s="116">
        <v>125.52993814464899</v>
      </c>
      <c r="F589" s="116">
        <v>144.35</v>
      </c>
      <c r="G589">
        <v>250937</v>
      </c>
      <c r="H589" s="116"/>
      <c r="I589" s="116"/>
      <c r="L589" s="170">
        <v>42871</v>
      </c>
      <c r="M589" s="116">
        <v>135.00017090511346</v>
      </c>
      <c r="N589" s="116">
        <v>135.6552843861088</v>
      </c>
      <c r="O589" s="116">
        <v>128.68300519551545</v>
      </c>
      <c r="P589" s="116">
        <v>128.77659283565762</v>
      </c>
      <c r="Q589" s="116">
        <v>144.25</v>
      </c>
      <c r="R589">
        <v>1402942</v>
      </c>
    </row>
    <row r="590" spans="1:18" x14ac:dyDescent="0.25">
      <c r="A590" s="170">
        <v>42872</v>
      </c>
      <c r="B590" s="116">
        <v>130.701753449488</v>
      </c>
      <c r="C590" s="116">
        <v>129.83978423201501</v>
      </c>
      <c r="D590" s="116">
        <v>126.57337456579999</v>
      </c>
      <c r="E590" s="116">
        <v>130.656386648568</v>
      </c>
      <c r="F590" s="116">
        <v>143.1</v>
      </c>
      <c r="G590">
        <v>68580</v>
      </c>
      <c r="H590" s="116"/>
      <c r="I590" s="116"/>
      <c r="L590" s="170">
        <v>42872</v>
      </c>
      <c r="M590" s="116">
        <v>134.15788214383372</v>
      </c>
      <c r="N590" s="116">
        <v>135.23414000546896</v>
      </c>
      <c r="O590" s="116">
        <v>130.60155181843041</v>
      </c>
      <c r="P590" s="116">
        <v>135.00017090511346</v>
      </c>
      <c r="Q590" s="116">
        <v>143.35</v>
      </c>
      <c r="R590">
        <v>516036</v>
      </c>
    </row>
    <row r="591" spans="1:18" x14ac:dyDescent="0.25">
      <c r="A591" s="170">
        <v>42873</v>
      </c>
      <c r="B591" s="116">
        <v>132.15349107891601</v>
      </c>
      <c r="C591" s="116">
        <v>125.66603854740799</v>
      </c>
      <c r="D591" s="116">
        <v>123.94210011246101</v>
      </c>
      <c r="E591" s="116">
        <v>129.02318181546099</v>
      </c>
      <c r="F591" s="116">
        <v>138.5</v>
      </c>
      <c r="G591">
        <v>72859</v>
      </c>
      <c r="H591" s="116"/>
      <c r="I591" s="116"/>
      <c r="L591" s="170">
        <v>42873</v>
      </c>
      <c r="M591" s="116">
        <v>129.61888159693737</v>
      </c>
      <c r="N591" s="116">
        <v>136.17001640689088</v>
      </c>
      <c r="O591" s="116">
        <v>128.49582991523107</v>
      </c>
      <c r="P591" s="116">
        <v>132.42651080120316</v>
      </c>
      <c r="Q591" s="116">
        <v>138.5</v>
      </c>
      <c r="R591">
        <v>696700</v>
      </c>
    </row>
    <row r="592" spans="1:18" x14ac:dyDescent="0.25">
      <c r="A592" s="170">
        <v>42874</v>
      </c>
      <c r="B592" s="116">
        <v>128.660247408104</v>
      </c>
      <c r="C592" s="116">
        <v>125.80213895016701</v>
      </c>
      <c r="D592" s="116">
        <v>121.90059407107699</v>
      </c>
      <c r="E592" s="116">
        <v>126.028972954765</v>
      </c>
      <c r="F592" s="116">
        <v>138.65</v>
      </c>
      <c r="G592">
        <v>83121</v>
      </c>
      <c r="H592" s="116"/>
      <c r="I592" s="116"/>
      <c r="L592" s="170">
        <v>42874</v>
      </c>
      <c r="M592" s="116">
        <v>130.32078889800383</v>
      </c>
      <c r="N592" s="116">
        <v>132.70727372162975</v>
      </c>
      <c r="O592" s="116">
        <v>124.93949958982772</v>
      </c>
      <c r="P592" s="116">
        <v>131.02269619907025</v>
      </c>
      <c r="Q592" s="116">
        <v>139.25</v>
      </c>
      <c r="R592">
        <v>377909</v>
      </c>
    </row>
    <row r="593" spans="1:18" x14ac:dyDescent="0.25">
      <c r="A593" s="170">
        <v>42877</v>
      </c>
      <c r="B593" s="116">
        <v>129.658317028336</v>
      </c>
      <c r="C593" s="116">
        <v>127.752911389711</v>
      </c>
      <c r="D593" s="116">
        <v>127.389976982354</v>
      </c>
      <c r="E593" s="116">
        <v>127.43534378327401</v>
      </c>
      <c r="F593" s="116">
        <v>140.80000000000001</v>
      </c>
      <c r="G593">
        <v>46648</v>
      </c>
      <c r="H593" s="116"/>
      <c r="I593" s="116"/>
      <c r="L593" s="170">
        <v>42877</v>
      </c>
      <c r="M593" s="116">
        <v>132.05216024063438</v>
      </c>
      <c r="N593" s="116">
        <v>133.83032540333605</v>
      </c>
      <c r="O593" s="116">
        <v>130.6483456385015</v>
      </c>
      <c r="P593" s="116">
        <v>131.02269619907025</v>
      </c>
      <c r="Q593" s="116">
        <v>141.1</v>
      </c>
      <c r="R593">
        <v>2243946</v>
      </c>
    </row>
    <row r="594" spans="1:18" x14ac:dyDescent="0.25">
      <c r="A594" s="170">
        <v>42878</v>
      </c>
      <c r="B594" s="116">
        <v>128.43341340350599</v>
      </c>
      <c r="C594" s="116">
        <v>124.30503451981799</v>
      </c>
      <c r="D594" s="116">
        <v>122.218161677515</v>
      </c>
      <c r="E594" s="116">
        <v>127.027042574997</v>
      </c>
      <c r="F594" s="116">
        <v>137</v>
      </c>
      <c r="G594">
        <v>95798</v>
      </c>
      <c r="H594" s="116"/>
      <c r="I594" s="116"/>
      <c r="L594" s="170">
        <v>42878</v>
      </c>
      <c r="M594" s="116">
        <v>128.12147935466228</v>
      </c>
      <c r="N594" s="116">
        <v>132.14574788077658</v>
      </c>
      <c r="O594" s="116">
        <v>125.78178835110747</v>
      </c>
      <c r="P594" s="116">
        <v>129.85285069729284</v>
      </c>
      <c r="Q594" s="116">
        <v>136.9</v>
      </c>
      <c r="R594">
        <v>846578</v>
      </c>
    </row>
    <row r="595" spans="1:18" x14ac:dyDescent="0.25">
      <c r="A595" s="170">
        <v>42879</v>
      </c>
      <c r="B595" s="116">
        <v>124.894802931774</v>
      </c>
      <c r="C595" s="116">
        <v>123.216231297747</v>
      </c>
      <c r="D595" s="116">
        <v>122.26352847843501</v>
      </c>
      <c r="E595" s="116">
        <v>124.03283371430101</v>
      </c>
      <c r="F595" s="116">
        <v>135.80000000000001</v>
      </c>
      <c r="G595">
        <v>31157</v>
      </c>
      <c r="H595" s="116"/>
      <c r="I595" s="116"/>
      <c r="L595" s="170">
        <v>42879</v>
      </c>
      <c r="M595" s="116">
        <v>127.51315969373802</v>
      </c>
      <c r="N595" s="116">
        <v>129.15094339622641</v>
      </c>
      <c r="O595" s="116">
        <v>126.15613891167624</v>
      </c>
      <c r="P595" s="116">
        <v>128.21506699480446</v>
      </c>
      <c r="Q595" s="116">
        <v>136.25</v>
      </c>
      <c r="R595">
        <v>222874</v>
      </c>
    </row>
    <row r="596" spans="1:18" x14ac:dyDescent="0.25">
      <c r="A596" s="170">
        <v>42880</v>
      </c>
      <c r="B596" s="116">
        <v>125.212370538211</v>
      </c>
      <c r="C596" s="116">
        <v>123.715266107863</v>
      </c>
      <c r="D596" s="116">
        <v>122.898663691309</v>
      </c>
      <c r="E596" s="116">
        <v>123.66989930694299</v>
      </c>
      <c r="F596" s="116">
        <v>136.35</v>
      </c>
      <c r="G596">
        <v>20577</v>
      </c>
      <c r="H596" s="116"/>
      <c r="I596" s="116"/>
      <c r="L596" s="170">
        <v>42880</v>
      </c>
      <c r="M596" s="116">
        <v>128.07468553459117</v>
      </c>
      <c r="N596" s="116">
        <v>129.38491249658188</v>
      </c>
      <c r="O596" s="116">
        <v>126.90484003281377</v>
      </c>
      <c r="P596" s="116">
        <v>127.60674733388021</v>
      </c>
      <c r="Q596" s="116">
        <v>136.85</v>
      </c>
      <c r="R596">
        <v>101339</v>
      </c>
    </row>
    <row r="597" spans="1:18" x14ac:dyDescent="0.25">
      <c r="A597" s="170">
        <v>42881</v>
      </c>
      <c r="B597" s="116">
        <v>126.21044015844301</v>
      </c>
      <c r="C597" s="116">
        <v>124.622602126256</v>
      </c>
      <c r="D597" s="116">
        <v>122.717196487631</v>
      </c>
      <c r="E597" s="116">
        <v>124.849436130854</v>
      </c>
      <c r="F597" s="116">
        <v>137.35</v>
      </c>
      <c r="G597">
        <v>39529</v>
      </c>
      <c r="H597" s="116"/>
      <c r="I597" s="116"/>
      <c r="L597" s="170">
        <v>42881</v>
      </c>
      <c r="M597" s="116">
        <v>128.68300519551545</v>
      </c>
      <c r="N597" s="116">
        <v>130.36758271807491</v>
      </c>
      <c r="O597" s="116">
        <v>126.71766475252939</v>
      </c>
      <c r="P597" s="116">
        <v>129.05735575608421</v>
      </c>
      <c r="Q597" s="116">
        <v>137.5</v>
      </c>
      <c r="R597">
        <v>175775</v>
      </c>
    </row>
    <row r="598" spans="1:18" x14ac:dyDescent="0.25">
      <c r="A598" s="170">
        <v>42884</v>
      </c>
      <c r="B598" s="116">
        <v>124.713335728095</v>
      </c>
      <c r="C598" s="116">
        <v>119.496153622336</v>
      </c>
      <c r="D598" s="116">
        <v>113.417002299104</v>
      </c>
      <c r="E598" s="116">
        <v>124.713335728095</v>
      </c>
      <c r="F598" s="116">
        <v>131.69999999999999</v>
      </c>
      <c r="G598">
        <v>46898</v>
      </c>
      <c r="H598" s="116"/>
      <c r="I598" s="116"/>
      <c r="L598" s="170">
        <v>42884</v>
      </c>
      <c r="M598" s="116">
        <v>123.91003554826359</v>
      </c>
      <c r="N598" s="116">
        <v>126.2965203718895</v>
      </c>
      <c r="O598" s="116">
        <v>121.2427878042111</v>
      </c>
      <c r="P598" s="116">
        <v>125.40743779053868</v>
      </c>
      <c r="Q598" s="116">
        <v>132.4</v>
      </c>
      <c r="R598">
        <v>838693</v>
      </c>
    </row>
    <row r="599" spans="1:18" x14ac:dyDescent="0.25">
      <c r="A599" s="170">
        <v>42885</v>
      </c>
      <c r="B599" s="116">
        <v>120.176655636131</v>
      </c>
      <c r="C599" s="116">
        <v>118.99711881221999</v>
      </c>
      <c r="D599" s="116">
        <v>118.58881760394399</v>
      </c>
      <c r="E599" s="116">
        <v>119.85908802969401</v>
      </c>
      <c r="F599" s="116">
        <v>131.15</v>
      </c>
      <c r="G599">
        <v>29872</v>
      </c>
      <c r="H599" s="116"/>
      <c r="I599" s="116"/>
      <c r="L599" s="170">
        <v>42885</v>
      </c>
      <c r="M599" s="116">
        <v>123.30171588733934</v>
      </c>
      <c r="N599" s="116">
        <v>123.7696540880503</v>
      </c>
      <c r="O599" s="116">
        <v>122.17866420563303</v>
      </c>
      <c r="P599" s="116">
        <v>123.48889116762372</v>
      </c>
      <c r="Q599" s="116">
        <v>131.75</v>
      </c>
      <c r="R599">
        <v>165472</v>
      </c>
    </row>
    <row r="600" spans="1:18" x14ac:dyDescent="0.25">
      <c r="A600" s="170">
        <v>42886</v>
      </c>
      <c r="B600" s="116">
        <v>126.754841769479</v>
      </c>
      <c r="C600" s="116">
        <v>121.446926061881</v>
      </c>
      <c r="D600" s="116">
        <v>118.679551205783</v>
      </c>
      <c r="E600" s="116">
        <v>120.40348964072901</v>
      </c>
      <c r="F600" s="116">
        <v>133.85</v>
      </c>
      <c r="G600">
        <v>314285</v>
      </c>
      <c r="H600" s="116"/>
      <c r="I600" s="116"/>
      <c r="L600" s="170">
        <v>42886</v>
      </c>
      <c r="M600" s="116">
        <v>128.30865463494666</v>
      </c>
      <c r="N600" s="116">
        <v>131.02269619907025</v>
      </c>
      <c r="O600" s="116">
        <v>122.78698386655726</v>
      </c>
      <c r="P600" s="116">
        <v>124.47156138911676</v>
      </c>
      <c r="Q600" s="116">
        <v>137.1</v>
      </c>
      <c r="R600">
        <v>906590</v>
      </c>
    </row>
    <row r="601" spans="1:18" x14ac:dyDescent="0.25">
      <c r="A601" s="170">
        <v>42887</v>
      </c>
      <c r="B601" s="116">
        <v>124.486501723497</v>
      </c>
      <c r="C601" s="116">
        <v>121.809860469238</v>
      </c>
      <c r="D601" s="116">
        <v>121.40155926096099</v>
      </c>
      <c r="E601" s="116">
        <v>121.67376006647901</v>
      </c>
      <c r="F601" s="116">
        <v>134.25</v>
      </c>
      <c r="G601">
        <v>4042517</v>
      </c>
      <c r="H601" s="116"/>
      <c r="I601" s="116"/>
      <c r="L601" s="170">
        <v>42887</v>
      </c>
      <c r="M601" s="116">
        <v>125.82858217117854</v>
      </c>
      <c r="N601" s="116">
        <v>129.57208777686625</v>
      </c>
      <c r="O601" s="116">
        <v>125.54781925075197</v>
      </c>
      <c r="P601" s="116">
        <v>127.32598441345365</v>
      </c>
      <c r="Q601" s="116">
        <v>134.44999999999999</v>
      </c>
      <c r="R601">
        <v>1252925</v>
      </c>
    </row>
    <row r="602" spans="1:18" x14ac:dyDescent="0.25">
      <c r="A602" s="170">
        <v>42888</v>
      </c>
      <c r="B602" s="116">
        <v>123.94210011246101</v>
      </c>
      <c r="C602" s="116">
        <v>123.30696489958601</v>
      </c>
      <c r="D602" s="116">
        <v>122.354262080274</v>
      </c>
      <c r="E602" s="116">
        <v>123.488432103265</v>
      </c>
      <c r="F602" s="116">
        <v>135.9</v>
      </c>
      <c r="G602">
        <v>69019</v>
      </c>
      <c r="H602" s="116"/>
      <c r="I602" s="116"/>
      <c r="L602" s="170">
        <v>42888</v>
      </c>
      <c r="M602" s="116">
        <v>127.46636587366692</v>
      </c>
      <c r="N602" s="116">
        <v>128.49582991523107</v>
      </c>
      <c r="O602" s="116">
        <v>126.06255127153402</v>
      </c>
      <c r="P602" s="116">
        <v>126.24972655181843</v>
      </c>
      <c r="Q602" s="116">
        <v>136.19999999999999</v>
      </c>
      <c r="R602">
        <v>918266</v>
      </c>
    </row>
    <row r="603" spans="1:18" x14ac:dyDescent="0.25">
      <c r="A603" s="170">
        <v>42891</v>
      </c>
      <c r="B603" s="116">
        <v>123.851366510622</v>
      </c>
      <c r="C603" s="116">
        <v>123.216231297747</v>
      </c>
      <c r="D603" s="116">
        <v>121.991327672917</v>
      </c>
      <c r="E603" s="116">
        <v>122.490362483033</v>
      </c>
      <c r="F603" s="116">
        <v>135.80000000000001</v>
      </c>
      <c r="G603">
        <v>18515</v>
      </c>
      <c r="H603" s="116"/>
      <c r="I603" s="116"/>
      <c r="L603" s="170">
        <v>42891</v>
      </c>
      <c r="M603" s="116">
        <v>127.32598441345365</v>
      </c>
      <c r="N603" s="116">
        <v>127.93430407437788</v>
      </c>
      <c r="O603" s="116">
        <v>125.50102543068087</v>
      </c>
      <c r="P603" s="116">
        <v>126.5772832923161</v>
      </c>
      <c r="Q603" s="116">
        <v>136.05000000000001</v>
      </c>
      <c r="R603">
        <v>171310</v>
      </c>
    </row>
    <row r="604" spans="1:18" x14ac:dyDescent="0.25">
      <c r="A604" s="170">
        <v>42892</v>
      </c>
      <c r="B604" s="116">
        <v>124.259667718899</v>
      </c>
      <c r="C604" s="116">
        <v>123.26159809866699</v>
      </c>
      <c r="D604" s="116">
        <v>122.62646288579199</v>
      </c>
      <c r="E604" s="116">
        <v>123.624532506024</v>
      </c>
      <c r="F604" s="116">
        <v>135.85</v>
      </c>
      <c r="G604">
        <v>36456</v>
      </c>
      <c r="H604" s="116"/>
      <c r="I604" s="116"/>
      <c r="L604" s="170">
        <v>42892</v>
      </c>
      <c r="M604" s="116">
        <v>127.27919059338254</v>
      </c>
      <c r="N604" s="116">
        <v>128.26186081487558</v>
      </c>
      <c r="O604" s="116">
        <v>126.53048947224498</v>
      </c>
      <c r="P604" s="116">
        <v>127.04522149302706</v>
      </c>
      <c r="Q604" s="116">
        <v>136</v>
      </c>
      <c r="R604">
        <v>146995</v>
      </c>
    </row>
    <row r="605" spans="1:18" x14ac:dyDescent="0.25">
      <c r="A605" s="170">
        <v>42893</v>
      </c>
      <c r="B605" s="116">
        <v>126.119706556604</v>
      </c>
      <c r="C605" s="116">
        <v>124.758702529015</v>
      </c>
      <c r="D605" s="116">
        <v>122.399628881193</v>
      </c>
      <c r="E605" s="116">
        <v>123.488432103265</v>
      </c>
      <c r="F605" s="116">
        <v>137.5</v>
      </c>
      <c r="G605">
        <v>93552</v>
      </c>
      <c r="H605" s="116"/>
      <c r="I605" s="116"/>
      <c r="L605" s="170">
        <v>42893</v>
      </c>
      <c r="M605" s="116">
        <v>128.63621137544433</v>
      </c>
      <c r="N605" s="116">
        <v>129.80605687722175</v>
      </c>
      <c r="O605" s="116">
        <v>126.34331419196062</v>
      </c>
      <c r="P605" s="116">
        <v>127.51315969373802</v>
      </c>
      <c r="Q605" s="116">
        <v>137.44999999999999</v>
      </c>
      <c r="R605">
        <v>308494</v>
      </c>
    </row>
    <row r="606" spans="1:18" x14ac:dyDescent="0.25">
      <c r="A606" s="170">
        <v>42894</v>
      </c>
      <c r="B606" s="116">
        <v>126.57337456579999</v>
      </c>
      <c r="C606" s="116">
        <v>123.26159809866699</v>
      </c>
      <c r="D606" s="116">
        <v>122.76256328855099</v>
      </c>
      <c r="E606" s="116">
        <v>125.43920454280899</v>
      </c>
      <c r="F606" s="116">
        <v>135.85</v>
      </c>
      <c r="G606">
        <v>65588</v>
      </c>
      <c r="H606" s="116"/>
      <c r="I606" s="116"/>
      <c r="L606" s="170">
        <v>42894</v>
      </c>
      <c r="M606" s="116">
        <v>127.32598441345365</v>
      </c>
      <c r="N606" s="116">
        <v>131.02269619907025</v>
      </c>
      <c r="O606" s="116">
        <v>126.90484003281377</v>
      </c>
      <c r="P606" s="116">
        <v>130.32078889800383</v>
      </c>
      <c r="Q606" s="116">
        <v>136.05000000000001</v>
      </c>
      <c r="R606">
        <v>478790</v>
      </c>
    </row>
    <row r="607" spans="1:18" x14ac:dyDescent="0.25">
      <c r="A607" s="170">
        <v>42895</v>
      </c>
      <c r="B607" s="116">
        <v>123.125497695908</v>
      </c>
      <c r="C607" s="116">
        <v>119.72298762693499</v>
      </c>
      <c r="D607" s="116">
        <v>119.178586015899</v>
      </c>
      <c r="E607" s="116">
        <v>123.080130894988</v>
      </c>
      <c r="F607" s="116">
        <v>131.94999999999999</v>
      </c>
      <c r="G607">
        <v>398613</v>
      </c>
      <c r="H607" s="116"/>
      <c r="I607" s="116"/>
      <c r="L607" s="170">
        <v>42895</v>
      </c>
      <c r="M607" s="116">
        <v>123.7696540880503</v>
      </c>
      <c r="N607" s="116">
        <v>128.02789171452011</v>
      </c>
      <c r="O607" s="116">
        <v>123.34850970741044</v>
      </c>
      <c r="P607" s="116">
        <v>127.27919059338254</v>
      </c>
      <c r="Q607" s="116">
        <v>132.25</v>
      </c>
      <c r="R607">
        <v>311692</v>
      </c>
    </row>
    <row r="608" spans="1:18" x14ac:dyDescent="0.25">
      <c r="A608" s="170">
        <v>42898</v>
      </c>
      <c r="B608" s="116">
        <v>119.76835442785401</v>
      </c>
      <c r="C608" s="116">
        <v>116.683411965319</v>
      </c>
      <c r="D608" s="116">
        <v>115.957543150604</v>
      </c>
      <c r="E608" s="116">
        <v>119.76835442785401</v>
      </c>
      <c r="F608" s="116">
        <v>128.6</v>
      </c>
      <c r="G608">
        <v>30359</v>
      </c>
      <c r="H608" s="116"/>
      <c r="I608" s="116"/>
      <c r="L608" s="170">
        <v>42898</v>
      </c>
      <c r="M608" s="116">
        <v>120.58767432321574</v>
      </c>
      <c r="N608" s="116">
        <v>123.53568498769482</v>
      </c>
      <c r="O608" s="116">
        <v>119.83897320207821</v>
      </c>
      <c r="P608" s="116">
        <v>123.25492206726823</v>
      </c>
      <c r="Q608" s="116">
        <v>128.85</v>
      </c>
      <c r="R608">
        <v>178370</v>
      </c>
    </row>
    <row r="609" spans="1:18" x14ac:dyDescent="0.25">
      <c r="A609" s="170">
        <v>42899</v>
      </c>
      <c r="B609" s="116">
        <v>117.590747983711</v>
      </c>
      <c r="C609" s="116">
        <v>115.09557393313101</v>
      </c>
      <c r="D609" s="116">
        <v>113.96140391014001</v>
      </c>
      <c r="E609" s="116">
        <v>117.137079974515</v>
      </c>
      <c r="F609" s="116">
        <v>126.85</v>
      </c>
      <c r="G609">
        <v>30824</v>
      </c>
      <c r="H609" s="116"/>
      <c r="I609" s="116"/>
      <c r="L609" s="170">
        <v>42899</v>
      </c>
      <c r="M609" s="116">
        <v>119.18385972108284</v>
      </c>
      <c r="N609" s="116">
        <v>121.42996308449548</v>
      </c>
      <c r="O609" s="116">
        <v>117.63966365873667</v>
      </c>
      <c r="P609" s="116">
        <v>120.21332376264695</v>
      </c>
      <c r="Q609" s="116">
        <v>127.35</v>
      </c>
      <c r="R609">
        <v>273274</v>
      </c>
    </row>
    <row r="610" spans="1:18" x14ac:dyDescent="0.25">
      <c r="A610" s="170">
        <v>42900</v>
      </c>
      <c r="B610" s="116">
        <v>117.545381182792</v>
      </c>
      <c r="C610" s="116">
        <v>116.81951236807799</v>
      </c>
      <c r="D610" s="116">
        <v>115.23167433589001</v>
      </c>
      <c r="E610" s="116">
        <v>115.639975544167</v>
      </c>
      <c r="F610" s="116">
        <v>128.75</v>
      </c>
      <c r="G610">
        <v>21892</v>
      </c>
      <c r="H610" s="116"/>
      <c r="I610" s="116"/>
      <c r="L610" s="170">
        <v>42900</v>
      </c>
      <c r="M610" s="116">
        <v>119.88576702214928</v>
      </c>
      <c r="N610" s="116">
        <v>120.44729286300245</v>
      </c>
      <c r="O610" s="116">
        <v>118.62233388022969</v>
      </c>
      <c r="P610" s="116">
        <v>119.88576702214928</v>
      </c>
      <c r="Q610" s="116">
        <v>128.1</v>
      </c>
      <c r="R610">
        <v>208898</v>
      </c>
    </row>
    <row r="611" spans="1:18" x14ac:dyDescent="0.25">
      <c r="A611" s="170">
        <v>42901</v>
      </c>
      <c r="B611" s="116">
        <v>118.361983599345</v>
      </c>
      <c r="C611" s="116">
        <v>116.910245969917</v>
      </c>
      <c r="D611" s="116">
        <v>115.685342345086</v>
      </c>
      <c r="E611" s="116">
        <v>117.227813576354</v>
      </c>
      <c r="F611" s="116">
        <v>128.85</v>
      </c>
      <c r="G611">
        <v>43207</v>
      </c>
      <c r="H611" s="116"/>
      <c r="I611" s="116"/>
      <c r="L611" s="170">
        <v>42901</v>
      </c>
      <c r="M611" s="116">
        <v>121.00881870385562</v>
      </c>
      <c r="N611" s="116">
        <v>122.45942712605959</v>
      </c>
      <c r="O611" s="116">
        <v>119.41782882143832</v>
      </c>
      <c r="P611" s="116">
        <v>119.88576702214928</v>
      </c>
      <c r="Q611" s="116">
        <v>129.30000000000001</v>
      </c>
      <c r="R611">
        <v>177340</v>
      </c>
    </row>
    <row r="612" spans="1:18" x14ac:dyDescent="0.25">
      <c r="A612" s="170">
        <v>42902</v>
      </c>
      <c r="B612" s="116">
        <v>117.182446775435</v>
      </c>
      <c r="C612" s="116">
        <v>115.458508340488</v>
      </c>
      <c r="D612" s="116">
        <v>113.507735900944</v>
      </c>
      <c r="E612" s="116">
        <v>116.774145567158</v>
      </c>
      <c r="F612" s="116">
        <v>127.25</v>
      </c>
      <c r="G612">
        <v>42190</v>
      </c>
      <c r="H612" s="116"/>
      <c r="I612" s="116"/>
      <c r="L612" s="170">
        <v>42902</v>
      </c>
      <c r="M612" s="116">
        <v>118.99668444079846</v>
      </c>
      <c r="N612" s="116">
        <v>121.14920016406889</v>
      </c>
      <c r="O612" s="116">
        <v>116.70378725731473</v>
      </c>
      <c r="P612" s="116">
        <v>120.30691140278917</v>
      </c>
      <c r="Q612" s="116">
        <v>127.15</v>
      </c>
      <c r="R612">
        <v>302160</v>
      </c>
    </row>
    <row r="613" spans="1:18" x14ac:dyDescent="0.25">
      <c r="A613" s="170">
        <v>42905</v>
      </c>
      <c r="B613" s="116">
        <v>118.861018409461</v>
      </c>
      <c r="C613" s="116">
        <v>113.46236910002401</v>
      </c>
      <c r="D613" s="116">
        <v>113.19016829450599</v>
      </c>
      <c r="E613" s="116">
        <v>117.95368239106899</v>
      </c>
      <c r="F613" s="116">
        <v>125.05</v>
      </c>
      <c r="G613">
        <v>59901</v>
      </c>
      <c r="H613" s="116"/>
      <c r="I613" s="116"/>
      <c r="L613" s="170">
        <v>42905</v>
      </c>
      <c r="M613" s="116">
        <v>117.17172545802569</v>
      </c>
      <c r="N613" s="116">
        <v>122.59980858627289</v>
      </c>
      <c r="O613" s="116">
        <v>116.84416871752801</v>
      </c>
      <c r="P613" s="116">
        <v>120.72805578342903</v>
      </c>
      <c r="Q613" s="116">
        <v>125.2</v>
      </c>
      <c r="R613">
        <v>385981</v>
      </c>
    </row>
    <row r="614" spans="1:18" x14ac:dyDescent="0.25">
      <c r="A614" s="170">
        <v>42906</v>
      </c>
      <c r="B614" s="116">
        <v>114.778006326694</v>
      </c>
      <c r="C614" s="116">
        <v>114.415071919336</v>
      </c>
      <c r="D614" s="116">
        <v>113.46236910002401</v>
      </c>
      <c r="E614" s="116">
        <v>113.46236910002401</v>
      </c>
      <c r="F614" s="116">
        <v>126.1</v>
      </c>
      <c r="G614">
        <v>22573</v>
      </c>
      <c r="H614" s="116"/>
      <c r="I614" s="116"/>
      <c r="L614" s="170">
        <v>42906</v>
      </c>
      <c r="M614" s="116">
        <v>118.10760185944763</v>
      </c>
      <c r="N614" s="116">
        <v>118.38836477987421</v>
      </c>
      <c r="O614" s="116">
        <v>117.35890073831008</v>
      </c>
      <c r="P614" s="116">
        <v>117.92042657916323</v>
      </c>
      <c r="Q614" s="116">
        <v>126.2</v>
      </c>
      <c r="R614">
        <v>187386</v>
      </c>
    </row>
    <row r="615" spans="1:18" x14ac:dyDescent="0.25">
      <c r="A615" s="170">
        <v>42907</v>
      </c>
      <c r="B615" s="116">
        <v>118.861018409461</v>
      </c>
      <c r="C615" s="116">
        <v>116.72877876623799</v>
      </c>
      <c r="D615" s="116">
        <v>114.32433831749699</v>
      </c>
      <c r="E615" s="116">
        <v>114.46043872025599</v>
      </c>
      <c r="F615" s="116">
        <v>128.65</v>
      </c>
      <c r="G615">
        <v>69611</v>
      </c>
      <c r="H615" s="116"/>
      <c r="I615" s="116"/>
      <c r="L615" s="170">
        <v>42907</v>
      </c>
      <c r="M615" s="116">
        <v>120.91523106371341</v>
      </c>
      <c r="N615" s="116">
        <v>122.22545802570411</v>
      </c>
      <c r="O615" s="116">
        <v>118.06080803937654</v>
      </c>
      <c r="P615" s="116">
        <v>118.29477713973202</v>
      </c>
      <c r="Q615" s="116">
        <v>129.19999999999999</v>
      </c>
      <c r="R615">
        <v>348069</v>
      </c>
    </row>
    <row r="616" spans="1:18" x14ac:dyDescent="0.25">
      <c r="A616" s="170">
        <v>42908</v>
      </c>
      <c r="B616" s="116">
        <v>118.63418440486301</v>
      </c>
      <c r="C616" s="116">
        <v>116.86487916899701</v>
      </c>
      <c r="D616" s="116">
        <v>116.592678363479</v>
      </c>
      <c r="E616" s="116">
        <v>117.137079974515</v>
      </c>
      <c r="F616" s="116">
        <v>128.80000000000001</v>
      </c>
      <c r="G616">
        <v>133326</v>
      </c>
      <c r="H616" s="116"/>
      <c r="I616" s="116"/>
      <c r="L616" s="170">
        <v>42908</v>
      </c>
      <c r="M616" s="116">
        <v>120.82164342357122</v>
      </c>
      <c r="N616" s="116">
        <v>122.41263330598852</v>
      </c>
      <c r="O616" s="116">
        <v>119.9325608422204</v>
      </c>
      <c r="P616" s="116">
        <v>119.9325608422204</v>
      </c>
      <c r="Q616" s="116">
        <v>129.1</v>
      </c>
      <c r="R616">
        <v>239333</v>
      </c>
    </row>
    <row r="617" spans="1:18" x14ac:dyDescent="0.25">
      <c r="A617" s="170">
        <v>42909</v>
      </c>
      <c r="B617" s="116">
        <v>118.861018409461</v>
      </c>
      <c r="C617" s="116">
        <v>118.407350400265</v>
      </c>
      <c r="D617" s="116">
        <v>116.54731156256</v>
      </c>
      <c r="E617" s="116">
        <v>117.046346372676</v>
      </c>
      <c r="F617" s="116">
        <v>130.5</v>
      </c>
      <c r="G617">
        <v>29554</v>
      </c>
      <c r="H617" s="116"/>
      <c r="I617" s="116"/>
      <c r="L617" s="170">
        <v>42909</v>
      </c>
      <c r="M617" s="116">
        <v>122.36583948591741</v>
      </c>
      <c r="N617" s="116">
        <v>122.59980858627289</v>
      </c>
      <c r="O617" s="116">
        <v>120.40049904293136</v>
      </c>
      <c r="P617" s="116">
        <v>120.72805578342903</v>
      </c>
      <c r="Q617" s="116">
        <v>130.75</v>
      </c>
      <c r="R617">
        <v>395087</v>
      </c>
    </row>
    <row r="618" spans="1:18" x14ac:dyDescent="0.25">
      <c r="A618" s="170">
        <v>42913</v>
      </c>
      <c r="B618" s="116">
        <v>117.95368239106899</v>
      </c>
      <c r="C618" s="116">
        <v>117.046346372676</v>
      </c>
      <c r="D618" s="116">
        <v>115.23167433589001</v>
      </c>
      <c r="E618" s="116">
        <v>117.95368239106899</v>
      </c>
      <c r="F618" s="116">
        <v>129</v>
      </c>
      <c r="G618">
        <v>25512</v>
      </c>
      <c r="H618" s="116"/>
      <c r="I618" s="116"/>
      <c r="L618" s="170">
        <v>42913</v>
      </c>
      <c r="M618" s="116">
        <v>121.33637544435329</v>
      </c>
      <c r="N618" s="116">
        <v>122.13187038556192</v>
      </c>
      <c r="O618" s="116">
        <v>118.94989062072736</v>
      </c>
      <c r="P618" s="116">
        <v>121.28958162428218</v>
      </c>
      <c r="Q618" s="116">
        <v>129.65</v>
      </c>
      <c r="R618">
        <v>139525</v>
      </c>
    </row>
    <row r="619" spans="1:18" x14ac:dyDescent="0.25">
      <c r="A619" s="170">
        <v>42914</v>
      </c>
      <c r="B619" s="116">
        <v>117.046346372676</v>
      </c>
      <c r="C619" s="116">
        <v>115.957543150604</v>
      </c>
      <c r="D619" s="116">
        <v>115.685342345086</v>
      </c>
      <c r="E619" s="116">
        <v>117.046346372676</v>
      </c>
      <c r="F619" s="116">
        <v>127.8</v>
      </c>
      <c r="G619">
        <v>8068</v>
      </c>
      <c r="H619" s="116"/>
      <c r="I619" s="116"/>
      <c r="L619" s="170">
        <v>42914</v>
      </c>
      <c r="M619" s="116">
        <v>119.88576702214928</v>
      </c>
      <c r="N619" s="116">
        <v>120.54088050314465</v>
      </c>
      <c r="O619" s="116">
        <v>119.37103500136723</v>
      </c>
      <c r="P619" s="116">
        <v>119.9325608422204</v>
      </c>
      <c r="Q619" s="116">
        <v>128.1</v>
      </c>
      <c r="R619">
        <v>266422</v>
      </c>
    </row>
    <row r="620" spans="1:18" x14ac:dyDescent="0.25">
      <c r="A620" s="170">
        <v>42915</v>
      </c>
      <c r="B620" s="116">
        <v>118.271249997506</v>
      </c>
      <c r="C620" s="116">
        <v>116.320477557961</v>
      </c>
      <c r="D620" s="116">
        <v>115.957543150604</v>
      </c>
      <c r="E620" s="116">
        <v>116.411211159801</v>
      </c>
      <c r="F620" s="116">
        <v>128.19999999999999</v>
      </c>
      <c r="G620">
        <v>8097</v>
      </c>
      <c r="H620" s="116"/>
      <c r="I620" s="116"/>
      <c r="L620" s="170">
        <v>42915</v>
      </c>
      <c r="M620" s="116">
        <v>120.44729286300245</v>
      </c>
      <c r="N620" s="116">
        <v>122.3190456658463</v>
      </c>
      <c r="O620" s="116">
        <v>119.41782882143832</v>
      </c>
      <c r="P620" s="116">
        <v>119.88576702214928</v>
      </c>
      <c r="Q620" s="116">
        <v>128.69999999999999</v>
      </c>
      <c r="R620">
        <v>151108</v>
      </c>
    </row>
    <row r="621" spans="1:18" x14ac:dyDescent="0.25">
      <c r="A621" s="170">
        <v>42916</v>
      </c>
      <c r="B621" s="116">
        <v>123.39769850142601</v>
      </c>
      <c r="C621" s="116">
        <v>120.99325805268499</v>
      </c>
      <c r="D621" s="116">
        <v>116.002909951524</v>
      </c>
      <c r="E621" s="116">
        <v>116.18437715520299</v>
      </c>
      <c r="F621" s="116">
        <v>133.35</v>
      </c>
      <c r="G621">
        <v>29279</v>
      </c>
      <c r="H621" s="116"/>
      <c r="I621" s="116"/>
      <c r="L621" s="170">
        <v>42916</v>
      </c>
      <c r="M621" s="116">
        <v>125.2202625102543</v>
      </c>
      <c r="N621" s="116">
        <v>127.93430407437788</v>
      </c>
      <c r="O621" s="116">
        <v>118.90309680065626</v>
      </c>
      <c r="P621" s="116">
        <v>120.44729286300245</v>
      </c>
      <c r="Q621" s="116">
        <v>133.80000000000001</v>
      </c>
      <c r="R621">
        <v>343277</v>
      </c>
    </row>
    <row r="622" spans="1:18" x14ac:dyDescent="0.25">
      <c r="A622" s="170">
        <v>42919</v>
      </c>
      <c r="B622" s="116">
        <v>120.675690446247</v>
      </c>
      <c r="C622" s="116">
        <v>118.543450803024</v>
      </c>
      <c r="D622" s="116">
        <v>118.180516395667</v>
      </c>
      <c r="E622" s="116">
        <v>119.360053219577</v>
      </c>
      <c r="F622" s="116">
        <v>130.65</v>
      </c>
      <c r="G622">
        <v>17880</v>
      </c>
      <c r="H622" s="116"/>
      <c r="I622" s="116"/>
      <c r="L622" s="170">
        <v>42919</v>
      </c>
      <c r="M622" s="116">
        <v>122.17866420563303</v>
      </c>
      <c r="N622" s="116">
        <v>126.34331419196062</v>
      </c>
      <c r="O622" s="116">
        <v>121.75751982499315</v>
      </c>
      <c r="P622" s="116">
        <v>126.34331419196062</v>
      </c>
      <c r="Q622" s="116">
        <v>130.55000000000001</v>
      </c>
      <c r="R622">
        <v>170546</v>
      </c>
    </row>
    <row r="623" spans="1:18" x14ac:dyDescent="0.25">
      <c r="A623" s="170">
        <v>42920</v>
      </c>
      <c r="B623" s="116">
        <v>119.90445483061301</v>
      </c>
      <c r="C623" s="116">
        <v>115.367774738649</v>
      </c>
      <c r="D623" s="116">
        <v>115.050207132211</v>
      </c>
      <c r="E623" s="116">
        <v>119.22395281681899</v>
      </c>
      <c r="F623" s="116">
        <v>127.15</v>
      </c>
      <c r="G623">
        <v>17744</v>
      </c>
      <c r="H623" s="116"/>
      <c r="I623" s="116"/>
      <c r="L623" s="170">
        <v>42920</v>
      </c>
      <c r="M623" s="116">
        <v>118.85630298058517</v>
      </c>
      <c r="N623" s="116">
        <v>124.09721082854797</v>
      </c>
      <c r="O623" s="116">
        <v>118.38836477987421</v>
      </c>
      <c r="P623" s="116">
        <v>121.99148892534863</v>
      </c>
      <c r="Q623" s="116">
        <v>127</v>
      </c>
      <c r="R623">
        <v>311641</v>
      </c>
    </row>
    <row r="624" spans="1:18" x14ac:dyDescent="0.25">
      <c r="A624" s="170">
        <v>42921</v>
      </c>
      <c r="B624" s="116">
        <v>116.86487916899701</v>
      </c>
      <c r="C624" s="116">
        <v>115.59460874324699</v>
      </c>
      <c r="D624" s="116">
        <v>114.551172322095</v>
      </c>
      <c r="E624" s="116">
        <v>115.685342345086</v>
      </c>
      <c r="F624" s="116">
        <v>127.4</v>
      </c>
      <c r="G624">
        <v>17801</v>
      </c>
      <c r="H624" s="116"/>
      <c r="I624" s="116"/>
      <c r="L624" s="170">
        <v>42921</v>
      </c>
      <c r="M624" s="116">
        <v>119.32424118129613</v>
      </c>
      <c r="N624" s="116">
        <v>120.96202488378451</v>
      </c>
      <c r="O624" s="116">
        <v>118.15439567951871</v>
      </c>
      <c r="P624" s="116">
        <v>119.55821028165161</v>
      </c>
      <c r="Q624" s="116">
        <v>127.5</v>
      </c>
      <c r="R624">
        <v>196527</v>
      </c>
    </row>
    <row r="625" spans="1:18" x14ac:dyDescent="0.25">
      <c r="A625" s="170">
        <v>42922</v>
      </c>
      <c r="B625" s="116">
        <v>117.046346372676</v>
      </c>
      <c r="C625" s="116">
        <v>115.322407937729</v>
      </c>
      <c r="D625" s="116">
        <v>114.95947353037199</v>
      </c>
      <c r="E625" s="116">
        <v>115.685342345086</v>
      </c>
      <c r="F625" s="116">
        <v>127.1</v>
      </c>
      <c r="G625">
        <v>16269</v>
      </c>
      <c r="H625" s="116"/>
      <c r="I625" s="116"/>
      <c r="L625" s="170">
        <v>42922</v>
      </c>
      <c r="M625" s="116">
        <v>119.13706590101174</v>
      </c>
      <c r="N625" s="116">
        <v>121.2427878042111</v>
      </c>
      <c r="O625" s="116">
        <v>118.85630298058517</v>
      </c>
      <c r="P625" s="116">
        <v>119.23065354115394</v>
      </c>
      <c r="Q625" s="116">
        <v>127.3</v>
      </c>
      <c r="R625">
        <v>289257</v>
      </c>
    </row>
    <row r="626" spans="1:18" x14ac:dyDescent="0.25">
      <c r="A626" s="170">
        <v>42923</v>
      </c>
      <c r="B626" s="116">
        <v>116.81951236807799</v>
      </c>
      <c r="C626" s="116">
        <v>115.458508340488</v>
      </c>
      <c r="D626" s="116">
        <v>114.778006326694</v>
      </c>
      <c r="E626" s="116">
        <v>115.685342345086</v>
      </c>
      <c r="F626" s="116">
        <v>127.25</v>
      </c>
      <c r="G626">
        <v>1431564</v>
      </c>
      <c r="H626" s="116"/>
      <c r="I626" s="116"/>
      <c r="L626" s="170">
        <v>42923</v>
      </c>
      <c r="M626" s="116">
        <v>119.09027208094065</v>
      </c>
      <c r="N626" s="116">
        <v>120.54088050314465</v>
      </c>
      <c r="O626" s="116">
        <v>118.15439567951871</v>
      </c>
      <c r="P626" s="116">
        <v>119.37103500136723</v>
      </c>
      <c r="Q626" s="116">
        <v>127.25</v>
      </c>
      <c r="R626">
        <v>238803</v>
      </c>
    </row>
    <row r="627" spans="1:18" x14ac:dyDescent="0.25">
      <c r="A627" s="170">
        <v>42926</v>
      </c>
      <c r="B627" s="116">
        <v>116.592678363479</v>
      </c>
      <c r="C627" s="116">
        <v>115.73070914600601</v>
      </c>
      <c r="D627" s="116">
        <v>114.95947353037199</v>
      </c>
      <c r="E627" s="116">
        <v>116.139010354283</v>
      </c>
      <c r="F627" s="116">
        <v>127.55</v>
      </c>
      <c r="G627">
        <v>49120</v>
      </c>
      <c r="H627" s="116"/>
      <c r="I627" s="116"/>
      <c r="L627" s="170">
        <v>42926</v>
      </c>
      <c r="M627" s="116">
        <v>119.23065354115394</v>
      </c>
      <c r="N627" s="116">
        <v>120.11973612250478</v>
      </c>
      <c r="O627" s="116">
        <v>118.5287462400875</v>
      </c>
      <c r="P627" s="116">
        <v>119.69859174186492</v>
      </c>
      <c r="Q627" s="116">
        <v>127.4</v>
      </c>
      <c r="R627">
        <v>40997</v>
      </c>
    </row>
    <row r="628" spans="1:18" x14ac:dyDescent="0.25">
      <c r="A628" s="170">
        <v>42927</v>
      </c>
      <c r="B628" s="116">
        <v>116.592678363479</v>
      </c>
      <c r="C628" s="116">
        <v>114.32433831749699</v>
      </c>
      <c r="D628" s="116">
        <v>113.280901896345</v>
      </c>
      <c r="E628" s="116">
        <v>116.139010354283</v>
      </c>
      <c r="F628" s="116">
        <v>126</v>
      </c>
      <c r="G628">
        <v>164300</v>
      </c>
      <c r="H628" s="116"/>
      <c r="I628" s="116"/>
      <c r="L628" s="170">
        <v>42927</v>
      </c>
      <c r="M628" s="116">
        <v>117.82683893902104</v>
      </c>
      <c r="N628" s="116">
        <v>120.58767432321574</v>
      </c>
      <c r="O628" s="116">
        <v>116.98455017774131</v>
      </c>
      <c r="P628" s="116">
        <v>119.79217938200709</v>
      </c>
      <c r="Q628" s="116">
        <v>125.9</v>
      </c>
      <c r="R628">
        <v>131339</v>
      </c>
    </row>
    <row r="629" spans="1:18" x14ac:dyDescent="0.25">
      <c r="A629" s="170">
        <v>42928</v>
      </c>
      <c r="B629" s="116">
        <v>115.09557393313101</v>
      </c>
      <c r="C629" s="116">
        <v>113.598469502783</v>
      </c>
      <c r="D629" s="116">
        <v>113.417002299104</v>
      </c>
      <c r="E629" s="116">
        <v>114.505805521176</v>
      </c>
      <c r="F629" s="116">
        <v>125.2</v>
      </c>
      <c r="G629">
        <v>32495</v>
      </c>
      <c r="H629" s="116"/>
      <c r="I629" s="116"/>
      <c r="L629" s="170">
        <v>42928</v>
      </c>
      <c r="M629" s="116">
        <v>116.93775635767021</v>
      </c>
      <c r="N629" s="116">
        <v>118.71592152037188</v>
      </c>
      <c r="O629" s="116">
        <v>116.51661197703034</v>
      </c>
      <c r="P629" s="116">
        <v>118.01401421930542</v>
      </c>
      <c r="Q629" s="116">
        <v>124.95</v>
      </c>
      <c r="R629">
        <v>200306</v>
      </c>
    </row>
    <row r="630" spans="1:18" x14ac:dyDescent="0.25">
      <c r="A630" s="170">
        <v>42929</v>
      </c>
      <c r="B630" s="116">
        <v>114.868739928533</v>
      </c>
      <c r="C630" s="116">
        <v>113.689203104622</v>
      </c>
      <c r="D630" s="116">
        <v>113.46236910002401</v>
      </c>
      <c r="E630" s="116">
        <v>113.734569905542</v>
      </c>
      <c r="F630" s="116">
        <v>125.3</v>
      </c>
      <c r="G630">
        <v>15058</v>
      </c>
      <c r="H630" s="116"/>
      <c r="I630" s="116"/>
      <c r="L630" s="170">
        <v>42929</v>
      </c>
      <c r="M630" s="116">
        <v>117.54607601859446</v>
      </c>
      <c r="N630" s="116">
        <v>118.5287462400875</v>
      </c>
      <c r="O630" s="116">
        <v>116.61019961717253</v>
      </c>
      <c r="P630" s="116">
        <v>117.0781378178835</v>
      </c>
      <c r="Q630" s="116">
        <v>125.6</v>
      </c>
      <c r="R630">
        <v>197291</v>
      </c>
    </row>
    <row r="631" spans="1:18" x14ac:dyDescent="0.25">
      <c r="A631" s="170">
        <v>42930</v>
      </c>
      <c r="B631" s="116">
        <v>114.278971516578</v>
      </c>
      <c r="C631" s="116">
        <v>112.600399882551</v>
      </c>
      <c r="D631" s="116">
        <v>111.919897868756</v>
      </c>
      <c r="E631" s="116">
        <v>113.779936706462</v>
      </c>
      <c r="F631" s="116">
        <v>124.1</v>
      </c>
      <c r="G631">
        <v>22122</v>
      </c>
      <c r="H631" s="116"/>
      <c r="I631" s="116"/>
      <c r="L631" s="170">
        <v>42930</v>
      </c>
      <c r="M631" s="116">
        <v>116.51661197703034</v>
      </c>
      <c r="N631" s="116">
        <v>118.2479833196609</v>
      </c>
      <c r="O631" s="116">
        <v>115.86149849603498</v>
      </c>
      <c r="P631" s="116">
        <v>118.2479833196609</v>
      </c>
      <c r="Q631" s="116">
        <v>124.5</v>
      </c>
      <c r="R631">
        <v>127179</v>
      </c>
    </row>
    <row r="632" spans="1:18" x14ac:dyDescent="0.25">
      <c r="A632" s="170">
        <v>42933</v>
      </c>
      <c r="B632" s="116">
        <v>114.46043872025599</v>
      </c>
      <c r="C632" s="116">
        <v>111.647697063238</v>
      </c>
      <c r="D632" s="116">
        <v>110.694994243926</v>
      </c>
      <c r="E632" s="116">
        <v>114.46043872025599</v>
      </c>
      <c r="F632" s="116">
        <v>123.05</v>
      </c>
      <c r="G632">
        <v>18865</v>
      </c>
      <c r="H632" s="116"/>
      <c r="I632" s="116"/>
      <c r="L632" s="170">
        <v>42933</v>
      </c>
      <c r="M632" s="116">
        <v>115.44035411539511</v>
      </c>
      <c r="N632" s="116">
        <v>117.78004511894994</v>
      </c>
      <c r="O632" s="116">
        <v>113.47501367240906</v>
      </c>
      <c r="P632" s="116">
        <v>116.65699343724364</v>
      </c>
      <c r="Q632" s="116">
        <v>123.35</v>
      </c>
      <c r="R632">
        <v>640381</v>
      </c>
    </row>
    <row r="633" spans="1:18" x14ac:dyDescent="0.25">
      <c r="A633" s="170">
        <v>42934</v>
      </c>
      <c r="B633" s="116">
        <v>114.32433831749699</v>
      </c>
      <c r="C633" s="116">
        <v>111.330129456801</v>
      </c>
      <c r="D633" s="116">
        <v>110.831094646685</v>
      </c>
      <c r="E633" s="116">
        <v>111.602330262319</v>
      </c>
      <c r="F633" s="116">
        <v>122.7</v>
      </c>
      <c r="G633">
        <v>34763</v>
      </c>
      <c r="H633" s="116"/>
      <c r="I633" s="116"/>
      <c r="L633" s="170">
        <v>42934</v>
      </c>
      <c r="M633" s="116">
        <v>115.15959119496854</v>
      </c>
      <c r="N633" s="116">
        <v>117.45248837845227</v>
      </c>
      <c r="O633" s="116">
        <v>114.69165299425758</v>
      </c>
      <c r="P633" s="116">
        <v>115.86149849603498</v>
      </c>
      <c r="Q633" s="116">
        <v>123.05</v>
      </c>
      <c r="R633">
        <v>119932</v>
      </c>
    </row>
    <row r="634" spans="1:18" x14ac:dyDescent="0.25">
      <c r="A634" s="170">
        <v>42935</v>
      </c>
      <c r="B634" s="116">
        <v>112.872600688069</v>
      </c>
      <c r="C634" s="116">
        <v>112.32819907703301</v>
      </c>
      <c r="D634" s="116">
        <v>111.012561850363</v>
      </c>
      <c r="E634" s="116">
        <v>112.64576668347</v>
      </c>
      <c r="F634" s="116">
        <v>123.8</v>
      </c>
      <c r="G634">
        <v>29599</v>
      </c>
      <c r="H634" s="116"/>
      <c r="I634" s="116"/>
      <c r="L634" s="170">
        <v>42935</v>
      </c>
      <c r="M634" s="116">
        <v>116.28264287667486</v>
      </c>
      <c r="N634" s="116">
        <v>116.98455017774131</v>
      </c>
      <c r="O634" s="116">
        <v>114.22371479354661</v>
      </c>
      <c r="P634" s="116">
        <v>115.44035411539511</v>
      </c>
      <c r="Q634" s="116">
        <v>124.25</v>
      </c>
      <c r="R634">
        <v>192196</v>
      </c>
    </row>
    <row r="635" spans="1:18" x14ac:dyDescent="0.25">
      <c r="A635" s="170">
        <v>42936</v>
      </c>
      <c r="B635" s="116">
        <v>115.957543150604</v>
      </c>
      <c r="C635" s="116">
        <v>115.322407937729</v>
      </c>
      <c r="D635" s="116">
        <v>111.783797465997</v>
      </c>
      <c r="E635" s="116">
        <v>112.32819907703301</v>
      </c>
      <c r="F635" s="116">
        <v>127.1</v>
      </c>
      <c r="G635">
        <v>28427</v>
      </c>
      <c r="H635" s="116"/>
      <c r="I635" s="116"/>
      <c r="L635" s="170">
        <v>42936</v>
      </c>
      <c r="M635" s="116">
        <v>119.23065354115394</v>
      </c>
      <c r="N635" s="116">
        <v>119.69859174186492</v>
      </c>
      <c r="O635" s="116">
        <v>115.48714793546623</v>
      </c>
      <c r="P635" s="116">
        <v>116.70378725731473</v>
      </c>
      <c r="Q635" s="116">
        <v>127.4</v>
      </c>
      <c r="R635">
        <v>263552</v>
      </c>
    </row>
    <row r="636" spans="1:18" x14ac:dyDescent="0.25">
      <c r="A636" s="170">
        <v>42937</v>
      </c>
      <c r="B636" s="116">
        <v>116.638045164399</v>
      </c>
      <c r="C636" s="116">
        <v>114.32433831749699</v>
      </c>
      <c r="D636" s="116">
        <v>114.00677071106</v>
      </c>
      <c r="E636" s="116">
        <v>115.685342345086</v>
      </c>
      <c r="F636" s="116">
        <v>126</v>
      </c>
      <c r="G636">
        <v>24859</v>
      </c>
      <c r="H636" s="116"/>
      <c r="I636" s="116"/>
      <c r="L636" s="170">
        <v>42937</v>
      </c>
      <c r="M636" s="116">
        <v>118.2479833196609</v>
      </c>
      <c r="N636" s="116">
        <v>120.26011758271807</v>
      </c>
      <c r="O636" s="116">
        <v>117.45248837845227</v>
      </c>
      <c r="P636" s="116">
        <v>119.32424118129613</v>
      </c>
      <c r="Q636" s="116">
        <v>126.35</v>
      </c>
      <c r="R636">
        <v>151900</v>
      </c>
    </row>
    <row r="637" spans="1:18" x14ac:dyDescent="0.25">
      <c r="A637" s="170">
        <v>42940</v>
      </c>
      <c r="B637" s="116">
        <v>115.866809548765</v>
      </c>
      <c r="C637" s="116">
        <v>114.95947353037199</v>
      </c>
      <c r="D637" s="116">
        <v>113.82530350738099</v>
      </c>
      <c r="E637" s="116">
        <v>115.050207132211</v>
      </c>
      <c r="F637" s="116">
        <v>126.7</v>
      </c>
      <c r="G637">
        <v>15412</v>
      </c>
      <c r="H637" s="116"/>
      <c r="I637" s="116"/>
      <c r="L637" s="170">
        <v>42940</v>
      </c>
      <c r="M637" s="116">
        <v>118.90309680065626</v>
      </c>
      <c r="N637" s="116">
        <v>119.60500410172271</v>
      </c>
      <c r="O637" s="116">
        <v>117.17172545802569</v>
      </c>
      <c r="P637" s="116">
        <v>117.96722039923434</v>
      </c>
      <c r="Q637" s="116">
        <v>127.05</v>
      </c>
      <c r="R637">
        <v>202368</v>
      </c>
    </row>
    <row r="638" spans="1:18" x14ac:dyDescent="0.25">
      <c r="A638" s="170">
        <v>42941</v>
      </c>
      <c r="B638" s="116">
        <v>116.22974395612199</v>
      </c>
      <c r="C638" s="116">
        <v>113.779936706462</v>
      </c>
      <c r="D638" s="116">
        <v>113.553102701863</v>
      </c>
      <c r="E638" s="116">
        <v>115.004840331292</v>
      </c>
      <c r="F638" s="116">
        <v>125.4</v>
      </c>
      <c r="G638">
        <v>10696</v>
      </c>
      <c r="H638" s="116"/>
      <c r="I638" s="116"/>
      <c r="L638" s="170">
        <v>42941</v>
      </c>
      <c r="M638" s="116">
        <v>117.49928219852336</v>
      </c>
      <c r="N638" s="116">
        <v>120.07294230243369</v>
      </c>
      <c r="O638" s="116">
        <v>117.0313439978124</v>
      </c>
      <c r="P638" s="116">
        <v>118.5287462400875</v>
      </c>
      <c r="Q638" s="116">
        <v>125.55</v>
      </c>
      <c r="R638">
        <v>175194</v>
      </c>
    </row>
    <row r="639" spans="1:18" x14ac:dyDescent="0.25">
      <c r="A639" s="170">
        <v>42942</v>
      </c>
      <c r="B639" s="116">
        <v>115.23167433589001</v>
      </c>
      <c r="C639" s="116">
        <v>112.82723388714901</v>
      </c>
      <c r="D639" s="116">
        <v>112.600399882551</v>
      </c>
      <c r="E639" s="116">
        <v>113.417002299104</v>
      </c>
      <c r="F639" s="116">
        <v>124.35</v>
      </c>
      <c r="G639">
        <v>29523</v>
      </c>
      <c r="H639" s="116"/>
      <c r="I639" s="116"/>
      <c r="L639" s="170">
        <v>42942</v>
      </c>
      <c r="M639" s="116">
        <v>116.28264287667486</v>
      </c>
      <c r="N639" s="116">
        <v>119.27744736122504</v>
      </c>
      <c r="O639" s="116">
        <v>115.76791085589279</v>
      </c>
      <c r="P639" s="116">
        <v>117.1249316379546</v>
      </c>
      <c r="Q639" s="116">
        <v>124.25</v>
      </c>
      <c r="R639">
        <v>155466</v>
      </c>
    </row>
    <row r="640" spans="1:18" x14ac:dyDescent="0.25">
      <c r="A640" s="170">
        <v>42943</v>
      </c>
      <c r="B640" s="116">
        <v>114.551172322095</v>
      </c>
      <c r="C640" s="116">
        <v>113.417002299104</v>
      </c>
      <c r="D640" s="116">
        <v>111.46622985956</v>
      </c>
      <c r="E640" s="116">
        <v>113.417002299104</v>
      </c>
      <c r="F640" s="116">
        <v>125</v>
      </c>
      <c r="G640">
        <v>32734</v>
      </c>
      <c r="H640" s="116"/>
      <c r="I640" s="116"/>
      <c r="L640" s="170">
        <v>42943</v>
      </c>
      <c r="M640" s="116">
        <v>117.31210691823898</v>
      </c>
      <c r="N640" s="116">
        <v>118.38836477987421</v>
      </c>
      <c r="O640" s="116">
        <v>116.14226141646157</v>
      </c>
      <c r="P640" s="116">
        <v>116.32943669674596</v>
      </c>
      <c r="Q640" s="116">
        <v>125.35</v>
      </c>
      <c r="R640">
        <v>213529</v>
      </c>
    </row>
    <row r="641" spans="1:18" x14ac:dyDescent="0.25">
      <c r="A641" s="170">
        <v>42944</v>
      </c>
      <c r="B641" s="116">
        <v>113.91603710922</v>
      </c>
      <c r="C641" s="116">
        <v>111.69306386415801</v>
      </c>
      <c r="D641" s="116">
        <v>110.105225831971</v>
      </c>
      <c r="E641" s="116">
        <v>112.963334289908</v>
      </c>
      <c r="F641" s="116">
        <v>123.1</v>
      </c>
      <c r="G641">
        <v>14990</v>
      </c>
      <c r="H641" s="116"/>
      <c r="I641" s="116"/>
      <c r="L641" s="170">
        <v>42944</v>
      </c>
      <c r="M641" s="116">
        <v>115.39356029532402</v>
      </c>
      <c r="N641" s="116">
        <v>117.87363275909215</v>
      </c>
      <c r="O641" s="116">
        <v>113.80257041290673</v>
      </c>
      <c r="P641" s="116">
        <v>116.61019961717253</v>
      </c>
      <c r="Q641" s="116">
        <v>123.3</v>
      </c>
      <c r="R641">
        <v>106448</v>
      </c>
    </row>
    <row r="642" spans="1:18" x14ac:dyDescent="0.25">
      <c r="A642" s="170">
        <v>42947</v>
      </c>
      <c r="B642" s="116">
        <v>113.553102701863</v>
      </c>
      <c r="C642" s="116">
        <v>112.69113348438999</v>
      </c>
      <c r="D642" s="116">
        <v>110.059859031051</v>
      </c>
      <c r="E642" s="116">
        <v>110.059859031051</v>
      </c>
      <c r="F642" s="116">
        <v>124.2</v>
      </c>
      <c r="G642">
        <v>30041</v>
      </c>
      <c r="H642" s="116"/>
      <c r="I642" s="116"/>
      <c r="L642" s="170">
        <v>42947</v>
      </c>
      <c r="M642" s="116">
        <v>116.65699343724364</v>
      </c>
      <c r="N642" s="116">
        <v>117.40569455838119</v>
      </c>
      <c r="O642" s="116">
        <v>114.78524063439977</v>
      </c>
      <c r="P642" s="116">
        <v>114.78524063439977</v>
      </c>
      <c r="Q642" s="116">
        <v>124.65</v>
      </c>
      <c r="R642">
        <v>244183</v>
      </c>
    </row>
    <row r="643" spans="1:18" x14ac:dyDescent="0.25">
      <c r="A643" s="170">
        <v>42948</v>
      </c>
      <c r="B643" s="116">
        <v>116.048276752444</v>
      </c>
      <c r="C643" s="116">
        <v>115.09557393313101</v>
      </c>
      <c r="D643" s="116">
        <v>112.555033081631</v>
      </c>
      <c r="E643" s="116">
        <v>113.643836303703</v>
      </c>
      <c r="F643" s="116">
        <v>126.85</v>
      </c>
      <c r="G643">
        <v>410141</v>
      </c>
      <c r="H643" s="116"/>
      <c r="I643" s="116"/>
      <c r="L643" s="170">
        <v>42948</v>
      </c>
      <c r="M643" s="116">
        <v>118.94989062072736</v>
      </c>
      <c r="N643" s="116">
        <v>120.07294230243369</v>
      </c>
      <c r="O643" s="116">
        <v>115.76791085589279</v>
      </c>
      <c r="P643" s="116">
        <v>115.76791085589279</v>
      </c>
      <c r="Q643" s="116">
        <v>127.1</v>
      </c>
      <c r="R643">
        <v>261149</v>
      </c>
    </row>
    <row r="644" spans="1:18" x14ac:dyDescent="0.25">
      <c r="A644" s="170">
        <v>42949</v>
      </c>
      <c r="B644" s="116">
        <v>117.95368239106899</v>
      </c>
      <c r="C644" s="116">
        <v>116.45657796072</v>
      </c>
      <c r="D644" s="116">
        <v>113.96140391014001</v>
      </c>
      <c r="E644" s="116">
        <v>115.004840331292</v>
      </c>
      <c r="F644" s="116">
        <v>128.35</v>
      </c>
      <c r="G644">
        <v>20986</v>
      </c>
      <c r="H644" s="116"/>
      <c r="I644" s="116"/>
      <c r="L644" s="170">
        <v>42949</v>
      </c>
      <c r="M644" s="116">
        <v>121.00881870385562</v>
      </c>
      <c r="N644" s="116">
        <v>122.22545802570411</v>
      </c>
      <c r="O644" s="116">
        <v>117.35890073831008</v>
      </c>
      <c r="P644" s="116">
        <v>119.51141646158052</v>
      </c>
      <c r="Q644" s="116">
        <v>129.30000000000001</v>
      </c>
      <c r="R644">
        <v>311960</v>
      </c>
    </row>
    <row r="645" spans="1:18" x14ac:dyDescent="0.25">
      <c r="A645" s="170">
        <v>42950</v>
      </c>
      <c r="B645" s="116">
        <v>117.95368239106899</v>
      </c>
      <c r="C645" s="116">
        <v>114.778006326694</v>
      </c>
      <c r="D645" s="116">
        <v>113.870670308301</v>
      </c>
      <c r="E645" s="116">
        <v>117.95368239106899</v>
      </c>
      <c r="F645" s="116">
        <v>126.5</v>
      </c>
      <c r="G645">
        <v>29467</v>
      </c>
      <c r="H645" s="116"/>
      <c r="I645" s="116"/>
      <c r="L645" s="170">
        <v>42950</v>
      </c>
      <c r="M645" s="116">
        <v>118.76271534044298</v>
      </c>
      <c r="N645" s="116">
        <v>121.66393218485096</v>
      </c>
      <c r="O645" s="116">
        <v>118.01401421930542</v>
      </c>
      <c r="P645" s="116">
        <v>121.57034454470877</v>
      </c>
      <c r="Q645" s="116">
        <v>126.9</v>
      </c>
      <c r="R645">
        <v>146702</v>
      </c>
    </row>
    <row r="646" spans="1:18" x14ac:dyDescent="0.25">
      <c r="A646" s="170">
        <v>42951</v>
      </c>
      <c r="B646" s="116">
        <v>117.273180377274</v>
      </c>
      <c r="C646" s="116">
        <v>115.866809548765</v>
      </c>
      <c r="D646" s="116">
        <v>113.553102701863</v>
      </c>
      <c r="E646" s="116">
        <v>113.779936706462</v>
      </c>
      <c r="F646" s="116">
        <v>127.7</v>
      </c>
      <c r="G646">
        <v>15782</v>
      </c>
      <c r="H646" s="116"/>
      <c r="I646" s="116"/>
      <c r="L646" s="170">
        <v>42951</v>
      </c>
      <c r="M646" s="116">
        <v>119.79217938200709</v>
      </c>
      <c r="N646" s="116">
        <v>121.19599398413999</v>
      </c>
      <c r="O646" s="116">
        <v>117.21851927809679</v>
      </c>
      <c r="P646" s="116">
        <v>118.85630298058517</v>
      </c>
      <c r="Q646" s="116">
        <v>128</v>
      </c>
      <c r="R646">
        <v>115369</v>
      </c>
    </row>
    <row r="647" spans="1:18" x14ac:dyDescent="0.25">
      <c r="A647" s="170">
        <v>42954</v>
      </c>
      <c r="B647" s="116">
        <v>117.50001438187201</v>
      </c>
      <c r="C647" s="116">
        <v>116.72877876623799</v>
      </c>
      <c r="D647" s="116">
        <v>113.643836303703</v>
      </c>
      <c r="E647" s="116">
        <v>117.50001438187201</v>
      </c>
      <c r="F647" s="116">
        <v>128.65</v>
      </c>
      <c r="G647">
        <v>47091</v>
      </c>
      <c r="H647" s="116"/>
      <c r="I647" s="116"/>
      <c r="L647" s="170">
        <v>42954</v>
      </c>
      <c r="M647" s="116">
        <v>120.77484960350013</v>
      </c>
      <c r="N647" s="116">
        <v>121.19599398413999</v>
      </c>
      <c r="O647" s="116">
        <v>117.26531309816788</v>
      </c>
      <c r="P647" s="116">
        <v>121.19599398413999</v>
      </c>
      <c r="Q647" s="116">
        <v>129.05000000000001</v>
      </c>
      <c r="R647">
        <v>224778</v>
      </c>
    </row>
    <row r="648" spans="1:18" x14ac:dyDescent="0.25">
      <c r="A648" s="170">
        <v>42955</v>
      </c>
      <c r="B648" s="116">
        <v>118.861018409461</v>
      </c>
      <c r="C648" s="116">
        <v>117.908315590149</v>
      </c>
      <c r="D648" s="116">
        <v>114.732639525774</v>
      </c>
      <c r="E648" s="116">
        <v>115.776075946926</v>
      </c>
      <c r="F648" s="116">
        <v>129.94999999999999</v>
      </c>
      <c r="G648">
        <v>55626</v>
      </c>
      <c r="H648" s="116"/>
      <c r="I648" s="116"/>
      <c r="L648" s="170">
        <v>42955</v>
      </c>
      <c r="M648" s="116">
        <v>121.61713836477985</v>
      </c>
      <c r="N648" s="116">
        <v>122.92736532677056</v>
      </c>
      <c r="O648" s="116">
        <v>118.48195242001638</v>
      </c>
      <c r="P648" s="116">
        <v>119.97935466229147</v>
      </c>
      <c r="Q648" s="116">
        <v>129.94999999999999</v>
      </c>
      <c r="R648">
        <v>274075</v>
      </c>
    </row>
    <row r="649" spans="1:18" x14ac:dyDescent="0.25">
      <c r="A649" s="170">
        <v>42956</v>
      </c>
      <c r="B649" s="116">
        <v>117.95368239106899</v>
      </c>
      <c r="C649" s="116">
        <v>114.188237914738</v>
      </c>
      <c r="D649" s="116">
        <v>113.553102701863</v>
      </c>
      <c r="E649" s="116">
        <v>117.95368239106899</v>
      </c>
      <c r="F649" s="116">
        <v>125.85</v>
      </c>
      <c r="G649">
        <v>29969</v>
      </c>
      <c r="H649" s="116"/>
      <c r="I649" s="116"/>
      <c r="L649" s="170">
        <v>42956</v>
      </c>
      <c r="M649" s="116">
        <v>118.06080803937654</v>
      </c>
      <c r="N649" s="116">
        <v>121.61713836477985</v>
      </c>
      <c r="O649" s="116">
        <v>117.26531309816788</v>
      </c>
      <c r="P649" s="116">
        <v>121.61713836477985</v>
      </c>
      <c r="Q649" s="116">
        <v>126.15</v>
      </c>
      <c r="R649">
        <v>329443</v>
      </c>
    </row>
    <row r="650" spans="1:18" x14ac:dyDescent="0.25">
      <c r="A650" s="170">
        <v>42957</v>
      </c>
      <c r="B650" s="116">
        <v>116.275110757042</v>
      </c>
      <c r="C650" s="116">
        <v>113.598469502783</v>
      </c>
      <c r="D650" s="116">
        <v>109.606191021854</v>
      </c>
      <c r="E650" s="116">
        <v>113.689203104622</v>
      </c>
      <c r="F650" s="116">
        <v>125.2</v>
      </c>
      <c r="G650">
        <v>169328</v>
      </c>
      <c r="H650" s="116"/>
      <c r="I650" s="116"/>
      <c r="L650" s="170">
        <v>42957</v>
      </c>
      <c r="M650" s="116">
        <v>116.75058107738583</v>
      </c>
      <c r="N650" s="116">
        <v>119.79217938200709</v>
      </c>
      <c r="O650" s="116">
        <v>112.30516817063166</v>
      </c>
      <c r="P650" s="116">
        <v>118.76271534044298</v>
      </c>
      <c r="Q650" s="116">
        <v>124.75</v>
      </c>
      <c r="R650">
        <v>305563</v>
      </c>
    </row>
    <row r="651" spans="1:18" x14ac:dyDescent="0.25">
      <c r="A651" s="170">
        <v>42958</v>
      </c>
      <c r="B651" s="116">
        <v>112.82723388714901</v>
      </c>
      <c r="C651" s="116">
        <v>110.468160239328</v>
      </c>
      <c r="D651" s="116">
        <v>108.88032220714</v>
      </c>
      <c r="E651" s="116">
        <v>111.46622985956</v>
      </c>
      <c r="F651" s="116">
        <v>121.75</v>
      </c>
      <c r="G651">
        <v>22227</v>
      </c>
      <c r="H651" s="116"/>
      <c r="I651" s="116"/>
      <c r="L651" s="170">
        <v>42958</v>
      </c>
      <c r="M651" s="116">
        <v>114.55127153404429</v>
      </c>
      <c r="N651" s="116">
        <v>116.70378725731473</v>
      </c>
      <c r="O651" s="116">
        <v>113.28783839212468</v>
      </c>
      <c r="P651" s="116">
        <v>115.58073557560841</v>
      </c>
      <c r="Q651" s="116">
        <v>122.4</v>
      </c>
      <c r="R651">
        <v>275579</v>
      </c>
    </row>
    <row r="652" spans="1:18" x14ac:dyDescent="0.25">
      <c r="A652" s="170">
        <v>42961</v>
      </c>
      <c r="B652" s="116">
        <v>113.779936706462</v>
      </c>
      <c r="C652" s="116">
        <v>113.099434692667</v>
      </c>
      <c r="D652" s="116">
        <v>110.513527040247</v>
      </c>
      <c r="E652" s="116">
        <v>110.513527040247</v>
      </c>
      <c r="F652" s="116">
        <v>124.65</v>
      </c>
      <c r="G652">
        <v>32411</v>
      </c>
      <c r="H652" s="116"/>
      <c r="I652" s="116"/>
      <c r="L652" s="170">
        <v>42961</v>
      </c>
      <c r="M652" s="116">
        <v>117.0313439978124</v>
      </c>
      <c r="N652" s="116">
        <v>117.82683893902104</v>
      </c>
      <c r="O652" s="116">
        <v>114.27050861361771</v>
      </c>
      <c r="P652" s="116">
        <v>114.59806535411539</v>
      </c>
      <c r="Q652" s="116">
        <v>125.05</v>
      </c>
      <c r="R652">
        <v>130179</v>
      </c>
    </row>
    <row r="653" spans="1:18" x14ac:dyDescent="0.25">
      <c r="A653" s="170">
        <v>42963</v>
      </c>
      <c r="B653" s="116">
        <v>115.23167433589001</v>
      </c>
      <c r="C653" s="116">
        <v>114.278971516578</v>
      </c>
      <c r="D653" s="116">
        <v>112.917967488988</v>
      </c>
      <c r="E653" s="116">
        <v>113.099434692667</v>
      </c>
      <c r="F653" s="116">
        <v>125.95</v>
      </c>
      <c r="G653">
        <v>10961</v>
      </c>
      <c r="H653" s="116"/>
      <c r="I653" s="116"/>
      <c r="L653" s="170">
        <v>42963</v>
      </c>
      <c r="M653" s="116">
        <v>117.87363275909215</v>
      </c>
      <c r="N653" s="116">
        <v>119.32424118129613</v>
      </c>
      <c r="O653" s="116">
        <v>116.28264287667486</v>
      </c>
      <c r="P653" s="116">
        <v>117.0313439978124</v>
      </c>
      <c r="Q653" s="116">
        <v>125.95</v>
      </c>
      <c r="R653">
        <v>209026</v>
      </c>
    </row>
    <row r="654" spans="1:18" x14ac:dyDescent="0.25">
      <c r="A654" s="170">
        <v>42964</v>
      </c>
      <c r="B654" s="116">
        <v>121.855227270158</v>
      </c>
      <c r="C654" s="116">
        <v>114.59653912301501</v>
      </c>
      <c r="D654" s="116">
        <v>114.00677071106</v>
      </c>
      <c r="E654" s="116">
        <v>116.411211159801</v>
      </c>
      <c r="F654" s="116">
        <v>126.3</v>
      </c>
      <c r="G654">
        <v>1646049</v>
      </c>
      <c r="H654" s="116"/>
      <c r="I654" s="116"/>
      <c r="L654" s="170">
        <v>42964</v>
      </c>
      <c r="M654" s="116">
        <v>118.38836477987421</v>
      </c>
      <c r="N654" s="116">
        <v>120.72805578342903</v>
      </c>
      <c r="O654" s="116">
        <v>118.06080803937654</v>
      </c>
      <c r="P654" s="116">
        <v>119.745385561936</v>
      </c>
      <c r="Q654" s="116">
        <v>126.5</v>
      </c>
      <c r="R654">
        <v>659092</v>
      </c>
    </row>
    <row r="655" spans="1:18" x14ac:dyDescent="0.25">
      <c r="A655" s="170">
        <v>42965</v>
      </c>
      <c r="B655" s="116">
        <v>115.73070914600601</v>
      </c>
      <c r="C655" s="116">
        <v>112.464299479792</v>
      </c>
      <c r="D655" s="116">
        <v>112.19209867427401</v>
      </c>
      <c r="E655" s="116">
        <v>114.142871113819</v>
      </c>
      <c r="F655" s="116">
        <v>123.95</v>
      </c>
      <c r="G655">
        <v>36800</v>
      </c>
      <c r="H655" s="116"/>
      <c r="I655" s="116"/>
      <c r="L655" s="170">
        <v>42965</v>
      </c>
      <c r="M655" s="116">
        <v>116.00187995624829</v>
      </c>
      <c r="N655" s="116">
        <v>119.51141646158052</v>
      </c>
      <c r="O655" s="116">
        <v>115.72111703582171</v>
      </c>
      <c r="P655" s="116">
        <v>117.31210691823898</v>
      </c>
      <c r="Q655" s="116">
        <v>123.95</v>
      </c>
      <c r="R655">
        <v>155747</v>
      </c>
    </row>
    <row r="656" spans="1:18" x14ac:dyDescent="0.25">
      <c r="A656" s="170">
        <v>42968</v>
      </c>
      <c r="B656" s="116">
        <v>113.96140391014001</v>
      </c>
      <c r="C656" s="116">
        <v>108.971055808979</v>
      </c>
      <c r="D656" s="116">
        <v>108.063719790587</v>
      </c>
      <c r="E656" s="116">
        <v>112.963334289908</v>
      </c>
      <c r="F656" s="116">
        <v>120.1</v>
      </c>
      <c r="G656">
        <v>82224</v>
      </c>
      <c r="H656" s="116"/>
      <c r="I656" s="116"/>
      <c r="L656" s="170">
        <v>42968</v>
      </c>
      <c r="M656" s="116">
        <v>112.21158053048947</v>
      </c>
      <c r="N656" s="116">
        <v>118.38836477987421</v>
      </c>
      <c r="O656" s="116">
        <v>111.32249794913864</v>
      </c>
      <c r="P656" s="116">
        <v>115.58073557560841</v>
      </c>
      <c r="Q656" s="116">
        <v>119.9</v>
      </c>
      <c r="R656">
        <v>316935</v>
      </c>
    </row>
    <row r="657" spans="1:18" x14ac:dyDescent="0.25">
      <c r="A657" s="170">
        <v>42969</v>
      </c>
      <c r="B657" s="116">
        <v>110.377426637488</v>
      </c>
      <c r="C657" s="116">
        <v>101.031865648042</v>
      </c>
      <c r="D657" s="116">
        <v>98.309857592863693</v>
      </c>
      <c r="E657" s="116">
        <v>109.78765822553299</v>
      </c>
      <c r="F657" s="116">
        <v>111.35</v>
      </c>
      <c r="G657">
        <v>131733</v>
      </c>
      <c r="H657" s="116"/>
      <c r="I657" s="116"/>
      <c r="L657" s="170">
        <v>42969</v>
      </c>
      <c r="M657" s="116">
        <v>104.30342493847415</v>
      </c>
      <c r="N657" s="116">
        <v>113.89615805304894</v>
      </c>
      <c r="O657" s="116">
        <v>101.54258955427946</v>
      </c>
      <c r="P657" s="116">
        <v>113.24104457205358</v>
      </c>
      <c r="Q657" s="116">
        <v>111.45</v>
      </c>
      <c r="R657">
        <v>1016025</v>
      </c>
    </row>
    <row r="658" spans="1:18" x14ac:dyDescent="0.25">
      <c r="A658" s="170">
        <v>42970</v>
      </c>
      <c r="B658" s="116">
        <v>103.436306096783</v>
      </c>
      <c r="C658" s="116">
        <v>101.167966050801</v>
      </c>
      <c r="D658" s="116">
        <v>100.44209723608699</v>
      </c>
      <c r="E658" s="116">
        <v>103.34557249494399</v>
      </c>
      <c r="F658" s="116">
        <v>111.5</v>
      </c>
      <c r="G658">
        <v>66597</v>
      </c>
      <c r="H658" s="116"/>
      <c r="I658" s="116"/>
      <c r="L658" s="170">
        <v>42970</v>
      </c>
      <c r="M658" s="116">
        <v>104.49060021875854</v>
      </c>
      <c r="N658" s="116">
        <v>105.56685808039376</v>
      </c>
      <c r="O658" s="116">
        <v>103.32075471698113</v>
      </c>
      <c r="P658" s="116">
        <v>105.42647662018047</v>
      </c>
      <c r="Q658" s="116">
        <v>111.65</v>
      </c>
      <c r="R658">
        <v>1274615</v>
      </c>
    </row>
    <row r="659" spans="1:18" x14ac:dyDescent="0.25">
      <c r="A659" s="170">
        <v>42971</v>
      </c>
      <c r="B659" s="116">
        <v>103.61777330046201</v>
      </c>
      <c r="C659" s="116">
        <v>100.57819763884601</v>
      </c>
      <c r="D659" s="116">
        <v>99.988429226890403</v>
      </c>
      <c r="E659" s="116">
        <v>102.21140247195299</v>
      </c>
      <c r="F659" s="116">
        <v>110.85</v>
      </c>
      <c r="G659">
        <v>63452</v>
      </c>
      <c r="H659" s="116"/>
      <c r="I659" s="116"/>
      <c r="L659" s="170">
        <v>42971</v>
      </c>
      <c r="M659" s="116">
        <v>103.78869291769209</v>
      </c>
      <c r="N659" s="116">
        <v>106.97067268252665</v>
      </c>
      <c r="O659" s="116">
        <v>103.03999179655453</v>
      </c>
      <c r="P659" s="116">
        <v>104.72456931911402</v>
      </c>
      <c r="Q659" s="116">
        <v>110.9</v>
      </c>
      <c r="R659">
        <v>1045668</v>
      </c>
    </row>
    <row r="660" spans="1:18" x14ac:dyDescent="0.25">
      <c r="A660" s="170">
        <v>42975</v>
      </c>
      <c r="B660" s="116">
        <v>103.527039698622</v>
      </c>
      <c r="C660" s="116">
        <v>102.120668870114</v>
      </c>
      <c r="D660" s="116">
        <v>100.805031643444</v>
      </c>
      <c r="E660" s="116">
        <v>101.621634059998</v>
      </c>
      <c r="F660" s="116">
        <v>112.55</v>
      </c>
      <c r="G660">
        <v>23743</v>
      </c>
      <c r="H660" s="116"/>
      <c r="I660" s="116"/>
      <c r="L660" s="170">
        <v>42975</v>
      </c>
      <c r="M660" s="116">
        <v>105.61365190046484</v>
      </c>
      <c r="N660" s="116">
        <v>106.87708504238446</v>
      </c>
      <c r="O660" s="116">
        <v>103.36754853705222</v>
      </c>
      <c r="P660" s="116">
        <v>104.25663111840306</v>
      </c>
      <c r="Q660" s="116">
        <v>112.85</v>
      </c>
      <c r="R660">
        <v>338644</v>
      </c>
    </row>
    <row r="661" spans="1:18" x14ac:dyDescent="0.25">
      <c r="A661" s="170">
        <v>42976</v>
      </c>
      <c r="B661" s="116">
        <v>104.434375717015</v>
      </c>
      <c r="C661" s="116">
        <v>103.935340906899</v>
      </c>
      <c r="D661" s="116">
        <v>102.52897007839</v>
      </c>
      <c r="E661" s="116">
        <v>102.57433687931</v>
      </c>
      <c r="F661" s="116">
        <v>114.55</v>
      </c>
      <c r="G661">
        <v>58955</v>
      </c>
      <c r="H661" s="116"/>
      <c r="I661" s="116"/>
      <c r="L661" s="170">
        <v>42976</v>
      </c>
      <c r="M661" s="116">
        <v>107.39181706316651</v>
      </c>
      <c r="N661" s="116">
        <v>107.62578616352201</v>
      </c>
      <c r="O661" s="116">
        <v>105.09891987968278</v>
      </c>
      <c r="P661" s="116">
        <v>106.17517774131801</v>
      </c>
      <c r="Q661" s="116">
        <v>114.75</v>
      </c>
      <c r="R661">
        <v>158179</v>
      </c>
    </row>
    <row r="662" spans="1:18" x14ac:dyDescent="0.25">
      <c r="A662" s="170">
        <v>42977</v>
      </c>
      <c r="B662" s="116">
        <v>105.25097813356901</v>
      </c>
      <c r="C662" s="116">
        <v>104.47974251793499</v>
      </c>
      <c r="D662" s="116">
        <v>104.252908513337</v>
      </c>
      <c r="E662" s="116">
        <v>104.343642115176</v>
      </c>
      <c r="F662" s="116">
        <v>115.15</v>
      </c>
      <c r="G662">
        <v>27416</v>
      </c>
      <c r="H662" s="116"/>
      <c r="I662" s="116"/>
      <c r="L662" s="170">
        <v>42977</v>
      </c>
      <c r="M662" s="116">
        <v>107.62578616352201</v>
      </c>
      <c r="N662" s="116">
        <v>108.56166256494393</v>
      </c>
      <c r="O662" s="116">
        <v>107.15784796281103</v>
      </c>
      <c r="P662" s="116">
        <v>108.56166256494393</v>
      </c>
      <c r="Q662" s="116">
        <v>115</v>
      </c>
      <c r="R662">
        <v>417368</v>
      </c>
    </row>
    <row r="663" spans="1:18" x14ac:dyDescent="0.25">
      <c r="A663" s="170">
        <v>42978</v>
      </c>
      <c r="B663" s="116">
        <v>108.335920596105</v>
      </c>
      <c r="C663" s="116">
        <v>107.61005178139</v>
      </c>
      <c r="D663" s="116">
        <v>105.06951092989</v>
      </c>
      <c r="E663" s="116">
        <v>105.25097813356901</v>
      </c>
      <c r="F663" s="116">
        <v>118.6</v>
      </c>
      <c r="G663">
        <v>32408</v>
      </c>
      <c r="H663" s="116"/>
      <c r="I663" s="116"/>
      <c r="L663" s="170">
        <v>42978</v>
      </c>
      <c r="M663" s="116">
        <v>111.22891030899643</v>
      </c>
      <c r="N663" s="116">
        <v>112.30516817063166</v>
      </c>
      <c r="O663" s="116">
        <v>108.09372436423297</v>
      </c>
      <c r="P663" s="116">
        <v>108.56166256494393</v>
      </c>
      <c r="Q663" s="116">
        <v>118.85</v>
      </c>
      <c r="R663">
        <v>637887</v>
      </c>
    </row>
    <row r="664" spans="1:18" x14ac:dyDescent="0.25">
      <c r="A664" s="170">
        <v>42979</v>
      </c>
      <c r="B664" s="116">
        <v>108.744221804381</v>
      </c>
      <c r="C664" s="116">
        <v>106.748082563917</v>
      </c>
      <c r="D664" s="116">
        <v>106.158314151962</v>
      </c>
      <c r="E664" s="116">
        <v>108.608121401622</v>
      </c>
      <c r="F664" s="116">
        <v>117.65</v>
      </c>
      <c r="G664">
        <v>44009</v>
      </c>
      <c r="H664" s="116"/>
      <c r="I664" s="116"/>
      <c r="L664" s="170">
        <v>42979</v>
      </c>
      <c r="M664" s="116">
        <v>110.43341536778779</v>
      </c>
      <c r="N664" s="116">
        <v>112.30516817063166</v>
      </c>
      <c r="O664" s="116">
        <v>110.33982772764561</v>
      </c>
      <c r="P664" s="116">
        <v>111.41608558928081</v>
      </c>
      <c r="Q664" s="116">
        <v>118</v>
      </c>
      <c r="R664">
        <v>1927140</v>
      </c>
    </row>
    <row r="665" spans="1:18" x14ac:dyDescent="0.25">
      <c r="A665" s="170">
        <v>42982</v>
      </c>
      <c r="B665" s="116">
        <v>107.836885785988</v>
      </c>
      <c r="C665" s="116">
        <v>107.02028336943501</v>
      </c>
      <c r="D665" s="116">
        <v>106.294414554721</v>
      </c>
      <c r="E665" s="116">
        <v>107.065650170355</v>
      </c>
      <c r="F665" s="116">
        <v>117.95</v>
      </c>
      <c r="G665">
        <v>26844</v>
      </c>
      <c r="H665" s="116"/>
      <c r="I665" s="116"/>
      <c r="L665" s="170">
        <v>42982</v>
      </c>
      <c r="M665" s="116">
        <v>110.3866215477167</v>
      </c>
      <c r="N665" s="116">
        <v>111.13532266885424</v>
      </c>
      <c r="O665" s="116">
        <v>108.9828069455838</v>
      </c>
      <c r="P665" s="116">
        <v>110.43341536778779</v>
      </c>
      <c r="Q665" s="116">
        <v>117.95</v>
      </c>
      <c r="R665">
        <v>139899</v>
      </c>
    </row>
    <row r="666" spans="1:18" x14ac:dyDescent="0.25">
      <c r="A666" s="170">
        <v>42983</v>
      </c>
      <c r="B666" s="116">
        <v>109.78765822553299</v>
      </c>
      <c r="C666" s="116">
        <v>108.562754600703</v>
      </c>
      <c r="D666" s="116">
        <v>106.158314151962</v>
      </c>
      <c r="E666" s="116">
        <v>106.158314151962</v>
      </c>
      <c r="F666" s="116">
        <v>119.65</v>
      </c>
      <c r="G666">
        <v>10189</v>
      </c>
      <c r="H666" s="116"/>
      <c r="I666" s="116"/>
      <c r="L666" s="170">
        <v>42983</v>
      </c>
      <c r="M666" s="116">
        <v>112.35196199070275</v>
      </c>
      <c r="N666" s="116">
        <v>113.66218895269346</v>
      </c>
      <c r="O666" s="116">
        <v>109.96547716707683</v>
      </c>
      <c r="P666" s="116">
        <v>110.33982772764561</v>
      </c>
      <c r="Q666" s="116">
        <v>120.05</v>
      </c>
      <c r="R666">
        <v>121339</v>
      </c>
    </row>
    <row r="667" spans="1:18" x14ac:dyDescent="0.25">
      <c r="A667" s="170">
        <v>42984</v>
      </c>
      <c r="B667" s="116">
        <v>109.78765822553299</v>
      </c>
      <c r="C667" s="116">
        <v>108.15445339242601</v>
      </c>
      <c r="D667" s="116">
        <v>107.428584577712</v>
      </c>
      <c r="E667" s="116">
        <v>109.78765822553299</v>
      </c>
      <c r="F667" s="116">
        <v>119.2</v>
      </c>
      <c r="G667">
        <v>14508</v>
      </c>
      <c r="H667" s="116"/>
      <c r="I667" s="116"/>
      <c r="L667" s="170">
        <v>42984</v>
      </c>
      <c r="M667" s="116">
        <v>111.83722996992068</v>
      </c>
      <c r="N667" s="116">
        <v>112.96028165162701</v>
      </c>
      <c r="O667" s="116">
        <v>111.36929176920972</v>
      </c>
      <c r="P667" s="116">
        <v>112.30516817063166</v>
      </c>
      <c r="Q667" s="116">
        <v>119.5</v>
      </c>
      <c r="R667">
        <v>61844</v>
      </c>
    </row>
    <row r="668" spans="1:18" x14ac:dyDescent="0.25">
      <c r="A668" s="170">
        <v>42985</v>
      </c>
      <c r="B668" s="116">
        <v>107.972986188747</v>
      </c>
      <c r="C668" s="116">
        <v>106.33978135564</v>
      </c>
      <c r="D668" s="116">
        <v>105.840746545524</v>
      </c>
      <c r="E668" s="116">
        <v>107.836885785988</v>
      </c>
      <c r="F668" s="116">
        <v>117.2</v>
      </c>
      <c r="G668">
        <v>32990</v>
      </c>
      <c r="H668" s="116"/>
      <c r="I668" s="116"/>
      <c r="L668" s="170">
        <v>42985</v>
      </c>
      <c r="M668" s="116">
        <v>109.73150806672135</v>
      </c>
      <c r="N668" s="116">
        <v>111.50967322942302</v>
      </c>
      <c r="O668" s="116">
        <v>109.02960076565491</v>
      </c>
      <c r="P668" s="116">
        <v>111.41608558928081</v>
      </c>
      <c r="Q668" s="116">
        <v>117.25</v>
      </c>
      <c r="R668">
        <v>242258</v>
      </c>
    </row>
    <row r="669" spans="1:18" x14ac:dyDescent="0.25">
      <c r="A669" s="170">
        <v>42986</v>
      </c>
      <c r="B669" s="116">
        <v>107.972986188747</v>
      </c>
      <c r="C669" s="116">
        <v>104.162174911497</v>
      </c>
      <c r="D669" s="116">
        <v>103.527039698622</v>
      </c>
      <c r="E669" s="116">
        <v>107.972986188747</v>
      </c>
      <c r="F669" s="116">
        <v>114.8</v>
      </c>
      <c r="G669">
        <v>33636</v>
      </c>
      <c r="H669" s="116"/>
      <c r="I669" s="116"/>
      <c r="L669" s="170">
        <v>42986</v>
      </c>
      <c r="M669" s="116">
        <v>107.7193738036642</v>
      </c>
      <c r="N669" s="116">
        <v>110.3866215477167</v>
      </c>
      <c r="O669" s="116">
        <v>106.78349740224226</v>
      </c>
      <c r="P669" s="116">
        <v>109.91868334700574</v>
      </c>
      <c r="Q669" s="116">
        <v>115.1</v>
      </c>
      <c r="R669">
        <v>217298</v>
      </c>
    </row>
    <row r="670" spans="1:18" x14ac:dyDescent="0.25">
      <c r="A670" s="170">
        <v>42989</v>
      </c>
      <c r="B670" s="116">
        <v>109.78765822553299</v>
      </c>
      <c r="C670" s="116">
        <v>108.88032220714</v>
      </c>
      <c r="D670" s="116">
        <v>104.343642115176</v>
      </c>
      <c r="E670" s="116">
        <v>104.343642115176</v>
      </c>
      <c r="F670" s="116">
        <v>120</v>
      </c>
      <c r="G670">
        <v>211479</v>
      </c>
      <c r="H670" s="116"/>
      <c r="I670" s="116"/>
      <c r="L670" s="170">
        <v>42989</v>
      </c>
      <c r="M670" s="116">
        <v>112.44554963084495</v>
      </c>
      <c r="N670" s="116">
        <v>113.52180749248016</v>
      </c>
      <c r="O670" s="116">
        <v>108.00013672409078</v>
      </c>
      <c r="P670" s="116">
        <v>108.09372436423297</v>
      </c>
      <c r="Q670" s="116">
        <v>120.15</v>
      </c>
      <c r="R670">
        <v>522902</v>
      </c>
    </row>
    <row r="671" spans="1:18" x14ac:dyDescent="0.25">
      <c r="A671" s="170">
        <v>42990</v>
      </c>
      <c r="B671" s="116">
        <v>111.05792865128301</v>
      </c>
      <c r="C671" s="116">
        <v>109.016422609899</v>
      </c>
      <c r="D671" s="116">
        <v>107.972986188747</v>
      </c>
      <c r="E671" s="116">
        <v>110.785727845765</v>
      </c>
      <c r="F671" s="116">
        <v>120.15</v>
      </c>
      <c r="G671">
        <v>24812</v>
      </c>
      <c r="H671" s="116"/>
      <c r="I671" s="116"/>
      <c r="L671" s="170">
        <v>42990</v>
      </c>
      <c r="M671" s="116">
        <v>112.72631255127153</v>
      </c>
      <c r="N671" s="116">
        <v>114.64485917418648</v>
      </c>
      <c r="O671" s="116">
        <v>111.36929176920972</v>
      </c>
      <c r="P671" s="116">
        <v>114.03653951326223</v>
      </c>
      <c r="Q671" s="116">
        <v>120.45</v>
      </c>
      <c r="R671">
        <v>521840</v>
      </c>
    </row>
    <row r="672" spans="1:18" x14ac:dyDescent="0.25">
      <c r="A672" s="170">
        <v>42991</v>
      </c>
      <c r="B672" s="116">
        <v>110.241326234729</v>
      </c>
      <c r="C672" s="116">
        <v>107.70078538323</v>
      </c>
      <c r="D672" s="116">
        <v>107.065650170355</v>
      </c>
      <c r="E672" s="116">
        <v>109.333990216337</v>
      </c>
      <c r="F672" s="116">
        <v>118.7</v>
      </c>
      <c r="G672">
        <v>16528</v>
      </c>
      <c r="H672" s="116"/>
      <c r="I672" s="116"/>
      <c r="L672" s="170">
        <v>42991</v>
      </c>
      <c r="M672" s="116">
        <v>110.99494120864095</v>
      </c>
      <c r="N672" s="116">
        <v>113.61539513262237</v>
      </c>
      <c r="O672" s="116">
        <v>110.43341536778779</v>
      </c>
      <c r="P672" s="116">
        <v>112.44554963084495</v>
      </c>
      <c r="Q672" s="116">
        <v>118.6</v>
      </c>
      <c r="R672">
        <v>202613</v>
      </c>
    </row>
    <row r="673" spans="1:18" x14ac:dyDescent="0.25">
      <c r="A673" s="170">
        <v>42992</v>
      </c>
      <c r="B673" s="116">
        <v>114.868739928533</v>
      </c>
      <c r="C673" s="116">
        <v>108.15445339242601</v>
      </c>
      <c r="D673" s="116">
        <v>107.156383772194</v>
      </c>
      <c r="E673" s="116">
        <v>110.694994243926</v>
      </c>
      <c r="F673" s="116">
        <v>119.2</v>
      </c>
      <c r="G673">
        <v>115608</v>
      </c>
      <c r="H673" s="116"/>
      <c r="I673" s="116"/>
      <c r="L673" s="170">
        <v>42992</v>
      </c>
      <c r="M673" s="116">
        <v>111.08852884878314</v>
      </c>
      <c r="N673" s="116">
        <v>118.85630298058517</v>
      </c>
      <c r="O673" s="116">
        <v>109.96547716707683</v>
      </c>
      <c r="P673" s="116">
        <v>109.96547716707683</v>
      </c>
      <c r="Q673" s="116">
        <v>118.7</v>
      </c>
      <c r="R673">
        <v>1875372</v>
      </c>
    </row>
    <row r="674" spans="1:18" x14ac:dyDescent="0.25">
      <c r="A674" s="170">
        <v>42993</v>
      </c>
      <c r="B674" s="116">
        <v>108.744221804381</v>
      </c>
      <c r="C674" s="116">
        <v>105.16024453173</v>
      </c>
      <c r="D674" s="116">
        <v>104.343642115176</v>
      </c>
      <c r="E674" s="116">
        <v>107.836885785988</v>
      </c>
      <c r="F674" s="116">
        <v>115.9</v>
      </c>
      <c r="G674">
        <v>41076</v>
      </c>
      <c r="H674" s="116"/>
      <c r="I674" s="116"/>
      <c r="L674" s="170">
        <v>42993</v>
      </c>
      <c r="M674" s="116">
        <v>108.56166256494393</v>
      </c>
      <c r="N674" s="116">
        <v>111.93081761006287</v>
      </c>
      <c r="O674" s="116">
        <v>107.29822942302434</v>
      </c>
      <c r="P674" s="116">
        <v>111.46287940935191</v>
      </c>
      <c r="Q674" s="116">
        <v>116</v>
      </c>
      <c r="R674">
        <v>240671</v>
      </c>
    </row>
    <row r="675" spans="1:18" x14ac:dyDescent="0.25">
      <c r="A675" s="170">
        <v>42996</v>
      </c>
      <c r="B675" s="116">
        <v>107.337850975872</v>
      </c>
      <c r="C675" s="116">
        <v>104.888043726212</v>
      </c>
      <c r="D675" s="116">
        <v>104.343642115176</v>
      </c>
      <c r="E675" s="116">
        <v>106.657348962078</v>
      </c>
      <c r="F675" s="116">
        <v>115.6</v>
      </c>
      <c r="G675">
        <v>32813</v>
      </c>
      <c r="H675" s="116"/>
      <c r="I675" s="116"/>
      <c r="L675" s="170">
        <v>42996</v>
      </c>
      <c r="M675" s="116">
        <v>108.00013672409078</v>
      </c>
      <c r="N675" s="116">
        <v>110.71417828821437</v>
      </c>
      <c r="O675" s="116">
        <v>106.92387886245555</v>
      </c>
      <c r="P675" s="116">
        <v>109.07639458572599</v>
      </c>
      <c r="Q675" s="116">
        <v>115.4</v>
      </c>
      <c r="R675">
        <v>229304</v>
      </c>
    </row>
    <row r="676" spans="1:18" x14ac:dyDescent="0.25">
      <c r="A676" s="170">
        <v>42997</v>
      </c>
      <c r="B676" s="116">
        <v>106.475881758399</v>
      </c>
      <c r="C676" s="116">
        <v>104.162174911497</v>
      </c>
      <c r="D676" s="116">
        <v>103.61777330046201</v>
      </c>
      <c r="E676" s="116">
        <v>106.158314151962</v>
      </c>
      <c r="F676" s="116">
        <v>114.8</v>
      </c>
      <c r="G676">
        <v>53617</v>
      </c>
      <c r="H676" s="116"/>
      <c r="I676" s="116"/>
      <c r="L676" s="170">
        <v>42997</v>
      </c>
      <c r="M676" s="116">
        <v>107.29822942302434</v>
      </c>
      <c r="N676" s="116">
        <v>109.96547716707683</v>
      </c>
      <c r="O676" s="116">
        <v>106.68990976210007</v>
      </c>
      <c r="P676" s="116">
        <v>108.56166256494393</v>
      </c>
      <c r="Q676" s="116">
        <v>114.65</v>
      </c>
      <c r="R676">
        <v>1208465</v>
      </c>
    </row>
    <row r="677" spans="1:18" x14ac:dyDescent="0.25">
      <c r="A677" s="170">
        <v>42998</v>
      </c>
      <c r="B677" s="116">
        <v>108.472020998863</v>
      </c>
      <c r="C677" s="116">
        <v>104.252908513337</v>
      </c>
      <c r="D677" s="116">
        <v>103.436306096783</v>
      </c>
      <c r="E677" s="116">
        <v>103.436306096783</v>
      </c>
      <c r="F677" s="116">
        <v>114.9</v>
      </c>
      <c r="G677">
        <v>96662</v>
      </c>
      <c r="H677" s="116"/>
      <c r="I677" s="116"/>
      <c r="L677" s="170">
        <v>42998</v>
      </c>
      <c r="M677" s="116">
        <v>107.7193738036642</v>
      </c>
      <c r="N677" s="116">
        <v>112.02440525020508</v>
      </c>
      <c r="O677" s="116">
        <v>107.29822942302434</v>
      </c>
      <c r="P677" s="116">
        <v>108.37448728465955</v>
      </c>
      <c r="Q677" s="116">
        <v>115.1</v>
      </c>
      <c r="R677">
        <v>885028</v>
      </c>
    </row>
    <row r="678" spans="1:18" x14ac:dyDescent="0.25">
      <c r="A678" s="170">
        <v>42999</v>
      </c>
      <c r="B678" s="116">
        <v>106.793449364837</v>
      </c>
      <c r="C678" s="116">
        <v>103.753873703221</v>
      </c>
      <c r="D678" s="116">
        <v>102.755804082989</v>
      </c>
      <c r="E678" s="116">
        <v>105.931480147363</v>
      </c>
      <c r="F678" s="116">
        <v>114.35</v>
      </c>
      <c r="G678">
        <v>147331</v>
      </c>
      <c r="H678" s="116"/>
      <c r="I678" s="116"/>
      <c r="L678" s="170">
        <v>42999</v>
      </c>
      <c r="M678" s="116">
        <v>107.53219852337982</v>
      </c>
      <c r="N678" s="116">
        <v>110.2930339075745</v>
      </c>
      <c r="O678" s="116">
        <v>106.22197156138911</v>
      </c>
      <c r="P678" s="116">
        <v>108.14051818430406</v>
      </c>
      <c r="Q678" s="116">
        <v>114.9</v>
      </c>
      <c r="R678">
        <v>3055236</v>
      </c>
    </row>
    <row r="679" spans="1:18" x14ac:dyDescent="0.25">
      <c r="A679" s="170">
        <v>43000</v>
      </c>
      <c r="B679" s="116">
        <v>104.343642115176</v>
      </c>
      <c r="C679" s="116">
        <v>101.75773446275601</v>
      </c>
      <c r="D679" s="116">
        <v>101.167966050801</v>
      </c>
      <c r="E679" s="116">
        <v>104.343642115176</v>
      </c>
      <c r="F679" s="116">
        <v>112.15</v>
      </c>
      <c r="G679">
        <v>2329941</v>
      </c>
      <c r="H679" s="116"/>
      <c r="I679" s="116"/>
      <c r="L679" s="170">
        <v>43000</v>
      </c>
      <c r="M679" s="116">
        <v>104.9117445993984</v>
      </c>
      <c r="N679" s="116">
        <v>107.62578616352201</v>
      </c>
      <c r="O679" s="116">
        <v>103.97586819797647</v>
      </c>
      <c r="P679" s="116">
        <v>107.15784796281103</v>
      </c>
      <c r="Q679" s="116">
        <v>112.1</v>
      </c>
      <c r="R679">
        <v>272848</v>
      </c>
    </row>
    <row r="680" spans="1:18" x14ac:dyDescent="0.25">
      <c r="A680" s="170">
        <v>43003</v>
      </c>
      <c r="B680" s="116">
        <v>106.158314151962</v>
      </c>
      <c r="C680" s="116">
        <v>103.48167289770301</v>
      </c>
      <c r="D680" s="116">
        <v>100.305996833328</v>
      </c>
      <c r="E680" s="116">
        <v>100.305996833328</v>
      </c>
      <c r="F680" s="116">
        <v>114.05</v>
      </c>
      <c r="G680">
        <v>872960</v>
      </c>
      <c r="H680" s="116"/>
      <c r="I680" s="116"/>
      <c r="L680" s="170">
        <v>43003</v>
      </c>
      <c r="M680" s="116">
        <v>106.73670358217116</v>
      </c>
      <c r="N680" s="116">
        <v>108.32769346458845</v>
      </c>
      <c r="O680" s="116">
        <v>103.4611361771944</v>
      </c>
      <c r="P680" s="116">
        <v>103.4611361771944</v>
      </c>
      <c r="Q680" s="116">
        <v>114.05</v>
      </c>
      <c r="R680">
        <v>566638</v>
      </c>
    </row>
    <row r="681" spans="1:18" x14ac:dyDescent="0.25">
      <c r="A681" s="170">
        <v>43004</v>
      </c>
      <c r="B681" s="116">
        <v>108.562754600703</v>
      </c>
      <c r="C681" s="116">
        <v>107.972986188747</v>
      </c>
      <c r="D681" s="116">
        <v>101.394800055399</v>
      </c>
      <c r="E681" s="116">
        <v>104.343642115176</v>
      </c>
      <c r="F681" s="116">
        <v>119</v>
      </c>
      <c r="G681">
        <v>167883</v>
      </c>
      <c r="H681" s="116"/>
      <c r="I681" s="116"/>
      <c r="L681" s="170">
        <v>43004</v>
      </c>
      <c r="M681" s="116">
        <v>111.69684850970739</v>
      </c>
      <c r="N681" s="116">
        <v>112.21158053048947</v>
      </c>
      <c r="O681" s="116">
        <v>104.39701257861634</v>
      </c>
      <c r="P681" s="116">
        <v>106.78349740224226</v>
      </c>
      <c r="Q681" s="116">
        <v>119.35</v>
      </c>
      <c r="R681">
        <v>1014503</v>
      </c>
    </row>
    <row r="682" spans="1:18" x14ac:dyDescent="0.25">
      <c r="A682" s="170">
        <v>43005</v>
      </c>
      <c r="B682" s="116">
        <v>109.470090619096</v>
      </c>
      <c r="C682" s="116">
        <v>107.156383772194</v>
      </c>
      <c r="D682" s="116">
        <v>105.25097813356901</v>
      </c>
      <c r="E682" s="116">
        <v>108.88032220714</v>
      </c>
      <c r="F682" s="116">
        <v>118.1</v>
      </c>
      <c r="G682">
        <v>75975</v>
      </c>
      <c r="H682" s="116"/>
      <c r="I682" s="116"/>
      <c r="L682" s="170">
        <v>43005</v>
      </c>
      <c r="M682" s="116">
        <v>110.57379682800109</v>
      </c>
      <c r="N682" s="116">
        <v>112.96028165162701</v>
      </c>
      <c r="O682" s="116">
        <v>109.12318840579708</v>
      </c>
      <c r="P682" s="116">
        <v>112.77310637134262</v>
      </c>
      <c r="Q682" s="116">
        <v>118.15</v>
      </c>
      <c r="R682">
        <v>604081</v>
      </c>
    </row>
    <row r="683" spans="1:18" x14ac:dyDescent="0.25">
      <c r="A683" s="170">
        <v>43006</v>
      </c>
      <c r="B683" s="116">
        <v>109.78765822553299</v>
      </c>
      <c r="C683" s="116">
        <v>106.793449364837</v>
      </c>
      <c r="D683" s="116">
        <v>106.33978135564</v>
      </c>
      <c r="E683" s="116">
        <v>107.111016971274</v>
      </c>
      <c r="F683" s="116">
        <v>117.7</v>
      </c>
      <c r="G683">
        <v>35153</v>
      </c>
      <c r="H683" s="116"/>
      <c r="I683" s="116"/>
      <c r="L683" s="170">
        <v>43006</v>
      </c>
      <c r="M683" s="116">
        <v>110.33982772764561</v>
      </c>
      <c r="N683" s="116">
        <v>113.61539513262237</v>
      </c>
      <c r="O683" s="116">
        <v>109.73150806672135</v>
      </c>
      <c r="P683" s="116">
        <v>111.36929176920972</v>
      </c>
      <c r="Q683" s="116">
        <v>117.9</v>
      </c>
      <c r="R683">
        <v>243458</v>
      </c>
    </row>
    <row r="684" spans="1:18" x14ac:dyDescent="0.25">
      <c r="A684" s="170">
        <v>43007</v>
      </c>
      <c r="B684" s="116">
        <v>108.199820193346</v>
      </c>
      <c r="C684" s="116">
        <v>105.341711735408</v>
      </c>
      <c r="D684" s="116">
        <v>104.434375717015</v>
      </c>
      <c r="E684" s="116">
        <v>107.836885785988</v>
      </c>
      <c r="F684" s="116">
        <v>116.1</v>
      </c>
      <c r="G684">
        <v>144915</v>
      </c>
      <c r="H684" s="116"/>
      <c r="I684" s="116"/>
      <c r="L684" s="170">
        <v>43007</v>
      </c>
      <c r="M684" s="116">
        <v>108.84242548537051</v>
      </c>
      <c r="N684" s="116">
        <v>111.7436423297785</v>
      </c>
      <c r="O684" s="116">
        <v>107.62578616352201</v>
      </c>
      <c r="P684" s="116">
        <v>110.76097210828546</v>
      </c>
      <c r="Q684" s="116">
        <v>116.3</v>
      </c>
      <c r="R684">
        <v>753429</v>
      </c>
    </row>
    <row r="685" spans="1:18" x14ac:dyDescent="0.25">
      <c r="A685" s="170">
        <v>43011</v>
      </c>
      <c r="B685" s="116">
        <v>111.42086305863999</v>
      </c>
      <c r="C685" s="116">
        <v>110.55889384116701</v>
      </c>
      <c r="D685" s="116">
        <v>105.432445337247</v>
      </c>
      <c r="E685" s="116">
        <v>107.065650170355</v>
      </c>
      <c r="F685" s="116">
        <v>121.85</v>
      </c>
      <c r="G685">
        <v>126946</v>
      </c>
      <c r="H685" s="116"/>
      <c r="I685" s="116"/>
      <c r="L685" s="170">
        <v>43011</v>
      </c>
      <c r="M685" s="116">
        <v>114.08333333333333</v>
      </c>
      <c r="N685" s="116">
        <v>115.11279737489744</v>
      </c>
      <c r="O685" s="116">
        <v>108.32769346458845</v>
      </c>
      <c r="P685" s="116">
        <v>110.43341536778779</v>
      </c>
      <c r="Q685" s="116">
        <v>121.9</v>
      </c>
      <c r="R685">
        <v>1479774</v>
      </c>
    </row>
    <row r="686" spans="1:18" x14ac:dyDescent="0.25">
      <c r="A686" s="170">
        <v>43012</v>
      </c>
      <c r="B686" s="116">
        <v>111.487960175967</v>
      </c>
      <c r="C686" s="116">
        <v>107.173860847418</v>
      </c>
      <c r="D686" s="116">
        <v>105.525777957861</v>
      </c>
      <c r="E686" s="116">
        <v>111.487960175967</v>
      </c>
      <c r="F686" s="116">
        <v>110.55</v>
      </c>
      <c r="G686">
        <v>607352</v>
      </c>
      <c r="H686" s="116"/>
      <c r="I686" s="116"/>
      <c r="L686" s="170">
        <v>43012</v>
      </c>
      <c r="M686" s="116">
        <v>110.4</v>
      </c>
      <c r="N686" s="116">
        <v>115</v>
      </c>
      <c r="O686" s="116">
        <v>108.7</v>
      </c>
      <c r="P686" s="116">
        <v>115</v>
      </c>
      <c r="Q686" s="116">
        <v>110.4</v>
      </c>
      <c r="R686">
        <v>1274104</v>
      </c>
    </row>
    <row r="687" spans="1:18" x14ac:dyDescent="0.25">
      <c r="A687" s="170">
        <v>43013</v>
      </c>
      <c r="B687" s="116">
        <v>108.579578606159</v>
      </c>
      <c r="C687" s="116">
        <v>105.089520722389</v>
      </c>
      <c r="D687" s="116">
        <v>104.798682565409</v>
      </c>
      <c r="E687" s="116">
        <v>107.61011808289</v>
      </c>
      <c r="F687" s="116">
        <v>108.4</v>
      </c>
      <c r="G687">
        <v>51846</v>
      </c>
      <c r="H687" s="116"/>
      <c r="I687" s="116"/>
      <c r="L687" s="170">
        <v>43013</v>
      </c>
      <c r="M687" s="116">
        <v>108.8</v>
      </c>
      <c r="N687" s="116">
        <v>111</v>
      </c>
      <c r="O687" s="116">
        <v>108.5</v>
      </c>
      <c r="P687" s="116">
        <v>110</v>
      </c>
      <c r="Q687" s="116">
        <v>108.8</v>
      </c>
      <c r="R687">
        <v>312615</v>
      </c>
    </row>
    <row r="688" spans="1:18" x14ac:dyDescent="0.25">
      <c r="A688" s="170">
        <v>43014</v>
      </c>
      <c r="B688" s="116">
        <v>106.155927297986</v>
      </c>
      <c r="C688" s="116">
        <v>104.798682565409</v>
      </c>
      <c r="D688" s="116">
        <v>104.410898356101</v>
      </c>
      <c r="E688" s="116">
        <v>105.089520722389</v>
      </c>
      <c r="F688" s="116">
        <v>108.1</v>
      </c>
      <c r="G688">
        <v>85973</v>
      </c>
      <c r="H688" s="116"/>
      <c r="I688" s="116"/>
      <c r="L688" s="170">
        <v>43014</v>
      </c>
      <c r="M688" s="116">
        <v>108.1</v>
      </c>
      <c r="N688" s="116">
        <v>109.75</v>
      </c>
      <c r="O688" s="116">
        <v>107.8</v>
      </c>
      <c r="P688" s="116">
        <v>109.75</v>
      </c>
      <c r="Q688" s="116">
        <v>108.1</v>
      </c>
      <c r="R688">
        <v>458891</v>
      </c>
    </row>
    <row r="689" spans="1:18" x14ac:dyDescent="0.25">
      <c r="A689" s="170">
        <v>43017</v>
      </c>
      <c r="B689" s="116">
        <v>105.47730493169701</v>
      </c>
      <c r="C689" s="116">
        <v>104.459371382264</v>
      </c>
      <c r="D689" s="116">
        <v>103.82922204213899</v>
      </c>
      <c r="E689" s="116">
        <v>105.428831905534</v>
      </c>
      <c r="F689" s="116">
        <v>107.75</v>
      </c>
      <c r="G689">
        <v>50895</v>
      </c>
      <c r="H689" s="116"/>
      <c r="I689" s="116"/>
      <c r="L689" s="170">
        <v>43017</v>
      </c>
      <c r="M689" s="116">
        <v>107.7</v>
      </c>
      <c r="N689" s="116">
        <v>109</v>
      </c>
      <c r="O689" s="116">
        <v>107</v>
      </c>
      <c r="P689" s="116">
        <v>108.15</v>
      </c>
      <c r="Q689" s="116">
        <v>107.7</v>
      </c>
      <c r="R689">
        <v>348194</v>
      </c>
    </row>
    <row r="690" spans="1:18" x14ac:dyDescent="0.25">
      <c r="A690" s="170">
        <v>43018</v>
      </c>
      <c r="B690" s="116">
        <v>105.089520722389</v>
      </c>
      <c r="C690" s="116">
        <v>102.18113915258201</v>
      </c>
      <c r="D690" s="116">
        <v>101.890300995601</v>
      </c>
      <c r="E690" s="116">
        <v>104.459371382264</v>
      </c>
      <c r="F690" s="116">
        <v>105.4</v>
      </c>
      <c r="G690">
        <v>39789</v>
      </c>
      <c r="H690" s="116"/>
      <c r="I690" s="116"/>
      <c r="L690" s="170">
        <v>43018</v>
      </c>
      <c r="M690" s="116">
        <v>105.25</v>
      </c>
      <c r="N690" s="116">
        <v>108.5</v>
      </c>
      <c r="O690" s="116">
        <v>104.5</v>
      </c>
      <c r="P690" s="116">
        <v>108.1</v>
      </c>
      <c r="Q690" s="116">
        <v>105.25</v>
      </c>
      <c r="R690">
        <v>1320747</v>
      </c>
    </row>
    <row r="691" spans="1:18" x14ac:dyDescent="0.25">
      <c r="A691" s="170">
        <v>43019</v>
      </c>
      <c r="B691" s="116">
        <v>105.428831905534</v>
      </c>
      <c r="C691" s="116">
        <v>102.132666126418</v>
      </c>
      <c r="D691" s="116">
        <v>100.823894420005</v>
      </c>
      <c r="E691" s="116">
        <v>101.793354943274</v>
      </c>
      <c r="F691" s="116">
        <v>105.35</v>
      </c>
      <c r="G691">
        <v>163045</v>
      </c>
      <c r="H691" s="116"/>
      <c r="I691" s="116"/>
      <c r="L691" s="170">
        <v>43019</v>
      </c>
      <c r="M691" s="116">
        <v>105.6</v>
      </c>
      <c r="N691" s="116">
        <v>105.95</v>
      </c>
      <c r="O691" s="116">
        <v>104.65</v>
      </c>
      <c r="P691" s="116">
        <v>105.35</v>
      </c>
      <c r="Q691" s="116">
        <v>105.6</v>
      </c>
      <c r="R691">
        <v>1047208</v>
      </c>
    </row>
    <row r="692" spans="1:18" x14ac:dyDescent="0.25">
      <c r="A692" s="170">
        <v>43020</v>
      </c>
      <c r="B692" s="116">
        <v>102.520450335726</v>
      </c>
      <c r="C692" s="116">
        <v>100.920840472332</v>
      </c>
      <c r="D692" s="116">
        <v>99.854433896735401</v>
      </c>
      <c r="E692" s="116">
        <v>102.520450335726</v>
      </c>
      <c r="F692" s="116">
        <v>104.1</v>
      </c>
      <c r="G692">
        <v>140204</v>
      </c>
      <c r="H692" s="116"/>
      <c r="I692" s="116"/>
      <c r="L692" s="170">
        <v>43020</v>
      </c>
      <c r="M692" s="116">
        <v>104.3</v>
      </c>
      <c r="N692" s="116">
        <v>106.1</v>
      </c>
      <c r="O692" s="116">
        <v>103.4</v>
      </c>
      <c r="P692" s="116">
        <v>106</v>
      </c>
      <c r="Q692" s="116">
        <v>104.3</v>
      </c>
      <c r="R692">
        <v>648906</v>
      </c>
    </row>
    <row r="693" spans="1:18" x14ac:dyDescent="0.25">
      <c r="A693" s="170">
        <v>43021</v>
      </c>
      <c r="B693" s="116">
        <v>102.278085204909</v>
      </c>
      <c r="C693" s="116">
        <v>101.74488191711001</v>
      </c>
      <c r="D693" s="116">
        <v>101.211678629312</v>
      </c>
      <c r="E693" s="116">
        <v>101.211678629312</v>
      </c>
      <c r="F693" s="116">
        <v>104.95</v>
      </c>
      <c r="G693">
        <v>85938</v>
      </c>
      <c r="H693" s="116"/>
      <c r="I693" s="116"/>
      <c r="L693" s="170">
        <v>43021</v>
      </c>
      <c r="M693" s="116">
        <v>105.25</v>
      </c>
      <c r="N693" s="116">
        <v>106</v>
      </c>
      <c r="O693" s="116">
        <v>104.45</v>
      </c>
      <c r="P693" s="116">
        <v>105.2</v>
      </c>
      <c r="Q693" s="116">
        <v>105.25</v>
      </c>
      <c r="R693">
        <v>823600</v>
      </c>
    </row>
    <row r="694" spans="1:18" x14ac:dyDescent="0.25">
      <c r="A694" s="170">
        <v>43024</v>
      </c>
      <c r="B694" s="116">
        <v>104.89562861773599</v>
      </c>
      <c r="C694" s="116">
        <v>104.701736513082</v>
      </c>
      <c r="D694" s="116">
        <v>101.84182796943701</v>
      </c>
      <c r="E694" s="116">
        <v>101.84182796943701</v>
      </c>
      <c r="F694" s="116">
        <v>108</v>
      </c>
      <c r="G694">
        <v>166615</v>
      </c>
      <c r="H694" s="116"/>
      <c r="I694" s="116"/>
      <c r="L694" s="170">
        <v>43024</v>
      </c>
      <c r="M694" s="116">
        <v>108</v>
      </c>
      <c r="N694" s="116">
        <v>108.5</v>
      </c>
      <c r="O694" s="116">
        <v>106</v>
      </c>
      <c r="P694" s="116">
        <v>106</v>
      </c>
      <c r="Q694" s="116">
        <v>108</v>
      </c>
      <c r="R694">
        <v>1626155</v>
      </c>
    </row>
    <row r="695" spans="1:18" x14ac:dyDescent="0.25">
      <c r="A695" s="170">
        <v>43025</v>
      </c>
      <c r="B695" s="116">
        <v>108.579578606159</v>
      </c>
      <c r="C695" s="116">
        <v>106.64065755962</v>
      </c>
      <c r="D695" s="116">
        <v>104.847155591572</v>
      </c>
      <c r="E695" s="116">
        <v>104.89562861773599</v>
      </c>
      <c r="F695" s="116">
        <v>110</v>
      </c>
      <c r="G695">
        <v>167641</v>
      </c>
      <c r="H695" s="116"/>
      <c r="I695" s="116"/>
      <c r="L695" s="170">
        <v>43025</v>
      </c>
      <c r="M695" s="116">
        <v>110.05</v>
      </c>
      <c r="N695" s="116">
        <v>112.1</v>
      </c>
      <c r="O695" s="116">
        <v>108</v>
      </c>
      <c r="P695" s="116">
        <v>108</v>
      </c>
      <c r="Q695" s="116">
        <v>110.05</v>
      </c>
      <c r="R695">
        <v>2131054</v>
      </c>
    </row>
    <row r="696" spans="1:18" x14ac:dyDescent="0.25">
      <c r="A696" s="170">
        <v>43026</v>
      </c>
      <c r="B696" s="116">
        <v>110.518499652697</v>
      </c>
      <c r="C696" s="116">
        <v>110.033769391063</v>
      </c>
      <c r="D696" s="116">
        <v>105.768143088678</v>
      </c>
      <c r="E696" s="116">
        <v>108.094848344524</v>
      </c>
      <c r="F696" s="116">
        <v>113.5</v>
      </c>
      <c r="G696">
        <v>100181</v>
      </c>
      <c r="H696" s="116"/>
      <c r="I696" s="116"/>
      <c r="L696" s="170">
        <v>43026</v>
      </c>
      <c r="M696" s="116">
        <v>113.45</v>
      </c>
      <c r="N696" s="116">
        <v>114.1</v>
      </c>
      <c r="O696" s="116">
        <v>109.4</v>
      </c>
      <c r="P696" s="116">
        <v>110.2</v>
      </c>
      <c r="Q696" s="116">
        <v>113.45</v>
      </c>
      <c r="R696">
        <v>1523035</v>
      </c>
    </row>
    <row r="697" spans="1:18" x14ac:dyDescent="0.25">
      <c r="A697" s="170">
        <v>43027</v>
      </c>
      <c r="B697" s="116">
        <v>112.457420699236</v>
      </c>
      <c r="C697" s="116">
        <v>110.518499652697</v>
      </c>
      <c r="D697" s="116">
        <v>106.64065755962</v>
      </c>
      <c r="E697" s="116">
        <v>110.760864783515</v>
      </c>
      <c r="F697" s="116">
        <v>114</v>
      </c>
      <c r="G697">
        <v>33834</v>
      </c>
      <c r="H697" s="116"/>
      <c r="I697" s="116"/>
      <c r="L697" s="170">
        <v>43027</v>
      </c>
      <c r="M697" s="116">
        <v>114.1</v>
      </c>
      <c r="N697" s="116">
        <v>116.2</v>
      </c>
      <c r="O697" s="116">
        <v>113.2</v>
      </c>
      <c r="P697" s="116">
        <v>114</v>
      </c>
      <c r="Q697" s="116">
        <v>114.1</v>
      </c>
      <c r="R697">
        <v>189368</v>
      </c>
    </row>
    <row r="698" spans="1:18" x14ac:dyDescent="0.25">
      <c r="A698" s="170">
        <v>43031</v>
      </c>
      <c r="B698" s="116">
        <v>114.638706876592</v>
      </c>
      <c r="C698" s="116">
        <v>109.209727946284</v>
      </c>
      <c r="D698" s="116">
        <v>108.676524658486</v>
      </c>
      <c r="E698" s="116">
        <v>111.730325306784</v>
      </c>
      <c r="F698" s="116">
        <v>112.65</v>
      </c>
      <c r="G698">
        <v>228146</v>
      </c>
      <c r="H698" s="116"/>
      <c r="I698" s="116"/>
      <c r="L698" s="170">
        <v>43031</v>
      </c>
      <c r="M698" s="116">
        <v>112.8</v>
      </c>
      <c r="N698" s="116">
        <v>118.5</v>
      </c>
      <c r="O698" s="116">
        <v>112.25</v>
      </c>
      <c r="P698" s="116">
        <v>115</v>
      </c>
      <c r="Q698" s="116">
        <v>112.8</v>
      </c>
      <c r="R698">
        <v>1324294</v>
      </c>
    </row>
    <row r="699" spans="1:18" x14ac:dyDescent="0.25">
      <c r="A699" s="170">
        <v>43032</v>
      </c>
      <c r="B699" s="116">
        <v>111.487960175967</v>
      </c>
      <c r="C699" s="116">
        <v>107.75553716138</v>
      </c>
      <c r="D699" s="116">
        <v>107.173860847418</v>
      </c>
      <c r="E699" s="116">
        <v>111.487960175967</v>
      </c>
      <c r="F699" s="116">
        <v>111.15</v>
      </c>
      <c r="G699">
        <v>119423</v>
      </c>
      <c r="H699" s="116"/>
      <c r="I699" s="116"/>
      <c r="L699" s="170">
        <v>43032</v>
      </c>
      <c r="M699" s="116">
        <v>111.3</v>
      </c>
      <c r="N699" s="116">
        <v>114.8</v>
      </c>
      <c r="O699" s="116">
        <v>110.75</v>
      </c>
      <c r="P699" s="116">
        <v>112.8</v>
      </c>
      <c r="Q699" s="116">
        <v>111.3</v>
      </c>
      <c r="R699">
        <v>480801</v>
      </c>
    </row>
    <row r="700" spans="1:18" x14ac:dyDescent="0.25">
      <c r="A700" s="170">
        <v>43033</v>
      </c>
      <c r="B700" s="116">
        <v>111.003229914332</v>
      </c>
      <c r="C700" s="116">
        <v>109.16125492012</v>
      </c>
      <c r="D700" s="116">
        <v>106.592184533457</v>
      </c>
      <c r="E700" s="116">
        <v>108.579578606159</v>
      </c>
      <c r="F700" s="116">
        <v>112.6</v>
      </c>
      <c r="G700">
        <v>119474</v>
      </c>
      <c r="H700" s="116"/>
      <c r="I700" s="116"/>
      <c r="L700" s="170">
        <v>43033</v>
      </c>
      <c r="M700" s="116">
        <v>113.1</v>
      </c>
      <c r="N700" s="116">
        <v>114.85</v>
      </c>
      <c r="O700" s="116">
        <v>110.05</v>
      </c>
      <c r="P700" s="116">
        <v>112</v>
      </c>
      <c r="Q700" s="116">
        <v>113.1</v>
      </c>
      <c r="R700">
        <v>508310</v>
      </c>
    </row>
    <row r="701" spans="1:18" x14ac:dyDescent="0.25">
      <c r="A701" s="170">
        <v>43034</v>
      </c>
      <c r="B701" s="116">
        <v>111.972690437601</v>
      </c>
      <c r="C701" s="116">
        <v>109.500566103265</v>
      </c>
      <c r="D701" s="116">
        <v>109.209727946284</v>
      </c>
      <c r="E701" s="116">
        <v>110.324607548044</v>
      </c>
      <c r="F701" s="116">
        <v>112.95</v>
      </c>
      <c r="G701">
        <v>66875</v>
      </c>
      <c r="H701" s="116"/>
      <c r="I701" s="116"/>
      <c r="L701" s="170">
        <v>43034</v>
      </c>
      <c r="M701" s="116">
        <v>113.05</v>
      </c>
      <c r="N701" s="116">
        <v>115.5</v>
      </c>
      <c r="O701" s="116">
        <v>112.9</v>
      </c>
      <c r="P701" s="116">
        <v>113.1</v>
      </c>
      <c r="Q701" s="116">
        <v>113.05</v>
      </c>
      <c r="R701">
        <v>628644</v>
      </c>
    </row>
    <row r="702" spans="1:18" x14ac:dyDescent="0.25">
      <c r="A702" s="170">
        <v>43035</v>
      </c>
      <c r="B702" s="116">
        <v>111.003229914332</v>
      </c>
      <c r="C702" s="116">
        <v>108.482632553832</v>
      </c>
      <c r="D702" s="116">
        <v>108.094848344524</v>
      </c>
      <c r="E702" s="116">
        <v>110.27613452188</v>
      </c>
      <c r="F702" s="116">
        <v>111.9</v>
      </c>
      <c r="G702">
        <v>105383</v>
      </c>
      <c r="H702" s="116"/>
      <c r="I702" s="116"/>
      <c r="L702" s="170">
        <v>43035</v>
      </c>
      <c r="M702" s="116">
        <v>112.15</v>
      </c>
      <c r="N702" s="116">
        <v>114.75</v>
      </c>
      <c r="O702" s="116">
        <v>112</v>
      </c>
      <c r="P702" s="116">
        <v>113.95</v>
      </c>
      <c r="Q702" s="116">
        <v>112.15</v>
      </c>
      <c r="R702">
        <v>451827</v>
      </c>
    </row>
    <row r="703" spans="1:18" x14ac:dyDescent="0.25">
      <c r="A703" s="170">
        <v>43038</v>
      </c>
      <c r="B703" s="116">
        <v>111.29406807131301</v>
      </c>
      <c r="C703" s="116">
        <v>111.003229914332</v>
      </c>
      <c r="D703" s="116">
        <v>109.549039129428</v>
      </c>
      <c r="E703" s="116">
        <v>109.549039129428</v>
      </c>
      <c r="F703" s="116">
        <v>114.5</v>
      </c>
      <c r="G703">
        <v>49086</v>
      </c>
      <c r="H703" s="116"/>
      <c r="I703" s="116"/>
      <c r="L703" s="170">
        <v>43038</v>
      </c>
      <c r="M703" s="116">
        <v>114.45</v>
      </c>
      <c r="N703" s="116">
        <v>115</v>
      </c>
      <c r="O703" s="116">
        <v>113</v>
      </c>
      <c r="P703" s="116">
        <v>114.5</v>
      </c>
      <c r="Q703" s="116">
        <v>114.45</v>
      </c>
      <c r="R703">
        <v>672283</v>
      </c>
    </row>
    <row r="704" spans="1:18" x14ac:dyDescent="0.25">
      <c r="A704" s="170">
        <v>43039</v>
      </c>
      <c r="B704" s="116">
        <v>111.53643320213</v>
      </c>
      <c r="C704" s="116">
        <v>109.64598518175499</v>
      </c>
      <c r="D704" s="116">
        <v>109.064308867793</v>
      </c>
      <c r="E704" s="116">
        <v>111.487960175967</v>
      </c>
      <c r="F704" s="116">
        <v>113.1</v>
      </c>
      <c r="G704">
        <v>52504</v>
      </c>
      <c r="H704" s="116"/>
      <c r="I704" s="116"/>
      <c r="L704" s="170">
        <v>43039</v>
      </c>
      <c r="M704" s="116">
        <v>113.25</v>
      </c>
      <c r="N704" s="116">
        <v>115.5</v>
      </c>
      <c r="O704" s="116">
        <v>112.65</v>
      </c>
      <c r="P704" s="116">
        <v>114.6</v>
      </c>
      <c r="Q704" s="116">
        <v>113.25</v>
      </c>
      <c r="R704">
        <v>301988</v>
      </c>
    </row>
    <row r="705" spans="1:18" x14ac:dyDescent="0.25">
      <c r="A705" s="170">
        <v>43040</v>
      </c>
      <c r="B705" s="116">
        <v>111.487960175967</v>
      </c>
      <c r="C705" s="116">
        <v>110.760864783515</v>
      </c>
      <c r="D705" s="116">
        <v>109.83987728640901</v>
      </c>
      <c r="E705" s="116">
        <v>109.83987728640901</v>
      </c>
      <c r="F705" s="116">
        <v>114.25</v>
      </c>
      <c r="G705">
        <v>66891</v>
      </c>
      <c r="H705" s="116"/>
      <c r="I705" s="116"/>
      <c r="L705" s="170">
        <v>43040</v>
      </c>
      <c r="M705" s="116">
        <v>114.75</v>
      </c>
      <c r="N705" s="116">
        <v>115.4</v>
      </c>
      <c r="O705" s="116">
        <v>113.4</v>
      </c>
      <c r="P705" s="116">
        <v>113.4</v>
      </c>
      <c r="Q705" s="116">
        <v>114.75</v>
      </c>
      <c r="R705">
        <v>604992</v>
      </c>
    </row>
    <row r="706" spans="1:18" x14ac:dyDescent="0.25">
      <c r="A706" s="170">
        <v>43041</v>
      </c>
      <c r="B706" s="116">
        <v>111.77879833294701</v>
      </c>
      <c r="C706" s="116">
        <v>111.003229914332</v>
      </c>
      <c r="D706" s="116">
        <v>109.209727946284</v>
      </c>
      <c r="E706" s="116">
        <v>109.209727946284</v>
      </c>
      <c r="F706" s="116">
        <v>114.5</v>
      </c>
      <c r="G706">
        <v>55816</v>
      </c>
      <c r="H706" s="116"/>
      <c r="I706" s="116"/>
      <c r="L706" s="170">
        <v>43041</v>
      </c>
      <c r="M706" s="116">
        <v>114.2</v>
      </c>
      <c r="N706" s="116">
        <v>115.15</v>
      </c>
      <c r="O706" s="116">
        <v>113.7</v>
      </c>
      <c r="P706" s="116">
        <v>113.7</v>
      </c>
      <c r="Q706" s="116">
        <v>114.2</v>
      </c>
      <c r="R706">
        <v>361736</v>
      </c>
    </row>
    <row r="707" spans="1:18" x14ac:dyDescent="0.25">
      <c r="A707" s="170">
        <v>43042</v>
      </c>
      <c r="B707" s="116">
        <v>111.972690437601</v>
      </c>
      <c r="C707" s="116">
        <v>110.954756888169</v>
      </c>
      <c r="D707" s="116">
        <v>110.518499652697</v>
      </c>
      <c r="E707" s="116">
        <v>110.906283862005</v>
      </c>
      <c r="F707" s="116">
        <v>114.45</v>
      </c>
      <c r="G707">
        <v>55901</v>
      </c>
      <c r="H707" s="116"/>
      <c r="I707" s="116"/>
      <c r="L707" s="170">
        <v>43042</v>
      </c>
      <c r="M707" s="116">
        <v>114.5</v>
      </c>
      <c r="N707" s="116">
        <v>115.6</v>
      </c>
      <c r="O707" s="116">
        <v>113.75</v>
      </c>
      <c r="P707" s="116">
        <v>114.85</v>
      </c>
      <c r="Q707" s="116">
        <v>114.5</v>
      </c>
      <c r="R707">
        <v>823076</v>
      </c>
    </row>
    <row r="708" spans="1:18" x14ac:dyDescent="0.25">
      <c r="A708" s="170">
        <v>43045</v>
      </c>
      <c r="B708" s="116">
        <v>111.53643320213</v>
      </c>
      <c r="C708" s="116">
        <v>110.809337809678</v>
      </c>
      <c r="D708" s="116">
        <v>110.615445705024</v>
      </c>
      <c r="E708" s="116">
        <v>110.615445705024</v>
      </c>
      <c r="F708" s="116">
        <v>114.3</v>
      </c>
      <c r="G708">
        <v>1084267</v>
      </c>
      <c r="H708" s="116"/>
      <c r="I708" s="116"/>
      <c r="L708" s="170">
        <v>43045</v>
      </c>
      <c r="M708" s="116">
        <v>114.5</v>
      </c>
      <c r="N708" s="116">
        <v>115.3</v>
      </c>
      <c r="O708" s="116">
        <v>113.9</v>
      </c>
      <c r="P708" s="116">
        <v>114.8</v>
      </c>
      <c r="Q708" s="116">
        <v>114.5</v>
      </c>
      <c r="R708">
        <v>837003</v>
      </c>
    </row>
    <row r="709" spans="1:18" x14ac:dyDescent="0.25">
      <c r="A709" s="170">
        <v>43046</v>
      </c>
      <c r="B709" s="116">
        <v>112.942150960871</v>
      </c>
      <c r="C709" s="116">
        <v>108.773470710813</v>
      </c>
      <c r="D709" s="116">
        <v>107.707064135216</v>
      </c>
      <c r="E709" s="116">
        <v>111.003229914332</v>
      </c>
      <c r="F709" s="116">
        <v>112.2</v>
      </c>
      <c r="G709">
        <v>137626</v>
      </c>
      <c r="H709" s="116"/>
      <c r="I709" s="116"/>
      <c r="L709" s="170">
        <v>43046</v>
      </c>
      <c r="M709" s="116">
        <v>112.3</v>
      </c>
      <c r="N709" s="116">
        <v>116.5</v>
      </c>
      <c r="O709" s="116">
        <v>111.25</v>
      </c>
      <c r="P709" s="116">
        <v>114.9</v>
      </c>
      <c r="Q709" s="116">
        <v>112.3</v>
      </c>
      <c r="R709">
        <v>1750190</v>
      </c>
    </row>
    <row r="710" spans="1:18" x14ac:dyDescent="0.25">
      <c r="A710" s="170">
        <v>43047</v>
      </c>
      <c r="B710" s="116">
        <v>110.809337809678</v>
      </c>
      <c r="C710" s="116">
        <v>107.076914795091</v>
      </c>
      <c r="D710" s="116">
        <v>105.865089141005</v>
      </c>
      <c r="E710" s="116">
        <v>109.306673998611</v>
      </c>
      <c r="F710" s="116">
        <v>110.45</v>
      </c>
      <c r="G710">
        <v>44494</v>
      </c>
      <c r="H710" s="116"/>
      <c r="I710" s="116"/>
      <c r="L710" s="170">
        <v>43047</v>
      </c>
      <c r="M710" s="116">
        <v>110.25</v>
      </c>
      <c r="N710" s="116">
        <v>114.75</v>
      </c>
      <c r="O710" s="116">
        <v>109.1</v>
      </c>
      <c r="P710" s="116">
        <v>113</v>
      </c>
      <c r="Q710" s="116">
        <v>110.25</v>
      </c>
      <c r="R710">
        <v>600893</v>
      </c>
    </row>
    <row r="711" spans="1:18" x14ac:dyDescent="0.25">
      <c r="A711" s="170">
        <v>43048</v>
      </c>
      <c r="B711" s="116">
        <v>110.47002662653399</v>
      </c>
      <c r="C711" s="116">
        <v>107.61011808289</v>
      </c>
      <c r="D711" s="116">
        <v>107.270806899745</v>
      </c>
      <c r="E711" s="116">
        <v>110.47002662653399</v>
      </c>
      <c r="F711" s="116">
        <v>111</v>
      </c>
      <c r="G711">
        <v>79484</v>
      </c>
      <c r="H711" s="116"/>
      <c r="I711" s="116"/>
      <c r="L711" s="170">
        <v>43048</v>
      </c>
      <c r="M711" s="116">
        <v>111.3</v>
      </c>
      <c r="N711" s="116">
        <v>113.4</v>
      </c>
      <c r="O711" s="116">
        <v>110.6</v>
      </c>
      <c r="P711" s="116">
        <v>112.8</v>
      </c>
      <c r="Q711" s="116">
        <v>111.3</v>
      </c>
      <c r="R711">
        <v>416905</v>
      </c>
    </row>
    <row r="712" spans="1:18" x14ac:dyDescent="0.25">
      <c r="A712" s="170">
        <v>43049</v>
      </c>
      <c r="B712" s="116">
        <v>109.549039129428</v>
      </c>
      <c r="C712" s="116">
        <v>108.143321370688</v>
      </c>
      <c r="D712" s="116">
        <v>107.61011808289</v>
      </c>
      <c r="E712" s="116">
        <v>108.967362815467</v>
      </c>
      <c r="F712" s="116">
        <v>111.55</v>
      </c>
      <c r="G712">
        <v>70416</v>
      </c>
      <c r="H712" s="116"/>
      <c r="I712" s="116"/>
      <c r="L712" s="170">
        <v>43049</v>
      </c>
      <c r="M712" s="116">
        <v>111.95</v>
      </c>
      <c r="N712" s="116">
        <v>113.05</v>
      </c>
      <c r="O712" s="116">
        <v>111.05</v>
      </c>
      <c r="P712" s="116">
        <v>111.3</v>
      </c>
      <c r="Q712" s="116">
        <v>111.95</v>
      </c>
      <c r="R712">
        <v>1471570</v>
      </c>
    </row>
    <row r="713" spans="1:18" x14ac:dyDescent="0.25">
      <c r="A713" s="170">
        <v>43052</v>
      </c>
      <c r="B713" s="116">
        <v>109.694458207919</v>
      </c>
      <c r="C713" s="116">
        <v>109.064308867793</v>
      </c>
      <c r="D713" s="116">
        <v>107.852483213707</v>
      </c>
      <c r="E713" s="116">
        <v>107.852483213707</v>
      </c>
      <c r="F713" s="116">
        <v>112.5</v>
      </c>
      <c r="G713">
        <v>67206</v>
      </c>
      <c r="H713" s="116"/>
      <c r="I713" s="116"/>
      <c r="L713" s="170">
        <v>43052</v>
      </c>
      <c r="M713" s="116">
        <v>112.95</v>
      </c>
      <c r="N713" s="116">
        <v>113.75</v>
      </c>
      <c r="O713" s="116">
        <v>111.6</v>
      </c>
      <c r="P713" s="116">
        <v>112.2</v>
      </c>
      <c r="Q713" s="116">
        <v>112.95</v>
      </c>
      <c r="R713">
        <v>804337</v>
      </c>
    </row>
    <row r="714" spans="1:18" x14ac:dyDescent="0.25">
      <c r="A714" s="170">
        <v>43053</v>
      </c>
      <c r="B714" s="116">
        <v>109.549039129428</v>
      </c>
      <c r="C714" s="116">
        <v>108.87041676314</v>
      </c>
      <c r="D714" s="116">
        <v>107.173860847418</v>
      </c>
      <c r="E714" s="116">
        <v>109.16125492012</v>
      </c>
      <c r="F714" s="116">
        <v>112.3</v>
      </c>
      <c r="G714">
        <v>115685</v>
      </c>
      <c r="H714" s="116"/>
      <c r="I714" s="116"/>
      <c r="L714" s="170">
        <v>43053</v>
      </c>
      <c r="M714" s="116">
        <v>112.05</v>
      </c>
      <c r="N714" s="116">
        <v>112.95</v>
      </c>
      <c r="O714" s="116">
        <v>110.2</v>
      </c>
      <c r="P714" s="116">
        <v>111.5</v>
      </c>
      <c r="Q714" s="116">
        <v>112.05</v>
      </c>
      <c r="R714">
        <v>524013</v>
      </c>
    </row>
    <row r="715" spans="1:18" x14ac:dyDescent="0.25">
      <c r="A715" s="170">
        <v>43054</v>
      </c>
      <c r="B715" s="116">
        <v>108.579578606159</v>
      </c>
      <c r="C715" s="116">
        <v>108.19179439685099</v>
      </c>
      <c r="D715" s="116">
        <v>106.73760361194699</v>
      </c>
      <c r="E715" s="116">
        <v>107.61011808289</v>
      </c>
      <c r="F715" s="116">
        <v>111.6</v>
      </c>
      <c r="G715">
        <v>516438</v>
      </c>
      <c r="H715" s="116"/>
      <c r="I715" s="116"/>
      <c r="L715" s="170">
        <v>43054</v>
      </c>
      <c r="M715" s="116">
        <v>111.95</v>
      </c>
      <c r="N715" s="116">
        <v>112.5</v>
      </c>
      <c r="O715" s="116">
        <v>110.2</v>
      </c>
      <c r="P715" s="116">
        <v>110.5</v>
      </c>
      <c r="Q715" s="116">
        <v>111.95</v>
      </c>
      <c r="R715">
        <v>1708044</v>
      </c>
    </row>
    <row r="716" spans="1:18" x14ac:dyDescent="0.25">
      <c r="A716" s="170">
        <v>43055</v>
      </c>
      <c r="B716" s="116">
        <v>108.628051632322</v>
      </c>
      <c r="C716" s="116">
        <v>107.513172030563</v>
      </c>
      <c r="D716" s="116">
        <v>106.73760361194699</v>
      </c>
      <c r="E716" s="116">
        <v>106.93149571660101</v>
      </c>
      <c r="F716" s="116">
        <v>110.9</v>
      </c>
      <c r="G716">
        <v>542436</v>
      </c>
      <c r="H716" s="116"/>
      <c r="I716" s="116"/>
      <c r="L716" s="170">
        <v>43055</v>
      </c>
      <c r="M716" s="116">
        <v>110.95</v>
      </c>
      <c r="N716" s="116">
        <v>112.25</v>
      </c>
      <c r="O716" s="116">
        <v>110</v>
      </c>
      <c r="P716" s="116">
        <v>111.55</v>
      </c>
      <c r="Q716" s="116">
        <v>110.95</v>
      </c>
      <c r="R716">
        <v>1311214</v>
      </c>
    </row>
    <row r="717" spans="1:18" x14ac:dyDescent="0.25">
      <c r="A717" s="170">
        <v>43056</v>
      </c>
      <c r="B717" s="116">
        <v>109.74293123408199</v>
      </c>
      <c r="C717" s="116">
        <v>108.38568650150501</v>
      </c>
      <c r="D717" s="116">
        <v>107.270806899745</v>
      </c>
      <c r="E717" s="116">
        <v>107.270806899745</v>
      </c>
      <c r="F717" s="116">
        <v>111.8</v>
      </c>
      <c r="G717">
        <v>71698</v>
      </c>
      <c r="H717" s="116"/>
      <c r="I717" s="116"/>
      <c r="L717" s="170">
        <v>43056</v>
      </c>
      <c r="M717" s="116">
        <v>111.85</v>
      </c>
      <c r="N717" s="116">
        <v>113.4</v>
      </c>
      <c r="O717" s="116">
        <v>111.3</v>
      </c>
      <c r="P717" s="116">
        <v>111.5</v>
      </c>
      <c r="Q717" s="116">
        <v>111.85</v>
      </c>
      <c r="R717">
        <v>1943509</v>
      </c>
    </row>
    <row r="718" spans="1:18" x14ac:dyDescent="0.25">
      <c r="A718" s="170">
        <v>43059</v>
      </c>
      <c r="B718" s="116">
        <v>109.064308867793</v>
      </c>
      <c r="C718" s="116">
        <v>107.513172030563</v>
      </c>
      <c r="D718" s="116">
        <v>107.076914795091</v>
      </c>
      <c r="E718" s="116">
        <v>108.579578606159</v>
      </c>
      <c r="F718" s="116">
        <v>110.9</v>
      </c>
      <c r="G718">
        <v>58863</v>
      </c>
      <c r="H718" s="116"/>
      <c r="I718" s="116"/>
      <c r="L718" s="170">
        <v>43059</v>
      </c>
      <c r="M718" s="116">
        <v>110.75</v>
      </c>
      <c r="N718" s="116">
        <v>113</v>
      </c>
      <c r="O718" s="116">
        <v>110.3</v>
      </c>
      <c r="P718" s="116">
        <v>111.85</v>
      </c>
      <c r="Q718" s="116">
        <v>110.75</v>
      </c>
      <c r="R718">
        <v>233435</v>
      </c>
    </row>
    <row r="719" spans="1:18" x14ac:dyDescent="0.25">
      <c r="A719" s="170">
        <v>43060</v>
      </c>
      <c r="B719" s="116">
        <v>107.75553716138</v>
      </c>
      <c r="C719" s="116">
        <v>107.222333873582</v>
      </c>
      <c r="D719" s="116">
        <v>106.64065755962</v>
      </c>
      <c r="E719" s="116">
        <v>107.75553716138</v>
      </c>
      <c r="F719" s="116">
        <v>110.6</v>
      </c>
      <c r="G719">
        <v>63360</v>
      </c>
      <c r="H719" s="116"/>
      <c r="I719" s="116"/>
      <c r="L719" s="170">
        <v>43060</v>
      </c>
      <c r="M719" s="116">
        <v>111</v>
      </c>
      <c r="N719" s="116">
        <v>111.7</v>
      </c>
      <c r="O719" s="116">
        <v>109.55</v>
      </c>
      <c r="P719" s="116">
        <v>110.75</v>
      </c>
      <c r="Q719" s="116">
        <v>111</v>
      </c>
      <c r="R719">
        <v>336792</v>
      </c>
    </row>
    <row r="720" spans="1:18" x14ac:dyDescent="0.25">
      <c r="A720" s="170">
        <v>43061</v>
      </c>
      <c r="B720" s="116">
        <v>107.65859110905301</v>
      </c>
      <c r="C720" s="116">
        <v>107.173860847418</v>
      </c>
      <c r="D720" s="116">
        <v>106.64065755962</v>
      </c>
      <c r="E720" s="116">
        <v>107.367752952072</v>
      </c>
      <c r="F720" s="116">
        <v>110.55</v>
      </c>
      <c r="G720">
        <v>21098</v>
      </c>
      <c r="H720" s="116"/>
      <c r="I720" s="116"/>
      <c r="L720" s="170">
        <v>43061</v>
      </c>
      <c r="M720" s="116">
        <v>110.95</v>
      </c>
      <c r="N720" s="116">
        <v>111.2</v>
      </c>
      <c r="O720" s="116">
        <v>110.5</v>
      </c>
      <c r="P720" s="116">
        <v>111</v>
      </c>
      <c r="Q720" s="116">
        <v>110.95</v>
      </c>
      <c r="R720">
        <v>157128</v>
      </c>
    </row>
    <row r="721" spans="1:18" x14ac:dyDescent="0.25">
      <c r="A721" s="170">
        <v>43062</v>
      </c>
      <c r="B721" s="116">
        <v>116.238316739986</v>
      </c>
      <c r="C721" s="116">
        <v>114.881072007409</v>
      </c>
      <c r="D721" s="116">
        <v>107.46469900439899</v>
      </c>
      <c r="E721" s="116">
        <v>107.852483213707</v>
      </c>
      <c r="F721" s="116">
        <v>118.5</v>
      </c>
      <c r="G721">
        <v>351117</v>
      </c>
      <c r="H721" s="116"/>
      <c r="I721" s="116"/>
      <c r="L721" s="170">
        <v>43062</v>
      </c>
      <c r="M721" s="116">
        <v>118.7</v>
      </c>
      <c r="N721" s="116">
        <v>119.9</v>
      </c>
      <c r="O721" s="116">
        <v>110.9</v>
      </c>
      <c r="P721" s="116">
        <v>111.95</v>
      </c>
      <c r="Q721" s="116">
        <v>118.7</v>
      </c>
      <c r="R721">
        <v>2181769</v>
      </c>
    </row>
    <row r="722" spans="1:18" x14ac:dyDescent="0.25">
      <c r="A722" s="170">
        <v>43063</v>
      </c>
      <c r="B722" s="116">
        <v>119.243644362121</v>
      </c>
      <c r="C722" s="116">
        <v>116.67457397545699</v>
      </c>
      <c r="D722" s="116">
        <v>114.00855753646699</v>
      </c>
      <c r="E722" s="116">
        <v>116.335262792313</v>
      </c>
      <c r="F722" s="116">
        <v>120.35</v>
      </c>
      <c r="G722">
        <v>180975</v>
      </c>
      <c r="H722" s="116"/>
      <c r="I722" s="116"/>
      <c r="L722" s="170">
        <v>43063</v>
      </c>
      <c r="M722" s="116">
        <v>120.75</v>
      </c>
      <c r="N722" s="116">
        <v>123.4</v>
      </c>
      <c r="O722" s="116">
        <v>117.65</v>
      </c>
      <c r="P722" s="116">
        <v>120</v>
      </c>
      <c r="Q722" s="116">
        <v>120.75</v>
      </c>
      <c r="R722">
        <v>1634647</v>
      </c>
    </row>
    <row r="723" spans="1:18" x14ac:dyDescent="0.25">
      <c r="A723" s="170">
        <v>43066</v>
      </c>
      <c r="B723" s="116">
        <v>120.50394304237101</v>
      </c>
      <c r="C723" s="116">
        <v>119.001279231304</v>
      </c>
      <c r="D723" s="116">
        <v>115.17191016439</v>
      </c>
      <c r="E723" s="116">
        <v>116.04442463533201</v>
      </c>
      <c r="F723" s="116">
        <v>122.75</v>
      </c>
      <c r="G723">
        <v>112163</v>
      </c>
      <c r="H723" s="116"/>
      <c r="I723" s="116"/>
      <c r="L723" s="170">
        <v>43066</v>
      </c>
      <c r="M723" s="116">
        <v>122.45</v>
      </c>
      <c r="N723" s="116">
        <v>124.9</v>
      </c>
      <c r="O723" s="116">
        <v>118.85</v>
      </c>
      <c r="P723" s="116">
        <v>118.85</v>
      </c>
      <c r="Q723" s="116">
        <v>122.45</v>
      </c>
      <c r="R723">
        <v>842904</v>
      </c>
    </row>
    <row r="724" spans="1:18" x14ac:dyDescent="0.25">
      <c r="A724" s="170">
        <v>43067</v>
      </c>
      <c r="B724" s="116">
        <v>120.116158833063</v>
      </c>
      <c r="C724" s="116">
        <v>116.092897661496</v>
      </c>
      <c r="D724" s="116">
        <v>115.462748321371</v>
      </c>
      <c r="E724" s="116">
        <v>118.177237786525</v>
      </c>
      <c r="F724" s="116">
        <v>119.75</v>
      </c>
      <c r="G724">
        <v>84443</v>
      </c>
      <c r="H724" s="116"/>
      <c r="I724" s="116"/>
      <c r="L724" s="170">
        <v>43067</v>
      </c>
      <c r="M724" s="116">
        <v>119.8</v>
      </c>
      <c r="N724" s="116">
        <v>123.9</v>
      </c>
      <c r="O724" s="116">
        <v>119.25</v>
      </c>
      <c r="P724" s="116">
        <v>122.9</v>
      </c>
      <c r="Q724" s="116">
        <v>119.8</v>
      </c>
      <c r="R724">
        <v>1244883</v>
      </c>
    </row>
    <row r="725" spans="1:18" x14ac:dyDescent="0.25">
      <c r="A725" s="170">
        <v>43068</v>
      </c>
      <c r="B725" s="116">
        <v>120.358523963881</v>
      </c>
      <c r="C725" s="116">
        <v>119.486009492938</v>
      </c>
      <c r="D725" s="116">
        <v>113.814665431813</v>
      </c>
      <c r="E725" s="116">
        <v>116.189843713823</v>
      </c>
      <c r="F725" s="116">
        <v>123.25</v>
      </c>
      <c r="G725">
        <v>100382</v>
      </c>
      <c r="H725" s="116"/>
      <c r="I725" s="116"/>
      <c r="L725" s="170">
        <v>43068</v>
      </c>
      <c r="M725" s="116">
        <v>123.5</v>
      </c>
      <c r="N725" s="116">
        <v>124.2</v>
      </c>
      <c r="O725" s="116">
        <v>117.2</v>
      </c>
      <c r="P725" s="116">
        <v>120.05</v>
      </c>
      <c r="Q725" s="116">
        <v>123.5</v>
      </c>
      <c r="R725">
        <v>650014</v>
      </c>
    </row>
    <row r="726" spans="1:18" x14ac:dyDescent="0.25">
      <c r="A726" s="170">
        <v>43069</v>
      </c>
      <c r="B726" s="116">
        <v>121.23103843482301</v>
      </c>
      <c r="C726" s="116">
        <v>119.437536466775</v>
      </c>
      <c r="D726" s="116">
        <v>115.995951609169</v>
      </c>
      <c r="E726" s="116">
        <v>119.486009492938</v>
      </c>
      <c r="F726" s="116">
        <v>123.2</v>
      </c>
      <c r="G726">
        <v>89369</v>
      </c>
      <c r="H726" s="116"/>
      <c r="I726" s="116"/>
      <c r="L726" s="170">
        <v>43069</v>
      </c>
      <c r="M726" s="116">
        <v>123.6</v>
      </c>
      <c r="N726" s="116">
        <v>124.95</v>
      </c>
      <c r="O726" s="116">
        <v>119.65</v>
      </c>
      <c r="P726" s="116">
        <v>123</v>
      </c>
      <c r="Q726" s="116">
        <v>123.6</v>
      </c>
      <c r="R726">
        <v>923676</v>
      </c>
    </row>
    <row r="727" spans="1:18" x14ac:dyDescent="0.25">
      <c r="A727" s="170">
        <v>43070</v>
      </c>
      <c r="B727" s="116">
        <v>121.47340356564</v>
      </c>
      <c r="C727" s="116">
        <v>116.189843713823</v>
      </c>
      <c r="D727" s="116">
        <v>115.753586478351</v>
      </c>
      <c r="E727" s="116">
        <v>121.13409238249599</v>
      </c>
      <c r="F727" s="116">
        <v>119.85</v>
      </c>
      <c r="G727">
        <v>58591</v>
      </c>
      <c r="H727" s="116"/>
      <c r="I727" s="116"/>
      <c r="L727" s="170">
        <v>43070</v>
      </c>
      <c r="M727" s="116">
        <v>119.7</v>
      </c>
      <c r="N727" s="116">
        <v>124.95</v>
      </c>
      <c r="O727" s="116">
        <v>119.1</v>
      </c>
      <c r="P727" s="116">
        <v>124.95</v>
      </c>
      <c r="Q727" s="116">
        <v>119.7</v>
      </c>
      <c r="R727">
        <v>557278</v>
      </c>
    </row>
    <row r="728" spans="1:18" x14ac:dyDescent="0.25">
      <c r="A728" s="170">
        <v>43073</v>
      </c>
      <c r="B728" s="116">
        <v>119.970739754573</v>
      </c>
      <c r="C728" s="116">
        <v>115.995951609169</v>
      </c>
      <c r="D728" s="116">
        <v>114.396341745774</v>
      </c>
      <c r="E728" s="116">
        <v>116.38373581847701</v>
      </c>
      <c r="F728" s="116">
        <v>119.65</v>
      </c>
      <c r="G728">
        <v>60805</v>
      </c>
      <c r="H728" s="116"/>
      <c r="I728" s="116"/>
      <c r="L728" s="170">
        <v>43073</v>
      </c>
      <c r="M728" s="116">
        <v>120.45</v>
      </c>
      <c r="N728" s="116">
        <v>122.05</v>
      </c>
      <c r="O728" s="116">
        <v>117.75</v>
      </c>
      <c r="P728" s="116">
        <v>120</v>
      </c>
      <c r="Q728" s="116">
        <v>120.45</v>
      </c>
      <c r="R728">
        <v>596274</v>
      </c>
    </row>
    <row r="729" spans="1:18" x14ac:dyDescent="0.25">
      <c r="A729" s="170">
        <v>43074</v>
      </c>
      <c r="B729" s="116">
        <v>120.697835147025</v>
      </c>
      <c r="C729" s="116">
        <v>119.534482519102</v>
      </c>
      <c r="D729" s="116">
        <v>114.784125955082</v>
      </c>
      <c r="E729" s="116">
        <v>116.335262792313</v>
      </c>
      <c r="F729" s="116">
        <v>123.3</v>
      </c>
      <c r="G729">
        <v>104799</v>
      </c>
      <c r="H729" s="116"/>
      <c r="I729" s="116"/>
      <c r="L729" s="170">
        <v>43074</v>
      </c>
      <c r="M729" s="116">
        <v>123.2</v>
      </c>
      <c r="N729" s="116">
        <v>124.5</v>
      </c>
      <c r="O729" s="116">
        <v>118.35</v>
      </c>
      <c r="P729" s="116">
        <v>120.5</v>
      </c>
      <c r="Q729" s="116">
        <v>123.2</v>
      </c>
      <c r="R729">
        <v>640924</v>
      </c>
    </row>
    <row r="730" spans="1:18" x14ac:dyDescent="0.25">
      <c r="A730" s="170">
        <v>43075</v>
      </c>
      <c r="B730" s="116">
        <v>120.891727251679</v>
      </c>
      <c r="C730" s="116">
        <v>117.110831210928</v>
      </c>
      <c r="D730" s="116">
        <v>116.14137068765901</v>
      </c>
      <c r="E730" s="116">
        <v>118.468075943505</v>
      </c>
      <c r="F730" s="116">
        <v>120.8</v>
      </c>
      <c r="G730">
        <v>62420</v>
      </c>
      <c r="H730" s="116"/>
      <c r="I730" s="116"/>
      <c r="L730" s="170">
        <v>43075</v>
      </c>
      <c r="M730" s="116">
        <v>120.85</v>
      </c>
      <c r="N730" s="116">
        <v>125</v>
      </c>
      <c r="O730" s="116">
        <v>119.75</v>
      </c>
      <c r="P730" s="116">
        <v>123.9</v>
      </c>
      <c r="Q730" s="116">
        <v>120.85</v>
      </c>
      <c r="R730">
        <v>1140803</v>
      </c>
    </row>
    <row r="731" spans="1:18" x14ac:dyDescent="0.25">
      <c r="A731" s="170">
        <v>43076</v>
      </c>
      <c r="B731" s="116">
        <v>120.50394304237101</v>
      </c>
      <c r="C731" s="116">
        <v>117.69250752489</v>
      </c>
      <c r="D731" s="116">
        <v>116.335262792313</v>
      </c>
      <c r="E731" s="116">
        <v>120.50394304237101</v>
      </c>
      <c r="F731" s="116">
        <v>121.4</v>
      </c>
      <c r="G731">
        <v>69763</v>
      </c>
      <c r="H731" s="116"/>
      <c r="I731" s="116"/>
      <c r="L731" s="170">
        <v>43076</v>
      </c>
      <c r="M731" s="116">
        <v>121.85</v>
      </c>
      <c r="N731" s="116">
        <v>124.5</v>
      </c>
      <c r="O731" s="116">
        <v>120</v>
      </c>
      <c r="P731" s="116">
        <v>121</v>
      </c>
      <c r="Q731" s="116">
        <v>121.85</v>
      </c>
      <c r="R731">
        <v>777484</v>
      </c>
    </row>
    <row r="732" spans="1:18" x14ac:dyDescent="0.25">
      <c r="A732" s="170">
        <v>43077</v>
      </c>
      <c r="B732" s="116">
        <v>120.164631859227</v>
      </c>
      <c r="C732" s="116">
        <v>117.159304237092</v>
      </c>
      <c r="D732" s="116">
        <v>116.335262792313</v>
      </c>
      <c r="E732" s="116">
        <v>119.631428571429</v>
      </c>
      <c r="F732" s="116">
        <v>120.85</v>
      </c>
      <c r="G732">
        <v>59597</v>
      </c>
      <c r="H732" s="116"/>
      <c r="I732" s="116"/>
      <c r="L732" s="170">
        <v>43077</v>
      </c>
      <c r="M732" s="116">
        <v>120.85</v>
      </c>
      <c r="N732" s="116">
        <v>124</v>
      </c>
      <c r="O732" s="116">
        <v>120.1</v>
      </c>
      <c r="P732" s="116">
        <v>122.2</v>
      </c>
      <c r="Q732" s="116">
        <v>120.85</v>
      </c>
      <c r="R732">
        <v>435516</v>
      </c>
    </row>
    <row r="733" spans="1:18" x14ac:dyDescent="0.25">
      <c r="A733" s="170">
        <v>43080</v>
      </c>
      <c r="B733" s="116">
        <v>119.243644362121</v>
      </c>
      <c r="C733" s="116">
        <v>116.57762792313</v>
      </c>
      <c r="D733" s="116">
        <v>115.899005556842</v>
      </c>
      <c r="E733" s="116">
        <v>119.243644362121</v>
      </c>
      <c r="F733" s="116">
        <v>120.25</v>
      </c>
      <c r="G733">
        <v>63697</v>
      </c>
      <c r="H733" s="116"/>
      <c r="I733" s="116"/>
      <c r="L733" s="170">
        <v>43080</v>
      </c>
      <c r="M733" s="116">
        <v>119.9</v>
      </c>
      <c r="N733" s="116">
        <v>122.7</v>
      </c>
      <c r="O733" s="116">
        <v>119.2</v>
      </c>
      <c r="P733" s="116">
        <v>121.8</v>
      </c>
      <c r="Q733" s="116">
        <v>119.9</v>
      </c>
      <c r="R733">
        <v>390529</v>
      </c>
    </row>
    <row r="734" spans="1:18" x14ac:dyDescent="0.25">
      <c r="A734" s="170">
        <v>43081</v>
      </c>
      <c r="B734" s="116">
        <v>119.825320676082</v>
      </c>
      <c r="C734" s="116">
        <v>117.01388515860199</v>
      </c>
      <c r="D734" s="116">
        <v>114.396341745774</v>
      </c>
      <c r="E734" s="116">
        <v>116.819993053948</v>
      </c>
      <c r="F734" s="116">
        <v>120.7</v>
      </c>
      <c r="G734">
        <v>85509</v>
      </c>
      <c r="H734" s="116"/>
      <c r="I734" s="116"/>
      <c r="L734" s="170">
        <v>43081</v>
      </c>
      <c r="M734" s="116">
        <v>120.65</v>
      </c>
      <c r="N734" s="116">
        <v>123.45</v>
      </c>
      <c r="O734" s="116">
        <v>120</v>
      </c>
      <c r="P734" s="116">
        <v>120</v>
      </c>
      <c r="Q734" s="116">
        <v>120.65</v>
      </c>
      <c r="R734">
        <v>2117322</v>
      </c>
    </row>
    <row r="735" spans="1:18" x14ac:dyDescent="0.25">
      <c r="A735" s="170">
        <v>43082</v>
      </c>
      <c r="B735" s="116">
        <v>119.001279231304</v>
      </c>
      <c r="C735" s="116">
        <v>116.77152002778401</v>
      </c>
      <c r="D735" s="116">
        <v>115.22038319055299</v>
      </c>
      <c r="E735" s="116">
        <v>117.01388515860199</v>
      </c>
      <c r="F735" s="116">
        <v>120.45</v>
      </c>
      <c r="G735">
        <v>58354</v>
      </c>
      <c r="H735" s="116"/>
      <c r="I735" s="116"/>
      <c r="L735" s="170">
        <v>43082</v>
      </c>
      <c r="M735" s="116">
        <v>120.25</v>
      </c>
      <c r="N735" s="116">
        <v>122.9</v>
      </c>
      <c r="O735" s="116">
        <v>118.5</v>
      </c>
      <c r="P735" s="116">
        <v>121.25</v>
      </c>
      <c r="Q735" s="116">
        <v>120.25</v>
      </c>
      <c r="R735">
        <v>509516</v>
      </c>
    </row>
    <row r="736" spans="1:18" x14ac:dyDescent="0.25">
      <c r="A736" s="170">
        <v>43083</v>
      </c>
      <c r="B736" s="116">
        <v>117.74098055105399</v>
      </c>
      <c r="C736" s="116">
        <v>116.480681870803</v>
      </c>
      <c r="D736" s="116">
        <v>114.92954503357301</v>
      </c>
      <c r="E736" s="116">
        <v>117.062358184765</v>
      </c>
      <c r="F736" s="116">
        <v>120.15</v>
      </c>
      <c r="G736">
        <v>57208</v>
      </c>
      <c r="H736" s="116"/>
      <c r="I736" s="116"/>
      <c r="L736" s="170">
        <v>43083</v>
      </c>
      <c r="M736" s="116">
        <v>120.1</v>
      </c>
      <c r="N736" s="116">
        <v>121.35</v>
      </c>
      <c r="O736" s="116">
        <v>118.35</v>
      </c>
      <c r="P736" s="116">
        <v>121.35</v>
      </c>
      <c r="Q736" s="116">
        <v>120.1</v>
      </c>
      <c r="R736">
        <v>561195</v>
      </c>
    </row>
    <row r="737" spans="1:18" x14ac:dyDescent="0.25">
      <c r="A737" s="170">
        <v>43084</v>
      </c>
      <c r="B737" s="116">
        <v>117.789453577217</v>
      </c>
      <c r="C737" s="116">
        <v>116.480681870803</v>
      </c>
      <c r="D737" s="116">
        <v>115.705113452188</v>
      </c>
      <c r="E737" s="116">
        <v>117.256250289419</v>
      </c>
      <c r="F737" s="116">
        <v>120.15</v>
      </c>
      <c r="G737">
        <v>37913</v>
      </c>
      <c r="H737" s="116"/>
      <c r="I737" s="116"/>
      <c r="L737" s="170">
        <v>43084</v>
      </c>
      <c r="M737" s="116">
        <v>119.85</v>
      </c>
      <c r="N737" s="116">
        <v>121.5</v>
      </c>
      <c r="O737" s="116">
        <v>118</v>
      </c>
      <c r="P737" s="116">
        <v>121.1</v>
      </c>
      <c r="Q737" s="116">
        <v>119.85</v>
      </c>
      <c r="R737">
        <v>677840</v>
      </c>
    </row>
    <row r="738" spans="1:18" x14ac:dyDescent="0.25">
      <c r="A738" s="170">
        <v>43087</v>
      </c>
      <c r="B738" s="116">
        <v>117.789453577217</v>
      </c>
      <c r="C738" s="116">
        <v>116.57762792313</v>
      </c>
      <c r="D738" s="116">
        <v>113.91161148414</v>
      </c>
      <c r="E738" s="116">
        <v>116.43220884464</v>
      </c>
      <c r="F738" s="116">
        <v>120.25</v>
      </c>
      <c r="G738">
        <v>54692</v>
      </c>
      <c r="H738" s="116"/>
      <c r="I738" s="116"/>
      <c r="L738" s="170">
        <v>43087</v>
      </c>
      <c r="M738" s="116">
        <v>120.35</v>
      </c>
      <c r="N738" s="116">
        <v>121.8</v>
      </c>
      <c r="O738" s="116">
        <v>117.5</v>
      </c>
      <c r="P738" s="116">
        <v>119.5</v>
      </c>
      <c r="Q738" s="116">
        <v>120.35</v>
      </c>
      <c r="R738">
        <v>302698</v>
      </c>
    </row>
    <row r="739" spans="1:18" x14ac:dyDescent="0.25">
      <c r="A739" s="170">
        <v>43088</v>
      </c>
      <c r="B739" s="116">
        <v>117.59556147256301</v>
      </c>
      <c r="C739" s="116">
        <v>114.396341745774</v>
      </c>
      <c r="D739" s="116">
        <v>113.91161148414</v>
      </c>
      <c r="E739" s="116">
        <v>116.77152002778401</v>
      </c>
      <c r="F739" s="116">
        <v>118</v>
      </c>
      <c r="G739">
        <v>107857</v>
      </c>
      <c r="H739" s="116"/>
      <c r="I739" s="116"/>
      <c r="L739" s="170">
        <v>43088</v>
      </c>
      <c r="M739" s="116">
        <v>117.85</v>
      </c>
      <c r="N739" s="116">
        <v>121.5</v>
      </c>
      <c r="O739" s="116">
        <v>117.3</v>
      </c>
      <c r="P739" s="116">
        <v>120.85</v>
      </c>
      <c r="Q739" s="116">
        <v>117.85</v>
      </c>
      <c r="R739">
        <v>1350357</v>
      </c>
    </row>
    <row r="740" spans="1:18" x14ac:dyDescent="0.25">
      <c r="A740" s="170">
        <v>43089</v>
      </c>
      <c r="B740" s="116">
        <v>115.462748321371</v>
      </c>
      <c r="C740" s="116">
        <v>114.444814771938</v>
      </c>
      <c r="D740" s="116">
        <v>113.91161148414</v>
      </c>
      <c r="E740" s="116">
        <v>115.02649108590001</v>
      </c>
      <c r="F740" s="116">
        <v>118.05</v>
      </c>
      <c r="G740">
        <v>48972</v>
      </c>
      <c r="H740" s="116"/>
      <c r="I740" s="116"/>
      <c r="L740" s="170">
        <v>43089</v>
      </c>
      <c r="M740" s="116">
        <v>117.85</v>
      </c>
      <c r="N740" s="116">
        <v>119</v>
      </c>
      <c r="O740" s="116">
        <v>117.2</v>
      </c>
      <c r="P740" s="116">
        <v>118.1</v>
      </c>
      <c r="Q740" s="116">
        <v>117.85</v>
      </c>
      <c r="R740">
        <v>463614</v>
      </c>
    </row>
    <row r="741" spans="1:18" x14ac:dyDescent="0.25">
      <c r="A741" s="170">
        <v>43090</v>
      </c>
      <c r="B741" s="116">
        <v>116.723047001621</v>
      </c>
      <c r="C741" s="116">
        <v>115.995951609169</v>
      </c>
      <c r="D741" s="116">
        <v>114.05703056263</v>
      </c>
      <c r="E741" s="116">
        <v>114.396341745774</v>
      </c>
      <c r="F741" s="116">
        <v>119.65</v>
      </c>
      <c r="G741">
        <v>71553</v>
      </c>
      <c r="H741" s="116"/>
      <c r="I741" s="116"/>
      <c r="L741" s="170">
        <v>43090</v>
      </c>
      <c r="M741" s="116">
        <v>119.65</v>
      </c>
      <c r="N741" s="116">
        <v>120.5</v>
      </c>
      <c r="O741" s="116">
        <v>117.1</v>
      </c>
      <c r="P741" s="116">
        <v>118.6</v>
      </c>
      <c r="Q741" s="116">
        <v>119.65</v>
      </c>
      <c r="R741">
        <v>1426745</v>
      </c>
    </row>
    <row r="742" spans="1:18" x14ac:dyDescent="0.25">
      <c r="A742" s="170">
        <v>43091</v>
      </c>
      <c r="B742" s="116">
        <v>117.789453577217</v>
      </c>
      <c r="C742" s="116">
        <v>115.802059504515</v>
      </c>
      <c r="D742" s="116">
        <v>115.31732924288001</v>
      </c>
      <c r="E742" s="116">
        <v>117.207777263255</v>
      </c>
      <c r="F742" s="116">
        <v>119.45</v>
      </c>
      <c r="G742">
        <v>105088</v>
      </c>
      <c r="H742" s="116"/>
      <c r="I742" s="116"/>
      <c r="L742" s="170">
        <v>43091</v>
      </c>
      <c r="M742" s="116">
        <v>119.7</v>
      </c>
      <c r="N742" s="116">
        <v>121.7</v>
      </c>
      <c r="O742" s="116">
        <v>119.05</v>
      </c>
      <c r="P742" s="116">
        <v>120.45</v>
      </c>
      <c r="Q742" s="116">
        <v>119.7</v>
      </c>
      <c r="R742">
        <v>351620</v>
      </c>
    </row>
    <row r="743" spans="1:18" x14ac:dyDescent="0.25">
      <c r="A743" s="170">
        <v>43095</v>
      </c>
      <c r="B743" s="116">
        <v>117.110831210928</v>
      </c>
      <c r="C743" s="116">
        <v>116.14137068765901</v>
      </c>
      <c r="D743" s="116">
        <v>115.850532530678</v>
      </c>
      <c r="E743" s="116">
        <v>115.850532530678</v>
      </c>
      <c r="F743" s="116">
        <v>119.8</v>
      </c>
      <c r="G743">
        <v>29788</v>
      </c>
      <c r="H743" s="116"/>
      <c r="I743" s="116"/>
      <c r="L743" s="170">
        <v>43095</v>
      </c>
      <c r="M743" s="116">
        <v>119.75</v>
      </c>
      <c r="N743" s="116">
        <v>121</v>
      </c>
      <c r="O743" s="116">
        <v>119.15</v>
      </c>
      <c r="P743" s="116">
        <v>120</v>
      </c>
      <c r="Q743" s="116">
        <v>119.75</v>
      </c>
      <c r="R743">
        <v>214679</v>
      </c>
    </row>
    <row r="744" spans="1:18" x14ac:dyDescent="0.25">
      <c r="A744" s="170">
        <v>43096</v>
      </c>
      <c r="B744" s="116">
        <v>117.256250289419</v>
      </c>
      <c r="C744" s="116">
        <v>114.68717990275501</v>
      </c>
      <c r="D744" s="116">
        <v>114.444814771938</v>
      </c>
      <c r="E744" s="116">
        <v>116.28678976614999</v>
      </c>
      <c r="F744" s="116">
        <v>118.3</v>
      </c>
      <c r="G744">
        <v>51394</v>
      </c>
      <c r="H744" s="116"/>
      <c r="I744" s="116"/>
      <c r="L744" s="170">
        <v>43096</v>
      </c>
      <c r="M744" s="116">
        <v>118.25</v>
      </c>
      <c r="N744" s="116">
        <v>120.95</v>
      </c>
      <c r="O744" s="116">
        <v>117.65</v>
      </c>
      <c r="P744" s="116">
        <v>119.85</v>
      </c>
      <c r="Q744" s="116">
        <v>118.25</v>
      </c>
      <c r="R744">
        <v>611307</v>
      </c>
    </row>
    <row r="745" spans="1:18" x14ac:dyDescent="0.25">
      <c r="A745" s="170">
        <v>43097</v>
      </c>
      <c r="B745" s="116">
        <v>115.899005556842</v>
      </c>
      <c r="C745" s="116">
        <v>114.153976614957</v>
      </c>
      <c r="D745" s="116">
        <v>113.23298911785101</v>
      </c>
      <c r="E745" s="116">
        <v>115.365802269044</v>
      </c>
      <c r="F745" s="116">
        <v>117.75</v>
      </c>
      <c r="G745">
        <v>51048</v>
      </c>
      <c r="H745" s="116"/>
      <c r="I745" s="116"/>
      <c r="L745" s="170">
        <v>43097</v>
      </c>
      <c r="M745" s="116">
        <v>117.5</v>
      </c>
      <c r="N745" s="116">
        <v>119.75</v>
      </c>
      <c r="O745" s="116">
        <v>116.35</v>
      </c>
      <c r="P745" s="116">
        <v>119.75</v>
      </c>
      <c r="Q745" s="116">
        <v>117.5</v>
      </c>
      <c r="R745">
        <v>531285</v>
      </c>
    </row>
    <row r="746" spans="1:18" x14ac:dyDescent="0.25">
      <c r="A746" s="170">
        <v>43098</v>
      </c>
      <c r="B746" s="116">
        <v>115.17191016439</v>
      </c>
      <c r="C746" s="116">
        <v>114.396341745774</v>
      </c>
      <c r="D746" s="116">
        <v>112.942150960871</v>
      </c>
      <c r="E746" s="116">
        <v>115.123437138226</v>
      </c>
      <c r="F746" s="116">
        <v>118</v>
      </c>
      <c r="G746">
        <v>37519</v>
      </c>
      <c r="H746" s="116"/>
      <c r="I746" s="116"/>
      <c r="L746" s="170">
        <v>43098</v>
      </c>
      <c r="M746" s="116">
        <v>117.8</v>
      </c>
      <c r="N746" s="116">
        <v>118.9</v>
      </c>
      <c r="O746" s="116">
        <v>117.3</v>
      </c>
      <c r="P746" s="116">
        <v>118</v>
      </c>
      <c r="Q746" s="116">
        <v>117.8</v>
      </c>
      <c r="R746">
        <v>2209592</v>
      </c>
    </row>
    <row r="747" spans="1:18" x14ac:dyDescent="0.25">
      <c r="A747" s="170">
        <v>43101</v>
      </c>
      <c r="B747" s="116">
        <v>115.365802269044</v>
      </c>
      <c r="C747" s="116">
        <v>115.02649108590001</v>
      </c>
      <c r="D747" s="116">
        <v>114.10550358879399</v>
      </c>
      <c r="E747" s="116">
        <v>115.17191016439</v>
      </c>
      <c r="F747" s="116">
        <v>118.65</v>
      </c>
      <c r="G747">
        <v>39900</v>
      </c>
      <c r="H747" s="116"/>
      <c r="I747" s="116"/>
      <c r="L747" s="170">
        <v>43101</v>
      </c>
      <c r="M747" s="116">
        <v>118.5</v>
      </c>
      <c r="N747" s="116">
        <v>119</v>
      </c>
      <c r="O747" s="116">
        <v>117.1</v>
      </c>
      <c r="P747" s="116">
        <v>117.1</v>
      </c>
      <c r="Q747" s="116">
        <v>118.5</v>
      </c>
      <c r="R747">
        <v>442715</v>
      </c>
    </row>
    <row r="748" spans="1:18" x14ac:dyDescent="0.25">
      <c r="A748" s="170">
        <v>43102</v>
      </c>
      <c r="B748" s="116">
        <v>115.608167399861</v>
      </c>
      <c r="C748" s="116">
        <v>115.17191016439</v>
      </c>
      <c r="D748" s="116">
        <v>113.669246353323</v>
      </c>
      <c r="E748" s="116">
        <v>114.92954503357301</v>
      </c>
      <c r="F748" s="116">
        <v>118.8</v>
      </c>
      <c r="G748">
        <v>35279</v>
      </c>
      <c r="H748" s="116"/>
      <c r="I748" s="116"/>
      <c r="L748" s="170">
        <v>43102</v>
      </c>
      <c r="M748" s="116">
        <v>118.5</v>
      </c>
      <c r="N748" s="116">
        <v>119.5</v>
      </c>
      <c r="O748" s="116">
        <v>116.95</v>
      </c>
      <c r="P748" s="116">
        <v>119</v>
      </c>
      <c r="Q748" s="116">
        <v>118.5</v>
      </c>
      <c r="R748">
        <v>1916943</v>
      </c>
    </row>
    <row r="749" spans="1:18" x14ac:dyDescent="0.25">
      <c r="A749" s="170">
        <v>43103</v>
      </c>
      <c r="B749" s="116">
        <v>120.019212780736</v>
      </c>
      <c r="C749" s="116">
        <v>117.74098055105399</v>
      </c>
      <c r="D749" s="116">
        <v>114.784125955082</v>
      </c>
      <c r="E749" s="116">
        <v>114.978018059736</v>
      </c>
      <c r="F749" s="116">
        <v>121.45</v>
      </c>
      <c r="G749">
        <v>164318</v>
      </c>
      <c r="H749" s="116"/>
      <c r="I749" s="116"/>
      <c r="L749" s="170">
        <v>43103</v>
      </c>
      <c r="M749" s="116">
        <v>121.35</v>
      </c>
      <c r="N749" s="116">
        <v>124</v>
      </c>
      <c r="O749" s="116">
        <v>118.15</v>
      </c>
      <c r="P749" s="116">
        <v>119</v>
      </c>
      <c r="Q749" s="116">
        <v>121.35</v>
      </c>
      <c r="R749">
        <v>1708368</v>
      </c>
    </row>
    <row r="750" spans="1:18" x14ac:dyDescent="0.25">
      <c r="A750" s="170">
        <v>43104</v>
      </c>
      <c r="B750" s="116">
        <v>126.029868025006</v>
      </c>
      <c r="C750" s="116">
        <v>122.152025931929</v>
      </c>
      <c r="D750" s="116">
        <v>117.83792660338</v>
      </c>
      <c r="E750" s="116">
        <v>118.468075943505</v>
      </c>
      <c r="F750" s="116">
        <v>126</v>
      </c>
      <c r="G750">
        <v>511223</v>
      </c>
      <c r="H750" s="116"/>
      <c r="I750" s="116"/>
      <c r="L750" s="170">
        <v>43104</v>
      </c>
      <c r="M750" s="116">
        <v>125.9</v>
      </c>
      <c r="N750" s="116">
        <v>130</v>
      </c>
      <c r="O750" s="116">
        <v>121.6</v>
      </c>
      <c r="P750" s="116">
        <v>121.6</v>
      </c>
      <c r="Q750" s="116">
        <v>125.9</v>
      </c>
      <c r="R750">
        <v>5019833</v>
      </c>
    </row>
    <row r="751" spans="1:18" x14ac:dyDescent="0.25">
      <c r="A751" s="170">
        <v>43105</v>
      </c>
      <c r="B751" s="116">
        <v>130.877170641352</v>
      </c>
      <c r="C751" s="116">
        <v>128.69588446399601</v>
      </c>
      <c r="D751" s="116">
        <v>122.152025931929</v>
      </c>
      <c r="E751" s="116">
        <v>122.152025931929</v>
      </c>
      <c r="F751" s="116">
        <v>132.75</v>
      </c>
      <c r="G751">
        <v>266981</v>
      </c>
      <c r="H751" s="116"/>
      <c r="I751" s="116"/>
      <c r="L751" s="170">
        <v>43105</v>
      </c>
      <c r="M751" s="116">
        <v>132.80000000000001</v>
      </c>
      <c r="N751" s="116">
        <v>135.35</v>
      </c>
      <c r="O751" s="116">
        <v>127.5</v>
      </c>
      <c r="P751" s="116">
        <v>127.8</v>
      </c>
      <c r="Q751" s="116">
        <v>132.80000000000001</v>
      </c>
      <c r="R751">
        <v>3416479</v>
      </c>
    </row>
    <row r="752" spans="1:18" x14ac:dyDescent="0.25">
      <c r="A752" s="170">
        <v>43108</v>
      </c>
      <c r="B752" s="116">
        <v>138.148124565872</v>
      </c>
      <c r="C752" s="116">
        <v>136.54851470247701</v>
      </c>
      <c r="D752" s="116">
        <v>129.42297985644799</v>
      </c>
      <c r="E752" s="116">
        <v>129.42297985644799</v>
      </c>
      <c r="F752" s="116">
        <v>140.85</v>
      </c>
      <c r="G752">
        <v>771964</v>
      </c>
      <c r="H752" s="116"/>
      <c r="I752" s="116"/>
      <c r="L752" s="170">
        <v>43108</v>
      </c>
      <c r="M752" s="116">
        <v>140.6</v>
      </c>
      <c r="N752" s="116">
        <v>142.44999999999999</v>
      </c>
      <c r="O752" s="116">
        <v>133.5</v>
      </c>
      <c r="P752" s="116">
        <v>135</v>
      </c>
      <c r="Q752" s="116">
        <v>140.6</v>
      </c>
      <c r="R752">
        <v>4818014</v>
      </c>
    </row>
    <row r="753" spans="1:18" x14ac:dyDescent="0.25">
      <c r="A753" s="170">
        <v>43109</v>
      </c>
      <c r="B753" s="116">
        <v>141.250398240333</v>
      </c>
      <c r="C753" s="116">
        <v>137.71186733040099</v>
      </c>
      <c r="D753" s="116">
        <v>135.96683838851601</v>
      </c>
      <c r="E753" s="116">
        <v>137.66339430423699</v>
      </c>
      <c r="F753" s="116">
        <v>142.05000000000001</v>
      </c>
      <c r="G753">
        <v>422607</v>
      </c>
      <c r="H753" s="116"/>
      <c r="I753" s="116"/>
      <c r="L753" s="170">
        <v>43109</v>
      </c>
      <c r="M753" s="116">
        <v>142.15</v>
      </c>
      <c r="N753" s="116">
        <v>145.80000000000001</v>
      </c>
      <c r="O753" s="116">
        <v>140</v>
      </c>
      <c r="P753" s="116">
        <v>142</v>
      </c>
      <c r="Q753" s="116">
        <v>142.15</v>
      </c>
      <c r="R753">
        <v>3756440</v>
      </c>
    </row>
    <row r="754" spans="1:18" x14ac:dyDescent="0.25">
      <c r="A754" s="170">
        <v>43110</v>
      </c>
      <c r="B754" s="116">
        <v>140.76566797869901</v>
      </c>
      <c r="C754" s="116">
        <v>138.390489696689</v>
      </c>
      <c r="D754" s="116">
        <v>137.17866404260201</v>
      </c>
      <c r="E754" s="116">
        <v>139.55384232461199</v>
      </c>
      <c r="F754" s="116">
        <v>142.75</v>
      </c>
      <c r="G754">
        <v>296447</v>
      </c>
      <c r="H754" s="116"/>
      <c r="I754" s="116"/>
      <c r="L754" s="170">
        <v>43110</v>
      </c>
      <c r="M754" s="116">
        <v>143.15</v>
      </c>
      <c r="N754" s="116">
        <v>145.69999999999999</v>
      </c>
      <c r="O754" s="116">
        <v>141.30000000000001</v>
      </c>
      <c r="P754" s="116">
        <v>143</v>
      </c>
      <c r="Q754" s="116">
        <v>143.15</v>
      </c>
      <c r="R754">
        <v>2263363</v>
      </c>
    </row>
    <row r="755" spans="1:18" x14ac:dyDescent="0.25">
      <c r="A755" s="170">
        <v>43111</v>
      </c>
      <c r="B755" s="116">
        <v>140.232464690901</v>
      </c>
      <c r="C755" s="116">
        <v>138.92369298448699</v>
      </c>
      <c r="D755" s="116">
        <v>137.37255614725601</v>
      </c>
      <c r="E755" s="116">
        <v>139.408423246122</v>
      </c>
      <c r="F755" s="116">
        <v>143.30000000000001</v>
      </c>
      <c r="G755">
        <v>102613</v>
      </c>
      <c r="H755" s="116"/>
      <c r="I755" s="116"/>
      <c r="L755" s="170">
        <v>43111</v>
      </c>
      <c r="M755" s="116">
        <v>143.55000000000001</v>
      </c>
      <c r="N755" s="116">
        <v>144.80000000000001</v>
      </c>
      <c r="O755" s="116">
        <v>141.69999999999999</v>
      </c>
      <c r="P755" s="116">
        <v>143.15</v>
      </c>
      <c r="Q755" s="116">
        <v>143.55000000000001</v>
      </c>
      <c r="R755">
        <v>1146326</v>
      </c>
    </row>
    <row r="756" spans="1:18" x14ac:dyDescent="0.25">
      <c r="A756" s="170">
        <v>43112</v>
      </c>
      <c r="B756" s="116">
        <v>139.844680481593</v>
      </c>
      <c r="C756" s="116">
        <v>136.88782588562199</v>
      </c>
      <c r="D756" s="116">
        <v>135.43363510071799</v>
      </c>
      <c r="E756" s="116">
        <v>139.214531141468</v>
      </c>
      <c r="F756" s="116">
        <v>141.19999999999999</v>
      </c>
      <c r="G756">
        <v>84993</v>
      </c>
      <c r="H756" s="116"/>
      <c r="I756" s="116"/>
      <c r="L756" s="170">
        <v>43112</v>
      </c>
      <c r="M756" s="116">
        <v>141.5</v>
      </c>
      <c r="N756" s="116">
        <v>144.4</v>
      </c>
      <c r="O756" s="116">
        <v>139.5</v>
      </c>
      <c r="P756" s="116">
        <v>143.69999999999999</v>
      </c>
      <c r="Q756" s="116">
        <v>141.5</v>
      </c>
      <c r="R756">
        <v>1046669</v>
      </c>
    </row>
    <row r="757" spans="1:18" x14ac:dyDescent="0.25">
      <c r="A757" s="170">
        <v>43115</v>
      </c>
      <c r="B757" s="116">
        <v>138.72980087983299</v>
      </c>
      <c r="C757" s="116">
        <v>136.30614957166</v>
      </c>
      <c r="D757" s="116">
        <v>135.77294628386201</v>
      </c>
      <c r="E757" s="116">
        <v>138.63285482750601</v>
      </c>
      <c r="F757" s="116">
        <v>140.6</v>
      </c>
      <c r="G757">
        <v>66461</v>
      </c>
      <c r="H757" s="116"/>
      <c r="I757" s="116"/>
      <c r="L757" s="170">
        <v>43115</v>
      </c>
      <c r="M757" s="116">
        <v>141.15</v>
      </c>
      <c r="N757" s="116">
        <v>143.6</v>
      </c>
      <c r="O757" s="116">
        <v>140.19999999999999</v>
      </c>
      <c r="P757" s="116">
        <v>143.6</v>
      </c>
      <c r="Q757" s="116">
        <v>141.15</v>
      </c>
      <c r="R757">
        <v>760974</v>
      </c>
    </row>
    <row r="758" spans="1:18" x14ac:dyDescent="0.25">
      <c r="A758" s="170">
        <v>43116</v>
      </c>
      <c r="B758" s="116">
        <v>143.18931928687201</v>
      </c>
      <c r="C758" s="116">
        <v>139.166058115304</v>
      </c>
      <c r="D758" s="116">
        <v>133.97944431581399</v>
      </c>
      <c r="E758" s="116">
        <v>136.742406807131</v>
      </c>
      <c r="F758" s="116">
        <v>143.55000000000001</v>
      </c>
      <c r="G758">
        <v>383656</v>
      </c>
      <c r="H758" s="116"/>
      <c r="I758" s="116"/>
      <c r="L758" s="170">
        <v>43116</v>
      </c>
      <c r="M758" s="116">
        <v>144.55000000000001</v>
      </c>
      <c r="N758" s="116">
        <v>148</v>
      </c>
      <c r="O758" s="116">
        <v>138.65</v>
      </c>
      <c r="P758" s="116">
        <v>142</v>
      </c>
      <c r="Q758" s="116">
        <v>144.55000000000001</v>
      </c>
      <c r="R758">
        <v>2917868</v>
      </c>
    </row>
    <row r="759" spans="1:18" x14ac:dyDescent="0.25">
      <c r="A759" s="170">
        <v>43117</v>
      </c>
      <c r="B759" s="116">
        <v>144.93434822875699</v>
      </c>
      <c r="C759" s="116">
        <v>143.528630470016</v>
      </c>
      <c r="D759" s="116">
        <v>139.50536929844901</v>
      </c>
      <c r="E759" s="116">
        <v>139.796207455429</v>
      </c>
      <c r="F759" s="116">
        <v>148.05000000000001</v>
      </c>
      <c r="G759">
        <v>287514</v>
      </c>
      <c r="H759" s="116"/>
      <c r="I759" s="116"/>
      <c r="L759" s="170">
        <v>43117</v>
      </c>
      <c r="M759" s="116">
        <v>148.65</v>
      </c>
      <c r="N759" s="116">
        <v>150</v>
      </c>
      <c r="O759" s="116">
        <v>144</v>
      </c>
      <c r="P759" s="116">
        <v>144</v>
      </c>
      <c r="Q759" s="116">
        <v>148.65</v>
      </c>
      <c r="R759">
        <v>2016950</v>
      </c>
    </row>
    <row r="760" spans="1:18" x14ac:dyDescent="0.25">
      <c r="A760" s="170">
        <v>43118</v>
      </c>
      <c r="B760" s="116">
        <v>147.98814887705501</v>
      </c>
      <c r="C760" s="116">
        <v>135.869892336189</v>
      </c>
      <c r="D760" s="116">
        <v>134.027917341977</v>
      </c>
      <c r="E760" s="116">
        <v>143.62557652234301</v>
      </c>
      <c r="F760" s="116">
        <v>140.15</v>
      </c>
      <c r="G760">
        <v>346289</v>
      </c>
      <c r="H760" s="116"/>
      <c r="I760" s="116"/>
      <c r="L760" s="170">
        <v>43118</v>
      </c>
      <c r="M760" s="116">
        <v>140.6</v>
      </c>
      <c r="N760" s="116">
        <v>152.80000000000001</v>
      </c>
      <c r="O760" s="116">
        <v>138.44999999999999</v>
      </c>
      <c r="P760" s="116">
        <v>149.6</v>
      </c>
      <c r="Q760" s="116">
        <v>140.6</v>
      </c>
      <c r="R760">
        <v>1882304</v>
      </c>
    </row>
    <row r="761" spans="1:18" x14ac:dyDescent="0.25">
      <c r="A761" s="170">
        <v>43119</v>
      </c>
      <c r="B761" s="116">
        <v>139.166058115304</v>
      </c>
      <c r="C761" s="116">
        <v>137.66339430423699</v>
      </c>
      <c r="D761" s="116">
        <v>133.97944431581399</v>
      </c>
      <c r="E761" s="116">
        <v>138.72980087983299</v>
      </c>
      <c r="F761" s="116">
        <v>142</v>
      </c>
      <c r="G761">
        <v>110594</v>
      </c>
      <c r="H761" s="116"/>
      <c r="I761" s="116"/>
      <c r="L761" s="170">
        <v>43119</v>
      </c>
      <c r="M761" s="116">
        <v>142.44999999999999</v>
      </c>
      <c r="N761" s="116">
        <v>144</v>
      </c>
      <c r="O761" s="116">
        <v>138.15</v>
      </c>
      <c r="P761" s="116">
        <v>142.4</v>
      </c>
      <c r="Q761" s="116">
        <v>142.44999999999999</v>
      </c>
      <c r="R761">
        <v>793174</v>
      </c>
    </row>
    <row r="762" spans="1:18" x14ac:dyDescent="0.25">
      <c r="A762" s="170">
        <v>43122</v>
      </c>
      <c r="B762" s="116">
        <v>147.35799953693001</v>
      </c>
      <c r="C762" s="116">
        <v>146.24311993517</v>
      </c>
      <c r="D762" s="116">
        <v>137.324083121093</v>
      </c>
      <c r="E762" s="116">
        <v>138.48743574901599</v>
      </c>
      <c r="F762" s="116">
        <v>150.85</v>
      </c>
      <c r="G762">
        <v>396210</v>
      </c>
      <c r="H762" s="116"/>
      <c r="I762" s="116"/>
      <c r="L762" s="170">
        <v>43122</v>
      </c>
      <c r="M762" s="116">
        <v>150.65</v>
      </c>
      <c r="N762" s="116">
        <v>152.5</v>
      </c>
      <c r="O762" s="116">
        <v>141.19999999999999</v>
      </c>
      <c r="P762" s="116">
        <v>142.19999999999999</v>
      </c>
      <c r="Q762" s="116">
        <v>150.65</v>
      </c>
      <c r="R762">
        <v>4229498</v>
      </c>
    </row>
    <row r="763" spans="1:18" x14ac:dyDescent="0.25">
      <c r="A763" s="170">
        <v>43123</v>
      </c>
      <c r="B763" s="116">
        <v>155.69536003704599</v>
      </c>
      <c r="C763" s="116">
        <v>151.81751794396899</v>
      </c>
      <c r="D763" s="116">
        <v>145.419078490391</v>
      </c>
      <c r="E763" s="116">
        <v>146.09770085668001</v>
      </c>
      <c r="F763" s="116">
        <v>156.6</v>
      </c>
      <c r="G763">
        <v>576224</v>
      </c>
      <c r="H763" s="116"/>
      <c r="I763" s="116"/>
      <c r="L763" s="170">
        <v>43123</v>
      </c>
      <c r="M763" s="116">
        <v>156.75</v>
      </c>
      <c r="N763" s="116">
        <v>160.94999999999999</v>
      </c>
      <c r="O763" s="116">
        <v>151</v>
      </c>
      <c r="P763" s="116">
        <v>151</v>
      </c>
      <c r="Q763" s="116">
        <v>156.75</v>
      </c>
      <c r="R763">
        <v>5126004</v>
      </c>
    </row>
    <row r="764" spans="1:18" x14ac:dyDescent="0.25">
      <c r="A764" s="170">
        <v>43124</v>
      </c>
      <c r="B764" s="116">
        <v>155.50146793239199</v>
      </c>
      <c r="C764" s="116">
        <v>146.630904144478</v>
      </c>
      <c r="D764" s="116">
        <v>145.70991664737201</v>
      </c>
      <c r="E764" s="116">
        <v>151.91446399629501</v>
      </c>
      <c r="F764" s="116">
        <v>151.25</v>
      </c>
      <c r="G764">
        <v>338305</v>
      </c>
      <c r="H764" s="116"/>
      <c r="I764" s="116"/>
      <c r="L764" s="170">
        <v>43124</v>
      </c>
      <c r="M764" s="116">
        <v>151.05000000000001</v>
      </c>
      <c r="N764" s="116">
        <v>160.19999999999999</v>
      </c>
      <c r="O764" s="116">
        <v>149.80000000000001</v>
      </c>
      <c r="P764" s="116">
        <v>156.9</v>
      </c>
      <c r="Q764" s="116">
        <v>151.05000000000001</v>
      </c>
      <c r="R764">
        <v>1630273</v>
      </c>
    </row>
    <row r="765" spans="1:18" x14ac:dyDescent="0.25">
      <c r="A765" s="170">
        <v>43125</v>
      </c>
      <c r="B765" s="116">
        <v>150.26638110673801</v>
      </c>
      <c r="C765" s="116">
        <v>144.98282125492</v>
      </c>
      <c r="D765" s="116">
        <v>143.72252257466999</v>
      </c>
      <c r="E765" s="116">
        <v>148.327460060199</v>
      </c>
      <c r="F765" s="116">
        <v>149.55000000000001</v>
      </c>
      <c r="G765">
        <v>184629</v>
      </c>
      <c r="H765" s="116"/>
      <c r="I765" s="116"/>
      <c r="L765" s="170">
        <v>43125</v>
      </c>
      <c r="M765" s="116">
        <v>149.4</v>
      </c>
      <c r="N765" s="116">
        <v>155.4</v>
      </c>
      <c r="O765" s="116">
        <v>148</v>
      </c>
      <c r="P765" s="116">
        <v>152.1</v>
      </c>
      <c r="Q765" s="116">
        <v>149.4</v>
      </c>
      <c r="R765">
        <v>1586452</v>
      </c>
    </row>
    <row r="766" spans="1:18" x14ac:dyDescent="0.25">
      <c r="A766" s="170">
        <v>43129</v>
      </c>
      <c r="B766" s="116">
        <v>148.085094929382</v>
      </c>
      <c r="C766" s="116">
        <v>138.09965153970799</v>
      </c>
      <c r="D766" s="116">
        <v>136.742406807131</v>
      </c>
      <c r="E766" s="116">
        <v>145.46755151655501</v>
      </c>
      <c r="F766" s="116">
        <v>142.44999999999999</v>
      </c>
      <c r="G766">
        <v>322136</v>
      </c>
      <c r="H766" s="116"/>
      <c r="I766" s="116"/>
      <c r="L766" s="170">
        <v>43129</v>
      </c>
      <c r="M766" s="116">
        <v>141.55000000000001</v>
      </c>
      <c r="N766" s="116">
        <v>151.05000000000001</v>
      </c>
      <c r="O766" s="116">
        <v>140.55000000000001</v>
      </c>
      <c r="P766" s="116">
        <v>150.25</v>
      </c>
      <c r="Q766" s="116">
        <v>141.55000000000001</v>
      </c>
      <c r="R766">
        <v>1298948</v>
      </c>
    </row>
    <row r="767" spans="1:18" x14ac:dyDescent="0.25">
      <c r="A767" s="170">
        <v>43130</v>
      </c>
      <c r="B767" s="116">
        <v>142.074439685112</v>
      </c>
      <c r="C767" s="116">
        <v>138.48743574901599</v>
      </c>
      <c r="D767" s="116">
        <v>137.22713706876601</v>
      </c>
      <c r="E767" s="116">
        <v>138.63285482750601</v>
      </c>
      <c r="F767" s="116">
        <v>142.85</v>
      </c>
      <c r="G767">
        <v>266659</v>
      </c>
      <c r="H767" s="116"/>
      <c r="I767" s="116"/>
      <c r="L767" s="170">
        <v>43130</v>
      </c>
      <c r="M767" s="116">
        <v>143.55000000000001</v>
      </c>
      <c r="N767" s="116">
        <v>147.35</v>
      </c>
      <c r="O767" s="116">
        <v>141.4</v>
      </c>
      <c r="P767" s="116">
        <v>141.4</v>
      </c>
      <c r="Q767" s="116">
        <v>143.55000000000001</v>
      </c>
      <c r="R767">
        <v>1441740</v>
      </c>
    </row>
    <row r="768" spans="1:18" x14ac:dyDescent="0.25">
      <c r="A768" s="170">
        <v>43131</v>
      </c>
      <c r="B768" s="116">
        <v>140.52330284788101</v>
      </c>
      <c r="C768" s="116">
        <v>133.54318708034299</v>
      </c>
      <c r="D768" s="116">
        <v>132.08899629543899</v>
      </c>
      <c r="E768" s="116">
        <v>138.535908775179</v>
      </c>
      <c r="F768" s="116">
        <v>137.75</v>
      </c>
      <c r="G768">
        <v>136226</v>
      </c>
      <c r="H768" s="116"/>
      <c r="I768" s="116"/>
      <c r="L768" s="170">
        <v>43131</v>
      </c>
      <c r="M768" s="116">
        <v>138.19999999999999</v>
      </c>
      <c r="N768" s="116">
        <v>145.6</v>
      </c>
      <c r="O768" s="116">
        <v>137.15</v>
      </c>
      <c r="P768" s="116">
        <v>142.1</v>
      </c>
      <c r="Q768" s="116">
        <v>138.19999999999999</v>
      </c>
      <c r="R768">
        <v>910191</v>
      </c>
    </row>
    <row r="769" spans="1:18" x14ac:dyDescent="0.25">
      <c r="A769" s="170">
        <v>43132</v>
      </c>
      <c r="B769" s="116">
        <v>139.844680481593</v>
      </c>
      <c r="C769" s="116">
        <v>133.34929497568899</v>
      </c>
      <c r="D769" s="116">
        <v>131.89510419078499</v>
      </c>
      <c r="E769" s="116">
        <v>135.62752720537199</v>
      </c>
      <c r="F769" s="116">
        <v>137.55000000000001</v>
      </c>
      <c r="G769">
        <v>154994</v>
      </c>
      <c r="H769" s="116"/>
      <c r="I769" s="116"/>
      <c r="L769" s="170">
        <v>43132</v>
      </c>
      <c r="M769" s="116">
        <v>138.35</v>
      </c>
      <c r="N769" s="116">
        <v>144.55000000000001</v>
      </c>
      <c r="O769" s="116">
        <v>136</v>
      </c>
      <c r="P769" s="116">
        <v>139.6</v>
      </c>
      <c r="Q769" s="116">
        <v>138.35</v>
      </c>
      <c r="R769">
        <v>1003034</v>
      </c>
    </row>
    <row r="770" spans="1:18" x14ac:dyDescent="0.25">
      <c r="A770" s="170">
        <v>43133</v>
      </c>
      <c r="B770" s="116">
        <v>135.724473257699</v>
      </c>
      <c r="C770" s="116">
        <v>125.060407501737</v>
      </c>
      <c r="D770" s="116">
        <v>123.121486455198</v>
      </c>
      <c r="E770" s="116">
        <v>134.07639036814101</v>
      </c>
      <c r="F770" s="116">
        <v>129</v>
      </c>
      <c r="G770">
        <v>148754</v>
      </c>
      <c r="H770" s="116"/>
      <c r="I770" s="116"/>
      <c r="L770" s="170">
        <v>43133</v>
      </c>
      <c r="M770" s="116">
        <v>129</v>
      </c>
      <c r="N770" s="116">
        <v>137.65</v>
      </c>
      <c r="O770" s="116">
        <v>126.5</v>
      </c>
      <c r="P770" s="116">
        <v>137.65</v>
      </c>
      <c r="Q770" s="116">
        <v>129</v>
      </c>
      <c r="R770">
        <v>1070027</v>
      </c>
    </row>
    <row r="771" spans="1:18" x14ac:dyDescent="0.25">
      <c r="A771" s="170">
        <v>43136</v>
      </c>
      <c r="B771" s="116">
        <v>132.767618661727</v>
      </c>
      <c r="C771" s="116">
        <v>131.45884695531399</v>
      </c>
      <c r="D771" s="116">
        <v>120.940200277842</v>
      </c>
      <c r="E771" s="116">
        <v>124.575677240102</v>
      </c>
      <c r="F771" s="116">
        <v>135.6</v>
      </c>
      <c r="G771">
        <v>103343</v>
      </c>
      <c r="H771" s="116"/>
      <c r="I771" s="116"/>
      <c r="L771" s="170">
        <v>43136</v>
      </c>
      <c r="M771" s="116">
        <v>135.94999999999999</v>
      </c>
      <c r="N771" s="116">
        <v>137</v>
      </c>
      <c r="O771" s="116">
        <v>125.1</v>
      </c>
      <c r="P771" s="116">
        <v>126.65</v>
      </c>
      <c r="Q771" s="116">
        <v>135.94999999999999</v>
      </c>
      <c r="R771">
        <v>966551</v>
      </c>
    </row>
    <row r="772" spans="1:18" x14ac:dyDescent="0.25">
      <c r="A772" s="170">
        <v>43137</v>
      </c>
      <c r="B772" s="116">
        <v>131.84663116462099</v>
      </c>
      <c r="C772" s="116">
        <v>131.02258971984301</v>
      </c>
      <c r="D772" s="116">
        <v>120.21310488539</v>
      </c>
      <c r="E772" s="116">
        <v>123.121486455198</v>
      </c>
      <c r="F772" s="116">
        <v>135.15</v>
      </c>
      <c r="G772">
        <v>131445</v>
      </c>
      <c r="H772" s="116"/>
      <c r="I772" s="116"/>
      <c r="L772" s="170">
        <v>43137</v>
      </c>
      <c r="M772" s="116">
        <v>135.5</v>
      </c>
      <c r="N772" s="116">
        <v>137</v>
      </c>
      <c r="O772" s="116">
        <v>127</v>
      </c>
      <c r="P772" s="116">
        <v>130</v>
      </c>
      <c r="Q772" s="116">
        <v>135.5</v>
      </c>
      <c r="R772">
        <v>683967</v>
      </c>
    </row>
    <row r="773" spans="1:18" x14ac:dyDescent="0.25">
      <c r="A773" s="170">
        <v>43138</v>
      </c>
      <c r="B773" s="116">
        <v>135.04585089141</v>
      </c>
      <c r="C773" s="116">
        <v>127.67795091456399</v>
      </c>
      <c r="D773" s="116">
        <v>126.61154433896699</v>
      </c>
      <c r="E773" s="116">
        <v>133.78555221116</v>
      </c>
      <c r="F773" s="116">
        <v>131.69999999999999</v>
      </c>
      <c r="G773">
        <v>97128</v>
      </c>
      <c r="H773" s="116"/>
      <c r="I773" s="116"/>
      <c r="L773" s="170">
        <v>43138</v>
      </c>
      <c r="M773" s="116">
        <v>131.85</v>
      </c>
      <c r="N773" s="116">
        <v>139</v>
      </c>
      <c r="O773" s="116">
        <v>130.4</v>
      </c>
      <c r="P773" s="116">
        <v>136.5</v>
      </c>
      <c r="Q773" s="116">
        <v>131.85</v>
      </c>
      <c r="R773">
        <v>945173</v>
      </c>
    </row>
    <row r="774" spans="1:18" x14ac:dyDescent="0.25">
      <c r="A774" s="170">
        <v>43139</v>
      </c>
      <c r="B774" s="116">
        <v>136.54851470247701</v>
      </c>
      <c r="C774" s="116">
        <v>132.961510766381</v>
      </c>
      <c r="D774" s="116">
        <v>127.96878907154399</v>
      </c>
      <c r="E774" s="116">
        <v>127.96878907154399</v>
      </c>
      <c r="F774" s="116">
        <v>137.15</v>
      </c>
      <c r="G774">
        <v>491966</v>
      </c>
      <c r="H774" s="116"/>
      <c r="I774" s="116"/>
      <c r="L774" s="170">
        <v>43139</v>
      </c>
      <c r="M774" s="116">
        <v>136.85</v>
      </c>
      <c r="N774" s="116">
        <v>141.5</v>
      </c>
      <c r="O774" s="116">
        <v>132.94999999999999</v>
      </c>
      <c r="P774" s="116">
        <v>133.19999999999999</v>
      </c>
      <c r="Q774" s="116">
        <v>136.85</v>
      </c>
      <c r="R774">
        <v>1712492</v>
      </c>
    </row>
    <row r="775" spans="1:18" x14ac:dyDescent="0.25">
      <c r="A775" s="170">
        <v>43140</v>
      </c>
      <c r="B775" s="116">
        <v>134.94890483908301</v>
      </c>
      <c r="C775" s="116">
        <v>132.767618661727</v>
      </c>
      <c r="D775" s="116">
        <v>126.902382495948</v>
      </c>
      <c r="E775" s="116">
        <v>126.902382495948</v>
      </c>
      <c r="F775" s="116">
        <v>136.94999999999999</v>
      </c>
      <c r="G775">
        <v>96600</v>
      </c>
      <c r="H775" s="116"/>
      <c r="I775" s="116"/>
      <c r="L775" s="170">
        <v>43140</v>
      </c>
      <c r="M775" s="116">
        <v>136.94999999999999</v>
      </c>
      <c r="N775" s="116">
        <v>138.9</v>
      </c>
      <c r="O775" s="116">
        <v>131.25</v>
      </c>
      <c r="P775" s="116">
        <v>131.25</v>
      </c>
      <c r="Q775" s="116">
        <v>136.94999999999999</v>
      </c>
      <c r="R775">
        <v>982808</v>
      </c>
    </row>
    <row r="776" spans="1:18" x14ac:dyDescent="0.25">
      <c r="A776" s="170">
        <v>43143</v>
      </c>
      <c r="B776" s="116">
        <v>135.77294628386201</v>
      </c>
      <c r="C776" s="116">
        <v>134.07639036814101</v>
      </c>
      <c r="D776" s="116">
        <v>132.961510766381</v>
      </c>
      <c r="E776" s="116">
        <v>133.10692984487201</v>
      </c>
      <c r="F776" s="116">
        <v>138.30000000000001</v>
      </c>
      <c r="G776">
        <v>71814</v>
      </c>
      <c r="H776" s="116"/>
      <c r="I776" s="116"/>
      <c r="L776" s="170">
        <v>43143</v>
      </c>
      <c r="M776" s="116">
        <v>138.05000000000001</v>
      </c>
      <c r="N776" s="116">
        <v>140</v>
      </c>
      <c r="O776" s="116">
        <v>136.94999999999999</v>
      </c>
      <c r="P776" s="116">
        <v>137.30000000000001</v>
      </c>
      <c r="Q776" s="116">
        <v>138.05000000000001</v>
      </c>
      <c r="R776">
        <v>1650018</v>
      </c>
    </row>
    <row r="777" spans="1:18" x14ac:dyDescent="0.25">
      <c r="A777" s="170">
        <v>43145</v>
      </c>
      <c r="B777" s="116">
        <v>138.82674693216001</v>
      </c>
      <c r="C777" s="116">
        <v>130.78022458902501</v>
      </c>
      <c r="D777" s="116">
        <v>129.95618314424601</v>
      </c>
      <c r="E777" s="116">
        <v>134.31875549895801</v>
      </c>
      <c r="F777" s="116">
        <v>134.9</v>
      </c>
      <c r="G777">
        <v>124054</v>
      </c>
      <c r="H777" s="116"/>
      <c r="I777" s="116"/>
      <c r="L777" s="170">
        <v>43145</v>
      </c>
      <c r="M777" s="116">
        <v>135.6</v>
      </c>
      <c r="N777" s="116">
        <v>142.75</v>
      </c>
      <c r="O777" s="116">
        <v>135.05000000000001</v>
      </c>
      <c r="P777" s="116">
        <v>140.1</v>
      </c>
      <c r="Q777" s="116">
        <v>135.6</v>
      </c>
      <c r="R777">
        <v>1471105</v>
      </c>
    </row>
    <row r="778" spans="1:18" x14ac:dyDescent="0.25">
      <c r="A778" s="170">
        <v>43146</v>
      </c>
      <c r="B778" s="116">
        <v>134.56112062977499</v>
      </c>
      <c r="C778" s="116">
        <v>129.277560777958</v>
      </c>
      <c r="D778" s="116">
        <v>128.211154202362</v>
      </c>
      <c r="E778" s="116">
        <v>132.767618661727</v>
      </c>
      <c r="F778" s="116">
        <v>133.35</v>
      </c>
      <c r="G778">
        <v>199764</v>
      </c>
      <c r="H778" s="116"/>
      <c r="I778" s="116"/>
      <c r="L778" s="170">
        <v>43146</v>
      </c>
      <c r="M778" s="116">
        <v>134.19999999999999</v>
      </c>
      <c r="N778" s="116">
        <v>138.5</v>
      </c>
      <c r="O778" s="116">
        <v>132.75</v>
      </c>
      <c r="P778" s="116">
        <v>136.6</v>
      </c>
      <c r="Q778" s="116">
        <v>134.19999999999999</v>
      </c>
      <c r="R778">
        <v>1237151</v>
      </c>
    </row>
    <row r="779" spans="1:18" x14ac:dyDescent="0.25">
      <c r="A779" s="170">
        <v>43147</v>
      </c>
      <c r="B779" s="116">
        <v>133.49471405417901</v>
      </c>
      <c r="C779" s="116">
        <v>129.03519564714099</v>
      </c>
      <c r="D779" s="116">
        <v>128.453519333179</v>
      </c>
      <c r="E779" s="116">
        <v>129.13214169946701</v>
      </c>
      <c r="F779" s="116">
        <v>133.1</v>
      </c>
      <c r="G779">
        <v>62620</v>
      </c>
      <c r="H779" s="116"/>
      <c r="I779" s="116"/>
      <c r="L779" s="170">
        <v>43147</v>
      </c>
      <c r="M779" s="116">
        <v>133.19999999999999</v>
      </c>
      <c r="N779" s="116">
        <v>137.75</v>
      </c>
      <c r="O779" s="116">
        <v>132.19999999999999</v>
      </c>
      <c r="P779" s="116">
        <v>136.94999999999999</v>
      </c>
      <c r="Q779" s="116">
        <v>133.19999999999999</v>
      </c>
      <c r="R779">
        <v>848112</v>
      </c>
    </row>
    <row r="780" spans="1:18" x14ac:dyDescent="0.25">
      <c r="A780" s="170">
        <v>43150</v>
      </c>
      <c r="B780" s="116">
        <v>135.43363510071799</v>
      </c>
      <c r="C780" s="116">
        <v>133.203875897198</v>
      </c>
      <c r="D780" s="116">
        <v>129.471452882612</v>
      </c>
      <c r="E780" s="116">
        <v>129.471452882612</v>
      </c>
      <c r="F780" s="116">
        <v>137.4</v>
      </c>
      <c r="G780">
        <v>171581</v>
      </c>
      <c r="H780" s="116"/>
      <c r="I780" s="116"/>
      <c r="L780" s="170">
        <v>43150</v>
      </c>
      <c r="M780" s="116">
        <v>137.4</v>
      </c>
      <c r="N780" s="116">
        <v>139.80000000000001</v>
      </c>
      <c r="O780" s="116">
        <v>134</v>
      </c>
      <c r="P780" s="116">
        <v>135</v>
      </c>
      <c r="Q780" s="116">
        <v>137.4</v>
      </c>
      <c r="R780">
        <v>1394757</v>
      </c>
    </row>
    <row r="781" spans="1:18" x14ac:dyDescent="0.25">
      <c r="A781" s="170">
        <v>43151</v>
      </c>
      <c r="B781" s="116">
        <v>135.91836536235201</v>
      </c>
      <c r="C781" s="116">
        <v>131.361900902987</v>
      </c>
      <c r="D781" s="116">
        <v>129.907710118083</v>
      </c>
      <c r="E781" s="116">
        <v>133.25234892336201</v>
      </c>
      <c r="F781" s="116">
        <v>135.5</v>
      </c>
      <c r="G781">
        <v>49221</v>
      </c>
      <c r="H781" s="116"/>
      <c r="I781" s="116"/>
      <c r="L781" s="170">
        <v>43151</v>
      </c>
      <c r="M781" s="116">
        <v>135.80000000000001</v>
      </c>
      <c r="N781" s="116">
        <v>140.35</v>
      </c>
      <c r="O781" s="116">
        <v>134.25</v>
      </c>
      <c r="P781" s="116">
        <v>136.25</v>
      </c>
      <c r="Q781" s="116">
        <v>135.80000000000001</v>
      </c>
      <c r="R781">
        <v>1419001</v>
      </c>
    </row>
    <row r="782" spans="1:18" x14ac:dyDescent="0.25">
      <c r="A782" s="170">
        <v>43152</v>
      </c>
      <c r="B782" s="116">
        <v>132.62219958323701</v>
      </c>
      <c r="C782" s="116">
        <v>128.35657328085199</v>
      </c>
      <c r="D782" s="116">
        <v>127.920316045381</v>
      </c>
      <c r="E782" s="116">
        <v>132.28288840009299</v>
      </c>
      <c r="F782" s="116">
        <v>132.4</v>
      </c>
      <c r="G782">
        <v>53804</v>
      </c>
      <c r="H782" s="116"/>
      <c r="I782" s="116"/>
      <c r="L782" s="170">
        <v>43152</v>
      </c>
      <c r="M782" s="116">
        <v>132.65</v>
      </c>
      <c r="N782" s="116">
        <v>136.85</v>
      </c>
      <c r="O782" s="116">
        <v>132</v>
      </c>
      <c r="P782" s="116">
        <v>136.6</v>
      </c>
      <c r="Q782" s="116">
        <v>132.65</v>
      </c>
      <c r="R782">
        <v>899724</v>
      </c>
    </row>
    <row r="783" spans="1:18" x14ac:dyDescent="0.25">
      <c r="A783" s="170">
        <v>43153</v>
      </c>
      <c r="B783" s="116">
        <v>131.84663116462099</v>
      </c>
      <c r="C783" s="116">
        <v>128.453519333179</v>
      </c>
      <c r="D783" s="116">
        <v>127.96878907154399</v>
      </c>
      <c r="E783" s="116">
        <v>128.88977656865001</v>
      </c>
      <c r="F783" s="116">
        <v>132.5</v>
      </c>
      <c r="G783">
        <v>80860</v>
      </c>
      <c r="H783" s="116"/>
      <c r="I783" s="116"/>
      <c r="L783" s="170">
        <v>43153</v>
      </c>
      <c r="M783" s="116">
        <v>132.55000000000001</v>
      </c>
      <c r="N783" s="116">
        <v>135.9</v>
      </c>
      <c r="O783" s="116">
        <v>132</v>
      </c>
      <c r="P783" s="116">
        <v>132.65</v>
      </c>
      <c r="Q783" s="116">
        <v>132.55000000000001</v>
      </c>
      <c r="R783">
        <v>1120490</v>
      </c>
    </row>
    <row r="784" spans="1:18" x14ac:dyDescent="0.25">
      <c r="A784" s="170">
        <v>43154</v>
      </c>
      <c r="B784" s="116">
        <v>130.34396735355401</v>
      </c>
      <c r="C784" s="116">
        <v>127.77489696689</v>
      </c>
      <c r="D784" s="116">
        <v>126.902382495948</v>
      </c>
      <c r="E784" s="116">
        <v>128.98672262097699</v>
      </c>
      <c r="F784" s="116">
        <v>131.80000000000001</v>
      </c>
      <c r="G784">
        <v>108359</v>
      </c>
      <c r="H784" s="116"/>
      <c r="I784" s="116"/>
      <c r="L784" s="170">
        <v>43154</v>
      </c>
      <c r="M784" s="116">
        <v>131.44999999999999</v>
      </c>
      <c r="N784" s="116">
        <v>134.35</v>
      </c>
      <c r="O784" s="116">
        <v>130.85</v>
      </c>
      <c r="P784" s="116">
        <v>133</v>
      </c>
      <c r="Q784" s="116">
        <v>131.44999999999999</v>
      </c>
      <c r="R784">
        <v>1221717</v>
      </c>
    </row>
    <row r="785" spans="1:18" x14ac:dyDescent="0.25">
      <c r="A785" s="170">
        <v>43157</v>
      </c>
      <c r="B785" s="116">
        <v>130.877170641352</v>
      </c>
      <c r="C785" s="116">
        <v>128.647411437833</v>
      </c>
      <c r="D785" s="116">
        <v>126.175287103496</v>
      </c>
      <c r="E785" s="116">
        <v>127.823369993054</v>
      </c>
      <c r="F785" s="116">
        <v>132.69999999999999</v>
      </c>
      <c r="G785">
        <v>97285</v>
      </c>
      <c r="H785" s="116"/>
      <c r="I785" s="116"/>
      <c r="L785" s="170">
        <v>43157</v>
      </c>
      <c r="M785" s="116">
        <v>132.85</v>
      </c>
      <c r="N785" s="116">
        <v>135.5</v>
      </c>
      <c r="O785" s="116">
        <v>131.55000000000001</v>
      </c>
      <c r="P785" s="116">
        <v>132.30000000000001</v>
      </c>
      <c r="Q785" s="116">
        <v>132.85</v>
      </c>
      <c r="R785">
        <v>1818506</v>
      </c>
    </row>
    <row r="786" spans="1:18" x14ac:dyDescent="0.25">
      <c r="A786" s="170">
        <v>43158</v>
      </c>
      <c r="B786" s="116">
        <v>135.53058115304501</v>
      </c>
      <c r="C786" s="116">
        <v>134.415701551285</v>
      </c>
      <c r="D786" s="116">
        <v>128.598938411669</v>
      </c>
      <c r="E786" s="116">
        <v>129.083668673304</v>
      </c>
      <c r="F786" s="116">
        <v>138.65</v>
      </c>
      <c r="G786">
        <v>174001</v>
      </c>
      <c r="H786" s="116"/>
      <c r="I786" s="116"/>
      <c r="L786" s="170">
        <v>43158</v>
      </c>
      <c r="M786" s="116">
        <v>138.4</v>
      </c>
      <c r="N786" s="116">
        <v>139.9</v>
      </c>
      <c r="O786" s="116">
        <v>132.15</v>
      </c>
      <c r="P786" s="116">
        <v>133</v>
      </c>
      <c r="Q786" s="116">
        <v>138.4</v>
      </c>
      <c r="R786">
        <v>2317654</v>
      </c>
    </row>
    <row r="787" spans="1:18" x14ac:dyDescent="0.25">
      <c r="A787" s="170">
        <v>43159</v>
      </c>
      <c r="B787" s="116">
        <v>135.239742996064</v>
      </c>
      <c r="C787" s="116">
        <v>132.961510766381</v>
      </c>
      <c r="D787" s="116">
        <v>130.78022458902501</v>
      </c>
      <c r="E787" s="116">
        <v>132.91303774021799</v>
      </c>
      <c r="F787" s="116">
        <v>137.15</v>
      </c>
      <c r="G787">
        <v>149987</v>
      </c>
      <c r="H787" s="116"/>
      <c r="I787" s="116"/>
      <c r="L787" s="170">
        <v>43159</v>
      </c>
      <c r="M787" s="116">
        <v>137.15</v>
      </c>
      <c r="N787" s="116">
        <v>139.6</v>
      </c>
      <c r="O787" s="116">
        <v>134.30000000000001</v>
      </c>
      <c r="P787" s="116">
        <v>136.9</v>
      </c>
      <c r="Q787" s="116">
        <v>137.15</v>
      </c>
      <c r="R787">
        <v>2016773</v>
      </c>
    </row>
    <row r="788" spans="1:18" x14ac:dyDescent="0.25">
      <c r="A788" s="170">
        <v>43160</v>
      </c>
      <c r="B788" s="116">
        <v>134.221809446631</v>
      </c>
      <c r="C788" s="116">
        <v>132.37983445242</v>
      </c>
      <c r="D788" s="116">
        <v>131.65273905996801</v>
      </c>
      <c r="E788" s="116">
        <v>133.49471405417901</v>
      </c>
      <c r="F788" s="116">
        <v>136.55000000000001</v>
      </c>
      <c r="G788">
        <v>579497</v>
      </c>
      <c r="H788" s="116"/>
      <c r="I788" s="116"/>
      <c r="L788" s="170">
        <v>43160</v>
      </c>
      <c r="M788" s="116">
        <v>137</v>
      </c>
      <c r="N788" s="116">
        <v>138.6</v>
      </c>
      <c r="O788" s="116">
        <v>135.75</v>
      </c>
      <c r="P788" s="116">
        <v>136.80000000000001</v>
      </c>
      <c r="Q788" s="116">
        <v>137</v>
      </c>
      <c r="R788">
        <v>3115115</v>
      </c>
    </row>
    <row r="789" spans="1:18" x14ac:dyDescent="0.25">
      <c r="A789" s="170">
        <v>43164</v>
      </c>
      <c r="B789" s="116">
        <v>132.37983445242</v>
      </c>
      <c r="C789" s="116">
        <v>130.053129196573</v>
      </c>
      <c r="D789" s="116">
        <v>129.42297985644799</v>
      </c>
      <c r="E789" s="116">
        <v>131.84663116462099</v>
      </c>
      <c r="F789" s="116">
        <v>134.15</v>
      </c>
      <c r="G789">
        <v>31346</v>
      </c>
      <c r="H789" s="116"/>
      <c r="I789" s="116"/>
      <c r="L789" s="170">
        <v>43164</v>
      </c>
      <c r="M789" s="116">
        <v>134.44999999999999</v>
      </c>
      <c r="N789" s="116">
        <v>137</v>
      </c>
      <c r="O789" s="116">
        <v>133.6</v>
      </c>
      <c r="P789" s="116">
        <v>136.19999999999999</v>
      </c>
      <c r="Q789" s="116">
        <v>134.44999999999999</v>
      </c>
      <c r="R789">
        <v>1220262</v>
      </c>
    </row>
    <row r="790" spans="1:18" x14ac:dyDescent="0.25">
      <c r="A790" s="170">
        <v>43165</v>
      </c>
      <c r="B790" s="116">
        <v>132.62219958323701</v>
      </c>
      <c r="C790" s="116">
        <v>129.665344987266</v>
      </c>
      <c r="D790" s="116">
        <v>129.32603380412101</v>
      </c>
      <c r="E790" s="116">
        <v>131.313427876823</v>
      </c>
      <c r="F790" s="116">
        <v>133.75</v>
      </c>
      <c r="G790">
        <v>34847</v>
      </c>
      <c r="H790" s="116"/>
      <c r="I790" s="116"/>
      <c r="L790" s="170">
        <v>43165</v>
      </c>
      <c r="M790" s="116">
        <v>133.9</v>
      </c>
      <c r="N790" s="116">
        <v>137.19999999999999</v>
      </c>
      <c r="O790" s="116">
        <v>133.4</v>
      </c>
      <c r="P790" s="116">
        <v>135.4</v>
      </c>
      <c r="Q790" s="116">
        <v>133.9</v>
      </c>
      <c r="R790">
        <v>1009896</v>
      </c>
    </row>
    <row r="791" spans="1:18" x14ac:dyDescent="0.25">
      <c r="A791" s="170">
        <v>43166</v>
      </c>
      <c r="B791" s="116">
        <v>132.62219958323701</v>
      </c>
      <c r="C791" s="116">
        <v>128.30810025468901</v>
      </c>
      <c r="D791" s="116">
        <v>127.096274600602</v>
      </c>
      <c r="E791" s="116">
        <v>132.573726557073</v>
      </c>
      <c r="F791" s="116">
        <v>132.35</v>
      </c>
      <c r="G791">
        <v>143089</v>
      </c>
      <c r="H791" s="116"/>
      <c r="I791" s="116"/>
      <c r="L791" s="170">
        <v>43166</v>
      </c>
      <c r="M791" s="116">
        <v>132.75</v>
      </c>
      <c r="N791" s="116">
        <v>136.44999999999999</v>
      </c>
      <c r="O791" s="116">
        <v>131.30000000000001</v>
      </c>
      <c r="P791" s="116">
        <v>135.94999999999999</v>
      </c>
      <c r="Q791" s="116">
        <v>132.75</v>
      </c>
      <c r="R791">
        <v>1528152</v>
      </c>
    </row>
    <row r="792" spans="1:18" x14ac:dyDescent="0.25">
      <c r="A792" s="170">
        <v>43167</v>
      </c>
      <c r="B792" s="116">
        <v>129.18061472563099</v>
      </c>
      <c r="C792" s="116">
        <v>125.302772632554</v>
      </c>
      <c r="D792" s="116">
        <v>124.381785135448</v>
      </c>
      <c r="E792" s="116">
        <v>128.453519333179</v>
      </c>
      <c r="F792" s="116">
        <v>129.25</v>
      </c>
      <c r="G792">
        <v>85717</v>
      </c>
      <c r="H792" s="116"/>
      <c r="I792" s="116"/>
      <c r="L792" s="170">
        <v>43167</v>
      </c>
      <c r="M792" s="116">
        <v>129.44999999999999</v>
      </c>
      <c r="N792" s="116">
        <v>133.85</v>
      </c>
      <c r="O792" s="116">
        <v>128.5</v>
      </c>
      <c r="P792" s="116">
        <v>132.80000000000001</v>
      </c>
      <c r="Q792" s="116">
        <v>129.44999999999999</v>
      </c>
      <c r="R792">
        <v>2186753</v>
      </c>
    </row>
    <row r="793" spans="1:18" x14ac:dyDescent="0.25">
      <c r="A793" s="170">
        <v>43168</v>
      </c>
      <c r="B793" s="116">
        <v>128.16268117619799</v>
      </c>
      <c r="C793" s="116">
        <v>124.67262329242899</v>
      </c>
      <c r="D793" s="116">
        <v>123.80010882148601</v>
      </c>
      <c r="E793" s="116">
        <v>126.95085552211199</v>
      </c>
      <c r="F793" s="116">
        <v>128.6</v>
      </c>
      <c r="G793">
        <v>220592</v>
      </c>
      <c r="H793" s="116"/>
      <c r="I793" s="116"/>
      <c r="L793" s="170">
        <v>43168</v>
      </c>
      <c r="M793" s="116">
        <v>128.6</v>
      </c>
      <c r="N793" s="116">
        <v>132.4</v>
      </c>
      <c r="O793" s="116">
        <v>127.75</v>
      </c>
      <c r="P793" s="116">
        <v>130.6</v>
      </c>
      <c r="Q793" s="116">
        <v>128.6</v>
      </c>
      <c r="R793">
        <v>1407221</v>
      </c>
    </row>
    <row r="794" spans="1:18" x14ac:dyDescent="0.25">
      <c r="A794" s="170">
        <v>43171</v>
      </c>
      <c r="B794" s="116">
        <v>125.98139499884201</v>
      </c>
      <c r="C794" s="116">
        <v>124.52720421393801</v>
      </c>
      <c r="D794" s="116">
        <v>123.80010882148601</v>
      </c>
      <c r="E794" s="116">
        <v>125.060407501737</v>
      </c>
      <c r="F794" s="116">
        <v>128.44999999999999</v>
      </c>
      <c r="G794">
        <v>25923</v>
      </c>
      <c r="H794" s="116"/>
      <c r="I794" s="116"/>
      <c r="L794" s="170">
        <v>43171</v>
      </c>
      <c r="M794" s="116">
        <v>128.69999999999999</v>
      </c>
      <c r="N794" s="116">
        <v>129.9</v>
      </c>
      <c r="O794" s="116">
        <v>127.65</v>
      </c>
      <c r="P794" s="116">
        <v>129.4</v>
      </c>
      <c r="Q794" s="116">
        <v>128.69999999999999</v>
      </c>
      <c r="R794">
        <v>931276</v>
      </c>
    </row>
    <row r="795" spans="1:18" x14ac:dyDescent="0.25">
      <c r="A795" s="170">
        <v>43172</v>
      </c>
      <c r="B795" s="116">
        <v>130.39244037971801</v>
      </c>
      <c r="C795" s="116">
        <v>126.07834105116901</v>
      </c>
      <c r="D795" s="116">
        <v>124.721096318592</v>
      </c>
      <c r="E795" s="116">
        <v>124.96346144941</v>
      </c>
      <c r="F795" s="116">
        <v>130.05000000000001</v>
      </c>
      <c r="G795">
        <v>571595</v>
      </c>
      <c r="H795" s="116"/>
      <c r="I795" s="116"/>
      <c r="L795" s="170">
        <v>43172</v>
      </c>
      <c r="M795" s="116">
        <v>130</v>
      </c>
      <c r="N795" s="116">
        <v>134.5</v>
      </c>
      <c r="O795" s="116">
        <v>128.69999999999999</v>
      </c>
      <c r="P795" s="116">
        <v>128.80000000000001</v>
      </c>
      <c r="Q795" s="116">
        <v>130</v>
      </c>
      <c r="R795">
        <v>1397514</v>
      </c>
    </row>
    <row r="796" spans="1:18" x14ac:dyDescent="0.25">
      <c r="A796" s="170">
        <v>43173</v>
      </c>
      <c r="B796" s="116">
        <v>128.16268117619799</v>
      </c>
      <c r="C796" s="116">
        <v>126.417652234314</v>
      </c>
      <c r="D796" s="116">
        <v>125.060407501737</v>
      </c>
      <c r="E796" s="116">
        <v>126.07834105116901</v>
      </c>
      <c r="F796" s="116">
        <v>130.4</v>
      </c>
      <c r="G796">
        <v>75004</v>
      </c>
      <c r="H796" s="116"/>
      <c r="I796" s="116"/>
      <c r="L796" s="170">
        <v>43173</v>
      </c>
      <c r="M796" s="116">
        <v>130.75</v>
      </c>
      <c r="N796" s="116">
        <v>132.5</v>
      </c>
      <c r="O796" s="116">
        <v>129.35</v>
      </c>
      <c r="P796" s="116">
        <v>130</v>
      </c>
      <c r="Q796" s="116">
        <v>130.75</v>
      </c>
      <c r="R796">
        <v>621000</v>
      </c>
    </row>
    <row r="797" spans="1:18" x14ac:dyDescent="0.25">
      <c r="A797" s="170">
        <v>43174</v>
      </c>
      <c r="B797" s="116">
        <v>132.816091687891</v>
      </c>
      <c r="C797" s="116">
        <v>128.93824959481401</v>
      </c>
      <c r="D797" s="116">
        <v>128.25962722852501</v>
      </c>
      <c r="E797" s="116">
        <v>128.25962722852501</v>
      </c>
      <c r="F797" s="116">
        <v>133</v>
      </c>
      <c r="G797">
        <v>79242167</v>
      </c>
      <c r="H797" s="116"/>
      <c r="I797" s="116"/>
      <c r="L797" s="170">
        <v>43174</v>
      </c>
      <c r="M797" s="116">
        <v>133</v>
      </c>
      <c r="N797" s="116">
        <v>136.75</v>
      </c>
      <c r="O797" s="116">
        <v>131.1</v>
      </c>
      <c r="P797" s="116">
        <v>131.1</v>
      </c>
      <c r="Q797" s="116">
        <v>133</v>
      </c>
      <c r="R797">
        <v>2160425</v>
      </c>
    </row>
    <row r="798" spans="1:18" x14ac:dyDescent="0.25">
      <c r="A798" s="170">
        <v>43175</v>
      </c>
      <c r="B798" s="116">
        <v>130.39244037971801</v>
      </c>
      <c r="C798" s="116">
        <v>126.175287103496</v>
      </c>
      <c r="D798" s="116">
        <v>125.932921972679</v>
      </c>
      <c r="E798" s="116">
        <v>128.841303542487</v>
      </c>
      <c r="F798" s="116">
        <v>130.15</v>
      </c>
      <c r="G798">
        <v>114402</v>
      </c>
      <c r="H798" s="116"/>
      <c r="I798" s="116"/>
      <c r="L798" s="170">
        <v>43175</v>
      </c>
      <c r="M798" s="116">
        <v>130</v>
      </c>
      <c r="N798" s="116">
        <v>134.19999999999999</v>
      </c>
      <c r="O798" s="116">
        <v>129.15</v>
      </c>
      <c r="P798" s="116">
        <v>133.4</v>
      </c>
      <c r="Q798" s="116">
        <v>130</v>
      </c>
      <c r="R798">
        <v>802990</v>
      </c>
    </row>
    <row r="799" spans="1:18" x14ac:dyDescent="0.25">
      <c r="A799" s="170">
        <v>43178</v>
      </c>
      <c r="B799" s="116">
        <v>127.96878907154399</v>
      </c>
      <c r="C799" s="116">
        <v>124.76956934475599</v>
      </c>
      <c r="D799" s="116">
        <v>123.41232461217901</v>
      </c>
      <c r="E799" s="116">
        <v>126.660017365131</v>
      </c>
      <c r="F799" s="116">
        <v>128.69999999999999</v>
      </c>
      <c r="G799">
        <v>374234</v>
      </c>
      <c r="H799" s="116"/>
      <c r="I799" s="116"/>
      <c r="L799" s="170">
        <v>43178</v>
      </c>
      <c r="M799" s="116">
        <v>129.44999999999999</v>
      </c>
      <c r="N799" s="116">
        <v>132</v>
      </c>
      <c r="O799" s="116">
        <v>127.7</v>
      </c>
      <c r="P799" s="116">
        <v>130.9</v>
      </c>
      <c r="Q799" s="116">
        <v>129.44999999999999</v>
      </c>
      <c r="R799">
        <v>608262</v>
      </c>
    </row>
    <row r="800" spans="1:18" x14ac:dyDescent="0.25">
      <c r="A800" s="170">
        <v>43179</v>
      </c>
      <c r="B800" s="116">
        <v>126.61154433896699</v>
      </c>
      <c r="C800" s="116">
        <v>124.96346144941</v>
      </c>
      <c r="D800" s="116">
        <v>122.782175272054</v>
      </c>
      <c r="E800" s="116">
        <v>123.80010882148601</v>
      </c>
      <c r="F800" s="116">
        <v>128.9</v>
      </c>
      <c r="G800">
        <v>320759</v>
      </c>
      <c r="H800" s="116"/>
      <c r="I800" s="116"/>
      <c r="L800" s="170">
        <v>43179</v>
      </c>
      <c r="M800" s="116">
        <v>129</v>
      </c>
      <c r="N800" s="116">
        <v>130.6</v>
      </c>
      <c r="O800" s="116">
        <v>126.7</v>
      </c>
      <c r="P800" s="116">
        <v>127.5</v>
      </c>
      <c r="Q800" s="116">
        <v>129</v>
      </c>
      <c r="R800">
        <v>1796176</v>
      </c>
    </row>
    <row r="801" spans="1:18" x14ac:dyDescent="0.25">
      <c r="A801" s="170">
        <v>43180</v>
      </c>
      <c r="B801" s="116">
        <v>127.48405880991</v>
      </c>
      <c r="C801" s="116">
        <v>124.575677240102</v>
      </c>
      <c r="D801" s="116">
        <v>124.187893030794</v>
      </c>
      <c r="E801" s="116">
        <v>126.36917920815</v>
      </c>
      <c r="F801" s="116">
        <v>128.5</v>
      </c>
      <c r="G801">
        <v>532908</v>
      </c>
      <c r="H801" s="116"/>
      <c r="I801" s="116"/>
      <c r="L801" s="170">
        <v>43180</v>
      </c>
      <c r="M801" s="116">
        <v>128.65</v>
      </c>
      <c r="N801" s="116">
        <v>131.75</v>
      </c>
      <c r="O801" s="116">
        <v>128.25</v>
      </c>
      <c r="P801" s="116">
        <v>129.94999999999999</v>
      </c>
      <c r="Q801" s="116">
        <v>128.65</v>
      </c>
      <c r="R801">
        <v>1203796</v>
      </c>
    </row>
    <row r="802" spans="1:18" x14ac:dyDescent="0.25">
      <c r="A802" s="170">
        <v>43181</v>
      </c>
      <c r="B802" s="116">
        <v>126.999328548275</v>
      </c>
      <c r="C802" s="116">
        <v>124.96346144941</v>
      </c>
      <c r="D802" s="116">
        <v>123.460797638342</v>
      </c>
      <c r="E802" s="116">
        <v>125.448191711044</v>
      </c>
      <c r="F802" s="116">
        <v>128.9</v>
      </c>
      <c r="G802">
        <v>139116</v>
      </c>
      <c r="H802" s="116"/>
      <c r="I802" s="116"/>
      <c r="L802" s="170">
        <v>43181</v>
      </c>
      <c r="M802" s="116">
        <v>129.25</v>
      </c>
      <c r="N802" s="116">
        <v>131.4</v>
      </c>
      <c r="O802" s="116">
        <v>127.2</v>
      </c>
      <c r="P802" s="116">
        <v>128.69999999999999</v>
      </c>
      <c r="Q802" s="116">
        <v>129.25</v>
      </c>
      <c r="R802">
        <v>1114995</v>
      </c>
    </row>
    <row r="803" spans="1:18" x14ac:dyDescent="0.25">
      <c r="A803" s="170">
        <v>43182</v>
      </c>
      <c r="B803" s="116">
        <v>126.660017365131</v>
      </c>
      <c r="C803" s="116">
        <v>123.509270664506</v>
      </c>
      <c r="D803" s="116">
        <v>121.279511460986</v>
      </c>
      <c r="E803" s="116">
        <v>123.121486455198</v>
      </c>
      <c r="F803" s="116">
        <v>127.4</v>
      </c>
      <c r="G803">
        <v>586237</v>
      </c>
      <c r="H803" s="116"/>
      <c r="I803" s="116"/>
      <c r="L803" s="170">
        <v>43182</v>
      </c>
      <c r="M803" s="116">
        <v>127.5</v>
      </c>
      <c r="N803" s="116">
        <v>130.9</v>
      </c>
      <c r="O803" s="116">
        <v>125.5</v>
      </c>
      <c r="P803" s="116">
        <v>126.2</v>
      </c>
      <c r="Q803" s="116">
        <v>127.5</v>
      </c>
      <c r="R803">
        <v>1235271</v>
      </c>
    </row>
    <row r="804" spans="1:18" x14ac:dyDescent="0.25">
      <c r="A804" s="170">
        <v>43185</v>
      </c>
      <c r="B804" s="116">
        <v>124.04247395230399</v>
      </c>
      <c r="C804" s="116">
        <v>121.085619356333</v>
      </c>
      <c r="D804" s="116">
        <v>120.455470016207</v>
      </c>
      <c r="E804" s="116">
        <v>122.152025931929</v>
      </c>
      <c r="F804" s="116">
        <v>124.9</v>
      </c>
      <c r="G804">
        <v>47186</v>
      </c>
      <c r="H804" s="116"/>
      <c r="I804" s="116"/>
      <c r="L804" s="170">
        <v>43185</v>
      </c>
      <c r="M804" s="116">
        <v>125.55</v>
      </c>
      <c r="N804" s="116">
        <v>127.95</v>
      </c>
      <c r="O804" s="116">
        <v>125.05</v>
      </c>
      <c r="P804" s="116">
        <v>127.9</v>
      </c>
      <c r="Q804" s="116">
        <v>125.55</v>
      </c>
      <c r="R804">
        <v>905870</v>
      </c>
    </row>
    <row r="805" spans="1:18" x14ac:dyDescent="0.25">
      <c r="A805" s="170">
        <v>43186</v>
      </c>
      <c r="B805" s="116">
        <v>126.660017365131</v>
      </c>
      <c r="C805" s="116">
        <v>125.690556841862</v>
      </c>
      <c r="D805" s="116">
        <v>122.830648298217</v>
      </c>
      <c r="E805" s="116">
        <v>123.80010882148601</v>
      </c>
      <c r="F805" s="116">
        <v>129.65</v>
      </c>
      <c r="G805">
        <v>88367</v>
      </c>
      <c r="H805" s="116"/>
      <c r="I805" s="116"/>
      <c r="L805" s="170">
        <v>43186</v>
      </c>
      <c r="M805" s="116">
        <v>129.30000000000001</v>
      </c>
      <c r="N805" s="116">
        <v>129.9</v>
      </c>
      <c r="O805" s="116">
        <v>126.5</v>
      </c>
      <c r="P805" s="116">
        <v>126.7</v>
      </c>
      <c r="Q805" s="116">
        <v>129.30000000000001</v>
      </c>
      <c r="R805">
        <v>831815</v>
      </c>
    </row>
    <row r="806" spans="1:18" x14ac:dyDescent="0.25">
      <c r="A806" s="170">
        <v>43187</v>
      </c>
      <c r="B806" s="116">
        <v>130.78022458902501</v>
      </c>
      <c r="C806" s="116">
        <v>123.460797638342</v>
      </c>
      <c r="D806" s="116">
        <v>121.715768696458</v>
      </c>
      <c r="E806" s="116">
        <v>124.43025816161099</v>
      </c>
      <c r="F806" s="116">
        <v>127.35</v>
      </c>
      <c r="G806">
        <v>301712</v>
      </c>
      <c r="H806" s="116"/>
      <c r="I806" s="116"/>
      <c r="L806" s="170">
        <v>43187</v>
      </c>
      <c r="M806" s="116">
        <v>129.4</v>
      </c>
      <c r="N806" s="116">
        <v>135.4</v>
      </c>
      <c r="O806" s="116">
        <v>125.9</v>
      </c>
      <c r="P806" s="116">
        <v>128.19999999999999</v>
      </c>
      <c r="Q806" s="116">
        <v>129.4</v>
      </c>
      <c r="R806">
        <v>1152071</v>
      </c>
    </row>
    <row r="807" spans="1:18" x14ac:dyDescent="0.25">
      <c r="A807" s="170">
        <v>43192</v>
      </c>
      <c r="B807" s="116">
        <v>133.009983792545</v>
      </c>
      <c r="C807" s="116">
        <v>131.84663116462099</v>
      </c>
      <c r="D807" s="116">
        <v>126.85390946978499</v>
      </c>
      <c r="E807" s="116">
        <v>126.85390946978499</v>
      </c>
      <c r="F807" s="116">
        <v>136</v>
      </c>
      <c r="G807">
        <v>77799</v>
      </c>
      <c r="H807" s="116"/>
      <c r="I807" s="116"/>
      <c r="L807" s="170">
        <v>43192</v>
      </c>
      <c r="M807" s="116">
        <v>136.44999999999999</v>
      </c>
      <c r="N807" s="116">
        <v>137.80000000000001</v>
      </c>
      <c r="O807" s="116">
        <v>130.69999999999999</v>
      </c>
      <c r="P807" s="116">
        <v>131.19999999999999</v>
      </c>
      <c r="Q807" s="116">
        <v>136.44999999999999</v>
      </c>
      <c r="R807">
        <v>873862</v>
      </c>
    </row>
    <row r="808" spans="1:18" x14ac:dyDescent="0.25">
      <c r="A808" s="170">
        <v>43193</v>
      </c>
      <c r="B808" s="116">
        <v>135.724473257699</v>
      </c>
      <c r="C808" s="116">
        <v>133.97944431581399</v>
      </c>
      <c r="D808" s="116">
        <v>127.53253183607301</v>
      </c>
      <c r="E808" s="116">
        <v>131.555793007641</v>
      </c>
      <c r="F808" s="116">
        <v>138.19999999999999</v>
      </c>
      <c r="G808">
        <v>336795</v>
      </c>
      <c r="H808" s="116"/>
      <c r="I808" s="116"/>
      <c r="L808" s="170">
        <v>43193</v>
      </c>
      <c r="M808" s="116">
        <v>138.55000000000001</v>
      </c>
      <c r="N808" s="116">
        <v>140.5</v>
      </c>
      <c r="O808" s="116">
        <v>133.25</v>
      </c>
      <c r="P808" s="116">
        <v>135.44999999999999</v>
      </c>
      <c r="Q808" s="116">
        <v>138.55000000000001</v>
      </c>
      <c r="R808">
        <v>2764017</v>
      </c>
    </row>
    <row r="809" spans="1:18" x14ac:dyDescent="0.25">
      <c r="A809" s="170">
        <v>43194</v>
      </c>
      <c r="B809" s="116">
        <v>137.27561009492899</v>
      </c>
      <c r="C809" s="116">
        <v>131.943577216948</v>
      </c>
      <c r="D809" s="116">
        <v>131.26495485065999</v>
      </c>
      <c r="E809" s="116">
        <v>135.676000231535</v>
      </c>
      <c r="F809" s="116">
        <v>136.1</v>
      </c>
      <c r="G809">
        <v>78074</v>
      </c>
      <c r="H809" s="116"/>
      <c r="I809" s="116"/>
      <c r="L809" s="170">
        <v>43194</v>
      </c>
      <c r="M809" s="116">
        <v>136.15</v>
      </c>
      <c r="N809" s="116">
        <v>141.69999999999999</v>
      </c>
      <c r="O809" s="116">
        <v>135.55000000000001</v>
      </c>
      <c r="P809" s="116">
        <v>139.5</v>
      </c>
      <c r="Q809" s="116">
        <v>136.15</v>
      </c>
      <c r="R809">
        <v>1598217</v>
      </c>
    </row>
    <row r="810" spans="1:18" x14ac:dyDescent="0.25">
      <c r="A810" s="170">
        <v>43195</v>
      </c>
      <c r="B810" s="116">
        <v>136.88782588562199</v>
      </c>
      <c r="C810" s="116">
        <v>132.331361426256</v>
      </c>
      <c r="D810" s="116">
        <v>132.04052326927501</v>
      </c>
      <c r="E810" s="116">
        <v>135.094323917574</v>
      </c>
      <c r="F810" s="116">
        <v>136.5</v>
      </c>
      <c r="G810">
        <v>79585</v>
      </c>
      <c r="H810" s="116"/>
      <c r="I810" s="116"/>
      <c r="L810" s="170">
        <v>43195</v>
      </c>
      <c r="M810" s="116">
        <v>136.44999999999999</v>
      </c>
      <c r="N810" s="116">
        <v>141.5</v>
      </c>
      <c r="O810" s="116">
        <v>136.1</v>
      </c>
      <c r="P810" s="116">
        <v>138.5</v>
      </c>
      <c r="Q810" s="116">
        <v>136.44999999999999</v>
      </c>
      <c r="R810">
        <v>912618</v>
      </c>
    </row>
    <row r="811" spans="1:18" x14ac:dyDescent="0.25">
      <c r="A811" s="170">
        <v>43196</v>
      </c>
      <c r="B811" s="116">
        <v>133.54318708034299</v>
      </c>
      <c r="C811" s="116">
        <v>131.119535772169</v>
      </c>
      <c r="D811" s="116">
        <v>130.39244037971801</v>
      </c>
      <c r="E811" s="116">
        <v>133.30082194952499</v>
      </c>
      <c r="F811" s="116">
        <v>135.25</v>
      </c>
      <c r="G811">
        <v>242313</v>
      </c>
      <c r="H811" s="116"/>
      <c r="I811" s="116"/>
      <c r="L811" s="170">
        <v>43196</v>
      </c>
      <c r="M811" s="116">
        <v>135.55000000000001</v>
      </c>
      <c r="N811" s="116">
        <v>137.44999999999999</v>
      </c>
      <c r="O811" s="116">
        <v>134.15</v>
      </c>
      <c r="P811" s="116">
        <v>137.30000000000001</v>
      </c>
      <c r="Q811" s="116">
        <v>135.55000000000001</v>
      </c>
      <c r="R811">
        <v>1187787</v>
      </c>
    </row>
    <row r="812" spans="1:18" x14ac:dyDescent="0.25">
      <c r="A812" s="170">
        <v>43199</v>
      </c>
      <c r="B812" s="116">
        <v>135.724473257699</v>
      </c>
      <c r="C812" s="116">
        <v>132.961510766381</v>
      </c>
      <c r="D812" s="116">
        <v>131.992050243112</v>
      </c>
      <c r="E812" s="116">
        <v>132.62219958323701</v>
      </c>
      <c r="F812" s="116">
        <v>137.15</v>
      </c>
      <c r="G812">
        <v>136660</v>
      </c>
      <c r="H812" s="116"/>
      <c r="I812" s="116"/>
      <c r="L812" s="170">
        <v>43199</v>
      </c>
      <c r="M812" s="116">
        <v>137.5</v>
      </c>
      <c r="N812" s="116">
        <v>140.19999999999999</v>
      </c>
      <c r="O812" s="116">
        <v>136</v>
      </c>
      <c r="P812" s="116">
        <v>136.30000000000001</v>
      </c>
      <c r="Q812" s="116">
        <v>137.5</v>
      </c>
      <c r="R812">
        <v>893294</v>
      </c>
    </row>
    <row r="813" spans="1:18" x14ac:dyDescent="0.25">
      <c r="A813" s="170">
        <v>43200</v>
      </c>
      <c r="B813" s="116">
        <v>134.415701551285</v>
      </c>
      <c r="C813" s="116">
        <v>130.78022458902501</v>
      </c>
      <c r="D813" s="116">
        <v>130.44091340588099</v>
      </c>
      <c r="E813" s="116">
        <v>134.027917341977</v>
      </c>
      <c r="F813" s="116">
        <v>134.9</v>
      </c>
      <c r="G813">
        <v>91379</v>
      </c>
      <c r="H813" s="116"/>
      <c r="I813" s="116"/>
      <c r="L813" s="170">
        <v>43200</v>
      </c>
      <c r="M813" s="116">
        <v>135.05000000000001</v>
      </c>
      <c r="N813" s="116">
        <v>138.9</v>
      </c>
      <c r="O813" s="116">
        <v>134.4</v>
      </c>
      <c r="P813" s="116">
        <v>138.85</v>
      </c>
      <c r="Q813" s="116">
        <v>135.05000000000001</v>
      </c>
      <c r="R813">
        <v>1559293</v>
      </c>
    </row>
    <row r="814" spans="1:18" x14ac:dyDescent="0.25">
      <c r="A814" s="170">
        <v>43201</v>
      </c>
      <c r="B814" s="116">
        <v>132.28288840009299</v>
      </c>
      <c r="C814" s="116">
        <v>130.78022458902501</v>
      </c>
      <c r="D814" s="116">
        <v>129.907710118083</v>
      </c>
      <c r="E814" s="116">
        <v>131.07106274600599</v>
      </c>
      <c r="F814" s="116">
        <v>134.9</v>
      </c>
      <c r="G814">
        <v>66051</v>
      </c>
      <c r="H814" s="116"/>
      <c r="I814" s="116"/>
      <c r="L814" s="170">
        <v>43201</v>
      </c>
      <c r="M814" s="116">
        <v>134.5</v>
      </c>
      <c r="N814" s="116">
        <v>136.05000000000001</v>
      </c>
      <c r="O814" s="116">
        <v>133.75</v>
      </c>
      <c r="P814" s="116">
        <v>135.94999999999999</v>
      </c>
      <c r="Q814" s="116">
        <v>134.5</v>
      </c>
      <c r="R814">
        <v>3184655</v>
      </c>
    </row>
    <row r="815" spans="1:18" x14ac:dyDescent="0.25">
      <c r="A815" s="170">
        <v>43202</v>
      </c>
      <c r="B815" s="116">
        <v>132.47678050474599</v>
      </c>
      <c r="C815" s="116">
        <v>128.93824959481401</v>
      </c>
      <c r="D815" s="116">
        <v>128.16268117619799</v>
      </c>
      <c r="E815" s="116">
        <v>131.749685112295</v>
      </c>
      <c r="F815" s="116">
        <v>133</v>
      </c>
      <c r="G815">
        <v>89916</v>
      </c>
      <c r="H815" s="116"/>
      <c r="I815" s="116"/>
      <c r="L815" s="170">
        <v>43202</v>
      </c>
      <c r="M815" s="116">
        <v>133.1</v>
      </c>
      <c r="N815" s="116">
        <v>136.80000000000001</v>
      </c>
      <c r="O815" s="116">
        <v>132.55000000000001</v>
      </c>
      <c r="P815" s="116">
        <v>135</v>
      </c>
      <c r="Q815" s="116">
        <v>133.1</v>
      </c>
      <c r="R815">
        <v>1009965</v>
      </c>
    </row>
    <row r="816" spans="1:18" x14ac:dyDescent="0.25">
      <c r="A816" s="170">
        <v>43203</v>
      </c>
      <c r="B816" s="116">
        <v>135.43363510071799</v>
      </c>
      <c r="C816" s="116">
        <v>133.64013313267</v>
      </c>
      <c r="D816" s="116">
        <v>130.58633248437101</v>
      </c>
      <c r="E816" s="116">
        <v>130.58633248437101</v>
      </c>
      <c r="F816" s="116">
        <v>137.85</v>
      </c>
      <c r="G816">
        <v>242586</v>
      </c>
      <c r="H816" s="116"/>
      <c r="I816" s="116"/>
      <c r="L816" s="170">
        <v>43203</v>
      </c>
      <c r="M816" s="116">
        <v>138.25</v>
      </c>
      <c r="N816" s="116">
        <v>139.80000000000001</v>
      </c>
      <c r="O816" s="116">
        <v>134.19999999999999</v>
      </c>
      <c r="P816" s="116">
        <v>134.19999999999999</v>
      </c>
      <c r="Q816" s="116">
        <v>138.25</v>
      </c>
      <c r="R816">
        <v>2309093</v>
      </c>
    </row>
    <row r="817" spans="1:18" x14ac:dyDescent="0.25">
      <c r="A817" s="170">
        <v>43206</v>
      </c>
      <c r="B817" s="116">
        <v>138.34201667052599</v>
      </c>
      <c r="C817" s="116">
        <v>135.57905417920799</v>
      </c>
      <c r="D817" s="116">
        <v>133.15540287103499</v>
      </c>
      <c r="E817" s="116">
        <v>135.96683838851601</v>
      </c>
      <c r="F817" s="116">
        <v>139.85</v>
      </c>
      <c r="G817">
        <v>113227</v>
      </c>
      <c r="H817" s="116"/>
      <c r="I817" s="116"/>
      <c r="L817" s="170">
        <v>43206</v>
      </c>
      <c r="M817" s="116">
        <v>140.05000000000001</v>
      </c>
      <c r="N817" s="116">
        <v>142.75</v>
      </c>
      <c r="O817" s="116">
        <v>138.30000000000001</v>
      </c>
      <c r="P817" s="116">
        <v>138.30000000000001</v>
      </c>
      <c r="Q817" s="116">
        <v>140.05000000000001</v>
      </c>
      <c r="R817">
        <v>1349458</v>
      </c>
    </row>
    <row r="818" spans="1:18" x14ac:dyDescent="0.25">
      <c r="A818" s="170">
        <v>43207</v>
      </c>
      <c r="B818" s="116">
        <v>146.291592961334</v>
      </c>
      <c r="C818" s="116">
        <v>142.704589025237</v>
      </c>
      <c r="D818" s="116">
        <v>135.77294628386201</v>
      </c>
      <c r="E818" s="116">
        <v>136.693933780968</v>
      </c>
      <c r="F818" s="116">
        <v>147.19999999999999</v>
      </c>
      <c r="G818">
        <v>1049491</v>
      </c>
      <c r="H818" s="116"/>
      <c r="I818" s="116"/>
      <c r="L818" s="170">
        <v>43207</v>
      </c>
      <c r="M818" s="116">
        <v>147.19999999999999</v>
      </c>
      <c r="N818" s="116">
        <v>151</v>
      </c>
      <c r="O818" s="116">
        <v>139.1</v>
      </c>
      <c r="P818" s="116">
        <v>141.1</v>
      </c>
      <c r="Q818" s="116">
        <v>147.19999999999999</v>
      </c>
      <c r="R818">
        <v>6773852</v>
      </c>
    </row>
    <row r="819" spans="1:18" x14ac:dyDescent="0.25">
      <c r="A819" s="170">
        <v>43208</v>
      </c>
      <c r="B819" s="116">
        <v>150.557219263718</v>
      </c>
      <c r="C819" s="116">
        <v>147.64883769391099</v>
      </c>
      <c r="D819" s="116">
        <v>143.18931928687201</v>
      </c>
      <c r="E819" s="116">
        <v>143.18931928687201</v>
      </c>
      <c r="F819" s="116">
        <v>152.30000000000001</v>
      </c>
      <c r="G819">
        <v>1609080</v>
      </c>
      <c r="H819" s="116"/>
      <c r="I819" s="116"/>
      <c r="L819" s="170">
        <v>43208</v>
      </c>
      <c r="M819" s="116">
        <v>152.55000000000001</v>
      </c>
      <c r="N819" s="116">
        <v>155.30000000000001</v>
      </c>
      <c r="O819" s="116">
        <v>148</v>
      </c>
      <c r="P819" s="116">
        <v>148.30000000000001</v>
      </c>
      <c r="Q819" s="116">
        <v>152.55000000000001</v>
      </c>
      <c r="R819">
        <v>10168995</v>
      </c>
    </row>
    <row r="820" spans="1:18" x14ac:dyDescent="0.25">
      <c r="A820" s="170">
        <v>43209</v>
      </c>
      <c r="B820" s="116">
        <v>149.39386663579501</v>
      </c>
      <c r="C820" s="116">
        <v>144.49809099328601</v>
      </c>
      <c r="D820" s="116">
        <v>143.48015744385299</v>
      </c>
      <c r="E820" s="116">
        <v>148.03662190321799</v>
      </c>
      <c r="F820" s="116">
        <v>149.05000000000001</v>
      </c>
      <c r="G820">
        <v>205769</v>
      </c>
      <c r="H820" s="116"/>
      <c r="I820" s="116"/>
      <c r="L820" s="170">
        <v>43209</v>
      </c>
      <c r="M820" s="116">
        <v>149.30000000000001</v>
      </c>
      <c r="N820" s="116">
        <v>154.15</v>
      </c>
      <c r="O820" s="116">
        <v>148.1</v>
      </c>
      <c r="P820" s="116">
        <v>152.55000000000001</v>
      </c>
      <c r="Q820" s="116">
        <v>149.30000000000001</v>
      </c>
      <c r="R820">
        <v>1936820</v>
      </c>
    </row>
    <row r="821" spans="1:18" x14ac:dyDescent="0.25">
      <c r="A821" s="170">
        <v>43210</v>
      </c>
      <c r="B821" s="116">
        <v>146.38853901366099</v>
      </c>
      <c r="C821" s="116">
        <v>142.41375086825701</v>
      </c>
      <c r="D821" s="116">
        <v>141.54123639731401</v>
      </c>
      <c r="E821" s="116">
        <v>144.88587520259301</v>
      </c>
      <c r="F821" s="116">
        <v>146.9</v>
      </c>
      <c r="G821">
        <v>62891</v>
      </c>
      <c r="H821" s="116"/>
      <c r="I821" s="116"/>
      <c r="L821" s="170">
        <v>43210</v>
      </c>
      <c r="M821" s="116">
        <v>146.9</v>
      </c>
      <c r="N821" s="116">
        <v>150.9</v>
      </c>
      <c r="O821" s="116">
        <v>145.80000000000001</v>
      </c>
      <c r="P821" s="116">
        <v>149.9</v>
      </c>
      <c r="Q821" s="116">
        <v>146.9</v>
      </c>
      <c r="R821">
        <v>1239435</v>
      </c>
    </row>
    <row r="822" spans="1:18" x14ac:dyDescent="0.25">
      <c r="A822" s="170">
        <v>43213</v>
      </c>
      <c r="B822" s="116">
        <v>146.77632322296799</v>
      </c>
      <c r="C822" s="116">
        <v>144.93434822875699</v>
      </c>
      <c r="D822" s="116">
        <v>141.83207455429499</v>
      </c>
      <c r="E822" s="116">
        <v>143.04390020838201</v>
      </c>
      <c r="F822" s="116">
        <v>149.5</v>
      </c>
      <c r="G822">
        <v>84501</v>
      </c>
      <c r="H822" s="116"/>
      <c r="I822" s="116"/>
      <c r="L822" s="170">
        <v>43213</v>
      </c>
      <c r="M822" s="116">
        <v>149.6</v>
      </c>
      <c r="N822" s="116">
        <v>151.5</v>
      </c>
      <c r="O822" s="116">
        <v>146.1</v>
      </c>
      <c r="P822" s="116">
        <v>147.69999999999999</v>
      </c>
      <c r="Q822" s="116">
        <v>149.6</v>
      </c>
      <c r="R822">
        <v>1530202</v>
      </c>
    </row>
    <row r="823" spans="1:18" x14ac:dyDescent="0.25">
      <c r="A823" s="170">
        <v>43214</v>
      </c>
      <c r="B823" s="116">
        <v>151.13889557767999</v>
      </c>
      <c r="C823" s="116">
        <v>145.07976730724701</v>
      </c>
      <c r="D823" s="116">
        <v>144.01336073165101</v>
      </c>
      <c r="E823" s="116">
        <v>145.37060546422799</v>
      </c>
      <c r="F823" s="116">
        <v>149.65</v>
      </c>
      <c r="G823">
        <v>158432</v>
      </c>
      <c r="H823" s="116"/>
      <c r="I823" s="116"/>
      <c r="L823" s="170">
        <v>43214</v>
      </c>
      <c r="M823" s="116">
        <v>149.75</v>
      </c>
      <c r="N823" s="116">
        <v>156</v>
      </c>
      <c r="O823" s="116">
        <v>148.35</v>
      </c>
      <c r="P823" s="116">
        <v>150</v>
      </c>
      <c r="Q823" s="116">
        <v>149.75</v>
      </c>
      <c r="R823">
        <v>2179623</v>
      </c>
    </row>
    <row r="824" spans="1:18" x14ac:dyDescent="0.25">
      <c r="A824" s="170">
        <v>43215</v>
      </c>
      <c r="B824" s="116">
        <v>145.07976730724701</v>
      </c>
      <c r="C824" s="116">
        <v>141.15345218800601</v>
      </c>
      <c r="D824" s="116">
        <v>139.11758508914099</v>
      </c>
      <c r="E824" s="116">
        <v>145.07976730724701</v>
      </c>
      <c r="F824" s="116">
        <v>145.6</v>
      </c>
      <c r="G824">
        <v>172300</v>
      </c>
      <c r="H824" s="116"/>
      <c r="I824" s="116"/>
      <c r="L824" s="170">
        <v>43215</v>
      </c>
      <c r="M824" s="116">
        <v>146.1</v>
      </c>
      <c r="N824" s="116">
        <v>149.30000000000001</v>
      </c>
      <c r="O824" s="116">
        <v>143.4</v>
      </c>
      <c r="P824" s="116">
        <v>149.30000000000001</v>
      </c>
      <c r="Q824" s="116">
        <v>146.1</v>
      </c>
      <c r="R824">
        <v>1331751</v>
      </c>
    </row>
    <row r="825" spans="1:18" x14ac:dyDescent="0.25">
      <c r="A825" s="170">
        <v>43216</v>
      </c>
      <c r="B825" s="116">
        <v>147.115634406113</v>
      </c>
      <c r="C825" s="116">
        <v>141.34734429266001</v>
      </c>
      <c r="D825" s="116">
        <v>140.668721926372</v>
      </c>
      <c r="E825" s="116">
        <v>141.34734429266001</v>
      </c>
      <c r="F825" s="116">
        <v>145.80000000000001</v>
      </c>
      <c r="G825">
        <v>135629</v>
      </c>
      <c r="H825" s="116"/>
      <c r="I825" s="116"/>
      <c r="L825" s="170">
        <v>43216</v>
      </c>
      <c r="M825" s="116">
        <v>146.80000000000001</v>
      </c>
      <c r="N825" s="116">
        <v>152</v>
      </c>
      <c r="O825" s="116">
        <v>145</v>
      </c>
      <c r="P825" s="116">
        <v>145.94999999999999</v>
      </c>
      <c r="Q825" s="116">
        <v>146.80000000000001</v>
      </c>
      <c r="R825">
        <v>1961391</v>
      </c>
    </row>
    <row r="826" spans="1:18" x14ac:dyDescent="0.25">
      <c r="A826" s="170">
        <v>43217</v>
      </c>
      <c r="B826" s="116">
        <v>143.04390020838201</v>
      </c>
      <c r="C826" s="116">
        <v>138.390489696689</v>
      </c>
      <c r="D826" s="116">
        <v>137.85728640889101</v>
      </c>
      <c r="E826" s="116">
        <v>140.862614031026</v>
      </c>
      <c r="F826" s="116">
        <v>142.75</v>
      </c>
      <c r="G826">
        <v>59095</v>
      </c>
      <c r="H826" s="116"/>
      <c r="I826" s="116"/>
      <c r="L826" s="170">
        <v>43217</v>
      </c>
      <c r="M826" s="116">
        <v>142.9</v>
      </c>
      <c r="N826" s="116">
        <v>147.5</v>
      </c>
      <c r="O826" s="116">
        <v>142.5</v>
      </c>
      <c r="P826" s="116">
        <v>147.15</v>
      </c>
      <c r="Q826" s="116">
        <v>142.9</v>
      </c>
      <c r="R826">
        <v>552598</v>
      </c>
    </row>
    <row r="827" spans="1:18" x14ac:dyDescent="0.25">
      <c r="A827" s="170">
        <v>43220</v>
      </c>
      <c r="B827" s="116">
        <v>144.25572586246801</v>
      </c>
      <c r="C827" s="116">
        <v>143.334738365362</v>
      </c>
      <c r="D827" s="116">
        <v>138.29354364436199</v>
      </c>
      <c r="E827" s="116">
        <v>139.69926140310301</v>
      </c>
      <c r="F827" s="116">
        <v>147.85</v>
      </c>
      <c r="G827">
        <v>87022</v>
      </c>
      <c r="H827" s="116"/>
      <c r="I827" s="116"/>
      <c r="L827" s="170">
        <v>43220</v>
      </c>
      <c r="M827" s="116">
        <v>147.94999999999999</v>
      </c>
      <c r="N827" s="116">
        <v>148.80000000000001</v>
      </c>
      <c r="O827" s="116">
        <v>142.05000000000001</v>
      </c>
      <c r="P827" s="116">
        <v>143.9</v>
      </c>
      <c r="Q827" s="116">
        <v>147.94999999999999</v>
      </c>
      <c r="R827">
        <v>683362</v>
      </c>
    </row>
    <row r="828" spans="1:18" x14ac:dyDescent="0.25">
      <c r="A828" s="170">
        <v>43222</v>
      </c>
      <c r="B828" s="116">
        <v>145.419078490391</v>
      </c>
      <c r="C828" s="116">
        <v>142.704589025237</v>
      </c>
      <c r="D828" s="116">
        <v>141.05650613568</v>
      </c>
      <c r="E828" s="116">
        <v>143.383211391526</v>
      </c>
      <c r="F828" s="116">
        <v>147.19999999999999</v>
      </c>
      <c r="G828">
        <v>84199</v>
      </c>
      <c r="H828" s="116"/>
      <c r="I828" s="116"/>
      <c r="L828" s="170">
        <v>43222</v>
      </c>
      <c r="M828" s="116">
        <v>147.55000000000001</v>
      </c>
      <c r="N828" s="116">
        <v>150.30000000000001</v>
      </c>
      <c r="O828" s="116">
        <v>145.1</v>
      </c>
      <c r="P828" s="116">
        <v>149.44999999999999</v>
      </c>
      <c r="Q828" s="116">
        <v>147.55000000000001</v>
      </c>
      <c r="R828">
        <v>886786</v>
      </c>
    </row>
    <row r="829" spans="1:18" x14ac:dyDescent="0.25">
      <c r="A829" s="170">
        <v>43223</v>
      </c>
      <c r="B829" s="116">
        <v>142.753062051401</v>
      </c>
      <c r="C829" s="116">
        <v>139.89315350775601</v>
      </c>
      <c r="D829" s="116">
        <v>139.31147719379501</v>
      </c>
      <c r="E829" s="116">
        <v>142.753062051401</v>
      </c>
      <c r="F829" s="116">
        <v>144.30000000000001</v>
      </c>
      <c r="G829">
        <v>38414</v>
      </c>
      <c r="H829" s="116"/>
      <c r="I829" s="116"/>
      <c r="L829" s="170">
        <v>43223</v>
      </c>
      <c r="M829" s="116">
        <v>144.4</v>
      </c>
      <c r="N829" s="116">
        <v>147.85</v>
      </c>
      <c r="O829" s="116">
        <v>144</v>
      </c>
      <c r="P829" s="116">
        <v>146.5</v>
      </c>
      <c r="Q829" s="116">
        <v>144.4</v>
      </c>
      <c r="R829">
        <v>414398</v>
      </c>
    </row>
    <row r="830" spans="1:18" x14ac:dyDescent="0.25">
      <c r="A830" s="170">
        <v>43224</v>
      </c>
      <c r="B830" s="116">
        <v>142.074439685112</v>
      </c>
      <c r="C830" s="116">
        <v>137.130191016439</v>
      </c>
      <c r="D830" s="116">
        <v>136.25767654549699</v>
      </c>
      <c r="E830" s="116">
        <v>140.28093771706401</v>
      </c>
      <c r="F830" s="116">
        <v>141.44999999999999</v>
      </c>
      <c r="G830">
        <v>50344</v>
      </c>
      <c r="H830" s="116"/>
      <c r="I830" s="116"/>
      <c r="L830" s="170">
        <v>43224</v>
      </c>
      <c r="M830" s="116">
        <v>141.30000000000001</v>
      </c>
      <c r="N830" s="116">
        <v>146.80000000000001</v>
      </c>
      <c r="O830" s="116">
        <v>140.5</v>
      </c>
      <c r="P830" s="116">
        <v>144.5</v>
      </c>
      <c r="Q830" s="116">
        <v>141.30000000000001</v>
      </c>
      <c r="R830">
        <v>676939</v>
      </c>
    </row>
    <row r="831" spans="1:18" x14ac:dyDescent="0.25">
      <c r="A831" s="170">
        <v>43227</v>
      </c>
      <c r="B831" s="116">
        <v>143.964887705487</v>
      </c>
      <c r="C831" s="116">
        <v>141.05650613568</v>
      </c>
      <c r="D831" s="116">
        <v>137.08171799027599</v>
      </c>
      <c r="E831" s="116">
        <v>137.66339430423699</v>
      </c>
      <c r="F831" s="116">
        <v>145.5</v>
      </c>
      <c r="G831">
        <v>109451</v>
      </c>
      <c r="H831" s="116"/>
      <c r="I831" s="116"/>
      <c r="L831" s="170">
        <v>43227</v>
      </c>
      <c r="M831" s="116">
        <v>145.4</v>
      </c>
      <c r="N831" s="116">
        <v>148.69999999999999</v>
      </c>
      <c r="O831" s="116">
        <v>140.85</v>
      </c>
      <c r="P831" s="116">
        <v>142</v>
      </c>
      <c r="Q831" s="116">
        <v>145.4</v>
      </c>
      <c r="R831">
        <v>1522971</v>
      </c>
    </row>
    <row r="832" spans="1:18" x14ac:dyDescent="0.25">
      <c r="A832" s="170">
        <v>43228</v>
      </c>
      <c r="B832" s="116">
        <v>143.28626533919899</v>
      </c>
      <c r="C832" s="116">
        <v>139.45689627228501</v>
      </c>
      <c r="D832" s="116">
        <v>138.92369298448699</v>
      </c>
      <c r="E832" s="116">
        <v>142.21985876360301</v>
      </c>
      <c r="F832" s="116">
        <v>143.85</v>
      </c>
      <c r="G832">
        <v>53280</v>
      </c>
      <c r="H832" s="116"/>
      <c r="I832" s="116"/>
      <c r="L832" s="170">
        <v>43228</v>
      </c>
      <c r="M832" s="116">
        <v>144.15</v>
      </c>
      <c r="N832" s="116">
        <v>147.85</v>
      </c>
      <c r="O832" s="116">
        <v>143.55000000000001</v>
      </c>
      <c r="P832" s="116">
        <v>146.5</v>
      </c>
      <c r="Q832" s="116">
        <v>144.15</v>
      </c>
      <c r="R832">
        <v>516604</v>
      </c>
    </row>
    <row r="833" spans="1:18" x14ac:dyDescent="0.25">
      <c r="A833" s="170">
        <v>43229</v>
      </c>
      <c r="B833" s="116">
        <v>141.34734429266001</v>
      </c>
      <c r="C833" s="116">
        <v>138.34201667052599</v>
      </c>
      <c r="D833" s="116">
        <v>138.00270548738101</v>
      </c>
      <c r="E833" s="116">
        <v>140.08704561241001</v>
      </c>
      <c r="F833" s="116">
        <v>142.69999999999999</v>
      </c>
      <c r="G833">
        <v>80385</v>
      </c>
      <c r="H833" s="116"/>
      <c r="I833" s="116"/>
      <c r="L833" s="170">
        <v>43229</v>
      </c>
      <c r="M833" s="116">
        <v>142.5</v>
      </c>
      <c r="N833" s="116">
        <v>145.85</v>
      </c>
      <c r="O833" s="116">
        <v>142</v>
      </c>
      <c r="P833" s="116">
        <v>144.15</v>
      </c>
      <c r="Q833" s="116">
        <v>142.5</v>
      </c>
      <c r="R833">
        <v>1457808</v>
      </c>
    </row>
    <row r="834" spans="1:18" x14ac:dyDescent="0.25">
      <c r="A834" s="170">
        <v>43230</v>
      </c>
      <c r="B834" s="116">
        <v>139.26300416763101</v>
      </c>
      <c r="C834" s="116">
        <v>134.94890483908301</v>
      </c>
      <c r="D834" s="116">
        <v>134.415701551285</v>
      </c>
      <c r="E834" s="116">
        <v>137.66339430423699</v>
      </c>
      <c r="F834" s="116">
        <v>139.19999999999999</v>
      </c>
      <c r="G834">
        <v>51183</v>
      </c>
      <c r="H834" s="116"/>
      <c r="I834" s="116"/>
      <c r="L834" s="170">
        <v>43230</v>
      </c>
      <c r="M834" s="116">
        <v>139.65</v>
      </c>
      <c r="N834" s="116">
        <v>143.75</v>
      </c>
      <c r="O834" s="116">
        <v>138.75</v>
      </c>
      <c r="P834" s="116">
        <v>142.55000000000001</v>
      </c>
      <c r="Q834" s="116">
        <v>139.65</v>
      </c>
      <c r="R834">
        <v>1182439</v>
      </c>
    </row>
    <row r="835" spans="1:18" x14ac:dyDescent="0.25">
      <c r="A835" s="170">
        <v>43231</v>
      </c>
      <c r="B835" s="116">
        <v>137.17866404260201</v>
      </c>
      <c r="C835" s="116">
        <v>135.14279694373701</v>
      </c>
      <c r="D835" s="116">
        <v>133.25234892336201</v>
      </c>
      <c r="E835" s="116">
        <v>135.43363510071799</v>
      </c>
      <c r="F835" s="116">
        <v>139.4</v>
      </c>
      <c r="G835">
        <v>66613</v>
      </c>
      <c r="H835" s="116"/>
      <c r="I835" s="116"/>
      <c r="L835" s="170">
        <v>43231</v>
      </c>
      <c r="M835" s="116">
        <v>139.5</v>
      </c>
      <c r="N835" s="116">
        <v>141.55000000000001</v>
      </c>
      <c r="O835" s="116">
        <v>137.4</v>
      </c>
      <c r="P835" s="116">
        <v>140.55000000000001</v>
      </c>
      <c r="Q835" s="116">
        <v>139.5</v>
      </c>
      <c r="R835">
        <v>849791</v>
      </c>
    </row>
    <row r="836" spans="1:18" x14ac:dyDescent="0.25">
      <c r="A836" s="170">
        <v>43234</v>
      </c>
      <c r="B836" s="116">
        <v>137.27561009492899</v>
      </c>
      <c r="C836" s="116">
        <v>132.137469321602</v>
      </c>
      <c r="D836" s="116">
        <v>131.361900902987</v>
      </c>
      <c r="E836" s="116">
        <v>135.239742996064</v>
      </c>
      <c r="F836" s="116">
        <v>136.30000000000001</v>
      </c>
      <c r="G836">
        <v>29990</v>
      </c>
      <c r="H836" s="116"/>
      <c r="I836" s="116"/>
      <c r="L836" s="170">
        <v>43234</v>
      </c>
      <c r="M836" s="116">
        <v>135.85</v>
      </c>
      <c r="N836" s="116">
        <v>141.69999999999999</v>
      </c>
      <c r="O836" s="116">
        <v>135</v>
      </c>
      <c r="P836" s="116">
        <v>140.19999999999999</v>
      </c>
      <c r="Q836" s="116">
        <v>135.85</v>
      </c>
      <c r="R836">
        <v>476349</v>
      </c>
    </row>
    <row r="837" spans="1:18" x14ac:dyDescent="0.25">
      <c r="A837" s="170">
        <v>43235</v>
      </c>
      <c r="B837" s="116">
        <v>135.724473257699</v>
      </c>
      <c r="C837" s="116">
        <v>130.877170641352</v>
      </c>
      <c r="D837" s="116">
        <v>129.76229103959301</v>
      </c>
      <c r="E837" s="116">
        <v>132.47678050474599</v>
      </c>
      <c r="F837" s="116">
        <v>135</v>
      </c>
      <c r="G837">
        <v>36786</v>
      </c>
      <c r="H837" s="116"/>
      <c r="I837" s="116"/>
      <c r="L837" s="170">
        <v>43235</v>
      </c>
      <c r="M837" s="116">
        <v>135.55000000000001</v>
      </c>
      <c r="N837" s="116">
        <v>140</v>
      </c>
      <c r="O837" s="116">
        <v>134</v>
      </c>
      <c r="P837" s="116">
        <v>136.9</v>
      </c>
      <c r="Q837" s="116">
        <v>135.55000000000001</v>
      </c>
      <c r="R837">
        <v>334817</v>
      </c>
    </row>
    <row r="838" spans="1:18" x14ac:dyDescent="0.25">
      <c r="A838" s="170">
        <v>43236</v>
      </c>
      <c r="B838" s="116">
        <v>132.37983445242</v>
      </c>
      <c r="C838" s="116">
        <v>131.749685112295</v>
      </c>
      <c r="D838" s="116">
        <v>129.95618314424601</v>
      </c>
      <c r="E838" s="116">
        <v>131.84663116462099</v>
      </c>
      <c r="F838" s="116">
        <v>135.9</v>
      </c>
      <c r="G838">
        <v>107916</v>
      </c>
      <c r="H838" s="116"/>
      <c r="I838" s="116"/>
      <c r="L838" s="170">
        <v>43236</v>
      </c>
      <c r="M838" s="116">
        <v>136.30000000000001</v>
      </c>
      <c r="N838" s="116">
        <v>136.80000000000001</v>
      </c>
      <c r="O838" s="116">
        <v>134</v>
      </c>
      <c r="P838" s="116">
        <v>136.80000000000001</v>
      </c>
      <c r="Q838" s="116">
        <v>136.30000000000001</v>
      </c>
      <c r="R838">
        <v>286162</v>
      </c>
    </row>
    <row r="839" spans="1:18" x14ac:dyDescent="0.25">
      <c r="A839" s="170">
        <v>43237</v>
      </c>
      <c r="B839" s="116">
        <v>136.20920351933299</v>
      </c>
      <c r="C839" s="116">
        <v>134.56112062977499</v>
      </c>
      <c r="D839" s="116">
        <v>132.04052326927501</v>
      </c>
      <c r="E839" s="116">
        <v>132.04052326927501</v>
      </c>
      <c r="F839" s="116">
        <v>138.80000000000001</v>
      </c>
      <c r="G839">
        <v>62566</v>
      </c>
      <c r="H839" s="116"/>
      <c r="I839" s="116"/>
      <c r="L839" s="170">
        <v>43237</v>
      </c>
      <c r="M839" s="116">
        <v>139.30000000000001</v>
      </c>
      <c r="N839" s="116">
        <v>140.80000000000001</v>
      </c>
      <c r="O839" s="116">
        <v>136.4</v>
      </c>
      <c r="P839" s="116">
        <v>136.9</v>
      </c>
      <c r="Q839" s="116">
        <v>139.30000000000001</v>
      </c>
      <c r="R839">
        <v>852302</v>
      </c>
    </row>
    <row r="840" spans="1:18" x14ac:dyDescent="0.25">
      <c r="A840" s="170">
        <v>43238</v>
      </c>
      <c r="B840" s="116">
        <v>135.53058115304501</v>
      </c>
      <c r="C840" s="116">
        <v>133.64013313267</v>
      </c>
      <c r="D840" s="116">
        <v>130.63480551053499</v>
      </c>
      <c r="E840" s="116">
        <v>134.658066682102</v>
      </c>
      <c r="F840" s="116">
        <v>137.85</v>
      </c>
      <c r="G840">
        <v>87299</v>
      </c>
      <c r="H840" s="116"/>
      <c r="I840" s="116"/>
      <c r="L840" s="170">
        <v>43238</v>
      </c>
      <c r="M840" s="116">
        <v>137.9</v>
      </c>
      <c r="N840" s="116">
        <v>140</v>
      </c>
      <c r="O840" s="116">
        <v>134.69999999999999</v>
      </c>
      <c r="P840" s="116">
        <v>138.75</v>
      </c>
      <c r="Q840" s="116">
        <v>137.9</v>
      </c>
      <c r="R840">
        <v>1004404</v>
      </c>
    </row>
    <row r="841" spans="1:18" x14ac:dyDescent="0.25">
      <c r="A841" s="170">
        <v>43241</v>
      </c>
      <c r="B841" s="116">
        <v>136.30614957166</v>
      </c>
      <c r="C841" s="116">
        <v>135.33668904839101</v>
      </c>
      <c r="D841" s="116">
        <v>132.185942347766</v>
      </c>
      <c r="E841" s="116">
        <v>133.73707918499699</v>
      </c>
      <c r="F841" s="116">
        <v>139.6</v>
      </c>
      <c r="G841">
        <v>215571</v>
      </c>
      <c r="H841" s="116"/>
      <c r="I841" s="116"/>
      <c r="L841" s="170">
        <v>43241</v>
      </c>
      <c r="M841" s="116">
        <v>139.75</v>
      </c>
      <c r="N841" s="116">
        <v>141</v>
      </c>
      <c r="O841" s="116">
        <v>135.80000000000001</v>
      </c>
      <c r="P841" s="116">
        <v>136</v>
      </c>
      <c r="Q841" s="116">
        <v>139.75</v>
      </c>
      <c r="R841">
        <v>871741</v>
      </c>
    </row>
    <row r="842" spans="1:18" x14ac:dyDescent="0.25">
      <c r="A842" s="170">
        <v>43242</v>
      </c>
      <c r="B842" s="116">
        <v>136.45156865015099</v>
      </c>
      <c r="C842" s="116">
        <v>134.75501273442899</v>
      </c>
      <c r="D842" s="116">
        <v>132.137469321602</v>
      </c>
      <c r="E842" s="116">
        <v>136.45156865015099</v>
      </c>
      <c r="F842" s="116">
        <v>139</v>
      </c>
      <c r="G842">
        <v>53656</v>
      </c>
      <c r="H842" s="116"/>
      <c r="I842" s="116"/>
      <c r="L842" s="170">
        <v>43242</v>
      </c>
      <c r="M842" s="116">
        <v>139.80000000000001</v>
      </c>
      <c r="N842" s="116">
        <v>140.80000000000001</v>
      </c>
      <c r="O842" s="116">
        <v>136.65</v>
      </c>
      <c r="P842" s="116">
        <v>140.80000000000001</v>
      </c>
      <c r="Q842" s="116">
        <v>139.80000000000001</v>
      </c>
      <c r="R842">
        <v>261028</v>
      </c>
    </row>
    <row r="843" spans="1:18" x14ac:dyDescent="0.25">
      <c r="A843" s="170">
        <v>43243</v>
      </c>
      <c r="B843" s="116">
        <v>135.239742996064</v>
      </c>
      <c r="C843" s="116">
        <v>132.185942347766</v>
      </c>
      <c r="D843" s="116">
        <v>131.65273905996801</v>
      </c>
      <c r="E843" s="116">
        <v>135.14279694373701</v>
      </c>
      <c r="F843" s="116">
        <v>136.35</v>
      </c>
      <c r="G843">
        <v>37736</v>
      </c>
      <c r="H843" s="116"/>
      <c r="I843" s="116"/>
      <c r="L843" s="170">
        <v>43243</v>
      </c>
      <c r="M843" s="116">
        <v>136.65</v>
      </c>
      <c r="N843" s="116">
        <v>140</v>
      </c>
      <c r="O843" s="116">
        <v>136</v>
      </c>
      <c r="P843" s="116">
        <v>138</v>
      </c>
      <c r="Q843" s="116">
        <v>136.65</v>
      </c>
      <c r="R843">
        <v>212872</v>
      </c>
    </row>
    <row r="844" spans="1:18" x14ac:dyDescent="0.25">
      <c r="A844" s="170">
        <v>43244</v>
      </c>
      <c r="B844" s="116">
        <v>134.07639036814101</v>
      </c>
      <c r="C844" s="116">
        <v>132.91303774021799</v>
      </c>
      <c r="D844" s="116">
        <v>130.58633248437101</v>
      </c>
      <c r="E844" s="116">
        <v>132.71914563556399</v>
      </c>
      <c r="F844" s="116">
        <v>137.1</v>
      </c>
      <c r="G844">
        <v>70285</v>
      </c>
      <c r="H844" s="116"/>
      <c r="I844" s="116"/>
      <c r="L844" s="170">
        <v>43244</v>
      </c>
      <c r="M844" s="116">
        <v>136.65</v>
      </c>
      <c r="N844" s="116">
        <v>137.9</v>
      </c>
      <c r="O844" s="116">
        <v>134.69999999999999</v>
      </c>
      <c r="P844" s="116">
        <v>136.30000000000001</v>
      </c>
      <c r="Q844" s="116">
        <v>136.65</v>
      </c>
      <c r="R844">
        <v>161773</v>
      </c>
    </row>
    <row r="845" spans="1:18" x14ac:dyDescent="0.25">
      <c r="A845" s="170">
        <v>43245</v>
      </c>
      <c r="B845" s="116">
        <v>135.14279694373701</v>
      </c>
      <c r="C845" s="116">
        <v>132.91303774021799</v>
      </c>
      <c r="D845" s="116">
        <v>132.08899629543899</v>
      </c>
      <c r="E845" s="116">
        <v>132.86456471405401</v>
      </c>
      <c r="F845" s="116">
        <v>137.1</v>
      </c>
      <c r="G845">
        <v>39763</v>
      </c>
      <c r="H845" s="116"/>
      <c r="I845" s="116"/>
      <c r="L845" s="170">
        <v>43245</v>
      </c>
      <c r="M845" s="116">
        <v>136.65</v>
      </c>
      <c r="N845" s="116">
        <v>139.69999999999999</v>
      </c>
      <c r="O845" s="116">
        <v>135.19999999999999</v>
      </c>
      <c r="P845" s="116">
        <v>137</v>
      </c>
      <c r="Q845" s="116">
        <v>136.65</v>
      </c>
      <c r="R845">
        <v>319989</v>
      </c>
    </row>
    <row r="846" spans="1:18" x14ac:dyDescent="0.25">
      <c r="A846" s="170">
        <v>43248</v>
      </c>
      <c r="B846" s="116">
        <v>142.122912711276</v>
      </c>
      <c r="C846" s="116">
        <v>138.29354364436199</v>
      </c>
      <c r="D846" s="116">
        <v>134.851958786756</v>
      </c>
      <c r="E846" s="116">
        <v>136.693933780968</v>
      </c>
      <c r="F846" s="116">
        <v>142.65</v>
      </c>
      <c r="G846">
        <v>1396106</v>
      </c>
      <c r="H846" s="116"/>
      <c r="I846" s="116"/>
      <c r="L846" s="170">
        <v>43248</v>
      </c>
      <c r="M846" s="116">
        <v>142.80000000000001</v>
      </c>
      <c r="N846" s="116">
        <v>146.5</v>
      </c>
      <c r="O846" s="116">
        <v>139.5</v>
      </c>
      <c r="P846" s="116">
        <v>139.5</v>
      </c>
      <c r="Q846" s="116">
        <v>142.80000000000001</v>
      </c>
      <c r="R846">
        <v>2716373</v>
      </c>
    </row>
    <row r="847" spans="1:18" x14ac:dyDescent="0.25">
      <c r="A847" s="170">
        <v>43249</v>
      </c>
      <c r="B847" s="116">
        <v>143.86794165315999</v>
      </c>
      <c r="C847" s="116">
        <v>141.58970942347801</v>
      </c>
      <c r="D847" s="116">
        <v>138.778273905997</v>
      </c>
      <c r="E847" s="116">
        <v>138.778273905997</v>
      </c>
      <c r="F847" s="116">
        <v>146.05000000000001</v>
      </c>
      <c r="G847">
        <v>1070460</v>
      </c>
      <c r="H847" s="116"/>
      <c r="I847" s="116"/>
      <c r="L847" s="170">
        <v>43249</v>
      </c>
      <c r="M847" s="116">
        <v>146.30000000000001</v>
      </c>
      <c r="N847" s="116">
        <v>148.80000000000001</v>
      </c>
      <c r="O847" s="116">
        <v>143</v>
      </c>
      <c r="P847" s="116">
        <v>143.5</v>
      </c>
      <c r="Q847" s="116">
        <v>146.30000000000001</v>
      </c>
      <c r="R847">
        <v>2126601</v>
      </c>
    </row>
    <row r="848" spans="1:18" x14ac:dyDescent="0.25">
      <c r="A848" s="170">
        <v>43250</v>
      </c>
      <c r="B848" s="116">
        <v>143.383211391526</v>
      </c>
      <c r="C848" s="116">
        <v>139.020639036814</v>
      </c>
      <c r="D848" s="116">
        <v>138.48743574901599</v>
      </c>
      <c r="E848" s="116">
        <v>141.54123639731401</v>
      </c>
      <c r="F848" s="116">
        <v>143.4</v>
      </c>
      <c r="G848">
        <v>130238</v>
      </c>
      <c r="H848" s="116"/>
      <c r="I848" s="116"/>
      <c r="L848" s="170">
        <v>43250</v>
      </c>
      <c r="M848" s="116">
        <v>143.94999999999999</v>
      </c>
      <c r="N848" s="116">
        <v>147.94999999999999</v>
      </c>
      <c r="O848" s="116">
        <v>143.1</v>
      </c>
      <c r="P848" s="116">
        <v>146</v>
      </c>
      <c r="Q848" s="116">
        <v>143.94999999999999</v>
      </c>
      <c r="R848">
        <v>1002068</v>
      </c>
    </row>
    <row r="849" spans="1:18" x14ac:dyDescent="0.25">
      <c r="A849" s="170">
        <v>43251</v>
      </c>
      <c r="B849" s="116">
        <v>140.08704561241001</v>
      </c>
      <c r="C849" s="116">
        <v>137.130191016439</v>
      </c>
      <c r="D849" s="116">
        <v>136.88782588562199</v>
      </c>
      <c r="E849" s="116">
        <v>139.602315350776</v>
      </c>
      <c r="F849" s="116">
        <v>141.44999999999999</v>
      </c>
      <c r="G849">
        <v>54320</v>
      </c>
      <c r="H849" s="116"/>
      <c r="I849" s="116"/>
      <c r="L849" s="170">
        <v>43251</v>
      </c>
      <c r="M849" s="116">
        <v>141.94999999999999</v>
      </c>
      <c r="N849" s="116">
        <v>145.15</v>
      </c>
      <c r="O849" s="116">
        <v>141.4</v>
      </c>
      <c r="P849" s="116">
        <v>144.5</v>
      </c>
      <c r="Q849" s="116">
        <v>141.94999999999999</v>
      </c>
      <c r="R849">
        <v>1300553</v>
      </c>
    </row>
    <row r="850" spans="1:18" x14ac:dyDescent="0.25">
      <c r="A850" s="170">
        <v>43252</v>
      </c>
      <c r="B850" s="116">
        <v>138.43896272285301</v>
      </c>
      <c r="C850" s="116">
        <v>135.14279694373701</v>
      </c>
      <c r="D850" s="116">
        <v>134.270282472795</v>
      </c>
      <c r="E850" s="116">
        <v>137.130191016439</v>
      </c>
      <c r="F850" s="116">
        <v>139.4</v>
      </c>
      <c r="G850">
        <v>144441</v>
      </c>
      <c r="H850" s="116"/>
      <c r="I850" s="116"/>
      <c r="L850" s="170">
        <v>43252</v>
      </c>
      <c r="M850" s="116">
        <v>139.6</v>
      </c>
      <c r="N850" s="116">
        <v>142.85</v>
      </c>
      <c r="O850" s="116">
        <v>138.65</v>
      </c>
      <c r="P850" s="116">
        <v>141.85</v>
      </c>
      <c r="Q850" s="116">
        <v>139.6</v>
      </c>
      <c r="R850">
        <v>404474</v>
      </c>
    </row>
    <row r="851" spans="1:18" x14ac:dyDescent="0.25">
      <c r="A851" s="170">
        <v>43255</v>
      </c>
      <c r="B851" s="116">
        <v>137.17866404260201</v>
      </c>
      <c r="C851" s="116">
        <v>131.943577216948</v>
      </c>
      <c r="D851" s="116">
        <v>131.361900902987</v>
      </c>
      <c r="E851" s="116">
        <v>135.38516207455399</v>
      </c>
      <c r="F851" s="116">
        <v>136.1</v>
      </c>
      <c r="G851">
        <v>491247</v>
      </c>
      <c r="H851" s="116"/>
      <c r="I851" s="116"/>
      <c r="L851" s="170">
        <v>43255</v>
      </c>
      <c r="M851" s="116">
        <v>136.35</v>
      </c>
      <c r="N851" s="116">
        <v>142.19999999999999</v>
      </c>
      <c r="O851" s="116">
        <v>135.5</v>
      </c>
      <c r="P851" s="116">
        <v>140.30000000000001</v>
      </c>
      <c r="Q851" s="116">
        <v>136.35</v>
      </c>
      <c r="R851">
        <v>510225</v>
      </c>
    </row>
    <row r="852" spans="1:18" x14ac:dyDescent="0.25">
      <c r="A852" s="170">
        <v>43256</v>
      </c>
      <c r="B852" s="116">
        <v>133.05845681870801</v>
      </c>
      <c r="C852" s="116">
        <v>128.453519333179</v>
      </c>
      <c r="D852" s="116">
        <v>126.999328548275</v>
      </c>
      <c r="E852" s="116">
        <v>133.05845681870801</v>
      </c>
      <c r="F852" s="116">
        <v>132.5</v>
      </c>
      <c r="G852">
        <v>63230</v>
      </c>
      <c r="H852" s="116"/>
      <c r="I852" s="116"/>
      <c r="L852" s="170">
        <v>43256</v>
      </c>
      <c r="M852" s="116">
        <v>133.19999999999999</v>
      </c>
      <c r="N852" s="116">
        <v>137.05000000000001</v>
      </c>
      <c r="O852" s="116">
        <v>131</v>
      </c>
      <c r="P852" s="116">
        <v>136.69999999999999</v>
      </c>
      <c r="Q852" s="116">
        <v>133.19999999999999</v>
      </c>
      <c r="R852">
        <v>1035967</v>
      </c>
    </row>
    <row r="853" spans="1:18" x14ac:dyDescent="0.25">
      <c r="A853" s="170">
        <v>43257</v>
      </c>
      <c r="B853" s="116">
        <v>131.555793007641</v>
      </c>
      <c r="C853" s="116">
        <v>129.665344987266</v>
      </c>
      <c r="D853" s="116">
        <v>127.67795091456399</v>
      </c>
      <c r="E853" s="116">
        <v>131.555793007641</v>
      </c>
      <c r="F853" s="116">
        <v>133.75</v>
      </c>
      <c r="G853">
        <v>66297</v>
      </c>
      <c r="H853" s="116"/>
      <c r="I853" s="116"/>
      <c r="L853" s="170">
        <v>43257</v>
      </c>
      <c r="M853" s="116">
        <v>134</v>
      </c>
      <c r="N853" s="116">
        <v>135.55000000000001</v>
      </c>
      <c r="O853" s="116">
        <v>131.55000000000001</v>
      </c>
      <c r="P853" s="116">
        <v>134.15</v>
      </c>
      <c r="Q853" s="116">
        <v>134</v>
      </c>
      <c r="R853">
        <v>1634816</v>
      </c>
    </row>
    <row r="854" spans="1:18" x14ac:dyDescent="0.25">
      <c r="A854" s="170">
        <v>43258</v>
      </c>
      <c r="B854" s="116">
        <v>134.46417457744801</v>
      </c>
      <c r="C854" s="116">
        <v>133.49471405417901</v>
      </c>
      <c r="D854" s="116">
        <v>130.877170641352</v>
      </c>
      <c r="E854" s="116">
        <v>130.877170641352</v>
      </c>
      <c r="F854" s="116">
        <v>137.69999999999999</v>
      </c>
      <c r="G854">
        <v>307220</v>
      </c>
      <c r="H854" s="116"/>
      <c r="I854" s="116"/>
      <c r="L854" s="170">
        <v>43258</v>
      </c>
      <c r="M854" s="116">
        <v>138.05000000000001</v>
      </c>
      <c r="N854" s="116">
        <v>138.9</v>
      </c>
      <c r="O854" s="116">
        <v>134.9</v>
      </c>
      <c r="P854" s="116">
        <v>135.4</v>
      </c>
      <c r="Q854" s="116">
        <v>138.05000000000001</v>
      </c>
      <c r="R854">
        <v>577166</v>
      </c>
    </row>
    <row r="855" spans="1:18" x14ac:dyDescent="0.25">
      <c r="A855" s="170">
        <v>43259</v>
      </c>
      <c r="B855" s="116">
        <v>137.954232461218</v>
      </c>
      <c r="C855" s="116">
        <v>136.79087983329501</v>
      </c>
      <c r="D855" s="116">
        <v>133.10692984487201</v>
      </c>
      <c r="E855" s="116">
        <v>134.75501273442899</v>
      </c>
      <c r="F855" s="116">
        <v>141.1</v>
      </c>
      <c r="G855">
        <v>1139189</v>
      </c>
      <c r="H855" s="116"/>
      <c r="I855" s="116"/>
      <c r="L855" s="170">
        <v>43259</v>
      </c>
      <c r="M855" s="116">
        <v>141.25</v>
      </c>
      <c r="N855" s="116">
        <v>142.4</v>
      </c>
      <c r="O855" s="116">
        <v>137.19999999999999</v>
      </c>
      <c r="P855" s="116">
        <v>139</v>
      </c>
      <c r="Q855" s="116">
        <v>141.25</v>
      </c>
      <c r="R855">
        <v>1070577</v>
      </c>
    </row>
    <row r="856" spans="1:18" x14ac:dyDescent="0.25">
      <c r="A856" s="170">
        <v>43262</v>
      </c>
      <c r="B856" s="116">
        <v>139.35995021995799</v>
      </c>
      <c r="C856" s="116">
        <v>134.415701551285</v>
      </c>
      <c r="D856" s="116">
        <v>132.961510766381</v>
      </c>
      <c r="E856" s="116">
        <v>136.79087983329501</v>
      </c>
      <c r="F856" s="116">
        <v>138.65</v>
      </c>
      <c r="G856">
        <v>485382</v>
      </c>
      <c r="H856" s="116"/>
      <c r="I856" s="116"/>
      <c r="L856" s="170">
        <v>43262</v>
      </c>
      <c r="M856" s="116">
        <v>138.5</v>
      </c>
      <c r="N856" s="116">
        <v>143.94999999999999</v>
      </c>
      <c r="O856" s="116">
        <v>137.80000000000001</v>
      </c>
      <c r="P856" s="116">
        <v>140.75</v>
      </c>
      <c r="Q856" s="116">
        <v>138.5</v>
      </c>
      <c r="R856">
        <v>644107</v>
      </c>
    </row>
    <row r="857" spans="1:18" x14ac:dyDescent="0.25">
      <c r="A857" s="170">
        <v>43263</v>
      </c>
      <c r="B857" s="116">
        <v>135.239742996064</v>
      </c>
      <c r="C857" s="116">
        <v>133.97944431581399</v>
      </c>
      <c r="D857" s="116">
        <v>133.30082194952499</v>
      </c>
      <c r="E857" s="116">
        <v>133.78555221116</v>
      </c>
      <c r="F857" s="116">
        <v>138.19999999999999</v>
      </c>
      <c r="G857">
        <v>732318</v>
      </c>
      <c r="H857" s="116"/>
      <c r="I857" s="116"/>
      <c r="L857" s="170">
        <v>43263</v>
      </c>
      <c r="M857" s="116">
        <v>138.15</v>
      </c>
      <c r="N857" s="116">
        <v>139.65</v>
      </c>
      <c r="O857" s="116">
        <v>137.5</v>
      </c>
      <c r="P857" s="116">
        <v>138.44999999999999</v>
      </c>
      <c r="Q857" s="116">
        <v>138.15</v>
      </c>
      <c r="R857">
        <v>784536</v>
      </c>
    </row>
    <row r="858" spans="1:18" x14ac:dyDescent="0.25">
      <c r="A858" s="170">
        <v>43264</v>
      </c>
      <c r="B858" s="116">
        <v>136.500041676314</v>
      </c>
      <c r="C858" s="116">
        <v>131.749685112295</v>
      </c>
      <c r="D858" s="116">
        <v>131.41037392915001</v>
      </c>
      <c r="E858" s="116">
        <v>133.49471405417901</v>
      </c>
      <c r="F858" s="116">
        <v>135.9</v>
      </c>
      <c r="G858">
        <v>141218</v>
      </c>
      <c r="H858" s="116"/>
      <c r="I858" s="116"/>
      <c r="L858" s="170">
        <v>43264</v>
      </c>
      <c r="M858" s="116">
        <v>135.94999999999999</v>
      </c>
      <c r="N858" s="116">
        <v>140.85</v>
      </c>
      <c r="O858" s="116">
        <v>135.55000000000001</v>
      </c>
      <c r="P858" s="116">
        <v>138.05000000000001</v>
      </c>
      <c r="Q858" s="116">
        <v>135.94999999999999</v>
      </c>
      <c r="R858">
        <v>1154247</v>
      </c>
    </row>
    <row r="859" spans="1:18" x14ac:dyDescent="0.25">
      <c r="A859" s="170">
        <v>43265</v>
      </c>
      <c r="B859" s="116">
        <v>133.203875897198</v>
      </c>
      <c r="C859" s="116">
        <v>130.97411669367901</v>
      </c>
      <c r="D859" s="116">
        <v>130.44091340588099</v>
      </c>
      <c r="E859" s="116">
        <v>132.42830747858301</v>
      </c>
      <c r="F859" s="116">
        <v>135.1</v>
      </c>
      <c r="G859">
        <v>635381</v>
      </c>
      <c r="H859" s="116"/>
      <c r="I859" s="116"/>
      <c r="L859" s="170">
        <v>43265</v>
      </c>
      <c r="M859" s="116">
        <v>135.35</v>
      </c>
      <c r="N859" s="116">
        <v>136.65</v>
      </c>
      <c r="O859" s="116">
        <v>134.75</v>
      </c>
      <c r="P859" s="116">
        <v>135.5</v>
      </c>
      <c r="Q859" s="116">
        <v>135.35</v>
      </c>
      <c r="R859">
        <v>498992</v>
      </c>
    </row>
    <row r="860" spans="1:18" x14ac:dyDescent="0.25">
      <c r="A860" s="170">
        <v>43266</v>
      </c>
      <c r="B860" s="116">
        <v>132.62219958323701</v>
      </c>
      <c r="C860" s="116">
        <v>128.55046538550599</v>
      </c>
      <c r="D860" s="116">
        <v>127.290166705256</v>
      </c>
      <c r="E860" s="116">
        <v>131.361900902987</v>
      </c>
      <c r="F860" s="116">
        <v>132.6</v>
      </c>
      <c r="G860">
        <v>322310</v>
      </c>
      <c r="H860" s="116"/>
      <c r="I860" s="116"/>
      <c r="L860" s="170">
        <v>43266</v>
      </c>
      <c r="M860" s="116">
        <v>132.4</v>
      </c>
      <c r="N860" s="116">
        <v>136.9</v>
      </c>
      <c r="O860" s="116">
        <v>131.19999999999999</v>
      </c>
      <c r="P860" s="116">
        <v>135.75</v>
      </c>
      <c r="Q860" s="116">
        <v>132.4</v>
      </c>
      <c r="R860">
        <v>2142322</v>
      </c>
    </row>
    <row r="861" spans="1:18" x14ac:dyDescent="0.25">
      <c r="A861" s="170">
        <v>43269</v>
      </c>
      <c r="B861" s="116">
        <v>131.16800879833301</v>
      </c>
      <c r="C861" s="116">
        <v>130.58633248437101</v>
      </c>
      <c r="D861" s="116">
        <v>127.193220652929</v>
      </c>
      <c r="E861" s="116">
        <v>127.96878907154399</v>
      </c>
      <c r="F861" s="116">
        <v>134.69999999999999</v>
      </c>
      <c r="G861">
        <v>43922</v>
      </c>
      <c r="H861" s="116"/>
      <c r="I861" s="116"/>
      <c r="L861" s="170">
        <v>43269</v>
      </c>
      <c r="M861" s="116">
        <v>134.80000000000001</v>
      </c>
      <c r="N861" s="116">
        <v>135.5</v>
      </c>
      <c r="O861" s="116">
        <v>130.94999999999999</v>
      </c>
      <c r="P861" s="116">
        <v>132.05000000000001</v>
      </c>
      <c r="Q861" s="116">
        <v>134.80000000000001</v>
      </c>
      <c r="R861">
        <v>577389</v>
      </c>
    </row>
    <row r="862" spans="1:18" x14ac:dyDescent="0.25">
      <c r="A862" s="170">
        <v>43270</v>
      </c>
      <c r="B862" s="116">
        <v>130.683278536698</v>
      </c>
      <c r="C862" s="116">
        <v>129.13214169946701</v>
      </c>
      <c r="D862" s="116">
        <v>127.96878907154399</v>
      </c>
      <c r="E862" s="116">
        <v>130.683278536698</v>
      </c>
      <c r="F862" s="116">
        <v>133.19999999999999</v>
      </c>
      <c r="G862">
        <v>53658</v>
      </c>
      <c r="H862" s="116"/>
      <c r="I862" s="116"/>
      <c r="L862" s="170">
        <v>43270</v>
      </c>
      <c r="M862" s="116">
        <v>133.4</v>
      </c>
      <c r="N862" s="116">
        <v>134.44999999999999</v>
      </c>
      <c r="O862" s="116">
        <v>132.44999999999999</v>
      </c>
      <c r="P862" s="116">
        <v>134.44999999999999</v>
      </c>
      <c r="Q862" s="116">
        <v>133.4</v>
      </c>
      <c r="R862">
        <v>310891</v>
      </c>
    </row>
    <row r="863" spans="1:18" x14ac:dyDescent="0.25">
      <c r="A863" s="170">
        <v>43271</v>
      </c>
      <c r="B863" s="116">
        <v>132.62219958323701</v>
      </c>
      <c r="C863" s="116">
        <v>128.98672262097699</v>
      </c>
      <c r="D863" s="116">
        <v>128.69588446399601</v>
      </c>
      <c r="E863" s="116">
        <v>129.907710118083</v>
      </c>
      <c r="F863" s="116">
        <v>133.05000000000001</v>
      </c>
      <c r="G863">
        <v>518341</v>
      </c>
      <c r="H863" s="116"/>
      <c r="I863" s="116"/>
      <c r="L863" s="170">
        <v>43271</v>
      </c>
      <c r="M863" s="116">
        <v>133.4</v>
      </c>
      <c r="N863" s="116">
        <v>137.15</v>
      </c>
      <c r="O863" s="116">
        <v>133.05000000000001</v>
      </c>
      <c r="P863" s="116">
        <v>133.69999999999999</v>
      </c>
      <c r="Q863" s="116">
        <v>133.4</v>
      </c>
      <c r="R863">
        <v>654025</v>
      </c>
    </row>
    <row r="864" spans="1:18" x14ac:dyDescent="0.25">
      <c r="A864" s="170">
        <v>43272</v>
      </c>
      <c r="B864" s="116">
        <v>131.26495485065999</v>
      </c>
      <c r="C864" s="116">
        <v>128.453519333179</v>
      </c>
      <c r="D864" s="116">
        <v>127.48405880991</v>
      </c>
      <c r="E864" s="116">
        <v>129.277560777958</v>
      </c>
      <c r="F864" s="116">
        <v>132.5</v>
      </c>
      <c r="G864">
        <v>354330</v>
      </c>
      <c r="H864" s="116"/>
      <c r="I864" s="116"/>
      <c r="L864" s="170">
        <v>43272</v>
      </c>
      <c r="M864" s="116">
        <v>133.5</v>
      </c>
      <c r="N864" s="116">
        <v>135.05000000000001</v>
      </c>
      <c r="O864" s="116">
        <v>131.19999999999999</v>
      </c>
      <c r="P864" s="116">
        <v>134</v>
      </c>
      <c r="Q864" s="116">
        <v>133.5</v>
      </c>
      <c r="R864">
        <v>1383027</v>
      </c>
    </row>
    <row r="865" spans="1:18" x14ac:dyDescent="0.25">
      <c r="A865" s="170">
        <v>43273</v>
      </c>
      <c r="B865" s="116">
        <v>133.203875897198</v>
      </c>
      <c r="C865" s="116">
        <v>131.07106274600599</v>
      </c>
      <c r="D865" s="116">
        <v>127.290166705256</v>
      </c>
      <c r="E865" s="116">
        <v>127.290166705256</v>
      </c>
      <c r="F865" s="116">
        <v>135.19999999999999</v>
      </c>
      <c r="G865">
        <v>93097</v>
      </c>
      <c r="H865" s="116"/>
      <c r="I865" s="116"/>
      <c r="L865" s="170">
        <v>43273</v>
      </c>
      <c r="M865" s="116">
        <v>135.69999999999999</v>
      </c>
      <c r="N865" s="116">
        <v>137.69999999999999</v>
      </c>
      <c r="O865" s="116">
        <v>132</v>
      </c>
      <c r="P865" s="116">
        <v>132</v>
      </c>
      <c r="Q865" s="116">
        <v>135.69999999999999</v>
      </c>
      <c r="R865">
        <v>605525</v>
      </c>
    </row>
    <row r="866" spans="1:18" x14ac:dyDescent="0.25">
      <c r="A866" s="170">
        <v>43276</v>
      </c>
      <c r="B866" s="116">
        <v>132.137469321602</v>
      </c>
      <c r="C866" s="116">
        <v>128.598938411669</v>
      </c>
      <c r="D866" s="116">
        <v>127.96878907154399</v>
      </c>
      <c r="E866" s="116">
        <v>132.137469321602</v>
      </c>
      <c r="F866" s="116">
        <v>132.65</v>
      </c>
      <c r="G866">
        <v>47172</v>
      </c>
      <c r="H866" s="116"/>
      <c r="I866" s="116"/>
      <c r="L866" s="170">
        <v>43276</v>
      </c>
      <c r="M866" s="116">
        <v>132.69999999999999</v>
      </c>
      <c r="N866" s="116">
        <v>136.30000000000001</v>
      </c>
      <c r="O866" s="116">
        <v>132</v>
      </c>
      <c r="P866" s="116">
        <v>136.19999999999999</v>
      </c>
      <c r="Q866" s="116">
        <v>132.69999999999999</v>
      </c>
      <c r="R866">
        <v>1181284</v>
      </c>
    </row>
    <row r="867" spans="1:18" x14ac:dyDescent="0.25">
      <c r="A867" s="170">
        <v>43277</v>
      </c>
      <c r="B867" s="116">
        <v>129.81076406575599</v>
      </c>
      <c r="C867" s="116">
        <v>128.79283051632299</v>
      </c>
      <c r="D867" s="116">
        <v>127.58100486223699</v>
      </c>
      <c r="E867" s="116">
        <v>128.453519333179</v>
      </c>
      <c r="F867" s="116">
        <v>132.85</v>
      </c>
      <c r="G867">
        <v>38264</v>
      </c>
      <c r="H867" s="116"/>
      <c r="I867" s="116"/>
      <c r="L867" s="170">
        <v>43277</v>
      </c>
      <c r="M867" s="116">
        <v>133.05000000000001</v>
      </c>
      <c r="N867" s="116">
        <v>133.4</v>
      </c>
      <c r="O867" s="116">
        <v>131.30000000000001</v>
      </c>
      <c r="P867" s="116">
        <v>133</v>
      </c>
      <c r="Q867" s="116">
        <v>133.05000000000001</v>
      </c>
      <c r="R867">
        <v>355084</v>
      </c>
    </row>
    <row r="868" spans="1:18" x14ac:dyDescent="0.25">
      <c r="A868" s="170">
        <v>43278</v>
      </c>
      <c r="B868" s="116">
        <v>129.083668673304</v>
      </c>
      <c r="C868" s="116">
        <v>126.999328548275</v>
      </c>
      <c r="D868" s="116">
        <v>124.04247395230399</v>
      </c>
      <c r="E868" s="116">
        <v>129.083668673304</v>
      </c>
      <c r="F868" s="116">
        <v>131</v>
      </c>
      <c r="G868">
        <v>64716</v>
      </c>
      <c r="H868" s="116"/>
      <c r="I868" s="116"/>
      <c r="L868" s="170">
        <v>43278</v>
      </c>
      <c r="M868" s="116">
        <v>131.05000000000001</v>
      </c>
      <c r="N868" s="116">
        <v>133.65</v>
      </c>
      <c r="O868" s="116">
        <v>128.15</v>
      </c>
      <c r="P868" s="116">
        <v>133.65</v>
      </c>
      <c r="Q868" s="116">
        <v>131.05000000000001</v>
      </c>
      <c r="R868">
        <v>659402</v>
      </c>
    </row>
    <row r="869" spans="1:18" x14ac:dyDescent="0.25">
      <c r="A869" s="170">
        <v>43279</v>
      </c>
      <c r="B869" s="116">
        <v>126.95085552211199</v>
      </c>
      <c r="C869" s="116">
        <v>124.04247395230399</v>
      </c>
      <c r="D869" s="116">
        <v>123.654689742996</v>
      </c>
      <c r="E869" s="116">
        <v>126.07834105116901</v>
      </c>
      <c r="F869" s="116">
        <v>127.95</v>
      </c>
      <c r="G869">
        <v>27616</v>
      </c>
      <c r="H869" s="116"/>
      <c r="I869" s="116"/>
      <c r="L869" s="170">
        <v>43279</v>
      </c>
      <c r="M869" s="116">
        <v>128.1</v>
      </c>
      <c r="N869" s="116">
        <v>130.9</v>
      </c>
      <c r="O869" s="116">
        <v>127.55</v>
      </c>
      <c r="P869" s="116">
        <v>130.9</v>
      </c>
      <c r="Q869" s="116">
        <v>128.1</v>
      </c>
      <c r="R869">
        <v>1002376</v>
      </c>
    </row>
    <row r="870" spans="1:18" x14ac:dyDescent="0.25">
      <c r="A870" s="170">
        <v>43280</v>
      </c>
      <c r="B870" s="116">
        <v>128.25962722852501</v>
      </c>
      <c r="C870" s="116">
        <v>127.96878907154399</v>
      </c>
      <c r="D870" s="116">
        <v>124.575677240102</v>
      </c>
      <c r="E870" s="116">
        <v>124.575677240102</v>
      </c>
      <c r="F870" s="116">
        <v>132</v>
      </c>
      <c r="G870">
        <v>29349</v>
      </c>
      <c r="H870" s="116"/>
      <c r="I870" s="116"/>
      <c r="L870" s="170">
        <v>43280</v>
      </c>
      <c r="M870" s="116">
        <v>132.05000000000001</v>
      </c>
      <c r="N870" s="116">
        <v>132.6</v>
      </c>
      <c r="O870" s="116">
        <v>128.25</v>
      </c>
      <c r="P870" s="116">
        <v>128.25</v>
      </c>
      <c r="Q870" s="116">
        <v>132.05000000000001</v>
      </c>
      <c r="R870">
        <v>511207</v>
      </c>
    </row>
    <row r="871" spans="1:18" x14ac:dyDescent="0.25">
      <c r="A871" s="170">
        <v>43283</v>
      </c>
      <c r="B871" s="116">
        <v>131.749685112295</v>
      </c>
      <c r="C871" s="116">
        <v>126.563071312804</v>
      </c>
      <c r="D871" s="116">
        <v>124.96346144941</v>
      </c>
      <c r="E871" s="116">
        <v>131.749685112295</v>
      </c>
      <c r="F871" s="116">
        <v>130.55000000000001</v>
      </c>
      <c r="G871">
        <v>39205</v>
      </c>
      <c r="H871" s="116"/>
      <c r="I871" s="116"/>
      <c r="L871" s="170">
        <v>43283</v>
      </c>
      <c r="M871" s="116">
        <v>130.19999999999999</v>
      </c>
      <c r="N871" s="116">
        <v>132.9</v>
      </c>
      <c r="O871" s="116">
        <v>128.80000000000001</v>
      </c>
      <c r="P871" s="116">
        <v>132.9</v>
      </c>
      <c r="Q871" s="116">
        <v>130.19999999999999</v>
      </c>
      <c r="R871">
        <v>942667</v>
      </c>
    </row>
    <row r="872" spans="1:18" x14ac:dyDescent="0.25">
      <c r="A872" s="170">
        <v>43284</v>
      </c>
      <c r="B872" s="116">
        <v>128.453519333179</v>
      </c>
      <c r="C872" s="116">
        <v>126.80543644362101</v>
      </c>
      <c r="D872" s="116">
        <v>125.351245658717</v>
      </c>
      <c r="E872" s="116">
        <v>126.07834105116901</v>
      </c>
      <c r="F872" s="116">
        <v>130.80000000000001</v>
      </c>
      <c r="G872">
        <v>26377</v>
      </c>
      <c r="H872" s="116"/>
      <c r="I872" s="116"/>
      <c r="L872" s="170">
        <v>43284</v>
      </c>
      <c r="M872" s="116">
        <v>131.35</v>
      </c>
      <c r="N872" s="116">
        <v>132.9</v>
      </c>
      <c r="O872" s="116">
        <v>129</v>
      </c>
      <c r="P872" s="116">
        <v>130.5</v>
      </c>
      <c r="Q872" s="116">
        <v>131.35</v>
      </c>
      <c r="R872">
        <v>807438</v>
      </c>
    </row>
    <row r="873" spans="1:18" x14ac:dyDescent="0.25">
      <c r="A873" s="170">
        <v>43285</v>
      </c>
      <c r="B873" s="116">
        <v>127.96878907154399</v>
      </c>
      <c r="C873" s="116">
        <v>126.902382495948</v>
      </c>
      <c r="D873" s="116">
        <v>125.060407501737</v>
      </c>
      <c r="E873" s="116">
        <v>125.15735355406299</v>
      </c>
      <c r="F873" s="116">
        <v>130.9</v>
      </c>
      <c r="G873">
        <v>19508</v>
      </c>
      <c r="H873" s="116"/>
      <c r="I873" s="116"/>
      <c r="L873" s="170">
        <v>43285</v>
      </c>
      <c r="M873" s="116">
        <v>131</v>
      </c>
      <c r="N873" s="116">
        <v>131.94999999999999</v>
      </c>
      <c r="O873" s="116">
        <v>129.65</v>
      </c>
      <c r="P873" s="116">
        <v>130.80000000000001</v>
      </c>
      <c r="Q873" s="116">
        <v>131</v>
      </c>
      <c r="R873">
        <v>228510</v>
      </c>
    </row>
    <row r="874" spans="1:18" x14ac:dyDescent="0.25">
      <c r="A874" s="170">
        <v>43286</v>
      </c>
      <c r="B874" s="116">
        <v>126.466125260477</v>
      </c>
      <c r="C874" s="116">
        <v>123.169959481361</v>
      </c>
      <c r="D874" s="116">
        <v>122.976067376708</v>
      </c>
      <c r="E874" s="116">
        <v>126.272233155823</v>
      </c>
      <c r="F874" s="116">
        <v>127.05</v>
      </c>
      <c r="G874">
        <v>700936</v>
      </c>
      <c r="H874" s="116"/>
      <c r="I874" s="116"/>
      <c r="L874" s="170">
        <v>43286</v>
      </c>
      <c r="M874" s="116">
        <v>126.9</v>
      </c>
      <c r="N874" s="116">
        <v>130.6</v>
      </c>
      <c r="O874" s="116">
        <v>126.2</v>
      </c>
      <c r="P874" s="116">
        <v>130.44999999999999</v>
      </c>
      <c r="Q874" s="116">
        <v>126.9</v>
      </c>
      <c r="R874">
        <v>1116619</v>
      </c>
    </row>
    <row r="875" spans="1:18" x14ac:dyDescent="0.25">
      <c r="A875" s="170">
        <v>43287</v>
      </c>
      <c r="B875" s="116">
        <v>124.381785135448</v>
      </c>
      <c r="C875" s="116">
        <v>123.169959481361</v>
      </c>
      <c r="D875" s="116">
        <v>121.715768696458</v>
      </c>
      <c r="E875" s="116">
        <v>122.152025931929</v>
      </c>
      <c r="F875" s="116">
        <v>127.05</v>
      </c>
      <c r="G875">
        <v>46043</v>
      </c>
      <c r="H875" s="116"/>
      <c r="I875" s="116"/>
      <c r="L875" s="170">
        <v>43287</v>
      </c>
      <c r="M875" s="116">
        <v>127.15</v>
      </c>
      <c r="N875" s="116">
        <v>128.75</v>
      </c>
      <c r="O875" s="116">
        <v>125.55</v>
      </c>
      <c r="P875" s="116">
        <v>126.65</v>
      </c>
      <c r="Q875" s="116">
        <v>127.15</v>
      </c>
      <c r="R875">
        <v>1561840</v>
      </c>
    </row>
    <row r="876" spans="1:18" x14ac:dyDescent="0.25">
      <c r="A876" s="170">
        <v>43290</v>
      </c>
      <c r="B876" s="116">
        <v>125.835975920352</v>
      </c>
      <c r="C876" s="116">
        <v>123.266905533688</v>
      </c>
      <c r="D876" s="116">
        <v>123.121486455198</v>
      </c>
      <c r="E876" s="116">
        <v>123.606216716833</v>
      </c>
      <c r="F876" s="116">
        <v>127.15</v>
      </c>
      <c r="G876">
        <v>34345</v>
      </c>
      <c r="H876" s="116"/>
      <c r="I876" s="116"/>
      <c r="L876" s="170">
        <v>43290</v>
      </c>
      <c r="M876" s="116">
        <v>127.45</v>
      </c>
      <c r="N876" s="116">
        <v>128.94999999999999</v>
      </c>
      <c r="O876" s="116">
        <v>127.05</v>
      </c>
      <c r="P876" s="116">
        <v>128</v>
      </c>
      <c r="Q876" s="116">
        <v>127.45</v>
      </c>
      <c r="R876">
        <v>1267372</v>
      </c>
    </row>
    <row r="877" spans="1:18" x14ac:dyDescent="0.25">
      <c r="A877" s="170">
        <v>43291</v>
      </c>
      <c r="B877" s="116">
        <v>125.060407501737</v>
      </c>
      <c r="C877" s="116">
        <v>123.363851586015</v>
      </c>
      <c r="D877" s="116">
        <v>122.539810141236</v>
      </c>
      <c r="E877" s="116">
        <v>124.090946978467</v>
      </c>
      <c r="F877" s="116">
        <v>127.25</v>
      </c>
      <c r="G877">
        <v>34830</v>
      </c>
      <c r="H877" s="116"/>
      <c r="I877" s="116"/>
      <c r="L877" s="170">
        <v>43291</v>
      </c>
      <c r="M877" s="116">
        <v>127.45</v>
      </c>
      <c r="N877" s="116">
        <v>129.44999999999999</v>
      </c>
      <c r="O877" s="116">
        <v>126</v>
      </c>
      <c r="P877" s="116">
        <v>128.19999999999999</v>
      </c>
      <c r="Q877" s="116">
        <v>127.45</v>
      </c>
      <c r="R877">
        <v>647238</v>
      </c>
    </row>
    <row r="878" spans="1:18" x14ac:dyDescent="0.25">
      <c r="A878" s="170">
        <v>43292</v>
      </c>
      <c r="B878" s="116">
        <v>125.59361078953501</v>
      </c>
      <c r="C878" s="116">
        <v>124.13942000463101</v>
      </c>
      <c r="D878" s="116">
        <v>123.121486455198</v>
      </c>
      <c r="E878" s="116">
        <v>124.187893030794</v>
      </c>
      <c r="F878" s="116">
        <v>128.05000000000001</v>
      </c>
      <c r="G878">
        <v>305275</v>
      </c>
      <c r="H878" s="116"/>
      <c r="I878" s="116"/>
      <c r="L878" s="170">
        <v>43292</v>
      </c>
      <c r="M878" s="116">
        <v>128.1</v>
      </c>
      <c r="N878" s="116">
        <v>129.9</v>
      </c>
      <c r="O878" s="116">
        <v>126.6</v>
      </c>
      <c r="P878" s="116">
        <v>127.5</v>
      </c>
      <c r="Q878" s="116">
        <v>128.1</v>
      </c>
      <c r="R878">
        <v>389184</v>
      </c>
    </row>
    <row r="879" spans="1:18" x14ac:dyDescent="0.25">
      <c r="A879" s="170">
        <v>43293</v>
      </c>
      <c r="B879" s="116">
        <v>125.302772632554</v>
      </c>
      <c r="C879" s="116">
        <v>123.024540402871</v>
      </c>
      <c r="D879" s="116">
        <v>122.394391062746</v>
      </c>
      <c r="E879" s="116">
        <v>124.575677240102</v>
      </c>
      <c r="F879" s="116">
        <v>126.9</v>
      </c>
      <c r="G879">
        <v>35134</v>
      </c>
      <c r="H879" s="116"/>
      <c r="I879" s="116"/>
      <c r="L879" s="170">
        <v>43293</v>
      </c>
      <c r="M879" s="116">
        <v>126.85</v>
      </c>
      <c r="N879" s="116">
        <v>129.30000000000001</v>
      </c>
      <c r="O879" s="116">
        <v>126.15</v>
      </c>
      <c r="P879" s="116">
        <v>128.9</v>
      </c>
      <c r="Q879" s="116">
        <v>126.85</v>
      </c>
      <c r="R879">
        <v>517768</v>
      </c>
    </row>
    <row r="880" spans="1:18" x14ac:dyDescent="0.25">
      <c r="A880" s="170">
        <v>43294</v>
      </c>
      <c r="B880" s="116">
        <v>123.073013429035</v>
      </c>
      <c r="C880" s="116">
        <v>122.200498958092</v>
      </c>
      <c r="D880" s="116">
        <v>120.794781199352</v>
      </c>
      <c r="E880" s="116">
        <v>123.073013429035</v>
      </c>
      <c r="F880" s="116">
        <v>126.05</v>
      </c>
      <c r="G880">
        <v>127393</v>
      </c>
      <c r="H880" s="116"/>
      <c r="I880" s="116"/>
      <c r="L880" s="170">
        <v>43294</v>
      </c>
      <c r="M880" s="116">
        <v>126.05</v>
      </c>
      <c r="N880" s="116">
        <v>127.15</v>
      </c>
      <c r="O880" s="116">
        <v>124.4</v>
      </c>
      <c r="P880" s="116">
        <v>126.85</v>
      </c>
      <c r="Q880" s="116">
        <v>126.05</v>
      </c>
      <c r="R880">
        <v>598051</v>
      </c>
    </row>
    <row r="881" spans="1:18" x14ac:dyDescent="0.25">
      <c r="A881" s="170">
        <v>43297</v>
      </c>
      <c r="B881" s="116">
        <v>122.539810141236</v>
      </c>
      <c r="C881" s="116">
        <v>121.23103843482301</v>
      </c>
      <c r="D881" s="116">
        <v>120.21310488539</v>
      </c>
      <c r="E881" s="116">
        <v>122.248971984256</v>
      </c>
      <c r="F881" s="116">
        <v>125.05</v>
      </c>
      <c r="G881">
        <v>245268</v>
      </c>
      <c r="H881" s="116"/>
      <c r="I881" s="116"/>
      <c r="L881" s="170">
        <v>43297</v>
      </c>
      <c r="M881" s="116">
        <v>125.45</v>
      </c>
      <c r="N881" s="116">
        <v>126.5</v>
      </c>
      <c r="O881" s="116">
        <v>123.9</v>
      </c>
      <c r="P881" s="116">
        <v>126.5</v>
      </c>
      <c r="Q881" s="116">
        <v>125.45</v>
      </c>
      <c r="R881">
        <v>685127</v>
      </c>
    </row>
    <row r="882" spans="1:18" x14ac:dyDescent="0.25">
      <c r="A882" s="170">
        <v>43298</v>
      </c>
      <c r="B882" s="116">
        <v>126.029868025006</v>
      </c>
      <c r="C882" s="116">
        <v>124.914988423246</v>
      </c>
      <c r="D882" s="116">
        <v>120.746308173188</v>
      </c>
      <c r="E882" s="116">
        <v>121.424930539477</v>
      </c>
      <c r="F882" s="116">
        <v>128.85</v>
      </c>
      <c r="G882">
        <v>536896</v>
      </c>
      <c r="H882" s="116"/>
      <c r="I882" s="116"/>
      <c r="L882" s="170">
        <v>43298</v>
      </c>
      <c r="M882" s="116">
        <v>129.35</v>
      </c>
      <c r="N882" s="116">
        <v>130.35</v>
      </c>
      <c r="O882" s="116">
        <v>124.55</v>
      </c>
      <c r="P882" s="116">
        <v>125.45</v>
      </c>
      <c r="Q882" s="116">
        <v>129.35</v>
      </c>
      <c r="R882">
        <v>459998</v>
      </c>
    </row>
    <row r="883" spans="1:18" x14ac:dyDescent="0.25">
      <c r="A883" s="170">
        <v>43299</v>
      </c>
      <c r="B883" s="116">
        <v>126.029868025006</v>
      </c>
      <c r="C883" s="116">
        <v>124.914988423246</v>
      </c>
      <c r="D883" s="116">
        <v>123.169959481361</v>
      </c>
      <c r="E883" s="116">
        <v>124.13942000463101</v>
      </c>
      <c r="F883" s="116">
        <v>128.85</v>
      </c>
      <c r="G883">
        <v>365771</v>
      </c>
      <c r="H883" s="116"/>
      <c r="I883" s="116"/>
      <c r="L883" s="170">
        <v>43299</v>
      </c>
      <c r="M883" s="116">
        <v>128.9</v>
      </c>
      <c r="N883" s="116">
        <v>129.69999999999999</v>
      </c>
      <c r="O883" s="116">
        <v>127</v>
      </c>
      <c r="P883" s="116">
        <v>129</v>
      </c>
      <c r="Q883" s="116">
        <v>128.9</v>
      </c>
      <c r="R883">
        <v>1335742</v>
      </c>
    </row>
    <row r="884" spans="1:18" x14ac:dyDescent="0.25">
      <c r="A884" s="170">
        <v>43300</v>
      </c>
      <c r="B884" s="116">
        <v>126.029868025006</v>
      </c>
      <c r="C884" s="116">
        <v>125.060407501737</v>
      </c>
      <c r="D884" s="116">
        <v>122.830648298217</v>
      </c>
      <c r="E884" s="116">
        <v>126.029868025006</v>
      </c>
      <c r="F884" s="116">
        <v>129</v>
      </c>
      <c r="G884">
        <v>535500</v>
      </c>
      <c r="H884" s="116"/>
      <c r="I884" s="116"/>
      <c r="L884" s="170">
        <v>43300</v>
      </c>
      <c r="M884" s="116">
        <v>129.15</v>
      </c>
      <c r="N884" s="116">
        <v>130.30000000000001</v>
      </c>
      <c r="O884" s="116">
        <v>126.5</v>
      </c>
      <c r="P884" s="116">
        <v>128.19999999999999</v>
      </c>
      <c r="Q884" s="116">
        <v>129.15</v>
      </c>
      <c r="R884">
        <v>1234213</v>
      </c>
    </row>
    <row r="885" spans="1:18" x14ac:dyDescent="0.25">
      <c r="A885" s="170">
        <v>43301</v>
      </c>
      <c r="B885" s="116">
        <v>124.86651539708301</v>
      </c>
      <c r="C885" s="116">
        <v>123.169959481361</v>
      </c>
      <c r="D885" s="116">
        <v>121.182565408659</v>
      </c>
      <c r="E885" s="116">
        <v>123.266905533688</v>
      </c>
      <c r="F885" s="116">
        <v>127.05</v>
      </c>
      <c r="G885">
        <v>574547</v>
      </c>
      <c r="H885" s="116"/>
      <c r="I885" s="116"/>
      <c r="L885" s="170">
        <v>43301</v>
      </c>
      <c r="M885" s="116">
        <v>128</v>
      </c>
      <c r="N885" s="116">
        <v>129.94999999999999</v>
      </c>
      <c r="O885" s="116">
        <v>125.15</v>
      </c>
      <c r="P885" s="116">
        <v>129.94999999999999</v>
      </c>
      <c r="Q885" s="116">
        <v>128</v>
      </c>
      <c r="R885">
        <v>1045352</v>
      </c>
    </row>
    <row r="886" spans="1:18" x14ac:dyDescent="0.25">
      <c r="A886" s="170">
        <v>43304</v>
      </c>
      <c r="B886" s="116">
        <v>125.060407501737</v>
      </c>
      <c r="C886" s="116">
        <v>124.381785135448</v>
      </c>
      <c r="D886" s="116">
        <v>120.697835147025</v>
      </c>
      <c r="E886" s="116">
        <v>125.011934475573</v>
      </c>
      <c r="F886" s="116">
        <v>128.30000000000001</v>
      </c>
      <c r="G886">
        <v>372847</v>
      </c>
      <c r="H886" s="116"/>
      <c r="I886" s="116"/>
      <c r="L886" s="170">
        <v>43304</v>
      </c>
      <c r="M886" s="116">
        <v>128.44999999999999</v>
      </c>
      <c r="N886" s="116">
        <v>130</v>
      </c>
      <c r="O886" s="116">
        <v>127.95</v>
      </c>
      <c r="P886" s="116">
        <v>129.19999999999999</v>
      </c>
      <c r="Q886" s="116">
        <v>128.44999999999999</v>
      </c>
      <c r="R886">
        <v>375223</v>
      </c>
    </row>
    <row r="887" spans="1:18" x14ac:dyDescent="0.25">
      <c r="A887" s="170">
        <v>43305</v>
      </c>
      <c r="B887" s="116">
        <v>126.029868025006</v>
      </c>
      <c r="C887" s="116">
        <v>124.76956934475599</v>
      </c>
      <c r="D887" s="116">
        <v>124.187893030794</v>
      </c>
      <c r="E887" s="116">
        <v>124.52720421393801</v>
      </c>
      <c r="F887" s="116">
        <v>128.69999999999999</v>
      </c>
      <c r="G887">
        <v>25052</v>
      </c>
      <c r="H887" s="116"/>
      <c r="I887" s="116"/>
      <c r="L887" s="170">
        <v>43305</v>
      </c>
      <c r="M887" s="116">
        <v>128.44999999999999</v>
      </c>
      <c r="N887" s="116">
        <v>129.65</v>
      </c>
      <c r="O887" s="116">
        <v>128</v>
      </c>
      <c r="P887" s="116">
        <v>129</v>
      </c>
      <c r="Q887" s="116">
        <v>128.44999999999999</v>
      </c>
      <c r="R887">
        <v>1155454</v>
      </c>
    </row>
    <row r="888" spans="1:18" x14ac:dyDescent="0.25">
      <c r="A888" s="170">
        <v>43306</v>
      </c>
      <c r="B888" s="116">
        <v>128.79283051632299</v>
      </c>
      <c r="C888" s="116">
        <v>126.36917920815</v>
      </c>
      <c r="D888" s="116">
        <v>123.94552789997699</v>
      </c>
      <c r="E888" s="116">
        <v>124.090946978467</v>
      </c>
      <c r="F888" s="116">
        <v>130.35</v>
      </c>
      <c r="G888">
        <v>276817</v>
      </c>
      <c r="H888" s="116"/>
      <c r="I888" s="116"/>
      <c r="L888" s="170">
        <v>43306</v>
      </c>
      <c r="M888" s="116">
        <v>130.65</v>
      </c>
      <c r="N888" s="116">
        <v>132.9</v>
      </c>
      <c r="O888" s="116">
        <v>128.15</v>
      </c>
      <c r="P888" s="116">
        <v>128.15</v>
      </c>
      <c r="Q888" s="116">
        <v>130.65</v>
      </c>
      <c r="R888">
        <v>685009</v>
      </c>
    </row>
    <row r="889" spans="1:18" x14ac:dyDescent="0.25">
      <c r="A889" s="170">
        <v>43307</v>
      </c>
      <c r="B889" s="116">
        <v>128.35657328085199</v>
      </c>
      <c r="C889" s="116">
        <v>125.545137763371</v>
      </c>
      <c r="D889" s="116">
        <v>125.205826580227</v>
      </c>
      <c r="E889" s="116">
        <v>125.88444894651499</v>
      </c>
      <c r="F889" s="116">
        <v>129.5</v>
      </c>
      <c r="G889">
        <v>36958</v>
      </c>
      <c r="H889" s="116"/>
      <c r="I889" s="116"/>
      <c r="L889" s="170">
        <v>43307</v>
      </c>
      <c r="M889" s="116">
        <v>129.35</v>
      </c>
      <c r="N889" s="116">
        <v>132.25</v>
      </c>
      <c r="O889" s="116">
        <v>129.1</v>
      </c>
      <c r="P889" s="116">
        <v>130.80000000000001</v>
      </c>
      <c r="Q889" s="116">
        <v>129.35</v>
      </c>
      <c r="R889">
        <v>368487</v>
      </c>
    </row>
    <row r="890" spans="1:18" x14ac:dyDescent="0.25">
      <c r="A890" s="170">
        <v>43308</v>
      </c>
      <c r="B890" s="116">
        <v>126.51459828663999</v>
      </c>
      <c r="C890" s="116">
        <v>125.690556841862</v>
      </c>
      <c r="D890" s="116">
        <v>125.060407501737</v>
      </c>
      <c r="E890" s="116">
        <v>125.39971868488099</v>
      </c>
      <c r="F890" s="116">
        <v>129.65</v>
      </c>
      <c r="G890">
        <v>21731</v>
      </c>
      <c r="H890" s="116"/>
      <c r="I890" s="116"/>
      <c r="L890" s="170">
        <v>43308</v>
      </c>
      <c r="M890" s="116">
        <v>129.75</v>
      </c>
      <c r="N890" s="116">
        <v>130.30000000000001</v>
      </c>
      <c r="O890" s="116">
        <v>129</v>
      </c>
      <c r="P890" s="116">
        <v>130</v>
      </c>
      <c r="Q890" s="116">
        <v>129.75</v>
      </c>
      <c r="R890">
        <v>158788</v>
      </c>
    </row>
    <row r="891" spans="1:18" x14ac:dyDescent="0.25">
      <c r="A891" s="170">
        <v>43311</v>
      </c>
      <c r="B891" s="116">
        <v>128.88977656865001</v>
      </c>
      <c r="C891" s="116">
        <v>128.598938411669</v>
      </c>
      <c r="D891" s="116">
        <v>125.1088805279</v>
      </c>
      <c r="E891" s="116">
        <v>125.1088805279</v>
      </c>
      <c r="F891" s="116">
        <v>132.65</v>
      </c>
      <c r="G891">
        <v>30577</v>
      </c>
      <c r="H891" s="116"/>
      <c r="I891" s="116"/>
      <c r="L891" s="170">
        <v>43311</v>
      </c>
      <c r="M891" s="116">
        <v>132.75</v>
      </c>
      <c r="N891" s="116">
        <v>133</v>
      </c>
      <c r="O891" s="116">
        <v>129</v>
      </c>
      <c r="P891" s="116">
        <v>130.9</v>
      </c>
      <c r="Q891" s="116">
        <v>132.75</v>
      </c>
      <c r="R891">
        <v>607853</v>
      </c>
    </row>
    <row r="892" spans="1:18" x14ac:dyDescent="0.25">
      <c r="A892" s="170">
        <v>43312</v>
      </c>
      <c r="B892" s="116">
        <v>130.19854827506401</v>
      </c>
      <c r="C892" s="116">
        <v>129.083668673304</v>
      </c>
      <c r="D892" s="116">
        <v>128.06573512387101</v>
      </c>
      <c r="E892" s="116">
        <v>128.06573512387101</v>
      </c>
      <c r="F892" s="116">
        <v>133.15</v>
      </c>
      <c r="G892">
        <v>40778</v>
      </c>
      <c r="H892" s="116"/>
      <c r="I892" s="116"/>
      <c r="L892" s="170">
        <v>43312</v>
      </c>
      <c r="M892" s="116">
        <v>133</v>
      </c>
      <c r="N892" s="116">
        <v>134.4</v>
      </c>
      <c r="O892" s="116">
        <v>131.9</v>
      </c>
      <c r="P892" s="116">
        <v>132.65</v>
      </c>
      <c r="Q892" s="116">
        <v>133</v>
      </c>
      <c r="R892">
        <v>2331842</v>
      </c>
    </row>
    <row r="893" spans="1:18" x14ac:dyDescent="0.25">
      <c r="A893" s="170">
        <v>43313</v>
      </c>
      <c r="B893" s="116">
        <v>129.95618314424601</v>
      </c>
      <c r="C893" s="116">
        <v>125.49666473720799</v>
      </c>
      <c r="D893" s="116">
        <v>124.575677240102</v>
      </c>
      <c r="E893" s="116">
        <v>129.13214169946701</v>
      </c>
      <c r="F893" s="116">
        <v>129.44999999999999</v>
      </c>
      <c r="G893">
        <v>37472</v>
      </c>
      <c r="H893" s="116"/>
      <c r="I893" s="116"/>
      <c r="L893" s="170">
        <v>43313</v>
      </c>
      <c r="M893" s="116">
        <v>129.6</v>
      </c>
      <c r="N893" s="116">
        <v>133.75</v>
      </c>
      <c r="O893" s="116">
        <v>128.65</v>
      </c>
      <c r="P893" s="116">
        <v>133</v>
      </c>
      <c r="Q893" s="116">
        <v>129.6</v>
      </c>
      <c r="R893">
        <v>1275102</v>
      </c>
    </row>
    <row r="894" spans="1:18" x14ac:dyDescent="0.25">
      <c r="A894" s="170">
        <v>43314</v>
      </c>
      <c r="B894" s="116">
        <v>127.144747626765</v>
      </c>
      <c r="C894" s="116">
        <v>125.011934475573</v>
      </c>
      <c r="D894" s="116">
        <v>124.187893030794</v>
      </c>
      <c r="E894" s="116">
        <v>124.67262329242899</v>
      </c>
      <c r="F894" s="116">
        <v>128.94999999999999</v>
      </c>
      <c r="G894">
        <v>38585</v>
      </c>
      <c r="H894" s="116"/>
      <c r="I894" s="116"/>
      <c r="L894" s="170">
        <v>43314</v>
      </c>
      <c r="M894" s="116">
        <v>128.85</v>
      </c>
      <c r="N894" s="116">
        <v>131.69999999999999</v>
      </c>
      <c r="O894" s="116">
        <v>128.25</v>
      </c>
      <c r="P894" s="116">
        <v>129.80000000000001</v>
      </c>
      <c r="Q894" s="116">
        <v>128.85</v>
      </c>
      <c r="R894">
        <v>372803</v>
      </c>
    </row>
    <row r="895" spans="1:18" x14ac:dyDescent="0.25">
      <c r="A895" s="170">
        <v>43315</v>
      </c>
      <c r="B895" s="116">
        <v>126.272233155823</v>
      </c>
      <c r="C895" s="116">
        <v>125.835975920352</v>
      </c>
      <c r="D895" s="116">
        <v>124.284839083121</v>
      </c>
      <c r="E895" s="116">
        <v>125.011934475573</v>
      </c>
      <c r="F895" s="116">
        <v>129.80000000000001</v>
      </c>
      <c r="G895">
        <v>47854</v>
      </c>
      <c r="H895" s="116"/>
      <c r="I895" s="116"/>
      <c r="L895" s="170">
        <v>43315</v>
      </c>
      <c r="M895" s="116">
        <v>130.1</v>
      </c>
      <c r="N895" s="116">
        <v>130.5</v>
      </c>
      <c r="O895" s="116">
        <v>127.8</v>
      </c>
      <c r="P895" s="116">
        <v>129.30000000000001</v>
      </c>
      <c r="Q895" s="116">
        <v>130.1</v>
      </c>
      <c r="R895">
        <v>558772</v>
      </c>
    </row>
    <row r="896" spans="1:18" x14ac:dyDescent="0.25">
      <c r="A896" s="170">
        <v>43318</v>
      </c>
      <c r="B896" s="116">
        <v>127.96878907154399</v>
      </c>
      <c r="C896" s="116">
        <v>125.88444894651499</v>
      </c>
      <c r="D896" s="116">
        <v>125.205826580227</v>
      </c>
      <c r="E896" s="116">
        <v>125.205826580227</v>
      </c>
      <c r="F896" s="116">
        <v>129.85</v>
      </c>
      <c r="G896">
        <v>61862</v>
      </c>
      <c r="H896" s="116"/>
      <c r="I896" s="116"/>
      <c r="L896" s="170">
        <v>43318</v>
      </c>
      <c r="M896" s="116">
        <v>130</v>
      </c>
      <c r="N896" s="116">
        <v>131.69999999999999</v>
      </c>
      <c r="O896" s="116">
        <v>129.55000000000001</v>
      </c>
      <c r="P896" s="116">
        <v>129.55000000000001</v>
      </c>
      <c r="Q896" s="116">
        <v>130</v>
      </c>
      <c r="R896">
        <v>629512</v>
      </c>
    </row>
    <row r="897" spans="1:18" x14ac:dyDescent="0.25">
      <c r="A897" s="170">
        <v>43319</v>
      </c>
      <c r="B897" s="116">
        <v>126.36917920815</v>
      </c>
      <c r="C897" s="116">
        <v>123.266905533688</v>
      </c>
      <c r="D897" s="116">
        <v>121.909660801111</v>
      </c>
      <c r="E897" s="116">
        <v>125.642083815698</v>
      </c>
      <c r="F897" s="116">
        <v>127.15</v>
      </c>
      <c r="G897">
        <v>82018</v>
      </c>
      <c r="H897" s="116"/>
      <c r="I897" s="116"/>
      <c r="L897" s="170">
        <v>43319</v>
      </c>
      <c r="M897" s="116">
        <v>126.6</v>
      </c>
      <c r="N897" s="116">
        <v>130.55000000000001</v>
      </c>
      <c r="O897" s="116">
        <v>125.55</v>
      </c>
      <c r="P897" s="116">
        <v>130</v>
      </c>
      <c r="Q897" s="116">
        <v>126.6</v>
      </c>
      <c r="R897">
        <v>1026315</v>
      </c>
    </row>
    <row r="898" spans="1:18" x14ac:dyDescent="0.25">
      <c r="A898" s="170">
        <v>43320</v>
      </c>
      <c r="B898" s="116">
        <v>125.25429960639001</v>
      </c>
      <c r="C898" s="116">
        <v>122.539810141236</v>
      </c>
      <c r="D898" s="116">
        <v>122.152025931929</v>
      </c>
      <c r="E898" s="116">
        <v>124.52720421393801</v>
      </c>
      <c r="F898" s="116">
        <v>126.4</v>
      </c>
      <c r="G898">
        <v>96887</v>
      </c>
      <c r="H898" s="116"/>
      <c r="I898" s="116"/>
      <c r="L898" s="170">
        <v>43320</v>
      </c>
      <c r="M898" s="116">
        <v>126.55</v>
      </c>
      <c r="N898" s="116">
        <v>128.9</v>
      </c>
      <c r="O898" s="116">
        <v>126</v>
      </c>
      <c r="P898" s="116">
        <v>128.1</v>
      </c>
      <c r="Q898" s="116">
        <v>126.55</v>
      </c>
      <c r="R898">
        <v>2461562</v>
      </c>
    </row>
    <row r="899" spans="1:18" x14ac:dyDescent="0.25">
      <c r="A899" s="170">
        <v>43321</v>
      </c>
      <c r="B899" s="116">
        <v>124.236366056958</v>
      </c>
      <c r="C899" s="116">
        <v>123.897054873813</v>
      </c>
      <c r="D899" s="116">
        <v>121.03714633016899</v>
      </c>
      <c r="E899" s="116">
        <v>123.509270664506</v>
      </c>
      <c r="F899" s="116">
        <v>127.8</v>
      </c>
      <c r="G899">
        <v>61136</v>
      </c>
      <c r="H899" s="116"/>
      <c r="I899" s="116"/>
      <c r="L899" s="170">
        <v>43321</v>
      </c>
      <c r="M899" s="116">
        <v>128.1</v>
      </c>
      <c r="N899" s="116">
        <v>129</v>
      </c>
      <c r="O899" s="116">
        <v>124.75</v>
      </c>
      <c r="P899" s="116">
        <v>126.9</v>
      </c>
      <c r="Q899" s="116">
        <v>128.1</v>
      </c>
      <c r="R899">
        <v>1251386</v>
      </c>
    </row>
    <row r="900" spans="1:18" x14ac:dyDescent="0.25">
      <c r="A900" s="170">
        <v>43322</v>
      </c>
      <c r="B900" s="116">
        <v>125.351245658717</v>
      </c>
      <c r="C900" s="116">
        <v>120.116158833063</v>
      </c>
      <c r="D900" s="116">
        <v>119.340590414448</v>
      </c>
      <c r="E900" s="116">
        <v>124.13942000463101</v>
      </c>
      <c r="F900" s="116">
        <v>123.9</v>
      </c>
      <c r="G900">
        <v>66197</v>
      </c>
      <c r="H900" s="116"/>
      <c r="I900" s="116"/>
      <c r="L900" s="170">
        <v>43322</v>
      </c>
      <c r="M900" s="116">
        <v>123.85</v>
      </c>
      <c r="N900" s="116">
        <v>129</v>
      </c>
      <c r="O900" s="116">
        <v>122.6</v>
      </c>
      <c r="P900" s="116">
        <v>128</v>
      </c>
      <c r="Q900" s="116">
        <v>123.85</v>
      </c>
      <c r="R900">
        <v>1365984</v>
      </c>
    </row>
    <row r="901" spans="1:18" x14ac:dyDescent="0.25">
      <c r="A901" s="170">
        <v>43325</v>
      </c>
      <c r="B901" s="116">
        <v>123.897054873813</v>
      </c>
      <c r="C901" s="116">
        <v>121.570349617967</v>
      </c>
      <c r="D901" s="116">
        <v>118.274183838852</v>
      </c>
      <c r="E901" s="116">
        <v>120.116158833063</v>
      </c>
      <c r="F901" s="116">
        <v>125.4</v>
      </c>
      <c r="G901">
        <v>61869</v>
      </c>
      <c r="H901" s="116"/>
      <c r="I901" s="116"/>
      <c r="L901" s="170">
        <v>43325</v>
      </c>
      <c r="M901" s="116">
        <v>125.95</v>
      </c>
      <c r="N901" s="116">
        <v>128.4</v>
      </c>
      <c r="O901" s="116">
        <v>122.1</v>
      </c>
      <c r="P901" s="116">
        <v>124</v>
      </c>
      <c r="Q901" s="116">
        <v>125.95</v>
      </c>
      <c r="R901">
        <v>979690</v>
      </c>
    </row>
    <row r="902" spans="1:18" x14ac:dyDescent="0.25">
      <c r="A902" s="170">
        <v>43326</v>
      </c>
      <c r="B902" s="116">
        <v>123.121486455198</v>
      </c>
      <c r="C902" s="116">
        <v>121.13409238249599</v>
      </c>
      <c r="D902" s="116">
        <v>120.019212780736</v>
      </c>
      <c r="E902" s="116">
        <v>123.121486455198</v>
      </c>
      <c r="F902" s="116">
        <v>124.95</v>
      </c>
      <c r="G902">
        <v>41901</v>
      </c>
      <c r="H902" s="116"/>
      <c r="I902" s="116"/>
      <c r="L902" s="170">
        <v>43326</v>
      </c>
      <c r="M902" s="116">
        <v>125.05</v>
      </c>
      <c r="N902" s="116">
        <v>127.3</v>
      </c>
      <c r="O902" s="116">
        <v>123.8</v>
      </c>
      <c r="P902" s="116">
        <v>126</v>
      </c>
      <c r="Q902" s="116">
        <v>125.05</v>
      </c>
      <c r="R902">
        <v>1375060</v>
      </c>
    </row>
    <row r="903" spans="1:18" x14ac:dyDescent="0.25">
      <c r="A903" s="170">
        <v>43328</v>
      </c>
      <c r="B903" s="116">
        <v>120.988673304006</v>
      </c>
      <c r="C903" s="116">
        <v>120.0676858069</v>
      </c>
      <c r="D903" s="116">
        <v>119.825320676082</v>
      </c>
      <c r="E903" s="116">
        <v>120.794781199352</v>
      </c>
      <c r="F903" s="116">
        <v>123.85</v>
      </c>
      <c r="G903">
        <v>20719</v>
      </c>
      <c r="H903" s="116"/>
      <c r="I903" s="116"/>
      <c r="L903" s="170">
        <v>43328</v>
      </c>
      <c r="M903" s="116">
        <v>124.05</v>
      </c>
      <c r="N903" s="116">
        <v>124.9</v>
      </c>
      <c r="O903" s="116">
        <v>123.65</v>
      </c>
      <c r="P903" s="116">
        <v>124.9</v>
      </c>
      <c r="Q903" s="116">
        <v>124.05</v>
      </c>
      <c r="R903">
        <v>1616556</v>
      </c>
    </row>
    <row r="904" spans="1:18" x14ac:dyDescent="0.25">
      <c r="A904" s="170">
        <v>43329</v>
      </c>
      <c r="B904" s="116">
        <v>127.96878907154399</v>
      </c>
      <c r="C904" s="116">
        <v>123.41232461217901</v>
      </c>
      <c r="D904" s="116">
        <v>120.40699699004399</v>
      </c>
      <c r="E904" s="116">
        <v>120.40699699004399</v>
      </c>
      <c r="F904" s="116">
        <v>127.3</v>
      </c>
      <c r="G904">
        <v>133108</v>
      </c>
      <c r="H904" s="116"/>
      <c r="I904" s="116"/>
      <c r="L904" s="170">
        <v>43329</v>
      </c>
      <c r="M904" s="116">
        <v>127.45</v>
      </c>
      <c r="N904" s="116">
        <v>132</v>
      </c>
      <c r="O904" s="116">
        <v>124</v>
      </c>
      <c r="P904" s="116">
        <v>125.15</v>
      </c>
      <c r="Q904" s="116">
        <v>127.45</v>
      </c>
      <c r="R904">
        <v>9988903</v>
      </c>
    </row>
    <row r="905" spans="1:18" x14ac:dyDescent="0.25">
      <c r="A905" s="170">
        <v>43332</v>
      </c>
      <c r="B905" s="116">
        <v>124.090946978467</v>
      </c>
      <c r="C905" s="116">
        <v>122.055079879602</v>
      </c>
      <c r="D905" s="116">
        <v>121.085619356333</v>
      </c>
      <c r="E905" s="116">
        <v>124.090946978467</v>
      </c>
      <c r="F905" s="116">
        <v>125.9</v>
      </c>
      <c r="G905">
        <v>76075</v>
      </c>
      <c r="H905" s="116"/>
      <c r="I905" s="116"/>
      <c r="L905" s="170">
        <v>43332</v>
      </c>
      <c r="M905" s="116">
        <v>126.2</v>
      </c>
      <c r="N905" s="116">
        <v>128.5</v>
      </c>
      <c r="O905" s="116">
        <v>124.75</v>
      </c>
      <c r="P905" s="116">
        <v>128.35</v>
      </c>
      <c r="Q905" s="116">
        <v>126.2</v>
      </c>
      <c r="R905">
        <v>454881</v>
      </c>
    </row>
    <row r="906" spans="1:18" x14ac:dyDescent="0.25">
      <c r="A906" s="170">
        <v>43333</v>
      </c>
      <c r="B906" s="116">
        <v>125.739029868025</v>
      </c>
      <c r="C906" s="116">
        <v>124.818042370919</v>
      </c>
      <c r="D906" s="116">
        <v>121.521876591804</v>
      </c>
      <c r="E906" s="116">
        <v>122.976067376708</v>
      </c>
      <c r="F906" s="116">
        <v>128.75</v>
      </c>
      <c r="G906">
        <v>49358</v>
      </c>
      <c r="H906" s="116"/>
      <c r="I906" s="116"/>
      <c r="L906" s="170">
        <v>43333</v>
      </c>
      <c r="M906" s="116">
        <v>129.25</v>
      </c>
      <c r="N906" s="116">
        <v>130</v>
      </c>
      <c r="O906" s="116">
        <v>125.5</v>
      </c>
      <c r="P906" s="116">
        <v>126.25</v>
      </c>
      <c r="Q906" s="116">
        <v>129.25</v>
      </c>
      <c r="R906">
        <v>831442</v>
      </c>
    </row>
    <row r="907" spans="1:18" x14ac:dyDescent="0.25">
      <c r="A907" s="170">
        <v>43335</v>
      </c>
      <c r="B907" s="116">
        <v>126.029868025006</v>
      </c>
      <c r="C907" s="116">
        <v>122.830648298217</v>
      </c>
      <c r="D907" s="116">
        <v>121.95813382727501</v>
      </c>
      <c r="E907" s="116">
        <v>126.029868025006</v>
      </c>
      <c r="F907" s="116">
        <v>126.7</v>
      </c>
      <c r="G907">
        <v>49959</v>
      </c>
      <c r="H907" s="116"/>
      <c r="I907" s="116"/>
      <c r="L907" s="170">
        <v>43335</v>
      </c>
      <c r="M907" s="116">
        <v>126.45</v>
      </c>
      <c r="N907" s="116">
        <v>129.9</v>
      </c>
      <c r="O907" s="116">
        <v>125.75</v>
      </c>
      <c r="P907" s="116">
        <v>129.9</v>
      </c>
      <c r="Q907" s="116">
        <v>126.45</v>
      </c>
      <c r="R907">
        <v>736510</v>
      </c>
    </row>
    <row r="908" spans="1:18" x14ac:dyDescent="0.25">
      <c r="A908" s="170">
        <v>43336</v>
      </c>
      <c r="B908" s="116">
        <v>123.99400092614</v>
      </c>
      <c r="C908" s="116">
        <v>122.636756193563</v>
      </c>
      <c r="D908" s="116">
        <v>121.23103843482301</v>
      </c>
      <c r="E908" s="116">
        <v>121.23103843482301</v>
      </c>
      <c r="F908" s="116">
        <v>126.5</v>
      </c>
      <c r="G908">
        <v>462278</v>
      </c>
      <c r="H908" s="116"/>
      <c r="I908" s="116"/>
      <c r="L908" s="170">
        <v>43336</v>
      </c>
      <c r="M908" s="116">
        <v>126.2</v>
      </c>
      <c r="N908" s="116">
        <v>128.35</v>
      </c>
      <c r="O908" s="116">
        <v>125.5</v>
      </c>
      <c r="P908" s="116">
        <v>126.2</v>
      </c>
      <c r="Q908" s="116">
        <v>126.2</v>
      </c>
      <c r="R908">
        <v>3474130</v>
      </c>
    </row>
    <row r="909" spans="1:18" x14ac:dyDescent="0.25">
      <c r="A909" s="170">
        <v>43339</v>
      </c>
      <c r="B909" s="116">
        <v>123.70316276916</v>
      </c>
      <c r="C909" s="116">
        <v>122.345918036583</v>
      </c>
      <c r="D909" s="116">
        <v>121.95813382727501</v>
      </c>
      <c r="E909" s="116">
        <v>123.654689742996</v>
      </c>
      <c r="F909" s="116">
        <v>126.2</v>
      </c>
      <c r="G909">
        <v>22938</v>
      </c>
      <c r="H909" s="116"/>
      <c r="I909" s="116"/>
      <c r="L909" s="170">
        <v>43339</v>
      </c>
      <c r="M909" s="116">
        <v>126.35</v>
      </c>
      <c r="N909" s="116">
        <v>127.35</v>
      </c>
      <c r="O909" s="116">
        <v>125.95</v>
      </c>
      <c r="P909" s="116">
        <v>126.5</v>
      </c>
      <c r="Q909" s="116">
        <v>126.35</v>
      </c>
      <c r="R909">
        <v>2258020</v>
      </c>
    </row>
    <row r="910" spans="1:18" x14ac:dyDescent="0.25">
      <c r="A910" s="170">
        <v>43340</v>
      </c>
      <c r="B910" s="116">
        <v>123.21843250752499</v>
      </c>
      <c r="C910" s="116">
        <v>122.442864088909</v>
      </c>
      <c r="D910" s="116">
        <v>121.812714748784</v>
      </c>
      <c r="E910" s="116">
        <v>123.073013429035</v>
      </c>
      <c r="F910" s="116">
        <v>126.3</v>
      </c>
      <c r="G910">
        <v>18111</v>
      </c>
      <c r="H910" s="116"/>
      <c r="I910" s="116"/>
      <c r="L910" s="170">
        <v>43340</v>
      </c>
      <c r="M910" s="116">
        <v>126.25</v>
      </c>
      <c r="N910" s="116">
        <v>127.5</v>
      </c>
      <c r="O910" s="116">
        <v>125.55</v>
      </c>
      <c r="P910" s="116">
        <v>126.5</v>
      </c>
      <c r="Q910" s="116">
        <v>126.25</v>
      </c>
      <c r="R910">
        <v>294474</v>
      </c>
    </row>
    <row r="911" spans="1:18" x14ac:dyDescent="0.25">
      <c r="A911" s="170">
        <v>43341</v>
      </c>
      <c r="B911" s="116">
        <v>125.15735355406299</v>
      </c>
      <c r="C911" s="116">
        <v>124.284839083121</v>
      </c>
      <c r="D911" s="116">
        <v>122.394391062746</v>
      </c>
      <c r="E911" s="116">
        <v>122.636756193563</v>
      </c>
      <c r="F911" s="116">
        <v>128.19999999999999</v>
      </c>
      <c r="G911">
        <v>75897</v>
      </c>
      <c r="H911" s="116"/>
      <c r="I911" s="116"/>
      <c r="L911" s="170">
        <v>43341</v>
      </c>
      <c r="M911" s="116">
        <v>128.6</v>
      </c>
      <c r="N911" s="116">
        <v>129.25</v>
      </c>
      <c r="O911" s="116">
        <v>126.15</v>
      </c>
      <c r="P911" s="116">
        <v>127.3</v>
      </c>
      <c r="Q911" s="116">
        <v>128.6</v>
      </c>
      <c r="R911">
        <v>969446</v>
      </c>
    </row>
    <row r="912" spans="1:18" x14ac:dyDescent="0.25">
      <c r="A912" s="170">
        <v>43342</v>
      </c>
      <c r="B912" s="116">
        <v>131.749685112295</v>
      </c>
      <c r="C912" s="116">
        <v>130.44091340588099</v>
      </c>
      <c r="D912" s="116">
        <v>124.721096318592</v>
      </c>
      <c r="E912" s="116">
        <v>124.721096318592</v>
      </c>
      <c r="F912" s="116">
        <v>134.55000000000001</v>
      </c>
      <c r="G912">
        <v>223370</v>
      </c>
      <c r="H912" s="116"/>
      <c r="I912" s="116"/>
      <c r="L912" s="170">
        <v>43342</v>
      </c>
      <c r="M912" s="116">
        <v>134.9</v>
      </c>
      <c r="N912" s="116">
        <v>135.75</v>
      </c>
      <c r="O912" s="116">
        <v>128.85</v>
      </c>
      <c r="P912" s="116">
        <v>129.4</v>
      </c>
      <c r="Q912" s="116">
        <v>134.9</v>
      </c>
      <c r="R912">
        <v>1179976</v>
      </c>
    </row>
    <row r="913" spans="1:18" x14ac:dyDescent="0.25">
      <c r="A913" s="170">
        <v>43343</v>
      </c>
      <c r="B913" s="116">
        <v>133.78555221116</v>
      </c>
      <c r="C913" s="116">
        <v>132.62219958323701</v>
      </c>
      <c r="D913" s="116">
        <v>127.48405880991</v>
      </c>
      <c r="E913" s="116">
        <v>130.295494327391</v>
      </c>
      <c r="F913" s="116">
        <v>136.80000000000001</v>
      </c>
      <c r="G913">
        <v>104097</v>
      </c>
      <c r="H913" s="116"/>
      <c r="I913" s="116"/>
      <c r="L913" s="170">
        <v>43343</v>
      </c>
      <c r="M913" s="116">
        <v>137.25</v>
      </c>
      <c r="N913" s="116">
        <v>138.4</v>
      </c>
      <c r="O913" s="116">
        <v>133.15</v>
      </c>
      <c r="P913" s="116">
        <v>134.9</v>
      </c>
      <c r="Q913" s="116">
        <v>137.25</v>
      </c>
      <c r="R913">
        <v>692935</v>
      </c>
    </row>
    <row r="914" spans="1:18" x14ac:dyDescent="0.25">
      <c r="A914" s="170">
        <v>43346</v>
      </c>
      <c r="B914" s="116">
        <v>135.04585089141</v>
      </c>
      <c r="C914" s="116">
        <v>131.84663116462099</v>
      </c>
      <c r="D914" s="116">
        <v>129.51992590877501</v>
      </c>
      <c r="E914" s="116">
        <v>133.93097128964999</v>
      </c>
      <c r="F914" s="116">
        <v>136</v>
      </c>
      <c r="G914">
        <v>34028</v>
      </c>
      <c r="H914" s="116"/>
      <c r="I914" s="116"/>
      <c r="L914" s="170">
        <v>43346</v>
      </c>
      <c r="M914" s="116">
        <v>136.35</v>
      </c>
      <c r="N914" s="116">
        <v>139.5</v>
      </c>
      <c r="O914" s="116">
        <v>133.44999999999999</v>
      </c>
      <c r="P914" s="116">
        <v>138.25</v>
      </c>
      <c r="Q914" s="116">
        <v>136.35</v>
      </c>
      <c r="R914">
        <v>519538</v>
      </c>
    </row>
    <row r="915" spans="1:18" x14ac:dyDescent="0.25">
      <c r="A915" s="170">
        <v>43347</v>
      </c>
      <c r="B915" s="116">
        <v>132.573726557073</v>
      </c>
      <c r="C915" s="116">
        <v>127.43558578374601</v>
      </c>
      <c r="D915" s="116">
        <v>126.660017365131</v>
      </c>
      <c r="E915" s="116">
        <v>132.08899629543899</v>
      </c>
      <c r="F915" s="116">
        <v>131.44999999999999</v>
      </c>
      <c r="G915">
        <v>44545</v>
      </c>
      <c r="H915" s="116"/>
      <c r="I915" s="116"/>
      <c r="L915" s="170">
        <v>43347</v>
      </c>
      <c r="M915" s="116">
        <v>131.1</v>
      </c>
      <c r="N915" s="116">
        <v>137</v>
      </c>
      <c r="O915" s="116">
        <v>130.1</v>
      </c>
      <c r="P915" s="116">
        <v>137</v>
      </c>
      <c r="Q915" s="116">
        <v>131.1</v>
      </c>
      <c r="R915">
        <v>909303</v>
      </c>
    </row>
    <row r="916" spans="1:18" x14ac:dyDescent="0.25">
      <c r="A916" s="170">
        <v>43348</v>
      </c>
      <c r="B916" s="116">
        <v>127.58100486223699</v>
      </c>
      <c r="C916" s="116">
        <v>124.624150266265</v>
      </c>
      <c r="D916" s="116">
        <v>123.606216716833</v>
      </c>
      <c r="E916" s="116">
        <v>126.61154433896699</v>
      </c>
      <c r="F916" s="116">
        <v>128.55000000000001</v>
      </c>
      <c r="G916">
        <v>21026</v>
      </c>
      <c r="H916" s="116"/>
      <c r="I916" s="116"/>
      <c r="L916" s="170">
        <v>43348</v>
      </c>
      <c r="M916" s="116">
        <v>128.44999999999999</v>
      </c>
      <c r="N916" s="116">
        <v>132.15</v>
      </c>
      <c r="O916" s="116">
        <v>127.8</v>
      </c>
      <c r="P916" s="116">
        <v>129.55000000000001</v>
      </c>
      <c r="Q916" s="116">
        <v>128.44999999999999</v>
      </c>
      <c r="R916">
        <v>254163</v>
      </c>
    </row>
    <row r="917" spans="1:18" x14ac:dyDescent="0.25">
      <c r="A917" s="170">
        <v>43349</v>
      </c>
      <c r="B917" s="116">
        <v>126.466125260477</v>
      </c>
      <c r="C917" s="116">
        <v>123.897054873813</v>
      </c>
      <c r="D917" s="116">
        <v>122.927594350544</v>
      </c>
      <c r="E917" s="116">
        <v>126.029868025006</v>
      </c>
      <c r="F917" s="116">
        <v>127.8</v>
      </c>
      <c r="G917">
        <v>34263</v>
      </c>
      <c r="H917" s="116"/>
      <c r="I917" s="116"/>
      <c r="L917" s="170">
        <v>43349</v>
      </c>
      <c r="M917" s="116">
        <v>127.65</v>
      </c>
      <c r="N917" s="116">
        <v>129.44999999999999</v>
      </c>
      <c r="O917" s="116">
        <v>126.55</v>
      </c>
      <c r="P917" s="116">
        <v>129</v>
      </c>
      <c r="Q917" s="116">
        <v>127.65</v>
      </c>
      <c r="R917">
        <v>2187739</v>
      </c>
    </row>
    <row r="918" spans="1:18" x14ac:dyDescent="0.25">
      <c r="A918" s="170">
        <v>43350</v>
      </c>
      <c r="B918" s="116">
        <v>126.029868025006</v>
      </c>
      <c r="C918" s="116">
        <v>125.59361078953501</v>
      </c>
      <c r="D918" s="116">
        <v>123.024540402871</v>
      </c>
      <c r="E918" s="116">
        <v>123.41232461217901</v>
      </c>
      <c r="F918" s="116">
        <v>129.55000000000001</v>
      </c>
      <c r="G918">
        <v>30058</v>
      </c>
      <c r="H918" s="116"/>
      <c r="I918" s="116"/>
      <c r="L918" s="170">
        <v>43350</v>
      </c>
      <c r="M918" s="116">
        <v>129.15</v>
      </c>
      <c r="N918" s="116">
        <v>129.4</v>
      </c>
      <c r="O918" s="116">
        <v>126.55</v>
      </c>
      <c r="P918" s="116">
        <v>127.75</v>
      </c>
      <c r="Q918" s="116">
        <v>129.15</v>
      </c>
      <c r="R918">
        <v>321618</v>
      </c>
    </row>
    <row r="919" spans="1:18" x14ac:dyDescent="0.25">
      <c r="A919" s="170">
        <v>43353</v>
      </c>
      <c r="B919" s="116">
        <v>127.871843019217</v>
      </c>
      <c r="C919" s="116">
        <v>125.448191711044</v>
      </c>
      <c r="D919" s="116">
        <v>123.21843250752499</v>
      </c>
      <c r="E919" s="116">
        <v>127.871843019217</v>
      </c>
      <c r="F919" s="116">
        <v>129.4</v>
      </c>
      <c r="G919">
        <v>21546</v>
      </c>
      <c r="H919" s="116"/>
      <c r="I919" s="116"/>
      <c r="L919" s="170">
        <v>43353</v>
      </c>
      <c r="M919" s="116">
        <v>129.80000000000001</v>
      </c>
      <c r="N919" s="116">
        <v>130.65</v>
      </c>
      <c r="O919" s="116">
        <v>127.05</v>
      </c>
      <c r="P919" s="116">
        <v>129.5</v>
      </c>
      <c r="Q919" s="116">
        <v>129.80000000000001</v>
      </c>
      <c r="R919">
        <v>306571</v>
      </c>
    </row>
    <row r="920" spans="1:18" x14ac:dyDescent="0.25">
      <c r="A920" s="170">
        <v>43354</v>
      </c>
      <c r="B920" s="116">
        <v>125.835975920352</v>
      </c>
      <c r="C920" s="116">
        <v>124.187893030794</v>
      </c>
      <c r="D920" s="116">
        <v>124.04247395230399</v>
      </c>
      <c r="E920" s="116">
        <v>124.96346144941</v>
      </c>
      <c r="F920" s="116">
        <v>128.1</v>
      </c>
      <c r="G920">
        <v>24514</v>
      </c>
      <c r="H920" s="116"/>
      <c r="I920" s="116"/>
      <c r="L920" s="170">
        <v>43354</v>
      </c>
      <c r="M920" s="116">
        <v>128.55000000000001</v>
      </c>
      <c r="N920" s="116">
        <v>129.94999999999999</v>
      </c>
      <c r="O920" s="116">
        <v>127.65</v>
      </c>
      <c r="P920" s="116">
        <v>129</v>
      </c>
      <c r="Q920" s="116">
        <v>128.55000000000001</v>
      </c>
      <c r="R920">
        <v>366405</v>
      </c>
    </row>
    <row r="921" spans="1:18" x14ac:dyDescent="0.25">
      <c r="A921" s="170">
        <v>43355</v>
      </c>
      <c r="B921" s="116">
        <v>124.624150266265</v>
      </c>
      <c r="C921" s="116">
        <v>123.557743690669</v>
      </c>
      <c r="D921" s="116">
        <v>122.297445010419</v>
      </c>
      <c r="E921" s="116">
        <v>123.654689742996</v>
      </c>
      <c r="F921" s="116">
        <v>127.45</v>
      </c>
      <c r="G921">
        <v>30463</v>
      </c>
      <c r="H921" s="116"/>
      <c r="I921" s="116"/>
      <c r="L921" s="170">
        <v>43355</v>
      </c>
      <c r="M921" s="116">
        <v>127.45</v>
      </c>
      <c r="N921" s="116">
        <v>128.85</v>
      </c>
      <c r="O921" s="116">
        <v>126</v>
      </c>
      <c r="P921" s="116">
        <v>128</v>
      </c>
      <c r="Q921" s="116">
        <v>127.45</v>
      </c>
      <c r="R921">
        <v>888873</v>
      </c>
    </row>
    <row r="922" spans="1:18" x14ac:dyDescent="0.25">
      <c r="A922" s="170">
        <v>43357</v>
      </c>
      <c r="B922" s="116">
        <v>126.22376012965999</v>
      </c>
      <c r="C922" s="116">
        <v>125.59361078953501</v>
      </c>
      <c r="D922" s="116">
        <v>124.090946978467</v>
      </c>
      <c r="E922" s="116">
        <v>124.818042370919</v>
      </c>
      <c r="F922" s="116">
        <v>129.55000000000001</v>
      </c>
      <c r="G922">
        <v>17945</v>
      </c>
      <c r="H922" s="116"/>
      <c r="I922" s="116"/>
      <c r="L922" s="170">
        <v>43357</v>
      </c>
      <c r="M922" s="116">
        <v>130</v>
      </c>
      <c r="N922" s="116">
        <v>130.75</v>
      </c>
      <c r="O922" s="116">
        <v>127.7</v>
      </c>
      <c r="P922" s="116">
        <v>128</v>
      </c>
      <c r="Q922" s="116">
        <v>130</v>
      </c>
      <c r="R922">
        <v>1382895</v>
      </c>
    </row>
    <row r="923" spans="1:18" x14ac:dyDescent="0.25">
      <c r="A923" s="170">
        <v>43360</v>
      </c>
      <c r="B923" s="116">
        <v>126.999328548275</v>
      </c>
      <c r="C923" s="116">
        <v>125.739029868025</v>
      </c>
      <c r="D923" s="116">
        <v>122.68522921972701</v>
      </c>
      <c r="E923" s="116">
        <v>126.029868025006</v>
      </c>
      <c r="F923" s="116">
        <v>129.69999999999999</v>
      </c>
      <c r="G923">
        <v>36239</v>
      </c>
      <c r="H923" s="116"/>
      <c r="I923" s="116"/>
      <c r="L923" s="170">
        <v>43360</v>
      </c>
      <c r="M923" s="116">
        <v>129.80000000000001</v>
      </c>
      <c r="N923" s="116">
        <v>130.9</v>
      </c>
      <c r="O923" s="116">
        <v>126.3</v>
      </c>
      <c r="P923" s="116">
        <v>129.5</v>
      </c>
      <c r="Q923" s="116">
        <v>129.80000000000001</v>
      </c>
      <c r="R923">
        <v>458987</v>
      </c>
    </row>
    <row r="924" spans="1:18" x14ac:dyDescent="0.25">
      <c r="A924" s="170">
        <v>43361</v>
      </c>
      <c r="B924" s="116">
        <v>125.59361078953501</v>
      </c>
      <c r="C924" s="116">
        <v>124.575677240102</v>
      </c>
      <c r="D924" s="116">
        <v>123.70316276916</v>
      </c>
      <c r="E924" s="116">
        <v>125.545137763371</v>
      </c>
      <c r="F924" s="116">
        <v>128.5</v>
      </c>
      <c r="G924">
        <v>13661</v>
      </c>
      <c r="H924" s="116"/>
      <c r="I924" s="116"/>
      <c r="L924" s="170">
        <v>43361</v>
      </c>
      <c r="M924" s="116">
        <v>128.94999999999999</v>
      </c>
      <c r="N924" s="116">
        <v>130.19999999999999</v>
      </c>
      <c r="O924" s="116">
        <v>127.55</v>
      </c>
      <c r="P924" s="116">
        <v>130.19999999999999</v>
      </c>
      <c r="Q924" s="116">
        <v>128.94999999999999</v>
      </c>
      <c r="R924">
        <v>625127</v>
      </c>
    </row>
    <row r="925" spans="1:18" x14ac:dyDescent="0.25">
      <c r="A925" s="170">
        <v>43362</v>
      </c>
      <c r="B925" s="116">
        <v>126.029868025006</v>
      </c>
      <c r="C925" s="116">
        <v>124.575677240102</v>
      </c>
      <c r="D925" s="116">
        <v>123.121486455198</v>
      </c>
      <c r="E925" s="116">
        <v>126.029868025006</v>
      </c>
      <c r="F925" s="116">
        <v>128.5</v>
      </c>
      <c r="G925">
        <v>17285</v>
      </c>
      <c r="H925" s="116"/>
      <c r="I925" s="116"/>
      <c r="L925" s="170">
        <v>43362</v>
      </c>
      <c r="M925" s="116">
        <v>128.80000000000001</v>
      </c>
      <c r="N925" s="116">
        <v>129.9</v>
      </c>
      <c r="O925" s="116">
        <v>127.35</v>
      </c>
      <c r="P925" s="116">
        <v>128.5</v>
      </c>
      <c r="Q925" s="116">
        <v>128.80000000000001</v>
      </c>
      <c r="R925">
        <v>663744</v>
      </c>
    </row>
    <row r="926" spans="1:18" x14ac:dyDescent="0.25">
      <c r="A926" s="170">
        <v>43364</v>
      </c>
      <c r="B926" s="116">
        <v>126.029868025006</v>
      </c>
      <c r="C926" s="116">
        <v>122.976067376708</v>
      </c>
      <c r="D926" s="116">
        <v>117.74098055105399</v>
      </c>
      <c r="E926" s="116">
        <v>124.575677240102</v>
      </c>
      <c r="F926" s="116">
        <v>126.85</v>
      </c>
      <c r="G926">
        <v>48569</v>
      </c>
      <c r="H926" s="116"/>
      <c r="I926" s="116"/>
      <c r="L926" s="170">
        <v>43364</v>
      </c>
      <c r="M926" s="116">
        <v>127.1</v>
      </c>
      <c r="N926" s="116">
        <v>130.4</v>
      </c>
      <c r="O926" s="116">
        <v>122</v>
      </c>
      <c r="P926" s="116">
        <v>128.19999999999999</v>
      </c>
      <c r="Q926" s="116">
        <v>127.1</v>
      </c>
      <c r="R926">
        <v>1253555</v>
      </c>
    </row>
    <row r="927" spans="1:18" x14ac:dyDescent="0.25">
      <c r="A927" s="170">
        <v>43367</v>
      </c>
      <c r="B927" s="116">
        <v>123.897054873813</v>
      </c>
      <c r="C927" s="116">
        <v>120.843254225515</v>
      </c>
      <c r="D927" s="116">
        <v>119.873793702246</v>
      </c>
      <c r="E927" s="116">
        <v>123.897054873813</v>
      </c>
      <c r="F927" s="116">
        <v>124.65</v>
      </c>
      <c r="G927">
        <v>34200</v>
      </c>
      <c r="H927" s="116"/>
      <c r="I927" s="116"/>
      <c r="L927" s="170">
        <v>43367</v>
      </c>
      <c r="M927" s="116">
        <v>124.35</v>
      </c>
      <c r="N927" s="116">
        <v>129</v>
      </c>
      <c r="O927" s="116">
        <v>123.55</v>
      </c>
      <c r="P927" s="116">
        <v>129</v>
      </c>
      <c r="Q927" s="116">
        <v>124.35</v>
      </c>
      <c r="R927">
        <v>1159059</v>
      </c>
    </row>
    <row r="928" spans="1:18" x14ac:dyDescent="0.25">
      <c r="A928" s="170">
        <v>43368</v>
      </c>
      <c r="B928" s="116">
        <v>121.76424172262099</v>
      </c>
      <c r="C928" s="116">
        <v>121.570349617967</v>
      </c>
      <c r="D928" s="116">
        <v>119.340590414448</v>
      </c>
      <c r="E928" s="116">
        <v>120.794781199352</v>
      </c>
      <c r="F928" s="116">
        <v>125.4</v>
      </c>
      <c r="G928">
        <v>41843</v>
      </c>
      <c r="H928" s="116"/>
      <c r="I928" s="116"/>
      <c r="L928" s="170">
        <v>43368</v>
      </c>
      <c r="M928" s="116">
        <v>125.45</v>
      </c>
      <c r="N928" s="116">
        <v>126.45</v>
      </c>
      <c r="O928" s="116">
        <v>123.25</v>
      </c>
      <c r="P928" s="116">
        <v>124.05</v>
      </c>
      <c r="Q928" s="116">
        <v>125.45</v>
      </c>
      <c r="R928">
        <v>1023725</v>
      </c>
    </row>
    <row r="929" spans="1:18" x14ac:dyDescent="0.25">
      <c r="A929" s="170">
        <v>43369</v>
      </c>
      <c r="B929" s="116">
        <v>123.121486455198</v>
      </c>
      <c r="C929" s="116">
        <v>122.345918036583</v>
      </c>
      <c r="D929" s="116">
        <v>120.50394304237101</v>
      </c>
      <c r="E929" s="116">
        <v>121.667295670294</v>
      </c>
      <c r="F929" s="116">
        <v>126.2</v>
      </c>
      <c r="G929">
        <v>37423</v>
      </c>
      <c r="H929" s="116"/>
      <c r="I929" s="116"/>
      <c r="L929" s="170">
        <v>43369</v>
      </c>
      <c r="M929" s="116">
        <v>126.2</v>
      </c>
      <c r="N929" s="116">
        <v>126.95</v>
      </c>
      <c r="O929" s="116">
        <v>124.15</v>
      </c>
      <c r="P929" s="116">
        <v>125.15</v>
      </c>
      <c r="Q929" s="116">
        <v>126.2</v>
      </c>
      <c r="R929">
        <v>604045</v>
      </c>
    </row>
    <row r="930" spans="1:18" x14ac:dyDescent="0.25">
      <c r="A930" s="170">
        <v>43370</v>
      </c>
      <c r="B930" s="116">
        <v>125.49666473720799</v>
      </c>
      <c r="C930" s="116">
        <v>124.721096318592</v>
      </c>
      <c r="D930" s="116">
        <v>123.073013429035</v>
      </c>
      <c r="E930" s="116">
        <v>123.654689742996</v>
      </c>
      <c r="F930" s="116">
        <v>128.65</v>
      </c>
      <c r="G930">
        <v>20986</v>
      </c>
      <c r="H930" s="116"/>
      <c r="I930" s="116"/>
      <c r="L930" s="170">
        <v>43370</v>
      </c>
      <c r="M930" s="116">
        <v>128.15</v>
      </c>
      <c r="N930" s="116">
        <v>129</v>
      </c>
      <c r="O930" s="116">
        <v>126.1</v>
      </c>
      <c r="P930" s="116">
        <v>126.1</v>
      </c>
      <c r="Q930" s="116">
        <v>128.15</v>
      </c>
      <c r="R930">
        <v>450449</v>
      </c>
    </row>
    <row r="931" spans="1:18" x14ac:dyDescent="0.25">
      <c r="A931" s="170">
        <v>43371</v>
      </c>
      <c r="B931" s="116">
        <v>134.07639036814101</v>
      </c>
      <c r="C931" s="116">
        <v>131.313427876823</v>
      </c>
      <c r="D931" s="116">
        <v>123.606216716833</v>
      </c>
      <c r="E931" s="116">
        <v>125.835975920352</v>
      </c>
      <c r="F931" s="116">
        <v>135.44999999999999</v>
      </c>
      <c r="G931">
        <v>136776</v>
      </c>
      <c r="H931" s="116"/>
      <c r="I931" s="116"/>
      <c r="L931" s="170">
        <v>43371</v>
      </c>
      <c r="M931" s="116">
        <v>136.9</v>
      </c>
      <c r="N931" s="116">
        <v>138.55000000000001</v>
      </c>
      <c r="O931" s="116">
        <v>127.9</v>
      </c>
      <c r="P931" s="116">
        <v>128</v>
      </c>
      <c r="Q931" s="116">
        <v>136.9</v>
      </c>
      <c r="R931">
        <v>3487851</v>
      </c>
    </row>
    <row r="932" spans="1:18" x14ac:dyDescent="0.25">
      <c r="A932" s="170">
        <v>43374</v>
      </c>
      <c r="B932" s="116">
        <v>135.43363510071799</v>
      </c>
      <c r="C932" s="116">
        <v>124.96346144941</v>
      </c>
      <c r="D932" s="116">
        <v>124.187893030794</v>
      </c>
      <c r="E932" s="116">
        <v>135.04585089141</v>
      </c>
      <c r="F932" s="116">
        <v>128.9</v>
      </c>
      <c r="G932">
        <v>131670</v>
      </c>
      <c r="H932" s="116"/>
      <c r="I932" s="116"/>
      <c r="L932" s="170">
        <v>43374</v>
      </c>
      <c r="M932" s="116">
        <v>128.6</v>
      </c>
      <c r="N932" s="116">
        <v>139.80000000000001</v>
      </c>
      <c r="O932" s="116">
        <v>127.6</v>
      </c>
      <c r="P932" s="116">
        <v>139.69999999999999</v>
      </c>
      <c r="Q932" s="116">
        <v>128.6</v>
      </c>
      <c r="R932">
        <v>2707987</v>
      </c>
    </row>
    <row r="933" spans="1:18" x14ac:dyDescent="0.25">
      <c r="A933" s="170">
        <v>43376</v>
      </c>
      <c r="B933" s="116">
        <v>124.43025816161099</v>
      </c>
      <c r="C933" s="116">
        <v>120.600889094698</v>
      </c>
      <c r="D933" s="116">
        <v>120.31005093771699</v>
      </c>
      <c r="E933" s="116">
        <v>123.99400092614</v>
      </c>
      <c r="F933" s="116">
        <v>124.4</v>
      </c>
      <c r="G933">
        <v>52705</v>
      </c>
      <c r="H933" s="116"/>
      <c r="I933" s="116"/>
      <c r="L933" s="170">
        <v>43376</v>
      </c>
      <c r="M933" s="116">
        <v>124.65</v>
      </c>
      <c r="N933" s="116">
        <v>128.5</v>
      </c>
      <c r="O933" s="116">
        <v>124</v>
      </c>
      <c r="P933" s="116">
        <v>128.5</v>
      </c>
      <c r="Q933" s="116">
        <v>124.65</v>
      </c>
      <c r="R933">
        <v>1082224</v>
      </c>
    </row>
    <row r="934" spans="1:18" x14ac:dyDescent="0.25">
      <c r="A934" s="170">
        <v>43377</v>
      </c>
      <c r="B934" s="116">
        <v>120.843254225515</v>
      </c>
      <c r="C934" s="116">
        <v>120.019212780736</v>
      </c>
      <c r="D934" s="116">
        <v>117.5470884464</v>
      </c>
      <c r="E934" s="116">
        <v>119.631428571429</v>
      </c>
      <c r="F934" s="116">
        <v>123.8</v>
      </c>
      <c r="G934">
        <v>25228</v>
      </c>
      <c r="H934" s="116"/>
      <c r="I934" s="116"/>
      <c r="L934" s="170">
        <v>43377</v>
      </c>
      <c r="M934" s="116">
        <v>123.5</v>
      </c>
      <c r="N934" s="116">
        <v>124.75</v>
      </c>
      <c r="O934" s="116">
        <v>121.65</v>
      </c>
      <c r="P934" s="116">
        <v>123.5</v>
      </c>
      <c r="Q934" s="116">
        <v>123.5</v>
      </c>
      <c r="R934">
        <v>842398</v>
      </c>
    </row>
    <row r="935" spans="1:18" x14ac:dyDescent="0.25">
      <c r="A935" s="170">
        <v>43378</v>
      </c>
      <c r="B935" s="116">
        <v>121.76424172262099</v>
      </c>
      <c r="C935" s="116">
        <v>121.23103843482301</v>
      </c>
      <c r="D935" s="116">
        <v>118.85586015281299</v>
      </c>
      <c r="E935" s="116">
        <v>118.85586015281299</v>
      </c>
      <c r="F935" s="116">
        <v>125.05</v>
      </c>
      <c r="G935">
        <v>70736</v>
      </c>
      <c r="H935" s="116"/>
      <c r="I935" s="116"/>
      <c r="L935" s="170">
        <v>43378</v>
      </c>
      <c r="M935" s="116">
        <v>124.6</v>
      </c>
      <c r="N935" s="116">
        <v>125.75</v>
      </c>
      <c r="O935" s="116">
        <v>122.35</v>
      </c>
      <c r="P935" s="116">
        <v>123</v>
      </c>
      <c r="Q935" s="116">
        <v>124.6</v>
      </c>
      <c r="R935">
        <v>1033378</v>
      </c>
    </row>
    <row r="936" spans="1:18" x14ac:dyDescent="0.25">
      <c r="A936" s="170">
        <v>43381</v>
      </c>
      <c r="B936" s="116">
        <v>121.279511460986</v>
      </c>
      <c r="C936" s="116">
        <v>115.462748321371</v>
      </c>
      <c r="D936" s="116">
        <v>113.523827274832</v>
      </c>
      <c r="E936" s="116">
        <v>121.279511460986</v>
      </c>
      <c r="F936" s="116">
        <v>119.1</v>
      </c>
      <c r="G936">
        <v>34220</v>
      </c>
      <c r="H936" s="116"/>
      <c r="I936" s="116"/>
      <c r="L936" s="170">
        <v>43381</v>
      </c>
      <c r="M936" s="116">
        <v>118.85</v>
      </c>
      <c r="N936" s="116">
        <v>124.65</v>
      </c>
      <c r="O936" s="116">
        <v>116.8</v>
      </c>
      <c r="P936" s="116">
        <v>123.5</v>
      </c>
      <c r="Q936" s="116">
        <v>118.85</v>
      </c>
      <c r="R936">
        <v>1410917</v>
      </c>
    </row>
    <row r="937" spans="1:18" x14ac:dyDescent="0.25">
      <c r="A937" s="170">
        <v>43382</v>
      </c>
      <c r="B937" s="116">
        <v>117.110831210928</v>
      </c>
      <c r="C937" s="116">
        <v>114.59023385042801</v>
      </c>
      <c r="D937" s="116">
        <v>106.64065755962</v>
      </c>
      <c r="E937" s="116">
        <v>115.462748321371</v>
      </c>
      <c r="F937" s="116">
        <v>118.2</v>
      </c>
      <c r="G937">
        <v>43240</v>
      </c>
      <c r="H937" s="116"/>
      <c r="I937" s="116"/>
      <c r="L937" s="170">
        <v>43382</v>
      </c>
      <c r="M937" s="116">
        <v>118.7</v>
      </c>
      <c r="N937" s="116">
        <v>121.8</v>
      </c>
      <c r="O937" s="116">
        <v>109.3</v>
      </c>
      <c r="P937" s="116">
        <v>119.6</v>
      </c>
      <c r="Q937" s="116">
        <v>118.7</v>
      </c>
      <c r="R937">
        <v>712705</v>
      </c>
    </row>
    <row r="938" spans="1:18" x14ac:dyDescent="0.25">
      <c r="A938" s="170">
        <v>43383</v>
      </c>
      <c r="B938" s="116">
        <v>119.825320676082</v>
      </c>
      <c r="C938" s="116">
        <v>116.67457397545699</v>
      </c>
      <c r="D938" s="116">
        <v>114.881072007409</v>
      </c>
      <c r="E938" s="116">
        <v>114.881072007409</v>
      </c>
      <c r="F938" s="116">
        <v>120.35</v>
      </c>
      <c r="G938">
        <v>59851</v>
      </c>
      <c r="H938" s="116"/>
      <c r="I938" s="116"/>
      <c r="L938" s="170">
        <v>43383</v>
      </c>
      <c r="M938" s="116">
        <v>120.35</v>
      </c>
      <c r="N938" s="116">
        <v>123.75</v>
      </c>
      <c r="O938" s="116">
        <v>119</v>
      </c>
      <c r="P938" s="116">
        <v>121</v>
      </c>
      <c r="Q938" s="116">
        <v>120.35</v>
      </c>
      <c r="R938">
        <v>428668</v>
      </c>
    </row>
    <row r="939" spans="1:18" x14ac:dyDescent="0.25">
      <c r="A939" s="170">
        <v>43384</v>
      </c>
      <c r="B939" s="116">
        <v>121.909660801111</v>
      </c>
      <c r="C939" s="116">
        <v>119.340590414448</v>
      </c>
      <c r="D939" s="116">
        <v>113.669246353323</v>
      </c>
      <c r="E939" s="116">
        <v>114.68717990275501</v>
      </c>
      <c r="F939" s="116">
        <v>123.1</v>
      </c>
      <c r="G939">
        <v>73941</v>
      </c>
      <c r="H939" s="116"/>
      <c r="I939" s="116"/>
      <c r="L939" s="170">
        <v>43384</v>
      </c>
      <c r="M939" s="116">
        <v>123.1</v>
      </c>
      <c r="N939" s="116">
        <v>125.9</v>
      </c>
      <c r="O939" s="116">
        <v>117</v>
      </c>
      <c r="P939" s="116">
        <v>119</v>
      </c>
      <c r="Q939" s="116">
        <v>123.1</v>
      </c>
      <c r="R939">
        <v>622671</v>
      </c>
    </row>
    <row r="940" spans="1:18" x14ac:dyDescent="0.25">
      <c r="A940" s="170">
        <v>43385</v>
      </c>
      <c r="B940" s="116">
        <v>122.539810141236</v>
      </c>
      <c r="C940" s="116">
        <v>121.32798448715</v>
      </c>
      <c r="D940" s="116">
        <v>118.274183838852</v>
      </c>
      <c r="E940" s="116">
        <v>120.746308173188</v>
      </c>
      <c r="F940" s="116">
        <v>125.15</v>
      </c>
      <c r="G940">
        <v>30284</v>
      </c>
      <c r="H940" s="116"/>
      <c r="I940" s="116"/>
      <c r="L940" s="170">
        <v>43385</v>
      </c>
      <c r="M940" s="116">
        <v>125.2</v>
      </c>
      <c r="N940" s="116">
        <v>126.4</v>
      </c>
      <c r="O940" s="116">
        <v>121.95</v>
      </c>
      <c r="P940" s="116">
        <v>124.1</v>
      </c>
      <c r="Q940" s="116">
        <v>125.2</v>
      </c>
      <c r="R940">
        <v>971435</v>
      </c>
    </row>
    <row r="941" spans="1:18" x14ac:dyDescent="0.25">
      <c r="A941" s="170">
        <v>43388</v>
      </c>
      <c r="B941" s="116">
        <v>123.654689742996</v>
      </c>
      <c r="C941" s="116">
        <v>122.976067376708</v>
      </c>
      <c r="D941" s="116">
        <v>121.618822644131</v>
      </c>
      <c r="E941" s="116">
        <v>123.121486455198</v>
      </c>
      <c r="F941" s="116">
        <v>126.85</v>
      </c>
      <c r="G941">
        <v>25879</v>
      </c>
      <c r="H941" s="116"/>
      <c r="I941" s="116"/>
      <c r="L941" s="170">
        <v>43388</v>
      </c>
      <c r="M941" s="116">
        <v>126.9</v>
      </c>
      <c r="N941" s="116">
        <v>127.75</v>
      </c>
      <c r="O941" s="116">
        <v>125.5</v>
      </c>
      <c r="P941" s="116">
        <v>126.5</v>
      </c>
      <c r="Q941" s="116">
        <v>126.9</v>
      </c>
      <c r="R941">
        <v>366306</v>
      </c>
    </row>
    <row r="942" spans="1:18" x14ac:dyDescent="0.25">
      <c r="A942" s="170">
        <v>43389</v>
      </c>
      <c r="B942" s="116">
        <v>123.460797638342</v>
      </c>
      <c r="C942" s="116">
        <v>120.600889094698</v>
      </c>
      <c r="D942" s="116">
        <v>120.164631859227</v>
      </c>
      <c r="E942" s="116">
        <v>121.812714748784</v>
      </c>
      <c r="F942" s="116">
        <v>124.4</v>
      </c>
      <c r="G942">
        <v>26525</v>
      </c>
      <c r="H942" s="116"/>
      <c r="I942" s="116"/>
      <c r="L942" s="170">
        <v>43389</v>
      </c>
      <c r="M942" s="116">
        <v>124</v>
      </c>
      <c r="N942" s="116">
        <v>127.75</v>
      </c>
      <c r="O942" s="116">
        <v>123.55</v>
      </c>
      <c r="P942" s="116">
        <v>126</v>
      </c>
      <c r="Q942" s="116">
        <v>124</v>
      </c>
      <c r="R942">
        <v>309458</v>
      </c>
    </row>
    <row r="943" spans="1:18" x14ac:dyDescent="0.25">
      <c r="A943" s="170">
        <v>43390</v>
      </c>
      <c r="B943" s="116">
        <v>122.539810141236</v>
      </c>
      <c r="C943" s="116">
        <v>121.715768696458</v>
      </c>
      <c r="D943" s="116">
        <v>120.843254225515</v>
      </c>
      <c r="E943" s="116">
        <v>122.152025931929</v>
      </c>
      <c r="F943" s="116">
        <v>125.55</v>
      </c>
      <c r="G943">
        <v>32249</v>
      </c>
      <c r="H943" s="116"/>
      <c r="I943" s="116"/>
      <c r="L943" s="170">
        <v>43390</v>
      </c>
      <c r="M943" s="116">
        <v>125.45</v>
      </c>
      <c r="N943" s="116">
        <v>126.8</v>
      </c>
      <c r="O943" s="116">
        <v>124.8</v>
      </c>
      <c r="P943" s="116">
        <v>125.5</v>
      </c>
      <c r="Q943" s="116">
        <v>125.45</v>
      </c>
      <c r="R943">
        <v>563336</v>
      </c>
    </row>
    <row r="944" spans="1:18" x14ac:dyDescent="0.25">
      <c r="A944" s="170">
        <v>43392</v>
      </c>
      <c r="B944" s="116">
        <v>121.95813382727501</v>
      </c>
      <c r="C944" s="116">
        <v>118.95280620514001</v>
      </c>
      <c r="D944" s="116">
        <v>117.789453577217</v>
      </c>
      <c r="E944" s="116">
        <v>121.667295670294</v>
      </c>
      <c r="F944" s="116">
        <v>122.7</v>
      </c>
      <c r="G944">
        <v>22159</v>
      </c>
      <c r="H944" s="116"/>
      <c r="I944" s="116"/>
      <c r="L944" s="170">
        <v>43392</v>
      </c>
      <c r="M944" s="116">
        <v>122.25</v>
      </c>
      <c r="N944" s="116">
        <v>126</v>
      </c>
      <c r="O944" s="116">
        <v>121.25</v>
      </c>
      <c r="P944" s="116">
        <v>124.9</v>
      </c>
      <c r="Q944" s="116">
        <v>122.25</v>
      </c>
      <c r="R944">
        <v>604459</v>
      </c>
    </row>
    <row r="945" spans="1:18" x14ac:dyDescent="0.25">
      <c r="A945" s="170">
        <v>43395</v>
      </c>
      <c r="B945" s="116">
        <v>124.52720421393801</v>
      </c>
      <c r="C945" s="116">
        <v>123.84858184765</v>
      </c>
      <c r="D945" s="116">
        <v>116.86846608011101</v>
      </c>
      <c r="E945" s="116">
        <v>119.728374623756</v>
      </c>
      <c r="F945" s="116">
        <v>127.75</v>
      </c>
      <c r="G945">
        <v>61908</v>
      </c>
      <c r="H945" s="116"/>
      <c r="I945" s="116"/>
      <c r="L945" s="170">
        <v>43395</v>
      </c>
      <c r="M945" s="116">
        <v>128.25</v>
      </c>
      <c r="N945" s="116">
        <v>128.94999999999999</v>
      </c>
      <c r="O945" s="116">
        <v>120.45</v>
      </c>
      <c r="P945" s="116">
        <v>123</v>
      </c>
      <c r="Q945" s="116">
        <v>128.25</v>
      </c>
      <c r="R945">
        <v>1207307</v>
      </c>
    </row>
    <row r="946" spans="1:18" x14ac:dyDescent="0.25">
      <c r="A946" s="170">
        <v>43396</v>
      </c>
      <c r="B946" s="116">
        <v>123.41232461217901</v>
      </c>
      <c r="C946" s="116">
        <v>121.812714748784</v>
      </c>
      <c r="D946" s="116">
        <v>117.304723315582</v>
      </c>
      <c r="E946" s="116">
        <v>123.363851586015</v>
      </c>
      <c r="F946" s="116">
        <v>125.65</v>
      </c>
      <c r="G946">
        <v>28069</v>
      </c>
      <c r="H946" s="116"/>
      <c r="I946" s="116"/>
      <c r="L946" s="170">
        <v>43396</v>
      </c>
      <c r="M946" s="116">
        <v>124.85</v>
      </c>
      <c r="N946" s="116">
        <v>128</v>
      </c>
      <c r="O946" s="116">
        <v>123.35</v>
      </c>
      <c r="P946" s="116">
        <v>128</v>
      </c>
      <c r="Q946" s="116">
        <v>124.85</v>
      </c>
      <c r="R946">
        <v>927921</v>
      </c>
    </row>
    <row r="947" spans="1:18" x14ac:dyDescent="0.25">
      <c r="A947" s="170">
        <v>43397</v>
      </c>
      <c r="B947" s="116">
        <v>122.055079879602</v>
      </c>
      <c r="C947" s="116">
        <v>121.521876591804</v>
      </c>
      <c r="D947" s="116">
        <v>119.67990159759201</v>
      </c>
      <c r="E947" s="116">
        <v>121.86118777494799</v>
      </c>
      <c r="F947" s="116">
        <v>125.35</v>
      </c>
      <c r="G947">
        <v>9426</v>
      </c>
      <c r="H947" s="116"/>
      <c r="I947" s="116"/>
      <c r="L947" s="170">
        <v>43397</v>
      </c>
      <c r="M947" s="116">
        <v>125.2</v>
      </c>
      <c r="N947" s="116">
        <v>126.35</v>
      </c>
      <c r="O947" s="116">
        <v>123.05</v>
      </c>
      <c r="P947" s="116">
        <v>125</v>
      </c>
      <c r="Q947" s="116">
        <v>125.2</v>
      </c>
      <c r="R947">
        <v>630421</v>
      </c>
    </row>
    <row r="948" spans="1:18" x14ac:dyDescent="0.25">
      <c r="A948" s="170">
        <v>43398</v>
      </c>
      <c r="B948" s="116">
        <v>125.351245658717</v>
      </c>
      <c r="C948" s="116">
        <v>124.381785135448</v>
      </c>
      <c r="D948" s="116">
        <v>119.77684764991901</v>
      </c>
      <c r="E948" s="116">
        <v>120.455470016207</v>
      </c>
      <c r="F948" s="116">
        <v>128.30000000000001</v>
      </c>
      <c r="G948">
        <v>40534</v>
      </c>
      <c r="H948" s="116"/>
      <c r="I948" s="116"/>
      <c r="L948" s="170">
        <v>43398</v>
      </c>
      <c r="M948" s="116">
        <v>127.45</v>
      </c>
      <c r="N948" s="116">
        <v>128.80000000000001</v>
      </c>
      <c r="O948" s="116">
        <v>123.6</v>
      </c>
      <c r="P948" s="116">
        <v>124.9</v>
      </c>
      <c r="Q948" s="116">
        <v>127.45</v>
      </c>
      <c r="R948">
        <v>1027461</v>
      </c>
    </row>
    <row r="949" spans="1:18" x14ac:dyDescent="0.25">
      <c r="A949" s="170">
        <v>43399</v>
      </c>
      <c r="B949" s="116">
        <v>125.448191711044</v>
      </c>
      <c r="C949" s="116">
        <v>124.478731187775</v>
      </c>
      <c r="D949" s="116">
        <v>121.085619356333</v>
      </c>
      <c r="E949" s="116">
        <v>122.055079879602</v>
      </c>
      <c r="F949" s="116">
        <v>128.4</v>
      </c>
      <c r="G949">
        <v>428972</v>
      </c>
      <c r="H949" s="116"/>
      <c r="I949" s="116"/>
      <c r="L949" s="170">
        <v>43399</v>
      </c>
      <c r="M949" s="116">
        <v>128.6</v>
      </c>
      <c r="N949" s="116">
        <v>129.44999999999999</v>
      </c>
      <c r="O949" s="116">
        <v>125.25</v>
      </c>
      <c r="P949" s="116">
        <v>128.30000000000001</v>
      </c>
      <c r="Q949" s="116">
        <v>128.6</v>
      </c>
      <c r="R949">
        <v>750265</v>
      </c>
    </row>
    <row r="950" spans="1:18" x14ac:dyDescent="0.25">
      <c r="A950" s="170">
        <v>43402</v>
      </c>
      <c r="B950" s="116">
        <v>123.751635795323</v>
      </c>
      <c r="C950" s="116">
        <v>122.73370224589</v>
      </c>
      <c r="D950" s="116">
        <v>121.521876591804</v>
      </c>
      <c r="E950" s="116">
        <v>123.70316276916</v>
      </c>
      <c r="F950" s="116">
        <v>126.6</v>
      </c>
      <c r="G950">
        <v>235460</v>
      </c>
      <c r="H950" s="116"/>
      <c r="I950" s="116"/>
      <c r="L950" s="170">
        <v>43402</v>
      </c>
      <c r="M950" s="116">
        <v>126.85</v>
      </c>
      <c r="N950" s="116">
        <v>127.9</v>
      </c>
      <c r="O950" s="116">
        <v>125.45</v>
      </c>
      <c r="P950" s="116">
        <v>127.3</v>
      </c>
      <c r="Q950" s="116">
        <v>126.85</v>
      </c>
      <c r="R950">
        <v>1847840</v>
      </c>
    </row>
    <row r="951" spans="1:18" x14ac:dyDescent="0.25">
      <c r="A951" s="170">
        <v>43403</v>
      </c>
      <c r="B951" s="116">
        <v>123.606216716833</v>
      </c>
      <c r="C951" s="116">
        <v>123.21843250752499</v>
      </c>
      <c r="D951" s="116">
        <v>121.13409238249599</v>
      </c>
      <c r="E951" s="116">
        <v>121.86118777494799</v>
      </c>
      <c r="F951" s="116">
        <v>127.1</v>
      </c>
      <c r="G951">
        <v>14953</v>
      </c>
      <c r="H951" s="116"/>
      <c r="I951" s="116"/>
      <c r="L951" s="170">
        <v>43403</v>
      </c>
      <c r="M951" s="116">
        <v>127</v>
      </c>
      <c r="N951" s="116">
        <v>127.9</v>
      </c>
      <c r="O951" s="116">
        <v>124.8</v>
      </c>
      <c r="P951" s="116">
        <v>126</v>
      </c>
      <c r="Q951" s="116">
        <v>127</v>
      </c>
      <c r="R951">
        <v>447578</v>
      </c>
    </row>
    <row r="952" spans="1:18" x14ac:dyDescent="0.25">
      <c r="A952" s="170">
        <v>43404</v>
      </c>
      <c r="B952" s="116">
        <v>126.029868025006</v>
      </c>
      <c r="C952" s="116">
        <v>124.721096318592</v>
      </c>
      <c r="D952" s="116">
        <v>122.152025931929</v>
      </c>
      <c r="E952" s="116">
        <v>122.58828316739999</v>
      </c>
      <c r="F952" s="116">
        <v>128.65</v>
      </c>
      <c r="G952">
        <v>23472</v>
      </c>
      <c r="H952" s="116"/>
      <c r="I952" s="116"/>
      <c r="L952" s="170">
        <v>43404</v>
      </c>
      <c r="M952" s="116">
        <v>128.80000000000001</v>
      </c>
      <c r="N952" s="116">
        <v>130</v>
      </c>
      <c r="O952" s="116">
        <v>126</v>
      </c>
      <c r="P952" s="116">
        <v>127.5</v>
      </c>
      <c r="Q952" s="116">
        <v>128.80000000000001</v>
      </c>
      <c r="R952">
        <v>2230016</v>
      </c>
    </row>
    <row r="953" spans="1:18" x14ac:dyDescent="0.25">
      <c r="A953" s="170">
        <v>43405</v>
      </c>
      <c r="B953" s="116">
        <v>127.48405880991</v>
      </c>
      <c r="C953" s="116">
        <v>126.61154433896699</v>
      </c>
      <c r="D953" s="116">
        <v>124.090946978467</v>
      </c>
      <c r="E953" s="116">
        <v>125.25429960639001</v>
      </c>
      <c r="F953" s="116">
        <v>130.6</v>
      </c>
      <c r="G953">
        <v>64521</v>
      </c>
      <c r="H953" s="116"/>
      <c r="I953" s="116"/>
      <c r="L953" s="170">
        <v>43405</v>
      </c>
      <c r="M953" s="116">
        <v>130.80000000000001</v>
      </c>
      <c r="N953" s="116">
        <v>132</v>
      </c>
      <c r="O953" s="116">
        <v>128</v>
      </c>
      <c r="P953" s="116">
        <v>128.05000000000001</v>
      </c>
      <c r="Q953" s="116">
        <v>130.80000000000001</v>
      </c>
      <c r="R953">
        <v>653227</v>
      </c>
    </row>
    <row r="954" spans="1:18" x14ac:dyDescent="0.25">
      <c r="A954" s="170">
        <v>43406</v>
      </c>
      <c r="B954" s="116">
        <v>130.877170641352</v>
      </c>
      <c r="C954" s="116">
        <v>127.144747626765</v>
      </c>
      <c r="D954" s="116">
        <v>126.51459828663999</v>
      </c>
      <c r="E954" s="116">
        <v>127.58100486223699</v>
      </c>
      <c r="F954" s="116">
        <v>131.15</v>
      </c>
      <c r="G954">
        <v>26304</v>
      </c>
      <c r="H954" s="116"/>
      <c r="I954" s="116"/>
      <c r="L954" s="170">
        <v>43406</v>
      </c>
      <c r="M954" s="116">
        <v>131.05000000000001</v>
      </c>
      <c r="N954" s="116">
        <v>135.25</v>
      </c>
      <c r="O954" s="116">
        <v>130.30000000000001</v>
      </c>
      <c r="P954" s="116">
        <v>131.94999999999999</v>
      </c>
      <c r="Q954" s="116">
        <v>131.05000000000001</v>
      </c>
      <c r="R954">
        <v>473252</v>
      </c>
    </row>
    <row r="955" spans="1:18" x14ac:dyDescent="0.25">
      <c r="A955" s="170">
        <v>43409</v>
      </c>
      <c r="B955" s="116">
        <v>129.665344987266</v>
      </c>
      <c r="C955" s="116">
        <v>127.48405880991</v>
      </c>
      <c r="D955" s="116">
        <v>126.61154433896699</v>
      </c>
      <c r="E955" s="116">
        <v>127.144747626765</v>
      </c>
      <c r="F955" s="116">
        <v>131.5</v>
      </c>
      <c r="G955">
        <v>27255</v>
      </c>
      <c r="H955" s="116"/>
      <c r="I955" s="116"/>
      <c r="L955" s="170">
        <v>43409</v>
      </c>
      <c r="M955" s="116">
        <v>131.85</v>
      </c>
      <c r="N955" s="116">
        <v>134.35</v>
      </c>
      <c r="O955" s="116">
        <v>130.1</v>
      </c>
      <c r="P955" s="116">
        <v>130.5</v>
      </c>
      <c r="Q955" s="116">
        <v>131.85</v>
      </c>
      <c r="R955">
        <v>424709</v>
      </c>
    </row>
    <row r="956" spans="1:18" x14ac:dyDescent="0.25">
      <c r="A956" s="170">
        <v>43410</v>
      </c>
      <c r="B956" s="116">
        <v>128.453519333179</v>
      </c>
      <c r="C956" s="116">
        <v>126.660017365131</v>
      </c>
      <c r="D956" s="116">
        <v>126.029868025006</v>
      </c>
      <c r="E956" s="116">
        <v>127.387112757583</v>
      </c>
      <c r="F956" s="116">
        <v>130.65</v>
      </c>
      <c r="G956">
        <v>9651</v>
      </c>
      <c r="H956" s="116"/>
      <c r="I956" s="116"/>
      <c r="L956" s="170">
        <v>43410</v>
      </c>
      <c r="M956" s="116">
        <v>130.6</v>
      </c>
      <c r="N956" s="116">
        <v>132.6</v>
      </c>
      <c r="O956" s="116">
        <v>129.80000000000001</v>
      </c>
      <c r="P956" s="116">
        <v>132.4</v>
      </c>
      <c r="Q956" s="116">
        <v>130.6</v>
      </c>
      <c r="R956">
        <v>161128</v>
      </c>
    </row>
    <row r="957" spans="1:18" x14ac:dyDescent="0.25">
      <c r="A957" s="170">
        <v>43411</v>
      </c>
      <c r="B957" s="116">
        <v>128.453519333179</v>
      </c>
      <c r="C957" s="116">
        <v>127.58100486223699</v>
      </c>
      <c r="D957" s="116">
        <v>126.660017365131</v>
      </c>
      <c r="E957" s="116">
        <v>127.48405880991</v>
      </c>
      <c r="F957" s="116">
        <v>131.6</v>
      </c>
      <c r="G957">
        <v>5612</v>
      </c>
      <c r="H957" s="116"/>
      <c r="I957" s="116"/>
      <c r="L957" s="170">
        <v>43411</v>
      </c>
      <c r="M957" s="116">
        <v>131.55000000000001</v>
      </c>
      <c r="N957" s="116">
        <v>132.5</v>
      </c>
      <c r="O957" s="116">
        <v>130</v>
      </c>
      <c r="P957" s="116">
        <v>132.25</v>
      </c>
      <c r="Q957" s="116">
        <v>131.55000000000001</v>
      </c>
      <c r="R957">
        <v>37871</v>
      </c>
    </row>
    <row r="958" spans="1:18" x14ac:dyDescent="0.25">
      <c r="A958" s="170">
        <v>43413</v>
      </c>
      <c r="B958" s="116">
        <v>129.907710118083</v>
      </c>
      <c r="C958" s="116">
        <v>127.823369993054</v>
      </c>
      <c r="D958" s="116">
        <v>127.04780157443901</v>
      </c>
      <c r="E958" s="116">
        <v>127.24169367909199</v>
      </c>
      <c r="F958" s="116">
        <v>131.85</v>
      </c>
      <c r="G958">
        <v>20370</v>
      </c>
      <c r="H958" s="116"/>
      <c r="I958" s="116"/>
      <c r="L958" s="170">
        <v>43413</v>
      </c>
      <c r="M958" s="116">
        <v>131.94999999999999</v>
      </c>
      <c r="N958" s="116">
        <v>134.6</v>
      </c>
      <c r="O958" s="116">
        <v>130.25</v>
      </c>
      <c r="P958" s="116">
        <v>131.9</v>
      </c>
      <c r="Q958" s="116">
        <v>131.94999999999999</v>
      </c>
      <c r="R958">
        <v>242355</v>
      </c>
    </row>
    <row r="959" spans="1:18" x14ac:dyDescent="0.25">
      <c r="A959" s="170">
        <v>43416</v>
      </c>
      <c r="B959" s="116">
        <v>127.96878907154399</v>
      </c>
      <c r="C959" s="116">
        <v>126.660017365131</v>
      </c>
      <c r="D959" s="116">
        <v>126.029868025006</v>
      </c>
      <c r="E959" s="116">
        <v>127.96878907154399</v>
      </c>
      <c r="F959" s="116">
        <v>130.65</v>
      </c>
      <c r="G959">
        <v>111821</v>
      </c>
      <c r="H959" s="116"/>
      <c r="I959" s="116"/>
      <c r="L959" s="170">
        <v>43416</v>
      </c>
      <c r="M959" s="116">
        <v>130.6</v>
      </c>
      <c r="N959" s="116">
        <v>132.9</v>
      </c>
      <c r="O959" s="116">
        <v>130</v>
      </c>
      <c r="P959" s="116">
        <v>132.9</v>
      </c>
      <c r="Q959" s="116">
        <v>130.6</v>
      </c>
      <c r="R959">
        <v>444015</v>
      </c>
    </row>
    <row r="960" spans="1:18" x14ac:dyDescent="0.25">
      <c r="A960" s="170">
        <v>43417</v>
      </c>
      <c r="B960" s="116">
        <v>127.96878907154399</v>
      </c>
      <c r="C960" s="116">
        <v>126.36917920815</v>
      </c>
      <c r="D960" s="116">
        <v>125.98139499884201</v>
      </c>
      <c r="E960" s="116">
        <v>126.999328548275</v>
      </c>
      <c r="F960" s="116">
        <v>130.35</v>
      </c>
      <c r="G960">
        <v>229603</v>
      </c>
      <c r="H960" s="116"/>
      <c r="I960" s="116"/>
      <c r="L960" s="170">
        <v>43417</v>
      </c>
      <c r="M960" s="116">
        <v>131.25</v>
      </c>
      <c r="N960" s="116">
        <v>132.4</v>
      </c>
      <c r="O960" s="116">
        <v>130.19999999999999</v>
      </c>
      <c r="P960" s="116">
        <v>130.9</v>
      </c>
      <c r="Q960" s="116">
        <v>131.25</v>
      </c>
      <c r="R960">
        <v>230492</v>
      </c>
    </row>
    <row r="961" spans="1:18" x14ac:dyDescent="0.25">
      <c r="A961" s="170">
        <v>43418</v>
      </c>
      <c r="B961" s="116">
        <v>127.920316045381</v>
      </c>
      <c r="C961" s="116">
        <v>126.756963417458</v>
      </c>
      <c r="D961" s="116">
        <v>126.029868025006</v>
      </c>
      <c r="E961" s="116">
        <v>127.58100486223699</v>
      </c>
      <c r="F961" s="116">
        <v>130.75</v>
      </c>
      <c r="G961">
        <v>19343</v>
      </c>
      <c r="H961" s="116"/>
      <c r="I961" s="116"/>
      <c r="L961" s="170">
        <v>43418</v>
      </c>
      <c r="M961" s="116">
        <v>131.05000000000001</v>
      </c>
      <c r="N961" s="116">
        <v>133.5</v>
      </c>
      <c r="O961" s="116">
        <v>130</v>
      </c>
      <c r="P961" s="116">
        <v>133.5</v>
      </c>
      <c r="Q961" s="116">
        <v>131.05000000000001</v>
      </c>
      <c r="R961">
        <v>610944</v>
      </c>
    </row>
    <row r="962" spans="1:18" x14ac:dyDescent="0.25">
      <c r="A962" s="170">
        <v>43419</v>
      </c>
      <c r="B962" s="116">
        <v>128.50199235934201</v>
      </c>
      <c r="C962" s="116">
        <v>127.920316045381</v>
      </c>
      <c r="D962" s="116">
        <v>126.029868025006</v>
      </c>
      <c r="E962" s="116">
        <v>126.85390946978499</v>
      </c>
      <c r="F962" s="116">
        <v>131.94999999999999</v>
      </c>
      <c r="G962">
        <v>19040</v>
      </c>
      <c r="H962" s="116"/>
      <c r="I962" s="116"/>
      <c r="L962" s="170">
        <v>43419</v>
      </c>
      <c r="M962" s="116">
        <v>131.25</v>
      </c>
      <c r="N962" s="116">
        <v>132.5</v>
      </c>
      <c r="O962" s="116">
        <v>129.85</v>
      </c>
      <c r="P962" s="116">
        <v>131</v>
      </c>
      <c r="Q962" s="116">
        <v>131.25</v>
      </c>
      <c r="R962">
        <v>362656</v>
      </c>
    </row>
    <row r="963" spans="1:18" x14ac:dyDescent="0.25">
      <c r="A963" s="170">
        <v>43420</v>
      </c>
      <c r="B963" s="116">
        <v>132.331361426256</v>
      </c>
      <c r="C963" s="116">
        <v>131.507319981477</v>
      </c>
      <c r="D963" s="116">
        <v>127.193220652929</v>
      </c>
      <c r="E963" s="116">
        <v>127.24169367909199</v>
      </c>
      <c r="F963" s="116">
        <v>135.65</v>
      </c>
      <c r="G963">
        <v>66142</v>
      </c>
      <c r="H963" s="116"/>
      <c r="I963" s="116"/>
      <c r="L963" s="170">
        <v>43420</v>
      </c>
      <c r="M963" s="116">
        <v>135.69999999999999</v>
      </c>
      <c r="N963" s="116">
        <v>136.5</v>
      </c>
      <c r="O963" s="116">
        <v>131.05000000000001</v>
      </c>
      <c r="P963" s="116">
        <v>131.05000000000001</v>
      </c>
      <c r="Q963" s="116">
        <v>135.69999999999999</v>
      </c>
      <c r="R963">
        <v>719440</v>
      </c>
    </row>
    <row r="964" spans="1:18" x14ac:dyDescent="0.25">
      <c r="A964" s="170">
        <v>43423</v>
      </c>
      <c r="B964" s="116">
        <v>134.415701551285</v>
      </c>
      <c r="C964" s="116">
        <v>130.63480551053499</v>
      </c>
      <c r="D964" s="116">
        <v>128.50199235934201</v>
      </c>
      <c r="E964" s="116">
        <v>132.816091687891</v>
      </c>
      <c r="F964" s="116">
        <v>134.75</v>
      </c>
      <c r="G964">
        <v>40560</v>
      </c>
      <c r="H964" s="116"/>
      <c r="I964" s="116"/>
      <c r="L964" s="170">
        <v>43423</v>
      </c>
      <c r="M964" s="116">
        <v>134.19999999999999</v>
      </c>
      <c r="N964" s="116">
        <v>138.80000000000001</v>
      </c>
      <c r="O964" s="116">
        <v>132.30000000000001</v>
      </c>
      <c r="P964" s="116">
        <v>136.5</v>
      </c>
      <c r="Q964" s="116">
        <v>134.19999999999999</v>
      </c>
      <c r="R964">
        <v>621503</v>
      </c>
    </row>
    <row r="965" spans="1:18" x14ac:dyDescent="0.25">
      <c r="A965" s="170">
        <v>43424</v>
      </c>
      <c r="B965" s="116">
        <v>130.683278536698</v>
      </c>
      <c r="C965" s="116">
        <v>130.19854827506401</v>
      </c>
      <c r="D965" s="116">
        <v>129.471452882612</v>
      </c>
      <c r="E965" s="116">
        <v>129.665344987266</v>
      </c>
      <c r="F965" s="116">
        <v>134.30000000000001</v>
      </c>
      <c r="G965">
        <v>17826</v>
      </c>
      <c r="H965" s="116"/>
      <c r="I965" s="116"/>
      <c r="L965" s="170">
        <v>43424</v>
      </c>
      <c r="M965" s="116">
        <v>134.75</v>
      </c>
      <c r="N965" s="116">
        <v>135.4</v>
      </c>
      <c r="O965" s="116">
        <v>132.94999999999999</v>
      </c>
      <c r="P965" s="116">
        <v>133.5</v>
      </c>
      <c r="Q965" s="116">
        <v>134.75</v>
      </c>
      <c r="R965">
        <v>373522</v>
      </c>
    </row>
    <row r="966" spans="1:18" x14ac:dyDescent="0.25">
      <c r="A966" s="170">
        <v>43425</v>
      </c>
      <c r="B966" s="116">
        <v>130.925643667516</v>
      </c>
      <c r="C966" s="116">
        <v>130.39244037971801</v>
      </c>
      <c r="D966" s="116">
        <v>129.81076406575599</v>
      </c>
      <c r="E966" s="116">
        <v>130.925643667516</v>
      </c>
      <c r="F966" s="116">
        <v>134.5</v>
      </c>
      <c r="G966">
        <v>17600</v>
      </c>
      <c r="H966" s="116"/>
      <c r="I966" s="116"/>
      <c r="L966" s="170">
        <v>43425</v>
      </c>
      <c r="M966" s="116">
        <v>134.9</v>
      </c>
      <c r="N966" s="116">
        <v>135</v>
      </c>
      <c r="O966" s="116">
        <v>133.85</v>
      </c>
      <c r="P966" s="116">
        <v>134.5</v>
      </c>
      <c r="Q966" s="116">
        <v>134.9</v>
      </c>
      <c r="R966">
        <v>131472</v>
      </c>
    </row>
    <row r="967" spans="1:18" x14ac:dyDescent="0.25">
      <c r="A967" s="170">
        <v>43426</v>
      </c>
      <c r="B967" s="116">
        <v>142.510696920583</v>
      </c>
      <c r="C967" s="116">
        <v>134.270282472795</v>
      </c>
      <c r="D967" s="116">
        <v>131.84663116462099</v>
      </c>
      <c r="E967" s="116">
        <v>132.816091687891</v>
      </c>
      <c r="F967" s="116">
        <v>138.5</v>
      </c>
      <c r="G967">
        <v>331404</v>
      </c>
      <c r="H967" s="116"/>
      <c r="I967" s="116"/>
      <c r="L967" s="170">
        <v>43426</v>
      </c>
      <c r="M967" s="116">
        <v>138.9</v>
      </c>
      <c r="N967" s="116">
        <v>143</v>
      </c>
      <c r="O967" s="116">
        <v>136.4</v>
      </c>
      <c r="P967" s="116">
        <v>136.4</v>
      </c>
      <c r="Q967" s="116">
        <v>138.9</v>
      </c>
      <c r="R967">
        <v>4287867</v>
      </c>
    </row>
    <row r="968" spans="1:18" x14ac:dyDescent="0.25">
      <c r="A968" s="170">
        <v>43430</v>
      </c>
      <c r="B968" s="116">
        <v>136.693933780968</v>
      </c>
      <c r="C968" s="116">
        <v>133.591660106506</v>
      </c>
      <c r="D968" s="116">
        <v>130.63480551053499</v>
      </c>
      <c r="E968" s="116">
        <v>136.693933780968</v>
      </c>
      <c r="F968" s="116">
        <v>137.80000000000001</v>
      </c>
      <c r="G968">
        <v>63317</v>
      </c>
      <c r="H968" s="116"/>
      <c r="I968" s="116"/>
      <c r="L968" s="170">
        <v>43430</v>
      </c>
      <c r="M968" s="116">
        <v>137.69999999999999</v>
      </c>
      <c r="N968" s="116">
        <v>141.4</v>
      </c>
      <c r="O968" s="116">
        <v>134.6</v>
      </c>
      <c r="P968" s="116">
        <v>138.69999999999999</v>
      </c>
      <c r="Q968" s="116">
        <v>137.69999999999999</v>
      </c>
      <c r="R968">
        <v>475047</v>
      </c>
    </row>
    <row r="969" spans="1:18" x14ac:dyDescent="0.25">
      <c r="A969" s="170">
        <v>43431</v>
      </c>
      <c r="B969" s="116">
        <v>137.90575943505399</v>
      </c>
      <c r="C969" s="116">
        <v>133.54318708034299</v>
      </c>
      <c r="D969" s="116">
        <v>130.683278536698</v>
      </c>
      <c r="E969" s="116">
        <v>136.79087983329501</v>
      </c>
      <c r="F969" s="116">
        <v>137.75</v>
      </c>
      <c r="G969">
        <v>149453</v>
      </c>
      <c r="H969" s="116"/>
      <c r="I969" s="116"/>
      <c r="L969" s="170">
        <v>43431</v>
      </c>
      <c r="M969" s="116">
        <v>137.75</v>
      </c>
      <c r="N969" s="116">
        <v>141.44999999999999</v>
      </c>
      <c r="O969" s="116">
        <v>134.6</v>
      </c>
      <c r="P969" s="116">
        <v>138.1</v>
      </c>
      <c r="Q969" s="116">
        <v>137.75</v>
      </c>
      <c r="R969">
        <v>997243</v>
      </c>
    </row>
    <row r="970" spans="1:18" x14ac:dyDescent="0.25">
      <c r="A970" s="170">
        <v>43432</v>
      </c>
      <c r="B970" s="116">
        <v>135.38516207455399</v>
      </c>
      <c r="C970" s="116">
        <v>133.446241028016</v>
      </c>
      <c r="D970" s="116">
        <v>132.91303774021799</v>
      </c>
      <c r="E970" s="116">
        <v>134.221809446631</v>
      </c>
      <c r="F970" s="116">
        <v>137.65</v>
      </c>
      <c r="G970">
        <v>42461</v>
      </c>
      <c r="H970" s="116"/>
      <c r="I970" s="116"/>
      <c r="L970" s="170">
        <v>43432</v>
      </c>
      <c r="M970" s="116">
        <v>137.69999999999999</v>
      </c>
      <c r="N970" s="116">
        <v>139.9</v>
      </c>
      <c r="O970" s="116">
        <v>137.1</v>
      </c>
      <c r="P970" s="116">
        <v>138.44999999999999</v>
      </c>
      <c r="Q970" s="116">
        <v>137.69999999999999</v>
      </c>
      <c r="R970">
        <v>567611</v>
      </c>
    </row>
    <row r="971" spans="1:18" x14ac:dyDescent="0.25">
      <c r="A971" s="170">
        <v>43433</v>
      </c>
      <c r="B971" s="116">
        <v>136.936298911785</v>
      </c>
      <c r="C971" s="116">
        <v>136.45156865015099</v>
      </c>
      <c r="D971" s="116">
        <v>133.78555221116</v>
      </c>
      <c r="E971" s="116">
        <v>133.78555221116</v>
      </c>
      <c r="F971" s="116">
        <v>140.75</v>
      </c>
      <c r="G971">
        <v>48941</v>
      </c>
      <c r="H971" s="116"/>
      <c r="I971" s="116"/>
      <c r="L971" s="170">
        <v>43433</v>
      </c>
      <c r="M971" s="116">
        <v>141.05000000000001</v>
      </c>
      <c r="N971" s="116">
        <v>141.5</v>
      </c>
      <c r="O971" s="116">
        <v>137.15</v>
      </c>
      <c r="P971" s="116">
        <v>138.80000000000001</v>
      </c>
      <c r="Q971" s="116">
        <v>141.05000000000001</v>
      </c>
      <c r="R971">
        <v>603609</v>
      </c>
    </row>
    <row r="972" spans="1:18" x14ac:dyDescent="0.25">
      <c r="A972" s="170">
        <v>43434</v>
      </c>
      <c r="B972" s="116">
        <v>140.42635679555499</v>
      </c>
      <c r="C972" s="116">
        <v>139.55384232461199</v>
      </c>
      <c r="D972" s="116">
        <v>136.693933780968</v>
      </c>
      <c r="E972" s="116">
        <v>138.43896272285301</v>
      </c>
      <c r="F972" s="116">
        <v>143.94999999999999</v>
      </c>
      <c r="G972">
        <v>81841</v>
      </c>
      <c r="H972" s="116"/>
      <c r="I972" s="116"/>
      <c r="L972" s="170">
        <v>43434</v>
      </c>
      <c r="M972" s="116">
        <v>144.25</v>
      </c>
      <c r="N972" s="116">
        <v>145.25</v>
      </c>
      <c r="O972" s="116">
        <v>140.15</v>
      </c>
      <c r="P972" s="116">
        <v>141.9</v>
      </c>
      <c r="Q972" s="116">
        <v>144.25</v>
      </c>
      <c r="R972">
        <v>1512262</v>
      </c>
    </row>
    <row r="973" spans="1:18" x14ac:dyDescent="0.25">
      <c r="A973" s="170">
        <v>43437</v>
      </c>
      <c r="B973" s="116">
        <v>140.57177587404499</v>
      </c>
      <c r="C973" s="116">
        <v>137.22713706876601</v>
      </c>
      <c r="D973" s="116">
        <v>136.693933780968</v>
      </c>
      <c r="E973" s="116">
        <v>140.52330284788101</v>
      </c>
      <c r="F973" s="116">
        <v>141.55000000000001</v>
      </c>
      <c r="G973">
        <v>91840</v>
      </c>
      <c r="H973" s="116"/>
      <c r="I973" s="116"/>
      <c r="L973" s="170">
        <v>43437</v>
      </c>
      <c r="M973" s="116">
        <v>141.94999999999999</v>
      </c>
      <c r="N973" s="116">
        <v>144.94999999999999</v>
      </c>
      <c r="O973" s="116">
        <v>141</v>
      </c>
      <c r="P973" s="116">
        <v>144.25</v>
      </c>
      <c r="Q973" s="116">
        <v>141.94999999999999</v>
      </c>
      <c r="R973">
        <v>435043</v>
      </c>
    </row>
    <row r="974" spans="1:18" x14ac:dyDescent="0.25">
      <c r="A974" s="170">
        <v>43438</v>
      </c>
      <c r="B974" s="116">
        <v>139.55384232461199</v>
      </c>
      <c r="C974" s="116">
        <v>139.166058115304</v>
      </c>
      <c r="D974" s="116">
        <v>135.82141931002499</v>
      </c>
      <c r="E974" s="116">
        <v>138.09965153970799</v>
      </c>
      <c r="F974" s="116">
        <v>143.55000000000001</v>
      </c>
      <c r="G974">
        <v>33700</v>
      </c>
      <c r="H974" s="116"/>
      <c r="I974" s="116"/>
      <c r="L974" s="170">
        <v>43438</v>
      </c>
      <c r="M974" s="116">
        <v>143.65</v>
      </c>
      <c r="N974" s="116">
        <v>144</v>
      </c>
      <c r="O974" s="116">
        <v>140</v>
      </c>
      <c r="P974" s="116">
        <v>141.94999999999999</v>
      </c>
      <c r="Q974" s="116">
        <v>143.65</v>
      </c>
      <c r="R974">
        <v>240239</v>
      </c>
    </row>
    <row r="975" spans="1:18" x14ac:dyDescent="0.25">
      <c r="A975" s="170">
        <v>43439</v>
      </c>
      <c r="B975" s="116">
        <v>143.67404954850701</v>
      </c>
      <c r="C975" s="116">
        <v>142.31680481593</v>
      </c>
      <c r="D975" s="116">
        <v>136.693933780968</v>
      </c>
      <c r="E975" s="116">
        <v>139.990099560083</v>
      </c>
      <c r="F975" s="116">
        <v>146.80000000000001</v>
      </c>
      <c r="G975">
        <v>42214</v>
      </c>
      <c r="H975" s="116"/>
      <c r="I975" s="116"/>
      <c r="L975" s="170">
        <v>43439</v>
      </c>
      <c r="M975" s="116">
        <v>146.69999999999999</v>
      </c>
      <c r="N975" s="116">
        <v>148.35</v>
      </c>
      <c r="O975" s="116">
        <v>141</v>
      </c>
      <c r="P975" s="116">
        <v>141.75</v>
      </c>
      <c r="Q975" s="116">
        <v>146.69999999999999</v>
      </c>
      <c r="R975">
        <v>825925</v>
      </c>
    </row>
    <row r="976" spans="1:18" x14ac:dyDescent="0.25">
      <c r="A976" s="170">
        <v>43440</v>
      </c>
      <c r="B976" s="116">
        <v>143.140846260709</v>
      </c>
      <c r="C976" s="116">
        <v>142.21985876360301</v>
      </c>
      <c r="D976" s="116">
        <v>138.63285482750601</v>
      </c>
      <c r="E976" s="116">
        <v>141.73512850196801</v>
      </c>
      <c r="F976" s="116">
        <v>146.69999999999999</v>
      </c>
      <c r="G976">
        <v>40031</v>
      </c>
      <c r="H976" s="116"/>
      <c r="I976" s="116"/>
      <c r="L976" s="170">
        <v>43440</v>
      </c>
      <c r="M976" s="116">
        <v>146.80000000000001</v>
      </c>
      <c r="N976" s="116">
        <v>147.85</v>
      </c>
      <c r="O976" s="116">
        <v>143.19999999999999</v>
      </c>
      <c r="P976" s="116">
        <v>145.69999999999999</v>
      </c>
      <c r="Q976" s="116">
        <v>146.80000000000001</v>
      </c>
      <c r="R976">
        <v>432985</v>
      </c>
    </row>
    <row r="977" spans="1:18" x14ac:dyDescent="0.25">
      <c r="A977" s="170">
        <v>43441</v>
      </c>
      <c r="B977" s="116">
        <v>143.43168441768901</v>
      </c>
      <c r="C977" s="116">
        <v>139.35995021995799</v>
      </c>
      <c r="D977" s="116">
        <v>138.535908775179</v>
      </c>
      <c r="E977" s="116">
        <v>143.43168441768901</v>
      </c>
      <c r="F977" s="116">
        <v>143.75</v>
      </c>
      <c r="G977">
        <v>31346</v>
      </c>
      <c r="H977" s="116"/>
      <c r="I977" s="116"/>
      <c r="L977" s="170">
        <v>43441</v>
      </c>
      <c r="M977" s="116">
        <v>144.05000000000001</v>
      </c>
      <c r="N977" s="116">
        <v>147.85</v>
      </c>
      <c r="O977" s="116">
        <v>142.94999999999999</v>
      </c>
      <c r="P977" s="116">
        <v>147.85</v>
      </c>
      <c r="Q977" s="116">
        <v>144.05000000000001</v>
      </c>
      <c r="R977">
        <v>241282</v>
      </c>
    </row>
    <row r="978" spans="1:18" x14ac:dyDescent="0.25">
      <c r="A978" s="170">
        <v>43444</v>
      </c>
      <c r="B978" s="116">
        <v>140.37788376939099</v>
      </c>
      <c r="C978" s="116">
        <v>135.724473257699</v>
      </c>
      <c r="D978" s="116">
        <v>134.75501273442899</v>
      </c>
      <c r="E978" s="116">
        <v>136.936298911785</v>
      </c>
      <c r="F978" s="116">
        <v>140</v>
      </c>
      <c r="G978">
        <v>49104</v>
      </c>
      <c r="H978" s="116"/>
      <c r="I978" s="116"/>
      <c r="L978" s="170">
        <v>43444</v>
      </c>
      <c r="M978" s="116">
        <v>140.35</v>
      </c>
      <c r="N978" s="116">
        <v>144.80000000000001</v>
      </c>
      <c r="O978" s="116">
        <v>139.05000000000001</v>
      </c>
      <c r="P978" s="116">
        <v>143</v>
      </c>
      <c r="Q978" s="116">
        <v>140.35</v>
      </c>
      <c r="R978">
        <v>408091</v>
      </c>
    </row>
    <row r="979" spans="1:18" x14ac:dyDescent="0.25">
      <c r="A979" s="170">
        <v>43445</v>
      </c>
      <c r="B979" s="116">
        <v>141.250398240333</v>
      </c>
      <c r="C979" s="116">
        <v>140.08704561241001</v>
      </c>
      <c r="D979" s="116">
        <v>133.78555221116</v>
      </c>
      <c r="E979" s="116">
        <v>134.75501273442899</v>
      </c>
      <c r="F979" s="116">
        <v>144.5</v>
      </c>
      <c r="G979">
        <v>68900</v>
      </c>
      <c r="H979" s="116"/>
      <c r="I979" s="116"/>
      <c r="L979" s="170">
        <v>43445</v>
      </c>
      <c r="M979" s="116">
        <v>144.69999999999999</v>
      </c>
      <c r="N979" s="116">
        <v>145.9</v>
      </c>
      <c r="O979" s="116">
        <v>138</v>
      </c>
      <c r="P979" s="116">
        <v>138.5</v>
      </c>
      <c r="Q979" s="116">
        <v>144.69999999999999</v>
      </c>
      <c r="R979">
        <v>881851</v>
      </c>
    </row>
    <row r="980" spans="1:18" x14ac:dyDescent="0.25">
      <c r="A980" s="170">
        <v>43446</v>
      </c>
      <c r="B980" s="116">
        <v>147.35799953693001</v>
      </c>
      <c r="C980" s="116">
        <v>146.34006598749701</v>
      </c>
      <c r="D980" s="116">
        <v>140.91108705718901</v>
      </c>
      <c r="E980" s="116">
        <v>141.54123639731401</v>
      </c>
      <c r="F980" s="116">
        <v>150.94999999999999</v>
      </c>
      <c r="G980">
        <v>89844</v>
      </c>
      <c r="H980" s="116"/>
      <c r="I980" s="116"/>
      <c r="L980" s="170">
        <v>43446</v>
      </c>
      <c r="M980" s="116">
        <v>151.1</v>
      </c>
      <c r="N980" s="116">
        <v>152.30000000000001</v>
      </c>
      <c r="O980" s="116">
        <v>145.4</v>
      </c>
      <c r="P980" s="116">
        <v>145.80000000000001</v>
      </c>
      <c r="Q980" s="116">
        <v>151.1</v>
      </c>
      <c r="R980">
        <v>1646902</v>
      </c>
    </row>
    <row r="981" spans="1:18" x14ac:dyDescent="0.25">
      <c r="A981" s="170">
        <v>43447</v>
      </c>
      <c r="B981" s="116">
        <v>148.327460060199</v>
      </c>
      <c r="C981" s="116">
        <v>143.86794165315999</v>
      </c>
      <c r="D981" s="116">
        <v>141.54123639731401</v>
      </c>
      <c r="E981" s="116">
        <v>148.133567955545</v>
      </c>
      <c r="F981" s="116">
        <v>148.4</v>
      </c>
      <c r="G981">
        <v>359316</v>
      </c>
      <c r="H981" s="116"/>
      <c r="I981" s="116"/>
      <c r="L981" s="170">
        <v>43447</v>
      </c>
      <c r="M981" s="116">
        <v>148.85</v>
      </c>
      <c r="N981" s="116">
        <v>153.1</v>
      </c>
      <c r="O981" s="116">
        <v>148.05000000000001</v>
      </c>
      <c r="P981" s="116">
        <v>151.85</v>
      </c>
      <c r="Q981" s="116">
        <v>148.85</v>
      </c>
      <c r="R981">
        <v>870572</v>
      </c>
    </row>
    <row r="982" spans="1:18" x14ac:dyDescent="0.25">
      <c r="A982" s="170">
        <v>43448</v>
      </c>
      <c r="B982" s="116">
        <v>147.745783746238</v>
      </c>
      <c r="C982" s="116">
        <v>145.12824033341099</v>
      </c>
      <c r="D982" s="116">
        <v>142.31680481593</v>
      </c>
      <c r="E982" s="116">
        <v>143.528630470016</v>
      </c>
      <c r="F982" s="116">
        <v>149.69999999999999</v>
      </c>
      <c r="G982">
        <v>55416</v>
      </c>
      <c r="H982" s="116"/>
      <c r="I982" s="116"/>
      <c r="L982" s="170">
        <v>43448</v>
      </c>
      <c r="M982" s="116">
        <v>150.05000000000001</v>
      </c>
      <c r="N982" s="116">
        <v>152.55000000000001</v>
      </c>
      <c r="O982" s="116">
        <v>146.65</v>
      </c>
      <c r="P982" s="116">
        <v>148.15</v>
      </c>
      <c r="Q982" s="116">
        <v>150.05000000000001</v>
      </c>
      <c r="R982">
        <v>1297796</v>
      </c>
    </row>
    <row r="983" spans="1:18" x14ac:dyDescent="0.25">
      <c r="A983" s="170">
        <v>43451</v>
      </c>
      <c r="B983" s="116">
        <v>145.07976730724701</v>
      </c>
      <c r="C983" s="116">
        <v>142.753062051401</v>
      </c>
      <c r="D983" s="116">
        <v>140.76566797869901</v>
      </c>
      <c r="E983" s="116">
        <v>143.528630470016</v>
      </c>
      <c r="F983" s="116">
        <v>147.25</v>
      </c>
      <c r="G983">
        <v>45818</v>
      </c>
      <c r="H983" s="116"/>
      <c r="I983" s="116"/>
      <c r="L983" s="170">
        <v>43451</v>
      </c>
      <c r="M983" s="116">
        <v>147.05000000000001</v>
      </c>
      <c r="N983" s="116">
        <v>149.55000000000001</v>
      </c>
      <c r="O983" s="116">
        <v>145.6</v>
      </c>
      <c r="P983" s="116">
        <v>149</v>
      </c>
      <c r="Q983" s="116">
        <v>147.05000000000001</v>
      </c>
      <c r="R983">
        <v>1109063</v>
      </c>
    </row>
    <row r="984" spans="1:18" x14ac:dyDescent="0.25">
      <c r="A984" s="170">
        <v>43452</v>
      </c>
      <c r="B984" s="116">
        <v>146.873269275295</v>
      </c>
      <c r="C984" s="116">
        <v>140.32941074322801</v>
      </c>
      <c r="D984" s="116">
        <v>139.69926140310301</v>
      </c>
      <c r="E984" s="116">
        <v>142.31680481593</v>
      </c>
      <c r="F984" s="116">
        <v>144.75</v>
      </c>
      <c r="G984">
        <v>68641</v>
      </c>
      <c r="H984" s="116"/>
      <c r="I984" s="116"/>
      <c r="L984" s="170">
        <v>43452</v>
      </c>
      <c r="M984" s="116">
        <v>145</v>
      </c>
      <c r="N984" s="116">
        <v>151.80000000000001</v>
      </c>
      <c r="O984" s="116">
        <v>144.19999999999999</v>
      </c>
      <c r="P984" s="116">
        <v>146.5</v>
      </c>
      <c r="Q984" s="116">
        <v>145</v>
      </c>
      <c r="R984">
        <v>2248666</v>
      </c>
    </row>
    <row r="985" spans="1:18" x14ac:dyDescent="0.25">
      <c r="A985" s="170">
        <v>43453</v>
      </c>
      <c r="B985" s="116">
        <v>145.225186385737</v>
      </c>
      <c r="C985" s="116">
        <v>143.334738365362</v>
      </c>
      <c r="D985" s="116">
        <v>141.250398240333</v>
      </c>
      <c r="E985" s="116">
        <v>141.34734429266001</v>
      </c>
      <c r="F985" s="116">
        <v>147.85</v>
      </c>
      <c r="G985">
        <v>69017</v>
      </c>
      <c r="H985" s="116"/>
      <c r="I985" s="116"/>
      <c r="L985" s="170">
        <v>43453</v>
      </c>
      <c r="M985" s="116">
        <v>148.9</v>
      </c>
      <c r="N985" s="116">
        <v>149.94999999999999</v>
      </c>
      <c r="O985" s="116">
        <v>145.25</v>
      </c>
      <c r="P985" s="116">
        <v>145.80000000000001</v>
      </c>
      <c r="Q985" s="116">
        <v>148.9</v>
      </c>
      <c r="R985">
        <v>912425</v>
      </c>
    </row>
    <row r="986" spans="1:18" x14ac:dyDescent="0.25">
      <c r="A986" s="170">
        <v>43454</v>
      </c>
      <c r="B986" s="116">
        <v>144.352671914795</v>
      </c>
      <c r="C986" s="116">
        <v>141.444290344987</v>
      </c>
      <c r="D986" s="116">
        <v>140.57177587404499</v>
      </c>
      <c r="E986" s="116">
        <v>142.510696920583</v>
      </c>
      <c r="F986" s="116">
        <v>145.9</v>
      </c>
      <c r="G986">
        <v>61414</v>
      </c>
      <c r="H986" s="116"/>
      <c r="I986" s="116"/>
      <c r="L986" s="170">
        <v>43454</v>
      </c>
      <c r="M986" s="116">
        <v>145.9</v>
      </c>
      <c r="N986" s="116">
        <v>149</v>
      </c>
      <c r="O986" s="116">
        <v>145.5</v>
      </c>
      <c r="P986" s="116">
        <v>147.05000000000001</v>
      </c>
      <c r="Q986" s="116">
        <v>145.9</v>
      </c>
      <c r="R986">
        <v>472991</v>
      </c>
    </row>
    <row r="987" spans="1:18" x14ac:dyDescent="0.25">
      <c r="A987" s="170">
        <v>43455</v>
      </c>
      <c r="B987" s="116">
        <v>144.93434822875699</v>
      </c>
      <c r="C987" s="116">
        <v>142.46222389441999</v>
      </c>
      <c r="D987" s="116">
        <v>141.15345218800601</v>
      </c>
      <c r="E987" s="116">
        <v>142.60764297291001</v>
      </c>
      <c r="F987" s="116">
        <v>146.94999999999999</v>
      </c>
      <c r="G987">
        <v>140652</v>
      </c>
      <c r="H987" s="116"/>
      <c r="I987" s="116"/>
      <c r="L987" s="170">
        <v>43455</v>
      </c>
      <c r="M987" s="116">
        <v>146.80000000000001</v>
      </c>
      <c r="N987" s="116">
        <v>149.1</v>
      </c>
      <c r="O987" s="116">
        <v>145.5</v>
      </c>
      <c r="P987" s="116">
        <v>146.69999999999999</v>
      </c>
      <c r="Q987" s="116">
        <v>146.80000000000001</v>
      </c>
      <c r="R987">
        <v>602717</v>
      </c>
    </row>
    <row r="988" spans="1:18" x14ac:dyDescent="0.25">
      <c r="A988" s="170">
        <v>43458</v>
      </c>
      <c r="B988" s="116">
        <v>142.46222389441999</v>
      </c>
      <c r="C988" s="116">
        <v>141.15345218800601</v>
      </c>
      <c r="D988" s="116">
        <v>140.08704561241001</v>
      </c>
      <c r="E988" s="116">
        <v>142.46222389441999</v>
      </c>
      <c r="F988" s="116">
        <v>145.6</v>
      </c>
      <c r="G988">
        <v>39128</v>
      </c>
      <c r="H988" s="116"/>
      <c r="I988" s="116"/>
      <c r="L988" s="170">
        <v>43458</v>
      </c>
      <c r="M988" s="116">
        <v>146.05000000000001</v>
      </c>
      <c r="N988" s="116">
        <v>147.4</v>
      </c>
      <c r="O988" s="116">
        <v>144.35</v>
      </c>
      <c r="P988" s="116">
        <v>147.4</v>
      </c>
      <c r="Q988" s="116">
        <v>146.05000000000001</v>
      </c>
      <c r="R988">
        <v>330774</v>
      </c>
    </row>
    <row r="989" spans="1:18" x14ac:dyDescent="0.25">
      <c r="A989" s="170">
        <v>43460</v>
      </c>
      <c r="B989" s="116">
        <v>144.207252836305</v>
      </c>
      <c r="C989" s="116">
        <v>143.09237323454499</v>
      </c>
      <c r="D989" s="116">
        <v>140.28093771706401</v>
      </c>
      <c r="E989" s="116">
        <v>141.34734429266001</v>
      </c>
      <c r="F989" s="116">
        <v>147.6</v>
      </c>
      <c r="G989">
        <v>99985</v>
      </c>
      <c r="H989" s="116"/>
      <c r="I989" s="116"/>
      <c r="L989" s="170">
        <v>43460</v>
      </c>
      <c r="M989" s="116">
        <v>147.6</v>
      </c>
      <c r="N989" s="116">
        <v>148.9</v>
      </c>
      <c r="O989" s="116">
        <v>144.69999999999999</v>
      </c>
      <c r="P989" s="116">
        <v>146.05000000000001</v>
      </c>
      <c r="Q989" s="116">
        <v>147.6</v>
      </c>
      <c r="R989">
        <v>330011</v>
      </c>
    </row>
    <row r="990" spans="1:18" x14ac:dyDescent="0.25">
      <c r="A990" s="170">
        <v>43461</v>
      </c>
      <c r="B990" s="116">
        <v>146.24311993517</v>
      </c>
      <c r="C990" s="116">
        <v>142.753062051401</v>
      </c>
      <c r="D990" s="116">
        <v>141.58970942347801</v>
      </c>
      <c r="E990" s="116">
        <v>143.86794165315999</v>
      </c>
      <c r="F990" s="116">
        <v>147.25</v>
      </c>
      <c r="G990">
        <v>54657</v>
      </c>
      <c r="H990" s="116"/>
      <c r="I990" s="116"/>
      <c r="L990" s="170">
        <v>43461</v>
      </c>
      <c r="M990" s="116">
        <v>147.6</v>
      </c>
      <c r="N990" s="116">
        <v>150.94999999999999</v>
      </c>
      <c r="O990" s="116">
        <v>146.35</v>
      </c>
      <c r="P990" s="116">
        <v>149.30000000000001</v>
      </c>
      <c r="Q990" s="116">
        <v>147.6</v>
      </c>
      <c r="R990">
        <v>2162683</v>
      </c>
    </row>
    <row r="991" spans="1:18" x14ac:dyDescent="0.25">
      <c r="A991" s="170">
        <v>43462</v>
      </c>
      <c r="B991" s="116">
        <v>145.51602454271799</v>
      </c>
      <c r="C991" s="116">
        <v>143.72252257466999</v>
      </c>
      <c r="D991" s="116">
        <v>142.85000810372799</v>
      </c>
      <c r="E991" s="116">
        <v>142.85000810372799</v>
      </c>
      <c r="F991" s="116">
        <v>148.25</v>
      </c>
      <c r="G991">
        <v>33880</v>
      </c>
      <c r="H991" s="116"/>
      <c r="I991" s="116"/>
      <c r="L991" s="170">
        <v>43462</v>
      </c>
      <c r="M991" s="116">
        <v>148.44999999999999</v>
      </c>
      <c r="N991" s="116">
        <v>150</v>
      </c>
      <c r="O991" s="116">
        <v>147.30000000000001</v>
      </c>
      <c r="P991" s="116">
        <v>147.69999999999999</v>
      </c>
      <c r="Q991" s="116">
        <v>148.44999999999999</v>
      </c>
      <c r="R991">
        <v>499901</v>
      </c>
    </row>
    <row r="992" spans="1:18" x14ac:dyDescent="0.25">
      <c r="A992" s="170">
        <v>43465</v>
      </c>
      <c r="B992" s="116">
        <v>146.38853901366099</v>
      </c>
      <c r="C992" s="116">
        <v>143.18931928687201</v>
      </c>
      <c r="D992" s="116">
        <v>142.510696920583</v>
      </c>
      <c r="E992" s="116">
        <v>145.419078490391</v>
      </c>
      <c r="F992" s="116">
        <v>147.69999999999999</v>
      </c>
      <c r="G992">
        <v>42149</v>
      </c>
      <c r="H992" s="116"/>
      <c r="I992" s="116"/>
      <c r="L992" s="170">
        <v>43465</v>
      </c>
      <c r="M992" s="116">
        <v>147.69999999999999</v>
      </c>
      <c r="N992" s="116">
        <v>151</v>
      </c>
      <c r="O992" s="116">
        <v>147.15</v>
      </c>
      <c r="P992" s="116">
        <v>149.9</v>
      </c>
      <c r="Q992" s="116">
        <v>147.69999999999999</v>
      </c>
      <c r="R992">
        <v>568173</v>
      </c>
    </row>
    <row r="993" spans="1:18" x14ac:dyDescent="0.25">
      <c r="A993" s="170">
        <v>43466</v>
      </c>
      <c r="B993" s="116">
        <v>143.383211391526</v>
      </c>
      <c r="C993" s="116">
        <v>141.880547580458</v>
      </c>
      <c r="D993" s="116">
        <v>141.298871266497</v>
      </c>
      <c r="E993" s="116">
        <v>143.383211391526</v>
      </c>
      <c r="F993" s="116">
        <v>146.35</v>
      </c>
      <c r="G993">
        <v>23213</v>
      </c>
      <c r="H993" s="116"/>
      <c r="I993" s="116"/>
      <c r="L993" s="170">
        <v>43466</v>
      </c>
      <c r="M993" s="116">
        <v>146</v>
      </c>
      <c r="N993" s="116">
        <v>148.19999999999999</v>
      </c>
      <c r="O993" s="116">
        <v>145.5</v>
      </c>
      <c r="P993" s="116">
        <v>148.19999999999999</v>
      </c>
      <c r="Q993" s="116">
        <v>146</v>
      </c>
      <c r="R993">
        <v>363842</v>
      </c>
    </row>
    <row r="994" spans="1:18" x14ac:dyDescent="0.25">
      <c r="A994" s="170">
        <v>43467</v>
      </c>
      <c r="B994" s="116">
        <v>145.70991664737201</v>
      </c>
      <c r="C994" s="116">
        <v>139.89315350775601</v>
      </c>
      <c r="D994" s="116">
        <v>133.64013313267</v>
      </c>
      <c r="E994" s="116">
        <v>141.54123639731401</v>
      </c>
      <c r="F994" s="116">
        <v>144.30000000000001</v>
      </c>
      <c r="G994">
        <v>213533</v>
      </c>
      <c r="H994" s="116"/>
      <c r="I994" s="116"/>
      <c r="L994" s="170">
        <v>43467</v>
      </c>
      <c r="M994" s="116">
        <v>141.85</v>
      </c>
      <c r="N994" s="116">
        <v>150</v>
      </c>
      <c r="O994" s="116">
        <v>135.25</v>
      </c>
      <c r="P994" s="116">
        <v>146.1</v>
      </c>
      <c r="Q994" s="116">
        <v>141.85</v>
      </c>
      <c r="R994">
        <v>1035845</v>
      </c>
    </row>
    <row r="995" spans="1:18" x14ac:dyDescent="0.25">
      <c r="A995" s="170">
        <v>43468</v>
      </c>
      <c r="B995" s="116">
        <v>142.02596665894899</v>
      </c>
      <c r="C995" s="116">
        <v>139.69926140310301</v>
      </c>
      <c r="D995" s="116">
        <v>137.66339430423699</v>
      </c>
      <c r="E995" s="116">
        <v>138.63285482750601</v>
      </c>
      <c r="F995" s="116">
        <v>144.1</v>
      </c>
      <c r="G995">
        <v>124203</v>
      </c>
      <c r="H995" s="116"/>
      <c r="I995" s="116"/>
      <c r="L995" s="170">
        <v>43468</v>
      </c>
      <c r="M995" s="116">
        <v>144.5</v>
      </c>
      <c r="N995" s="116">
        <v>146.65</v>
      </c>
      <c r="O995" s="116">
        <v>141.5</v>
      </c>
      <c r="P995" s="116">
        <v>141.80000000000001</v>
      </c>
      <c r="Q995" s="116">
        <v>144.5</v>
      </c>
      <c r="R995">
        <v>777561</v>
      </c>
    </row>
    <row r="996" spans="1:18" x14ac:dyDescent="0.25">
      <c r="A996" s="170">
        <v>43469</v>
      </c>
      <c r="B996" s="116">
        <v>144.74045612410299</v>
      </c>
      <c r="C996" s="116">
        <v>139.214531141468</v>
      </c>
      <c r="D996" s="116">
        <v>138.09965153970799</v>
      </c>
      <c r="E996" s="116">
        <v>138.63285482750601</v>
      </c>
      <c r="F996" s="116">
        <v>143.6</v>
      </c>
      <c r="G996">
        <v>53111</v>
      </c>
      <c r="H996" s="116"/>
      <c r="I996" s="116"/>
      <c r="L996" s="170">
        <v>43469</v>
      </c>
      <c r="M996" s="116">
        <v>143</v>
      </c>
      <c r="N996" s="116">
        <v>149.80000000000001</v>
      </c>
      <c r="O996" s="116">
        <v>142</v>
      </c>
      <c r="P996" s="116">
        <v>144.55000000000001</v>
      </c>
      <c r="Q996" s="116">
        <v>143</v>
      </c>
      <c r="R996">
        <v>1622039</v>
      </c>
    </row>
    <row r="997" spans="1:18" x14ac:dyDescent="0.25">
      <c r="A997" s="170">
        <v>43472</v>
      </c>
      <c r="B997" s="116">
        <v>142.99542718221801</v>
      </c>
      <c r="C997" s="116">
        <v>140.08704561241001</v>
      </c>
      <c r="D997" s="116">
        <v>138.87521995832401</v>
      </c>
      <c r="E997" s="116">
        <v>140.18399166473699</v>
      </c>
      <c r="F997" s="116">
        <v>144.5</v>
      </c>
      <c r="G997">
        <v>45461</v>
      </c>
      <c r="H997" s="116"/>
      <c r="I997" s="116"/>
      <c r="L997" s="170">
        <v>43472</v>
      </c>
      <c r="M997" s="116">
        <v>144.94999999999999</v>
      </c>
      <c r="N997" s="116">
        <v>147.65</v>
      </c>
      <c r="O997" s="116">
        <v>143.6</v>
      </c>
      <c r="P997" s="116">
        <v>143.69999999999999</v>
      </c>
      <c r="Q997" s="116">
        <v>144.94999999999999</v>
      </c>
      <c r="R997">
        <v>392266</v>
      </c>
    </row>
    <row r="998" spans="1:18" x14ac:dyDescent="0.25">
      <c r="A998" s="170">
        <v>43473</v>
      </c>
      <c r="B998" s="116">
        <v>140.95956008335301</v>
      </c>
      <c r="C998" s="116">
        <v>137.80881338272701</v>
      </c>
      <c r="D998" s="116">
        <v>136.936298911785</v>
      </c>
      <c r="E998" s="116">
        <v>140.13551863857401</v>
      </c>
      <c r="F998" s="116">
        <v>142.15</v>
      </c>
      <c r="G998">
        <v>33740</v>
      </c>
      <c r="H998" s="116"/>
      <c r="I998" s="116"/>
      <c r="L998" s="170">
        <v>43473</v>
      </c>
      <c r="M998" s="116">
        <v>141.85</v>
      </c>
      <c r="N998" s="116">
        <v>145.80000000000001</v>
      </c>
      <c r="O998" s="116">
        <v>141.05000000000001</v>
      </c>
      <c r="P998" s="116">
        <v>145</v>
      </c>
      <c r="Q998" s="116">
        <v>141.85</v>
      </c>
      <c r="R998">
        <v>2001730</v>
      </c>
    </row>
    <row r="999" spans="1:18" x14ac:dyDescent="0.25">
      <c r="A999" s="170">
        <v>43474</v>
      </c>
      <c r="B999" s="116">
        <v>140.038572586247</v>
      </c>
      <c r="C999" s="116">
        <v>137.90575943505399</v>
      </c>
      <c r="D999" s="116">
        <v>137.17866404260201</v>
      </c>
      <c r="E999" s="116">
        <v>138.29354364436199</v>
      </c>
      <c r="F999" s="116">
        <v>142.25</v>
      </c>
      <c r="G999">
        <v>97241</v>
      </c>
      <c r="H999" s="116"/>
      <c r="I999" s="116"/>
      <c r="L999" s="170">
        <v>43474</v>
      </c>
      <c r="M999" s="116">
        <v>141.75</v>
      </c>
      <c r="N999" s="116">
        <v>144.44999999999999</v>
      </c>
      <c r="O999" s="116">
        <v>141.15</v>
      </c>
      <c r="P999" s="116">
        <v>143.25</v>
      </c>
      <c r="Q999" s="116">
        <v>141.75</v>
      </c>
      <c r="R999">
        <v>1148010</v>
      </c>
    </row>
    <row r="1000" spans="1:18" x14ac:dyDescent="0.25">
      <c r="A1000" s="170">
        <v>43475</v>
      </c>
      <c r="B1000" s="116">
        <v>139.06911206297801</v>
      </c>
      <c r="C1000" s="116">
        <v>137.324083121093</v>
      </c>
      <c r="D1000" s="116">
        <v>136.79087983329501</v>
      </c>
      <c r="E1000" s="116">
        <v>137.61492127807401</v>
      </c>
      <c r="F1000" s="116">
        <v>141.65</v>
      </c>
      <c r="G1000">
        <v>95789</v>
      </c>
      <c r="H1000" s="116"/>
      <c r="I1000" s="116"/>
      <c r="L1000" s="170">
        <v>43475</v>
      </c>
      <c r="M1000" s="116">
        <v>141.30000000000001</v>
      </c>
      <c r="N1000" s="116">
        <v>143.6</v>
      </c>
      <c r="O1000" s="116">
        <v>140.75</v>
      </c>
      <c r="P1000" s="116">
        <v>142.44999999999999</v>
      </c>
      <c r="Q1000" s="116">
        <v>141.30000000000001</v>
      </c>
      <c r="R1000">
        <v>1309629</v>
      </c>
    </row>
    <row r="1001" spans="1:18" x14ac:dyDescent="0.25">
      <c r="A1001" s="170">
        <v>43476</v>
      </c>
      <c r="B1001" s="116">
        <v>138.34201667052599</v>
      </c>
      <c r="C1001" s="116">
        <v>135.91836536235201</v>
      </c>
      <c r="D1001" s="116">
        <v>135.38516207455399</v>
      </c>
      <c r="E1001" s="116">
        <v>136.693933780968</v>
      </c>
      <c r="F1001" s="116">
        <v>140.19999999999999</v>
      </c>
      <c r="G1001">
        <v>31739</v>
      </c>
      <c r="H1001" s="116"/>
      <c r="I1001" s="116"/>
      <c r="L1001" s="170">
        <v>43476</v>
      </c>
      <c r="M1001" s="116">
        <v>140.55000000000001</v>
      </c>
      <c r="N1001" s="116">
        <v>142.75</v>
      </c>
      <c r="O1001" s="116">
        <v>139.80000000000001</v>
      </c>
      <c r="P1001" s="116">
        <v>142.25</v>
      </c>
      <c r="Q1001" s="116">
        <v>140.55000000000001</v>
      </c>
      <c r="R1001">
        <v>201340</v>
      </c>
    </row>
    <row r="1002" spans="1:18" x14ac:dyDescent="0.25">
      <c r="A1002" s="170">
        <v>43479</v>
      </c>
      <c r="B1002" s="116">
        <v>137.90575943505399</v>
      </c>
      <c r="C1002" s="116">
        <v>134.94890483908301</v>
      </c>
      <c r="D1002" s="116">
        <v>130.489386432044</v>
      </c>
      <c r="E1002" s="116">
        <v>137.90575943505399</v>
      </c>
      <c r="F1002" s="116">
        <v>139.19999999999999</v>
      </c>
      <c r="G1002">
        <v>39643</v>
      </c>
      <c r="H1002" s="116"/>
      <c r="I1002" s="116"/>
      <c r="L1002" s="170">
        <v>43479</v>
      </c>
      <c r="M1002" s="116">
        <v>139.80000000000001</v>
      </c>
      <c r="N1002" s="116">
        <v>141.69999999999999</v>
      </c>
      <c r="O1002" s="116">
        <v>138.5</v>
      </c>
      <c r="P1002" s="116">
        <v>140.9</v>
      </c>
      <c r="Q1002" s="116">
        <v>139.80000000000001</v>
      </c>
      <c r="R1002">
        <v>750263</v>
      </c>
    </row>
    <row r="1003" spans="1:18" x14ac:dyDescent="0.25">
      <c r="A1003" s="170">
        <v>43480</v>
      </c>
      <c r="B1003" s="116">
        <v>136.45156865015099</v>
      </c>
      <c r="C1003" s="116">
        <v>134.221809446631</v>
      </c>
      <c r="D1003" s="116">
        <v>133.34929497568899</v>
      </c>
      <c r="E1003" s="116">
        <v>135.57905417920799</v>
      </c>
      <c r="F1003" s="116">
        <v>138.44999999999999</v>
      </c>
      <c r="G1003">
        <v>27728</v>
      </c>
      <c r="H1003" s="116"/>
      <c r="I1003" s="116"/>
      <c r="L1003" s="170">
        <v>43480</v>
      </c>
      <c r="M1003" s="116">
        <v>138.94999999999999</v>
      </c>
      <c r="N1003" s="116">
        <v>140.94999999999999</v>
      </c>
      <c r="O1003" s="116">
        <v>137.69999999999999</v>
      </c>
      <c r="P1003" s="116">
        <v>140.19999999999999</v>
      </c>
      <c r="Q1003" s="116">
        <v>138.94999999999999</v>
      </c>
      <c r="R1003">
        <v>846547</v>
      </c>
    </row>
    <row r="1004" spans="1:18" x14ac:dyDescent="0.25">
      <c r="A1004" s="170">
        <v>43481</v>
      </c>
      <c r="B1004" s="116">
        <v>136.693933780968</v>
      </c>
      <c r="C1004" s="116">
        <v>134.75501273442899</v>
      </c>
      <c r="D1004" s="116">
        <v>132.08899629543899</v>
      </c>
      <c r="E1004" s="116">
        <v>135.57905417920799</v>
      </c>
      <c r="F1004" s="116">
        <v>139</v>
      </c>
      <c r="G1004">
        <v>765790</v>
      </c>
      <c r="H1004" s="116"/>
      <c r="I1004" s="116"/>
      <c r="L1004" s="170">
        <v>43481</v>
      </c>
      <c r="M1004" s="116">
        <v>139.80000000000001</v>
      </c>
      <c r="N1004" s="116">
        <v>140.5</v>
      </c>
      <c r="O1004" s="116">
        <v>136.4</v>
      </c>
      <c r="P1004" s="116">
        <v>139.30000000000001</v>
      </c>
      <c r="Q1004" s="116">
        <v>139.80000000000001</v>
      </c>
      <c r="R1004">
        <v>487865</v>
      </c>
    </row>
    <row r="1005" spans="1:18" x14ac:dyDescent="0.25">
      <c r="A1005" s="170">
        <v>43482</v>
      </c>
      <c r="B1005" s="116">
        <v>137.22713706876601</v>
      </c>
      <c r="C1005" s="116">
        <v>133.009983792545</v>
      </c>
      <c r="D1005" s="116">
        <v>132.185942347766</v>
      </c>
      <c r="E1005" s="116">
        <v>136.88782588562199</v>
      </c>
      <c r="F1005" s="116">
        <v>137.19999999999999</v>
      </c>
      <c r="G1005">
        <v>109101</v>
      </c>
      <c r="H1005" s="116"/>
      <c r="I1005" s="116"/>
      <c r="L1005" s="170">
        <v>43482</v>
      </c>
      <c r="M1005" s="116">
        <v>137.35</v>
      </c>
      <c r="N1005" s="116">
        <v>141.75</v>
      </c>
      <c r="O1005" s="116">
        <v>136.5</v>
      </c>
      <c r="P1005" s="116">
        <v>140.4</v>
      </c>
      <c r="Q1005" s="116">
        <v>137.35</v>
      </c>
      <c r="R1005">
        <v>1458260</v>
      </c>
    </row>
    <row r="1006" spans="1:18" x14ac:dyDescent="0.25">
      <c r="A1006" s="170">
        <v>43483</v>
      </c>
      <c r="B1006" s="116">
        <v>134.12486339430399</v>
      </c>
      <c r="C1006" s="116">
        <v>132.573726557073</v>
      </c>
      <c r="D1006" s="116">
        <v>131.361900902987</v>
      </c>
      <c r="E1006" s="116">
        <v>132.816091687891</v>
      </c>
      <c r="F1006" s="116">
        <v>136.75</v>
      </c>
      <c r="G1006">
        <v>29314</v>
      </c>
      <c r="H1006" s="116"/>
      <c r="I1006" s="116"/>
      <c r="L1006" s="170">
        <v>43483</v>
      </c>
      <c r="M1006" s="116">
        <v>136.75</v>
      </c>
      <c r="N1006" s="116">
        <v>138.44999999999999</v>
      </c>
      <c r="O1006" s="116">
        <v>135.5</v>
      </c>
      <c r="P1006" s="116">
        <v>137.75</v>
      </c>
      <c r="Q1006" s="116">
        <v>136.75</v>
      </c>
      <c r="R1006">
        <v>561297</v>
      </c>
    </row>
    <row r="1007" spans="1:18" x14ac:dyDescent="0.25">
      <c r="A1007" s="170">
        <v>43486</v>
      </c>
      <c r="B1007" s="116">
        <v>133.34929497568899</v>
      </c>
      <c r="C1007" s="116">
        <v>132.62219958323701</v>
      </c>
      <c r="D1007" s="116">
        <v>131.84663116462099</v>
      </c>
      <c r="E1007" s="116">
        <v>132.67067260939999</v>
      </c>
      <c r="F1007" s="116">
        <v>136.80000000000001</v>
      </c>
      <c r="G1007">
        <v>673050</v>
      </c>
      <c r="H1007" s="116"/>
      <c r="I1007" s="116"/>
      <c r="L1007" s="170">
        <v>43486</v>
      </c>
      <c r="M1007" s="116">
        <v>136.9</v>
      </c>
      <c r="N1007" s="116">
        <v>137.55000000000001</v>
      </c>
      <c r="O1007" s="116">
        <v>136.15</v>
      </c>
      <c r="P1007" s="116">
        <v>136.75</v>
      </c>
      <c r="Q1007" s="116">
        <v>136.9</v>
      </c>
      <c r="R1007">
        <v>1102881</v>
      </c>
    </row>
    <row r="1008" spans="1:18" x14ac:dyDescent="0.25">
      <c r="A1008" s="170">
        <v>43487</v>
      </c>
      <c r="B1008" s="116">
        <v>133.30082194952499</v>
      </c>
      <c r="C1008" s="116">
        <v>132.767618661727</v>
      </c>
      <c r="D1008" s="116">
        <v>130.39244037971801</v>
      </c>
      <c r="E1008" s="116">
        <v>132.573726557073</v>
      </c>
      <c r="F1008" s="116">
        <v>136.94999999999999</v>
      </c>
      <c r="G1008">
        <v>33726</v>
      </c>
      <c r="H1008" s="116"/>
      <c r="I1008" s="116"/>
      <c r="L1008" s="170">
        <v>43487</v>
      </c>
      <c r="M1008" s="116">
        <v>137</v>
      </c>
      <c r="N1008" s="116">
        <v>137.69999999999999</v>
      </c>
      <c r="O1008" s="116">
        <v>134.15</v>
      </c>
      <c r="P1008" s="116">
        <v>136.5</v>
      </c>
      <c r="Q1008" s="116">
        <v>137</v>
      </c>
      <c r="R1008">
        <v>2229089</v>
      </c>
    </row>
    <row r="1009" spans="1:18" x14ac:dyDescent="0.25">
      <c r="A1009" s="170">
        <v>43488</v>
      </c>
      <c r="B1009" s="116">
        <v>134.221809446631</v>
      </c>
      <c r="C1009" s="116">
        <v>133.009983792545</v>
      </c>
      <c r="D1009" s="116">
        <v>132.23441537392901</v>
      </c>
      <c r="E1009" s="116">
        <v>134.221809446631</v>
      </c>
      <c r="F1009" s="116">
        <v>137.19999999999999</v>
      </c>
      <c r="G1009">
        <v>30987</v>
      </c>
      <c r="H1009" s="116"/>
      <c r="I1009" s="116"/>
      <c r="L1009" s="170">
        <v>43488</v>
      </c>
      <c r="M1009" s="116">
        <v>137.5</v>
      </c>
      <c r="N1009" s="116">
        <v>138.5</v>
      </c>
      <c r="O1009" s="116">
        <v>136.19999999999999</v>
      </c>
      <c r="P1009" s="116">
        <v>137.19999999999999</v>
      </c>
      <c r="Q1009" s="116">
        <v>137.5</v>
      </c>
      <c r="R1009">
        <v>498158</v>
      </c>
    </row>
    <row r="1010" spans="1:18" x14ac:dyDescent="0.25">
      <c r="A1010" s="170">
        <v>43489</v>
      </c>
      <c r="B1010" s="116">
        <v>133.30082194952499</v>
      </c>
      <c r="C1010" s="116">
        <v>131.45884695531399</v>
      </c>
      <c r="D1010" s="116">
        <v>130.877170641352</v>
      </c>
      <c r="E1010" s="116">
        <v>130.97411669367901</v>
      </c>
      <c r="F1010" s="116">
        <v>135.6</v>
      </c>
      <c r="G1010">
        <v>26988</v>
      </c>
      <c r="H1010" s="116"/>
      <c r="I1010" s="116"/>
      <c r="L1010" s="170">
        <v>43489</v>
      </c>
      <c r="M1010" s="116">
        <v>135.65</v>
      </c>
      <c r="N1010" s="116">
        <v>137.44999999999999</v>
      </c>
      <c r="O1010" s="116">
        <v>135</v>
      </c>
      <c r="P1010" s="116">
        <v>136.85</v>
      </c>
      <c r="Q1010" s="116">
        <v>135.65</v>
      </c>
      <c r="R1010">
        <v>708564</v>
      </c>
    </row>
    <row r="1011" spans="1:18" x14ac:dyDescent="0.25">
      <c r="A1011" s="170">
        <v>43490</v>
      </c>
      <c r="B1011" s="116">
        <v>131.992050243112</v>
      </c>
      <c r="C1011" s="116">
        <v>129.71381801342901</v>
      </c>
      <c r="D1011" s="116">
        <v>128.647411437833</v>
      </c>
      <c r="E1011" s="116">
        <v>131.992050243112</v>
      </c>
      <c r="F1011" s="116">
        <v>133.80000000000001</v>
      </c>
      <c r="G1011">
        <v>474710</v>
      </c>
      <c r="H1011" s="116"/>
      <c r="I1011" s="116"/>
      <c r="L1011" s="170">
        <v>43490</v>
      </c>
      <c r="M1011" s="116">
        <v>133.5</v>
      </c>
      <c r="N1011" s="116">
        <v>136.9</v>
      </c>
      <c r="O1011" s="116">
        <v>132.69999999999999</v>
      </c>
      <c r="P1011" s="116">
        <v>136</v>
      </c>
      <c r="Q1011" s="116">
        <v>133.5</v>
      </c>
      <c r="R1011">
        <v>666303</v>
      </c>
    </row>
    <row r="1012" spans="1:18" x14ac:dyDescent="0.25">
      <c r="A1012" s="170">
        <v>43493</v>
      </c>
      <c r="B1012" s="116">
        <v>135.724473257699</v>
      </c>
      <c r="C1012" s="116">
        <v>132.137469321602</v>
      </c>
      <c r="D1012" s="116">
        <v>126.70849039129401</v>
      </c>
      <c r="E1012" s="116">
        <v>129.665344987266</v>
      </c>
      <c r="F1012" s="116">
        <v>136.30000000000001</v>
      </c>
      <c r="G1012">
        <v>52761</v>
      </c>
      <c r="H1012" s="116"/>
      <c r="I1012" s="116"/>
      <c r="L1012" s="170">
        <v>43493</v>
      </c>
      <c r="M1012" s="116">
        <v>137.25</v>
      </c>
      <c r="N1012" s="116">
        <v>140</v>
      </c>
      <c r="O1012" s="116">
        <v>130.69999999999999</v>
      </c>
      <c r="P1012" s="116">
        <v>132.6</v>
      </c>
      <c r="Q1012" s="116">
        <v>137.25</v>
      </c>
      <c r="R1012">
        <v>443645</v>
      </c>
    </row>
    <row r="1013" spans="1:18" x14ac:dyDescent="0.25">
      <c r="A1013" s="170">
        <v>43494</v>
      </c>
      <c r="B1013" s="116">
        <v>133.30082194952499</v>
      </c>
      <c r="C1013" s="116">
        <v>129.859237091919</v>
      </c>
      <c r="D1013" s="116">
        <v>128.30810025468901</v>
      </c>
      <c r="E1013" s="116">
        <v>132.67067260939999</v>
      </c>
      <c r="F1013" s="116">
        <v>133.94999999999999</v>
      </c>
      <c r="G1013">
        <v>191772</v>
      </c>
      <c r="H1013" s="116"/>
      <c r="I1013" s="116"/>
      <c r="L1013" s="170">
        <v>43494</v>
      </c>
      <c r="M1013" s="116">
        <v>133.9</v>
      </c>
      <c r="N1013" s="116">
        <v>138</v>
      </c>
      <c r="O1013" s="116">
        <v>132.4</v>
      </c>
      <c r="P1013" s="116">
        <v>138</v>
      </c>
      <c r="Q1013" s="116">
        <v>133.9</v>
      </c>
      <c r="R1013">
        <v>565060</v>
      </c>
    </row>
    <row r="1014" spans="1:18" x14ac:dyDescent="0.25">
      <c r="A1014" s="170">
        <v>43495</v>
      </c>
      <c r="B1014" s="116">
        <v>131.41037392915001</v>
      </c>
      <c r="C1014" s="116">
        <v>129.13214169946701</v>
      </c>
      <c r="D1014" s="116">
        <v>128.453519333179</v>
      </c>
      <c r="E1014" s="116">
        <v>131.41037392915001</v>
      </c>
      <c r="F1014" s="116">
        <v>133.19999999999999</v>
      </c>
      <c r="G1014">
        <v>45146</v>
      </c>
      <c r="H1014" s="116"/>
      <c r="I1014" s="116"/>
      <c r="L1014" s="170">
        <v>43495</v>
      </c>
      <c r="M1014" s="116">
        <v>133.35</v>
      </c>
      <c r="N1014" s="116">
        <v>135</v>
      </c>
      <c r="O1014" s="116">
        <v>132.55000000000001</v>
      </c>
      <c r="P1014" s="116">
        <v>135</v>
      </c>
      <c r="Q1014" s="116">
        <v>133.35</v>
      </c>
      <c r="R1014">
        <v>351636</v>
      </c>
    </row>
    <row r="1015" spans="1:18" x14ac:dyDescent="0.25">
      <c r="A1015" s="170">
        <v>43496</v>
      </c>
      <c r="B1015" s="116">
        <v>139.602315350776</v>
      </c>
      <c r="C1015" s="116">
        <v>137.22713706876601</v>
      </c>
      <c r="D1015" s="116">
        <v>130.19854827506401</v>
      </c>
      <c r="E1015" s="116">
        <v>131.41037392915001</v>
      </c>
      <c r="F1015" s="116">
        <v>141.55000000000001</v>
      </c>
      <c r="G1015">
        <v>497933</v>
      </c>
      <c r="H1015" s="116"/>
      <c r="I1015" s="116"/>
      <c r="L1015" s="170">
        <v>43496</v>
      </c>
      <c r="M1015" s="116">
        <v>142.05000000000001</v>
      </c>
      <c r="N1015" s="116">
        <v>144.94999999999999</v>
      </c>
      <c r="O1015" s="116">
        <v>133.9</v>
      </c>
      <c r="P1015" s="116">
        <v>133.9</v>
      </c>
      <c r="Q1015" s="116">
        <v>142.05000000000001</v>
      </c>
      <c r="R1015">
        <v>2531800</v>
      </c>
    </row>
    <row r="1016" spans="1:18" x14ac:dyDescent="0.25">
      <c r="A1016" s="170">
        <v>43497</v>
      </c>
      <c r="B1016" s="116">
        <v>141.05650613568</v>
      </c>
      <c r="C1016" s="116">
        <v>138.68132785367001</v>
      </c>
      <c r="D1016" s="116">
        <v>137.66339430423699</v>
      </c>
      <c r="E1016" s="116">
        <v>137.66339430423699</v>
      </c>
      <c r="F1016" s="116">
        <v>143.05000000000001</v>
      </c>
      <c r="G1016">
        <v>136247</v>
      </c>
      <c r="H1016" s="116"/>
      <c r="I1016" s="116"/>
      <c r="L1016" s="170">
        <v>43497</v>
      </c>
      <c r="M1016" s="116">
        <v>143.75</v>
      </c>
      <c r="N1016" s="116">
        <v>145.65</v>
      </c>
      <c r="O1016" s="116">
        <v>142.25</v>
      </c>
      <c r="P1016" s="116">
        <v>142.25</v>
      </c>
      <c r="Q1016" s="116">
        <v>143.75</v>
      </c>
      <c r="R1016">
        <v>1255454</v>
      </c>
    </row>
    <row r="1017" spans="1:18" x14ac:dyDescent="0.25">
      <c r="A1017" s="170">
        <v>43500</v>
      </c>
      <c r="B1017" s="116">
        <v>142.41375086825701</v>
      </c>
      <c r="C1017" s="116">
        <v>140.08704561241001</v>
      </c>
      <c r="D1017" s="116">
        <v>134.70653970826601</v>
      </c>
      <c r="E1017" s="116">
        <v>138.68132785367001</v>
      </c>
      <c r="F1017" s="116">
        <v>144.5</v>
      </c>
      <c r="G1017">
        <v>104950</v>
      </c>
      <c r="H1017" s="116"/>
      <c r="I1017" s="116"/>
      <c r="L1017" s="170">
        <v>43500</v>
      </c>
      <c r="M1017" s="116">
        <v>144.9</v>
      </c>
      <c r="N1017" s="116">
        <v>147</v>
      </c>
      <c r="O1017" s="116">
        <v>139.19999999999999</v>
      </c>
      <c r="P1017" s="116">
        <v>144.9</v>
      </c>
      <c r="Q1017" s="116">
        <v>144.9</v>
      </c>
      <c r="R1017">
        <v>1057135</v>
      </c>
    </row>
    <row r="1018" spans="1:18" x14ac:dyDescent="0.25">
      <c r="A1018" s="170">
        <v>43501</v>
      </c>
      <c r="B1018" s="116">
        <v>140.81414100486199</v>
      </c>
      <c r="C1018" s="116">
        <v>138.00270548738101</v>
      </c>
      <c r="D1018" s="116">
        <v>134.80348576059299</v>
      </c>
      <c r="E1018" s="116">
        <v>138.584381801343</v>
      </c>
      <c r="F1018" s="116">
        <v>142.35</v>
      </c>
      <c r="G1018">
        <v>80239</v>
      </c>
      <c r="H1018" s="116"/>
      <c r="I1018" s="116"/>
      <c r="L1018" s="170">
        <v>43501</v>
      </c>
      <c r="M1018" s="116">
        <v>143</v>
      </c>
      <c r="N1018" s="116">
        <v>145.44999999999999</v>
      </c>
      <c r="O1018" s="116">
        <v>139.44999999999999</v>
      </c>
      <c r="P1018" s="116">
        <v>144.80000000000001</v>
      </c>
      <c r="Q1018" s="116">
        <v>143</v>
      </c>
      <c r="R1018">
        <v>800968</v>
      </c>
    </row>
    <row r="1019" spans="1:18" x14ac:dyDescent="0.25">
      <c r="A1019" s="170">
        <v>43502</v>
      </c>
      <c r="B1019" s="116">
        <v>139.166058115304</v>
      </c>
      <c r="C1019" s="116">
        <v>137.17866404260201</v>
      </c>
      <c r="D1019" s="116">
        <v>133.78555221116</v>
      </c>
      <c r="E1019" s="116">
        <v>137.71186733040099</v>
      </c>
      <c r="F1019" s="116">
        <v>141.5</v>
      </c>
      <c r="G1019">
        <v>136208</v>
      </c>
      <c r="H1019" s="116"/>
      <c r="I1019" s="116"/>
      <c r="L1019" s="170">
        <v>43502</v>
      </c>
      <c r="M1019" s="116">
        <v>141.69999999999999</v>
      </c>
      <c r="N1019" s="116">
        <v>143.85</v>
      </c>
      <c r="O1019" s="116">
        <v>138.1</v>
      </c>
      <c r="P1019" s="116">
        <v>142.1</v>
      </c>
      <c r="Q1019" s="116">
        <v>141.69999999999999</v>
      </c>
      <c r="R1019">
        <v>1647464</v>
      </c>
    </row>
    <row r="1020" spans="1:18" x14ac:dyDescent="0.25">
      <c r="A1020" s="170">
        <v>43503</v>
      </c>
      <c r="B1020" s="116">
        <v>138.82674693216001</v>
      </c>
      <c r="C1020" s="116">
        <v>135.482108126881</v>
      </c>
      <c r="D1020" s="116">
        <v>134.90043181292</v>
      </c>
      <c r="E1020" s="116">
        <v>137.22713706876601</v>
      </c>
      <c r="F1020" s="116">
        <v>139.75</v>
      </c>
      <c r="G1020">
        <v>193572</v>
      </c>
      <c r="H1020" s="116"/>
      <c r="I1020" s="116"/>
      <c r="L1020" s="170">
        <v>43503</v>
      </c>
      <c r="M1020" s="116">
        <v>139.9</v>
      </c>
      <c r="N1020" s="116">
        <v>143.35</v>
      </c>
      <c r="O1020" s="116">
        <v>139.5</v>
      </c>
      <c r="P1020" s="116">
        <v>142.19999999999999</v>
      </c>
      <c r="Q1020" s="116">
        <v>139.9</v>
      </c>
      <c r="R1020">
        <v>1162796</v>
      </c>
    </row>
    <row r="1021" spans="1:18" x14ac:dyDescent="0.25">
      <c r="A1021" s="170">
        <v>43504</v>
      </c>
      <c r="B1021" s="116">
        <v>137.46950219958299</v>
      </c>
      <c r="C1021" s="116">
        <v>133.30082194952499</v>
      </c>
      <c r="D1021" s="116">
        <v>131.992050243112</v>
      </c>
      <c r="E1021" s="116">
        <v>137.46950219958299</v>
      </c>
      <c r="F1021" s="116">
        <v>137.5</v>
      </c>
      <c r="G1021">
        <v>30341</v>
      </c>
      <c r="H1021" s="116"/>
      <c r="I1021" s="116"/>
      <c r="L1021" s="170">
        <v>43504</v>
      </c>
      <c r="M1021" s="116">
        <v>137.19999999999999</v>
      </c>
      <c r="N1021" s="116">
        <v>140.75</v>
      </c>
      <c r="O1021" s="116">
        <v>136.05000000000001</v>
      </c>
      <c r="P1021" s="116">
        <v>140.44999999999999</v>
      </c>
      <c r="Q1021" s="116">
        <v>137.19999999999999</v>
      </c>
      <c r="R1021">
        <v>697149</v>
      </c>
    </row>
    <row r="1022" spans="1:18" x14ac:dyDescent="0.25">
      <c r="A1022" s="170">
        <v>43507</v>
      </c>
      <c r="B1022" s="116">
        <v>134.415701551285</v>
      </c>
      <c r="C1022" s="116">
        <v>131.313427876823</v>
      </c>
      <c r="D1022" s="116">
        <v>130.877170641352</v>
      </c>
      <c r="E1022" s="116">
        <v>132.04052326927501</v>
      </c>
      <c r="F1022" s="116">
        <v>135.44999999999999</v>
      </c>
      <c r="G1022">
        <v>80664</v>
      </c>
      <c r="H1022" s="116"/>
      <c r="I1022" s="116"/>
      <c r="L1022" s="170">
        <v>43507</v>
      </c>
      <c r="M1022" s="116">
        <v>135.35</v>
      </c>
      <c r="N1022" s="116">
        <v>138.6</v>
      </c>
      <c r="O1022" s="116">
        <v>135</v>
      </c>
      <c r="P1022" s="116">
        <v>137.05000000000001</v>
      </c>
      <c r="Q1022" s="116">
        <v>135.35</v>
      </c>
      <c r="R1022">
        <v>626022</v>
      </c>
    </row>
    <row r="1023" spans="1:18" x14ac:dyDescent="0.25">
      <c r="A1023" s="170">
        <v>43508</v>
      </c>
      <c r="B1023" s="116">
        <v>134.60959365593899</v>
      </c>
      <c r="C1023" s="116">
        <v>131.60426603380401</v>
      </c>
      <c r="D1023" s="116">
        <v>128.93824959481401</v>
      </c>
      <c r="E1023" s="116">
        <v>132.816091687891</v>
      </c>
      <c r="F1023" s="116">
        <v>135.75</v>
      </c>
      <c r="G1023">
        <v>111433</v>
      </c>
      <c r="H1023" s="116"/>
      <c r="I1023" s="116"/>
      <c r="L1023" s="170">
        <v>43508</v>
      </c>
      <c r="M1023" s="116">
        <v>135.85</v>
      </c>
      <c r="N1023" s="116">
        <v>139</v>
      </c>
      <c r="O1023" s="116">
        <v>134.5</v>
      </c>
      <c r="P1023" s="116">
        <v>136.19999999999999</v>
      </c>
      <c r="Q1023" s="116">
        <v>135.85</v>
      </c>
      <c r="R1023">
        <v>732535</v>
      </c>
    </row>
    <row r="1024" spans="1:18" x14ac:dyDescent="0.25">
      <c r="A1024" s="170">
        <v>43509</v>
      </c>
      <c r="B1024" s="116">
        <v>138.390489696689</v>
      </c>
      <c r="C1024" s="116">
        <v>135.094323917574</v>
      </c>
      <c r="D1024" s="116">
        <v>134.415701551285</v>
      </c>
      <c r="E1024" s="116">
        <v>138.390489696689</v>
      </c>
      <c r="F1024" s="116">
        <v>139.35</v>
      </c>
      <c r="G1024">
        <v>523741</v>
      </c>
      <c r="H1024" s="116"/>
      <c r="I1024" s="116"/>
      <c r="L1024" s="170">
        <v>43509</v>
      </c>
      <c r="M1024" s="116">
        <v>140.5</v>
      </c>
      <c r="N1024" s="116">
        <v>141.94999999999999</v>
      </c>
      <c r="O1024" s="116">
        <v>138.25</v>
      </c>
      <c r="P1024" s="116">
        <v>141.94999999999999</v>
      </c>
      <c r="Q1024" s="116">
        <v>140.5</v>
      </c>
      <c r="R1024">
        <v>2486308</v>
      </c>
    </row>
    <row r="1025" spans="1:18" x14ac:dyDescent="0.25">
      <c r="A1025" s="170">
        <v>43510</v>
      </c>
      <c r="B1025" s="116">
        <v>137.17866404260201</v>
      </c>
      <c r="C1025" s="116">
        <v>133.446241028016</v>
      </c>
      <c r="D1025" s="116">
        <v>131.79815813845801</v>
      </c>
      <c r="E1025" s="116">
        <v>137.17866404260201</v>
      </c>
      <c r="F1025" s="116">
        <v>137.65</v>
      </c>
      <c r="G1025">
        <v>21409</v>
      </c>
      <c r="H1025" s="116"/>
      <c r="I1025" s="116"/>
      <c r="L1025" s="170">
        <v>43510</v>
      </c>
      <c r="M1025" s="116">
        <v>137.30000000000001</v>
      </c>
      <c r="N1025" s="116">
        <v>140.5</v>
      </c>
      <c r="O1025" s="116">
        <v>135.9</v>
      </c>
      <c r="P1025" s="116">
        <v>140.5</v>
      </c>
      <c r="Q1025" s="116">
        <v>137.30000000000001</v>
      </c>
      <c r="R1025">
        <v>725817</v>
      </c>
    </row>
    <row r="1026" spans="1:18" x14ac:dyDescent="0.25">
      <c r="A1026" s="170">
        <v>43511</v>
      </c>
      <c r="B1026" s="116">
        <v>134.415701551285</v>
      </c>
      <c r="C1026" s="116">
        <v>132.23441537392901</v>
      </c>
      <c r="D1026" s="116">
        <v>131.555793007641</v>
      </c>
      <c r="E1026" s="116">
        <v>132.67067260939999</v>
      </c>
      <c r="F1026" s="116">
        <v>136.4</v>
      </c>
      <c r="G1026">
        <v>10768</v>
      </c>
      <c r="H1026" s="116"/>
      <c r="I1026" s="116"/>
      <c r="L1026" s="170">
        <v>43511</v>
      </c>
      <c r="M1026" s="116">
        <v>136.65</v>
      </c>
      <c r="N1026" s="116">
        <v>138.80000000000001</v>
      </c>
      <c r="O1026" s="116">
        <v>135.25</v>
      </c>
      <c r="P1026" s="116">
        <v>135.25</v>
      </c>
      <c r="Q1026" s="116">
        <v>136.65</v>
      </c>
      <c r="R1026">
        <v>261439</v>
      </c>
    </row>
    <row r="1027" spans="1:18" x14ac:dyDescent="0.25">
      <c r="A1027" s="170">
        <v>43514</v>
      </c>
      <c r="B1027" s="116">
        <v>133.397768001852</v>
      </c>
      <c r="C1027" s="116">
        <v>130.19854827506401</v>
      </c>
      <c r="D1027" s="116">
        <v>129.95618314424601</v>
      </c>
      <c r="E1027" s="116">
        <v>132.767618661727</v>
      </c>
      <c r="F1027" s="116">
        <v>134.30000000000001</v>
      </c>
      <c r="G1027">
        <v>25795</v>
      </c>
      <c r="H1027" s="116"/>
      <c r="I1027" s="116"/>
      <c r="L1027" s="170">
        <v>43514</v>
      </c>
      <c r="M1027" s="116">
        <v>134.6</v>
      </c>
      <c r="N1027" s="116">
        <v>137.94999999999999</v>
      </c>
      <c r="O1027" s="116">
        <v>134.1</v>
      </c>
      <c r="P1027" s="116">
        <v>137.1</v>
      </c>
      <c r="Q1027" s="116">
        <v>134.6</v>
      </c>
      <c r="R1027">
        <v>400318</v>
      </c>
    </row>
    <row r="1028" spans="1:18" x14ac:dyDescent="0.25">
      <c r="A1028" s="170">
        <v>43515</v>
      </c>
      <c r="B1028" s="116">
        <v>133.93097128964999</v>
      </c>
      <c r="C1028" s="116">
        <v>133.203875897198</v>
      </c>
      <c r="D1028" s="116">
        <v>130.39244037971801</v>
      </c>
      <c r="E1028" s="116">
        <v>131.07106274600599</v>
      </c>
      <c r="F1028" s="116">
        <v>137.4</v>
      </c>
      <c r="G1028">
        <v>21822</v>
      </c>
      <c r="H1028" s="116"/>
      <c r="I1028" s="116"/>
      <c r="L1028" s="170">
        <v>43515</v>
      </c>
      <c r="M1028" s="116">
        <v>137.80000000000001</v>
      </c>
      <c r="N1028" s="116">
        <v>138.5</v>
      </c>
      <c r="O1028" s="116">
        <v>134.5</v>
      </c>
      <c r="P1028" s="116">
        <v>134.5</v>
      </c>
      <c r="Q1028" s="116">
        <v>137.80000000000001</v>
      </c>
      <c r="R1028">
        <v>846006</v>
      </c>
    </row>
    <row r="1029" spans="1:18" x14ac:dyDescent="0.25">
      <c r="A1029" s="170">
        <v>43516</v>
      </c>
      <c r="B1029" s="116">
        <v>142.99542718221801</v>
      </c>
      <c r="C1029" s="116">
        <v>134.70653970826601</v>
      </c>
      <c r="D1029" s="116">
        <v>133.009983792545</v>
      </c>
      <c r="E1029" s="116">
        <v>136.20920351933299</v>
      </c>
      <c r="F1029" s="116">
        <v>138.94999999999999</v>
      </c>
      <c r="G1029">
        <v>127329</v>
      </c>
      <c r="H1029" s="116"/>
      <c r="I1029" s="116"/>
      <c r="L1029" s="170">
        <v>43516</v>
      </c>
      <c r="M1029" s="116">
        <v>138.80000000000001</v>
      </c>
      <c r="N1029" s="116">
        <v>143.44999999999999</v>
      </c>
      <c r="O1029" s="116">
        <v>137.55000000000001</v>
      </c>
      <c r="P1029" s="116">
        <v>141</v>
      </c>
      <c r="Q1029" s="116">
        <v>138.80000000000001</v>
      </c>
      <c r="R1029">
        <v>1867358</v>
      </c>
    </row>
    <row r="1030" spans="1:18" x14ac:dyDescent="0.25">
      <c r="A1030" s="170">
        <v>43517</v>
      </c>
      <c r="B1030" s="116">
        <v>140.57177587404499</v>
      </c>
      <c r="C1030" s="116">
        <v>138.72980087983299</v>
      </c>
      <c r="D1030" s="116">
        <v>135.38516207455399</v>
      </c>
      <c r="E1030" s="116">
        <v>136.112257467006</v>
      </c>
      <c r="F1030" s="116">
        <v>143.1</v>
      </c>
      <c r="G1030">
        <v>299205</v>
      </c>
      <c r="H1030" s="116"/>
      <c r="I1030" s="116"/>
      <c r="L1030" s="170">
        <v>43517</v>
      </c>
      <c r="M1030" s="116">
        <v>142.44999999999999</v>
      </c>
      <c r="N1030" s="116">
        <v>144.69999999999999</v>
      </c>
      <c r="O1030" s="116">
        <v>139.19999999999999</v>
      </c>
      <c r="P1030" s="116">
        <v>140.65</v>
      </c>
      <c r="Q1030" s="116">
        <v>142.44999999999999</v>
      </c>
      <c r="R1030">
        <v>1682867</v>
      </c>
    </row>
    <row r="1031" spans="1:18" x14ac:dyDescent="0.25">
      <c r="A1031" s="170">
        <v>43518</v>
      </c>
      <c r="B1031" s="116">
        <v>139.990099560083</v>
      </c>
      <c r="C1031" s="116">
        <v>138.29354364436199</v>
      </c>
      <c r="D1031" s="116">
        <v>136.54851470247701</v>
      </c>
      <c r="E1031" s="116">
        <v>137.66339430423699</v>
      </c>
      <c r="F1031" s="116">
        <v>142.65</v>
      </c>
      <c r="G1031">
        <v>131978</v>
      </c>
      <c r="H1031" s="116"/>
      <c r="I1031" s="116"/>
      <c r="L1031" s="170">
        <v>43518</v>
      </c>
      <c r="M1031" s="116">
        <v>142.9</v>
      </c>
      <c r="N1031" s="116">
        <v>144.5</v>
      </c>
      <c r="O1031" s="116">
        <v>140.55000000000001</v>
      </c>
      <c r="P1031" s="116">
        <v>143.5</v>
      </c>
      <c r="Q1031" s="116">
        <v>142.9</v>
      </c>
      <c r="R1031">
        <v>1583138</v>
      </c>
    </row>
    <row r="1032" spans="1:18" x14ac:dyDescent="0.25">
      <c r="A1032" s="170">
        <v>43521</v>
      </c>
      <c r="B1032" s="116">
        <v>140.668721926372</v>
      </c>
      <c r="C1032" s="116">
        <v>137.85728640889101</v>
      </c>
      <c r="D1032" s="116">
        <v>136.83935285945799</v>
      </c>
      <c r="E1032" s="116">
        <v>140.474829821718</v>
      </c>
      <c r="F1032" s="116">
        <v>142.19999999999999</v>
      </c>
      <c r="G1032">
        <v>26976</v>
      </c>
      <c r="H1032" s="116"/>
      <c r="I1032" s="116"/>
      <c r="L1032" s="170">
        <v>43521</v>
      </c>
      <c r="M1032" s="116">
        <v>142.15</v>
      </c>
      <c r="N1032" s="116">
        <v>145.4</v>
      </c>
      <c r="O1032" s="116">
        <v>141.6</v>
      </c>
      <c r="P1032" s="116">
        <v>143.5</v>
      </c>
      <c r="Q1032" s="116">
        <v>142.15</v>
      </c>
      <c r="R1032">
        <v>521791</v>
      </c>
    </row>
    <row r="1033" spans="1:18" x14ac:dyDescent="0.25">
      <c r="A1033" s="170">
        <v>43522</v>
      </c>
      <c r="B1033" s="116">
        <v>137.130191016439</v>
      </c>
      <c r="C1033" s="116">
        <v>135.288216022227</v>
      </c>
      <c r="D1033" s="116">
        <v>134.94890483908301</v>
      </c>
      <c r="E1033" s="116">
        <v>136.98477193794901</v>
      </c>
      <c r="F1033" s="116">
        <v>139.55000000000001</v>
      </c>
      <c r="G1033">
        <v>21058</v>
      </c>
      <c r="H1033" s="116"/>
      <c r="I1033" s="116"/>
      <c r="L1033" s="170">
        <v>43522</v>
      </c>
      <c r="M1033" s="116">
        <v>139.85</v>
      </c>
      <c r="N1033" s="116">
        <v>142</v>
      </c>
      <c r="O1033" s="116">
        <v>139.35</v>
      </c>
      <c r="P1033" s="116">
        <v>141</v>
      </c>
      <c r="Q1033" s="116">
        <v>139.85</v>
      </c>
      <c r="R1033">
        <v>497832</v>
      </c>
    </row>
    <row r="1034" spans="1:18" x14ac:dyDescent="0.25">
      <c r="A1034" s="170">
        <v>43523</v>
      </c>
      <c r="B1034" s="116">
        <v>136.83935285945799</v>
      </c>
      <c r="C1034" s="116">
        <v>132.767618661727</v>
      </c>
      <c r="D1034" s="116">
        <v>132.23441537392901</v>
      </c>
      <c r="E1034" s="116">
        <v>136.64546075480399</v>
      </c>
      <c r="F1034" s="116">
        <v>136.94999999999999</v>
      </c>
      <c r="G1034">
        <v>24400</v>
      </c>
      <c r="H1034" s="116"/>
      <c r="I1034" s="116"/>
      <c r="L1034" s="170">
        <v>43523</v>
      </c>
      <c r="M1034" s="116">
        <v>136.94999999999999</v>
      </c>
      <c r="N1034" s="116">
        <v>141.44999999999999</v>
      </c>
      <c r="O1034" s="116">
        <v>136.30000000000001</v>
      </c>
      <c r="P1034" s="116">
        <v>140.05000000000001</v>
      </c>
      <c r="Q1034" s="116">
        <v>136.94999999999999</v>
      </c>
      <c r="R1034">
        <v>2214985</v>
      </c>
    </row>
    <row r="1035" spans="1:18" x14ac:dyDescent="0.25">
      <c r="A1035" s="170">
        <v>43524</v>
      </c>
      <c r="B1035" s="116">
        <v>135.239742996064</v>
      </c>
      <c r="C1035" s="116">
        <v>134.31875549895801</v>
      </c>
      <c r="D1035" s="116">
        <v>132.91303774021799</v>
      </c>
      <c r="E1035" s="116">
        <v>133.73707918499699</v>
      </c>
      <c r="F1035" s="116">
        <v>138.55000000000001</v>
      </c>
      <c r="G1035">
        <v>13107</v>
      </c>
      <c r="H1035" s="116"/>
      <c r="I1035" s="116"/>
      <c r="L1035" s="170">
        <v>43524</v>
      </c>
      <c r="M1035" s="116">
        <v>138.69999999999999</v>
      </c>
      <c r="N1035" s="116">
        <v>139.75</v>
      </c>
      <c r="O1035" s="116">
        <v>137.05000000000001</v>
      </c>
      <c r="P1035" s="116">
        <v>137.25</v>
      </c>
      <c r="Q1035" s="116">
        <v>138.69999999999999</v>
      </c>
      <c r="R1035">
        <v>1528263</v>
      </c>
    </row>
    <row r="1036" spans="1:18" x14ac:dyDescent="0.25">
      <c r="A1036" s="170">
        <v>43525</v>
      </c>
      <c r="B1036" s="116">
        <v>135.82141931002499</v>
      </c>
      <c r="C1036" s="116">
        <v>133.591660106506</v>
      </c>
      <c r="D1036" s="116">
        <v>133.05845681870801</v>
      </c>
      <c r="E1036" s="116">
        <v>134.46417457744801</v>
      </c>
      <c r="F1036" s="116">
        <v>137.80000000000001</v>
      </c>
      <c r="G1036">
        <v>31660</v>
      </c>
      <c r="H1036" s="116"/>
      <c r="I1036" s="116"/>
      <c r="L1036" s="170">
        <v>43525</v>
      </c>
      <c r="M1036" s="116">
        <v>138.25</v>
      </c>
      <c r="N1036" s="116">
        <v>139.9</v>
      </c>
      <c r="O1036" s="116">
        <v>137</v>
      </c>
      <c r="P1036" s="116">
        <v>139</v>
      </c>
      <c r="Q1036" s="116">
        <v>138.25</v>
      </c>
      <c r="R1036">
        <v>610643</v>
      </c>
    </row>
    <row r="1037" spans="1:18" x14ac:dyDescent="0.25">
      <c r="A1037" s="170">
        <v>43529</v>
      </c>
      <c r="B1037" s="116">
        <v>135.724473257699</v>
      </c>
      <c r="C1037" s="116">
        <v>134.51264760361201</v>
      </c>
      <c r="D1037" s="116">
        <v>132.816091687891</v>
      </c>
      <c r="E1037" s="116">
        <v>134.75501273442899</v>
      </c>
      <c r="F1037" s="116">
        <v>138.75</v>
      </c>
      <c r="G1037">
        <v>72695</v>
      </c>
      <c r="H1037" s="116"/>
      <c r="I1037" s="116"/>
      <c r="L1037" s="170">
        <v>43529</v>
      </c>
      <c r="M1037" s="116">
        <v>138.94999999999999</v>
      </c>
      <c r="N1037" s="116">
        <v>140.55000000000001</v>
      </c>
      <c r="O1037" s="116">
        <v>137.19999999999999</v>
      </c>
      <c r="P1037" s="116">
        <v>138.05000000000001</v>
      </c>
      <c r="Q1037" s="116">
        <v>138.94999999999999</v>
      </c>
      <c r="R1037">
        <v>3702891</v>
      </c>
    </row>
    <row r="1038" spans="1:18" x14ac:dyDescent="0.25">
      <c r="A1038" s="170">
        <v>43530</v>
      </c>
      <c r="B1038" s="116">
        <v>137.324083121093</v>
      </c>
      <c r="C1038" s="116">
        <v>135.676000231535</v>
      </c>
      <c r="D1038" s="116">
        <v>134.17333642046799</v>
      </c>
      <c r="E1038" s="116">
        <v>136.20920351933299</v>
      </c>
      <c r="F1038" s="116">
        <v>139.94999999999999</v>
      </c>
      <c r="G1038">
        <v>75142</v>
      </c>
      <c r="H1038" s="116"/>
      <c r="I1038" s="116"/>
      <c r="L1038" s="170">
        <v>43530</v>
      </c>
      <c r="M1038" s="116">
        <v>139.75</v>
      </c>
      <c r="N1038" s="116">
        <v>141.5</v>
      </c>
      <c r="O1038" s="116">
        <v>138.05000000000001</v>
      </c>
      <c r="P1038" s="116">
        <v>141.30000000000001</v>
      </c>
      <c r="Q1038" s="116">
        <v>139.75</v>
      </c>
      <c r="R1038">
        <v>2433855</v>
      </c>
    </row>
    <row r="1039" spans="1:18" x14ac:dyDescent="0.25">
      <c r="A1039" s="170">
        <v>43531</v>
      </c>
      <c r="B1039" s="116">
        <v>138.48743574901599</v>
      </c>
      <c r="C1039" s="116">
        <v>137.760340356564</v>
      </c>
      <c r="D1039" s="116">
        <v>134.31875549895801</v>
      </c>
      <c r="E1039" s="116">
        <v>135.82141931002499</v>
      </c>
      <c r="F1039" s="116">
        <v>142.1</v>
      </c>
      <c r="G1039">
        <v>666348</v>
      </c>
      <c r="H1039" s="116"/>
      <c r="I1039" s="116"/>
      <c r="L1039" s="170">
        <v>43531</v>
      </c>
      <c r="M1039" s="116">
        <v>142.19999999999999</v>
      </c>
      <c r="N1039" s="116">
        <v>143.19999999999999</v>
      </c>
      <c r="O1039" s="116">
        <v>138.35</v>
      </c>
      <c r="P1039" s="116">
        <v>140.6</v>
      </c>
      <c r="Q1039" s="116">
        <v>142.19999999999999</v>
      </c>
      <c r="R1039">
        <v>2607465</v>
      </c>
    </row>
    <row r="1040" spans="1:18" x14ac:dyDescent="0.25">
      <c r="A1040" s="170">
        <v>43532</v>
      </c>
      <c r="B1040" s="116">
        <v>143.23779231303499</v>
      </c>
      <c r="C1040" s="116">
        <v>139.796207455429</v>
      </c>
      <c r="D1040" s="116">
        <v>137.61492127807401</v>
      </c>
      <c r="E1040" s="116">
        <v>138.05117851354501</v>
      </c>
      <c r="F1040" s="116">
        <v>144.19999999999999</v>
      </c>
      <c r="G1040">
        <v>244931</v>
      </c>
      <c r="H1040" s="116"/>
      <c r="I1040" s="116"/>
      <c r="L1040" s="170">
        <v>43532</v>
      </c>
      <c r="M1040" s="116">
        <v>144.55000000000001</v>
      </c>
      <c r="N1040" s="116">
        <v>148</v>
      </c>
      <c r="O1040" s="116">
        <v>141.5</v>
      </c>
      <c r="P1040" s="116">
        <v>143</v>
      </c>
      <c r="Q1040" s="116">
        <v>144.55000000000001</v>
      </c>
      <c r="R1040">
        <v>3885045</v>
      </c>
    </row>
    <row r="1041" spans="1:18" x14ac:dyDescent="0.25">
      <c r="A1041" s="170">
        <v>43535</v>
      </c>
      <c r="B1041" s="116">
        <v>141.83207455429499</v>
      </c>
      <c r="C1041" s="116">
        <v>139.69926140310301</v>
      </c>
      <c r="D1041" s="116">
        <v>139.214531141468</v>
      </c>
      <c r="E1041" s="116">
        <v>141.39581731882399</v>
      </c>
      <c r="F1041" s="116">
        <v>144.1</v>
      </c>
      <c r="G1041">
        <v>160843</v>
      </c>
      <c r="H1041" s="116"/>
      <c r="I1041" s="116"/>
      <c r="L1041" s="170">
        <v>43535</v>
      </c>
      <c r="M1041" s="116">
        <v>144.15</v>
      </c>
      <c r="N1041" s="116">
        <v>146.5</v>
      </c>
      <c r="O1041" s="116">
        <v>143.5</v>
      </c>
      <c r="P1041" s="116">
        <v>145.15</v>
      </c>
      <c r="Q1041" s="116">
        <v>144.15</v>
      </c>
      <c r="R1041">
        <v>4092360</v>
      </c>
    </row>
    <row r="1042" spans="1:18" x14ac:dyDescent="0.25">
      <c r="A1042" s="170">
        <v>43536</v>
      </c>
      <c r="B1042" s="116">
        <v>147.35799953693001</v>
      </c>
      <c r="C1042" s="116">
        <v>146.34006598749701</v>
      </c>
      <c r="D1042" s="116">
        <v>139.602315350776</v>
      </c>
      <c r="E1042" s="116">
        <v>141.05650613568</v>
      </c>
      <c r="F1042" s="116">
        <v>150.94999999999999</v>
      </c>
      <c r="G1042">
        <v>698748</v>
      </c>
      <c r="H1042" s="116"/>
      <c r="I1042" s="116"/>
      <c r="L1042" s="170">
        <v>43536</v>
      </c>
      <c r="M1042" s="116">
        <v>151.05000000000001</v>
      </c>
      <c r="N1042" s="116">
        <v>152.25</v>
      </c>
      <c r="O1042" s="116">
        <v>144.44999999999999</v>
      </c>
      <c r="P1042" s="116">
        <v>145</v>
      </c>
      <c r="Q1042" s="116">
        <v>151.05000000000001</v>
      </c>
      <c r="R1042">
        <v>8831691</v>
      </c>
    </row>
    <row r="1043" spans="1:18" x14ac:dyDescent="0.25">
      <c r="A1043" s="170">
        <v>43537</v>
      </c>
      <c r="B1043" s="116">
        <v>151.67209886547801</v>
      </c>
      <c r="C1043" s="116">
        <v>149.29692058346799</v>
      </c>
      <c r="D1043" s="116">
        <v>147.35799953693001</v>
      </c>
      <c r="E1043" s="116">
        <v>147.45494558925699</v>
      </c>
      <c r="F1043" s="116">
        <v>154</v>
      </c>
      <c r="G1043">
        <v>498896</v>
      </c>
      <c r="H1043" s="116"/>
      <c r="I1043" s="116"/>
      <c r="L1043" s="170">
        <v>43537</v>
      </c>
      <c r="M1043" s="116">
        <v>153.94999999999999</v>
      </c>
      <c r="N1043" s="116">
        <v>156.44999999999999</v>
      </c>
      <c r="O1043" s="116">
        <v>151.69999999999999</v>
      </c>
      <c r="P1043" s="116">
        <v>151.69999999999999</v>
      </c>
      <c r="Q1043" s="116">
        <v>153.94999999999999</v>
      </c>
      <c r="R1043">
        <v>3414121</v>
      </c>
    </row>
    <row r="1044" spans="1:18" x14ac:dyDescent="0.25">
      <c r="A1044" s="170">
        <v>43538</v>
      </c>
      <c r="B1044" s="116">
        <v>149.87859689742999</v>
      </c>
      <c r="C1044" s="116">
        <v>145.225186385737</v>
      </c>
      <c r="D1044" s="116">
        <v>144.49809099328601</v>
      </c>
      <c r="E1044" s="116">
        <v>149.87859689742999</v>
      </c>
      <c r="F1044" s="116">
        <v>149.80000000000001</v>
      </c>
      <c r="G1044">
        <v>43459</v>
      </c>
      <c r="H1044" s="116"/>
      <c r="I1044" s="116"/>
      <c r="L1044" s="170">
        <v>43538</v>
      </c>
      <c r="M1044" s="116">
        <v>149.94999999999999</v>
      </c>
      <c r="N1044" s="116">
        <v>154</v>
      </c>
      <c r="O1044" s="116">
        <v>149.1</v>
      </c>
      <c r="P1044" s="116">
        <v>152.1</v>
      </c>
      <c r="Q1044" s="116">
        <v>149.94999999999999</v>
      </c>
      <c r="R1044">
        <v>2029887</v>
      </c>
    </row>
    <row r="1045" spans="1:18" x14ac:dyDescent="0.25">
      <c r="A1045" s="170">
        <v>43539</v>
      </c>
      <c r="B1045" s="116">
        <v>147.261053484603</v>
      </c>
      <c r="C1045" s="116">
        <v>144.06183375781399</v>
      </c>
      <c r="D1045" s="116">
        <v>143.57710349618</v>
      </c>
      <c r="E1045" s="116">
        <v>145.12824033341099</v>
      </c>
      <c r="F1045" s="116">
        <v>148.6</v>
      </c>
      <c r="G1045">
        <v>49192</v>
      </c>
      <c r="H1045" s="116"/>
      <c r="I1045" s="116"/>
      <c r="L1045" s="170">
        <v>43539</v>
      </c>
      <c r="M1045" s="116">
        <v>149.15</v>
      </c>
      <c r="N1045" s="116">
        <v>151.85</v>
      </c>
      <c r="O1045" s="116">
        <v>148.05000000000001</v>
      </c>
      <c r="P1045" s="116">
        <v>150.1</v>
      </c>
      <c r="Q1045" s="116">
        <v>149.15</v>
      </c>
      <c r="R1045">
        <v>1599045</v>
      </c>
    </row>
    <row r="1046" spans="1:18" x14ac:dyDescent="0.25">
      <c r="A1046" s="170">
        <v>43542</v>
      </c>
      <c r="B1046" s="116">
        <v>148.81219032183401</v>
      </c>
      <c r="C1046" s="116">
        <v>145.806862699699</v>
      </c>
      <c r="D1046" s="116">
        <v>144.788929150266</v>
      </c>
      <c r="E1046" s="116">
        <v>148.81219032183401</v>
      </c>
      <c r="F1046" s="116">
        <v>150.4</v>
      </c>
      <c r="G1046">
        <v>313423</v>
      </c>
      <c r="H1046" s="116"/>
      <c r="I1046" s="116"/>
      <c r="L1046" s="170">
        <v>43542</v>
      </c>
      <c r="M1046" s="116">
        <v>150.75</v>
      </c>
      <c r="N1046" s="116">
        <v>152.35</v>
      </c>
      <c r="O1046" s="116">
        <v>149.05000000000001</v>
      </c>
      <c r="P1046" s="116">
        <v>150</v>
      </c>
      <c r="Q1046" s="116">
        <v>150.75</v>
      </c>
      <c r="R1046">
        <v>1274029</v>
      </c>
    </row>
    <row r="1047" spans="1:18" x14ac:dyDescent="0.25">
      <c r="A1047" s="170">
        <v>43543</v>
      </c>
      <c r="B1047" s="116">
        <v>147.35799953693001</v>
      </c>
      <c r="C1047" s="116">
        <v>145.37060546422799</v>
      </c>
      <c r="D1047" s="116">
        <v>144.44961796712201</v>
      </c>
      <c r="E1047" s="116">
        <v>147.35799953693001</v>
      </c>
      <c r="F1047" s="116">
        <v>149.94999999999999</v>
      </c>
      <c r="G1047">
        <v>32957</v>
      </c>
      <c r="H1047" s="116"/>
      <c r="I1047" s="116"/>
      <c r="L1047" s="170">
        <v>43543</v>
      </c>
      <c r="M1047" s="116">
        <v>149.65</v>
      </c>
      <c r="N1047" s="116">
        <v>152.5</v>
      </c>
      <c r="O1047" s="116">
        <v>148.69999999999999</v>
      </c>
      <c r="P1047" s="116">
        <v>152.5</v>
      </c>
      <c r="Q1047" s="116">
        <v>149.65</v>
      </c>
      <c r="R1047">
        <v>549379</v>
      </c>
    </row>
    <row r="1048" spans="1:18" x14ac:dyDescent="0.25">
      <c r="A1048" s="170">
        <v>43544</v>
      </c>
      <c r="B1048" s="116">
        <v>147.35799953693001</v>
      </c>
      <c r="C1048" s="116">
        <v>143.964887705487</v>
      </c>
      <c r="D1048" s="116">
        <v>142.55916994674701</v>
      </c>
      <c r="E1048" s="116">
        <v>145.37060546422799</v>
      </c>
      <c r="F1048" s="116">
        <v>148.5</v>
      </c>
      <c r="G1048">
        <v>353636</v>
      </c>
      <c r="H1048" s="116"/>
      <c r="I1048" s="116"/>
      <c r="L1048" s="170">
        <v>43544</v>
      </c>
      <c r="M1048" s="116">
        <v>147.94999999999999</v>
      </c>
      <c r="N1048" s="116">
        <v>150.4</v>
      </c>
      <c r="O1048" s="116">
        <v>147.25</v>
      </c>
      <c r="P1048" s="116">
        <v>149.30000000000001</v>
      </c>
      <c r="Q1048" s="116">
        <v>147.94999999999999</v>
      </c>
      <c r="R1048">
        <v>1097242</v>
      </c>
    </row>
    <row r="1049" spans="1:18" x14ac:dyDescent="0.25">
      <c r="A1049" s="170">
        <v>43546</v>
      </c>
      <c r="B1049" s="116">
        <v>145.419078490391</v>
      </c>
      <c r="C1049" s="116">
        <v>143.57710349618</v>
      </c>
      <c r="D1049" s="116">
        <v>142.753062051401</v>
      </c>
      <c r="E1049" s="116">
        <v>144.44961796712201</v>
      </c>
      <c r="F1049" s="116">
        <v>148.1</v>
      </c>
      <c r="G1049">
        <v>37203</v>
      </c>
      <c r="H1049" s="116"/>
      <c r="I1049" s="116"/>
      <c r="L1049" s="170">
        <v>43546</v>
      </c>
      <c r="M1049" s="116">
        <v>148.15</v>
      </c>
      <c r="N1049" s="116">
        <v>150</v>
      </c>
      <c r="O1049" s="116">
        <v>147.75</v>
      </c>
      <c r="P1049" s="116">
        <v>147.94999999999999</v>
      </c>
      <c r="Q1049" s="116">
        <v>148.15</v>
      </c>
      <c r="R1049">
        <v>2521588</v>
      </c>
    </row>
    <row r="1050" spans="1:18" x14ac:dyDescent="0.25">
      <c r="A1050" s="170">
        <v>43549</v>
      </c>
      <c r="B1050" s="116">
        <v>144.83740217643</v>
      </c>
      <c r="C1050" s="116">
        <v>143.86794165315999</v>
      </c>
      <c r="D1050" s="116">
        <v>141.73512850196801</v>
      </c>
      <c r="E1050" s="116">
        <v>142.510696920583</v>
      </c>
      <c r="F1050" s="116">
        <v>148.4</v>
      </c>
      <c r="G1050">
        <v>27880</v>
      </c>
      <c r="H1050" s="116"/>
      <c r="I1050" s="116"/>
      <c r="L1050" s="170">
        <v>43549</v>
      </c>
      <c r="M1050" s="116">
        <v>148.25</v>
      </c>
      <c r="N1050" s="116">
        <v>149.55000000000001</v>
      </c>
      <c r="O1050" s="116">
        <v>146.05000000000001</v>
      </c>
      <c r="P1050" s="116">
        <v>147</v>
      </c>
      <c r="Q1050" s="116">
        <v>148.25</v>
      </c>
      <c r="R1050">
        <v>3043153</v>
      </c>
    </row>
    <row r="1051" spans="1:18" x14ac:dyDescent="0.25">
      <c r="A1051" s="170">
        <v>43550</v>
      </c>
      <c r="B1051" s="116">
        <v>146.873269275295</v>
      </c>
      <c r="C1051" s="116">
        <v>146.34006598749701</v>
      </c>
      <c r="D1051" s="116">
        <v>142.510696920583</v>
      </c>
      <c r="E1051" s="116">
        <v>142.704589025237</v>
      </c>
      <c r="F1051" s="116">
        <v>150.94999999999999</v>
      </c>
      <c r="G1051">
        <v>31563</v>
      </c>
      <c r="H1051" s="116"/>
      <c r="I1051" s="116"/>
      <c r="L1051" s="170">
        <v>43550</v>
      </c>
      <c r="M1051" s="116">
        <v>150.75</v>
      </c>
      <c r="N1051" s="116">
        <v>151</v>
      </c>
      <c r="O1051" s="116">
        <v>147</v>
      </c>
      <c r="P1051" s="116">
        <v>147.4</v>
      </c>
      <c r="Q1051" s="116">
        <v>150.75</v>
      </c>
      <c r="R1051">
        <v>1405209</v>
      </c>
    </row>
    <row r="1052" spans="1:18" x14ac:dyDescent="0.25">
      <c r="A1052" s="170">
        <v>43551</v>
      </c>
      <c r="B1052" s="116">
        <v>148.327460060199</v>
      </c>
      <c r="C1052" s="116">
        <v>146.630904144478</v>
      </c>
      <c r="D1052" s="116">
        <v>144.69198309793899</v>
      </c>
      <c r="E1052" s="116">
        <v>146.82479624913199</v>
      </c>
      <c r="F1052" s="116">
        <v>151.25</v>
      </c>
      <c r="G1052">
        <v>53649</v>
      </c>
      <c r="H1052" s="116"/>
      <c r="I1052" s="116"/>
      <c r="L1052" s="170">
        <v>43551</v>
      </c>
      <c r="M1052" s="116">
        <v>151.25</v>
      </c>
      <c r="N1052" s="116">
        <v>153</v>
      </c>
      <c r="O1052" s="116">
        <v>148.9</v>
      </c>
      <c r="P1052" s="116">
        <v>150.19999999999999</v>
      </c>
      <c r="Q1052" s="116">
        <v>151.25</v>
      </c>
      <c r="R1052">
        <v>1353282</v>
      </c>
    </row>
    <row r="1053" spans="1:18" x14ac:dyDescent="0.25">
      <c r="A1053" s="170">
        <v>43552</v>
      </c>
      <c r="B1053" s="116">
        <v>147.84272979856399</v>
      </c>
      <c r="C1053" s="116">
        <v>147.35799953693001</v>
      </c>
      <c r="D1053" s="116">
        <v>145.031294281084</v>
      </c>
      <c r="E1053" s="116">
        <v>146.92174230145901</v>
      </c>
      <c r="F1053" s="116">
        <v>152</v>
      </c>
      <c r="G1053">
        <v>40646</v>
      </c>
      <c r="H1053" s="116"/>
      <c r="I1053" s="116"/>
      <c r="L1053" s="170">
        <v>43552</v>
      </c>
      <c r="M1053" s="116">
        <v>151.94999999999999</v>
      </c>
      <c r="N1053" s="116">
        <v>152.5</v>
      </c>
      <c r="O1053" s="116">
        <v>149.5</v>
      </c>
      <c r="P1053" s="116">
        <v>151.25</v>
      </c>
      <c r="Q1053" s="116">
        <v>151.94999999999999</v>
      </c>
      <c r="R1053">
        <v>4098905</v>
      </c>
    </row>
    <row r="1054" spans="1:18" x14ac:dyDescent="0.25">
      <c r="A1054" s="170">
        <v>43553</v>
      </c>
      <c r="B1054" s="116">
        <v>150.99347649919</v>
      </c>
      <c r="C1054" s="116">
        <v>149.63623176661301</v>
      </c>
      <c r="D1054" s="116">
        <v>144.93434822875699</v>
      </c>
      <c r="E1054" s="116">
        <v>146.38853901366099</v>
      </c>
      <c r="F1054" s="116">
        <v>154.35</v>
      </c>
      <c r="G1054">
        <v>60488</v>
      </c>
      <c r="H1054" s="116"/>
      <c r="I1054" s="116"/>
      <c r="L1054" s="170">
        <v>43553</v>
      </c>
      <c r="M1054" s="116">
        <v>154.9</v>
      </c>
      <c r="N1054" s="116">
        <v>156</v>
      </c>
      <c r="O1054" s="116">
        <v>149.19999999999999</v>
      </c>
      <c r="P1054" s="116">
        <v>152</v>
      </c>
      <c r="Q1054" s="116">
        <v>154.9</v>
      </c>
      <c r="R1054">
        <v>2458138</v>
      </c>
    </row>
    <row r="1055" spans="1:18" x14ac:dyDescent="0.25">
      <c r="A1055" s="170">
        <v>43556</v>
      </c>
      <c r="B1055" s="116">
        <v>153.17476267654601</v>
      </c>
      <c r="C1055" s="116">
        <v>149.73317781893999</v>
      </c>
      <c r="D1055" s="116">
        <v>149.10302847881499</v>
      </c>
      <c r="E1055" s="116">
        <v>150.26638110673801</v>
      </c>
      <c r="F1055" s="116">
        <v>154.44999999999999</v>
      </c>
      <c r="G1055">
        <v>79929</v>
      </c>
      <c r="H1055" s="116"/>
      <c r="I1055" s="116"/>
      <c r="L1055" s="170">
        <v>43556</v>
      </c>
      <c r="M1055" s="116">
        <v>154.85</v>
      </c>
      <c r="N1055" s="116">
        <v>158.4</v>
      </c>
      <c r="O1055" s="116">
        <v>153.5</v>
      </c>
      <c r="P1055" s="116">
        <v>156.30000000000001</v>
      </c>
      <c r="Q1055" s="116">
        <v>154.85</v>
      </c>
      <c r="R1055">
        <v>1537789</v>
      </c>
    </row>
    <row r="1056" spans="1:18" x14ac:dyDescent="0.25">
      <c r="A1056" s="170">
        <v>43557</v>
      </c>
      <c r="B1056" s="116">
        <v>154.144223199815</v>
      </c>
      <c r="C1056" s="116">
        <v>152.835451493401</v>
      </c>
      <c r="D1056" s="116">
        <v>149.781650845103</v>
      </c>
      <c r="E1056" s="116">
        <v>152.641559388747</v>
      </c>
      <c r="F1056" s="116">
        <v>157.65</v>
      </c>
      <c r="G1056">
        <v>135251</v>
      </c>
      <c r="H1056" s="116"/>
      <c r="I1056" s="116"/>
      <c r="L1056" s="170">
        <v>43557</v>
      </c>
      <c r="M1056" s="116">
        <v>157.55000000000001</v>
      </c>
      <c r="N1056" s="116">
        <v>159.4</v>
      </c>
      <c r="O1056" s="116">
        <v>154.35</v>
      </c>
      <c r="P1056" s="116">
        <v>156.6</v>
      </c>
      <c r="Q1056" s="116">
        <v>157.55000000000001</v>
      </c>
      <c r="R1056">
        <v>2400549</v>
      </c>
    </row>
    <row r="1057" spans="1:18" x14ac:dyDescent="0.25">
      <c r="A1057" s="170">
        <v>43558</v>
      </c>
      <c r="B1057" s="116">
        <v>156.08314424635299</v>
      </c>
      <c r="C1057" s="116">
        <v>150.169435054411</v>
      </c>
      <c r="D1057" s="116">
        <v>149.29692058346799</v>
      </c>
      <c r="E1057" s="116">
        <v>154.338115304469</v>
      </c>
      <c r="F1057" s="116">
        <v>154.9</v>
      </c>
      <c r="G1057">
        <v>223587</v>
      </c>
      <c r="H1057" s="116"/>
      <c r="I1057" s="116"/>
      <c r="L1057" s="170">
        <v>43558</v>
      </c>
      <c r="M1057" s="116">
        <v>154.85</v>
      </c>
      <c r="N1057" s="116">
        <v>160.9</v>
      </c>
      <c r="O1057" s="116">
        <v>154.19999999999999</v>
      </c>
      <c r="P1057" s="116">
        <v>159</v>
      </c>
      <c r="Q1057" s="116">
        <v>154.85</v>
      </c>
      <c r="R1057">
        <v>2649736</v>
      </c>
    </row>
    <row r="1058" spans="1:18" x14ac:dyDescent="0.25">
      <c r="A1058" s="170">
        <v>43559</v>
      </c>
      <c r="B1058" s="116">
        <v>151.28431465617001</v>
      </c>
      <c r="C1058" s="116">
        <v>148.66677124334299</v>
      </c>
      <c r="D1058" s="116">
        <v>147.55189164158401</v>
      </c>
      <c r="E1058" s="116">
        <v>149.29692058346799</v>
      </c>
      <c r="F1058" s="116">
        <v>153.35</v>
      </c>
      <c r="G1058">
        <v>51981</v>
      </c>
      <c r="H1058" s="116"/>
      <c r="I1058" s="116"/>
      <c r="L1058" s="170">
        <v>43559</v>
      </c>
      <c r="M1058" s="116">
        <v>153.85</v>
      </c>
      <c r="N1058" s="116">
        <v>155.80000000000001</v>
      </c>
      <c r="O1058" s="116">
        <v>152.15</v>
      </c>
      <c r="P1058" s="116">
        <v>154.55000000000001</v>
      </c>
      <c r="Q1058" s="116">
        <v>153.85</v>
      </c>
      <c r="R1058">
        <v>1256209</v>
      </c>
    </row>
    <row r="1059" spans="1:18" x14ac:dyDescent="0.25">
      <c r="A1059" s="170">
        <v>43560</v>
      </c>
      <c r="B1059" s="116">
        <v>151.76904491780499</v>
      </c>
      <c r="C1059" s="116">
        <v>150.75111136837199</v>
      </c>
      <c r="D1059" s="116">
        <v>148.957609400324</v>
      </c>
      <c r="E1059" s="116">
        <v>150.605692289882</v>
      </c>
      <c r="F1059" s="116">
        <v>155.5</v>
      </c>
      <c r="G1059">
        <v>26237</v>
      </c>
      <c r="H1059" s="116"/>
      <c r="I1059" s="116"/>
      <c r="L1059" s="170">
        <v>43560</v>
      </c>
      <c r="M1059" s="116">
        <v>155.65</v>
      </c>
      <c r="N1059" s="116">
        <v>156.85</v>
      </c>
      <c r="O1059" s="116">
        <v>153.30000000000001</v>
      </c>
      <c r="P1059" s="116">
        <v>154.19999999999999</v>
      </c>
      <c r="Q1059" s="116">
        <v>155.65</v>
      </c>
      <c r="R1059">
        <v>961105</v>
      </c>
    </row>
    <row r="1060" spans="1:18" x14ac:dyDescent="0.25">
      <c r="A1060" s="170">
        <v>43563</v>
      </c>
      <c r="B1060" s="116">
        <v>155.11368372308399</v>
      </c>
      <c r="C1060" s="116">
        <v>152.20530215327599</v>
      </c>
      <c r="D1060" s="116">
        <v>150.26638110673801</v>
      </c>
      <c r="E1060" s="116">
        <v>150.799584394536</v>
      </c>
      <c r="F1060" s="116">
        <v>157</v>
      </c>
      <c r="G1060">
        <v>32815</v>
      </c>
      <c r="H1060" s="116"/>
      <c r="I1060" s="116"/>
      <c r="L1060" s="170">
        <v>43563</v>
      </c>
      <c r="M1060" s="116">
        <v>157.6</v>
      </c>
      <c r="N1060" s="116">
        <v>158.4</v>
      </c>
      <c r="O1060" s="116">
        <v>155.1</v>
      </c>
      <c r="P1060" s="116">
        <v>156.80000000000001</v>
      </c>
      <c r="Q1060" s="116">
        <v>157.6</v>
      </c>
      <c r="R1060">
        <v>1107138</v>
      </c>
    </row>
    <row r="1061" spans="1:18" x14ac:dyDescent="0.25">
      <c r="A1061" s="170">
        <v>43564</v>
      </c>
      <c r="B1061" s="116">
        <v>153.17476267654601</v>
      </c>
      <c r="C1061" s="116">
        <v>147.697310720074</v>
      </c>
      <c r="D1061" s="116">
        <v>145.806862699699</v>
      </c>
      <c r="E1061" s="116">
        <v>153.17476267654601</v>
      </c>
      <c r="F1061" s="116">
        <v>152.35</v>
      </c>
      <c r="G1061">
        <v>60233</v>
      </c>
      <c r="H1061" s="116"/>
      <c r="I1061" s="116"/>
      <c r="L1061" s="170">
        <v>43564</v>
      </c>
      <c r="M1061" s="116">
        <v>152.25</v>
      </c>
      <c r="N1061" s="116">
        <v>157.85</v>
      </c>
      <c r="O1061" s="116">
        <v>150.25</v>
      </c>
      <c r="P1061" s="116">
        <v>157.85</v>
      </c>
      <c r="Q1061" s="116">
        <v>152.25</v>
      </c>
      <c r="R1061">
        <v>934628</v>
      </c>
    </row>
    <row r="1062" spans="1:18" x14ac:dyDescent="0.25">
      <c r="A1062" s="170">
        <v>43565</v>
      </c>
      <c r="B1062" s="116">
        <v>151.429733734661</v>
      </c>
      <c r="C1062" s="116">
        <v>148.03662190321799</v>
      </c>
      <c r="D1062" s="116">
        <v>147.64883769391099</v>
      </c>
      <c r="E1062" s="116">
        <v>149.927069923593</v>
      </c>
      <c r="F1062" s="116">
        <v>152.69999999999999</v>
      </c>
      <c r="G1062">
        <v>57988</v>
      </c>
      <c r="H1062" s="116"/>
      <c r="I1062" s="116"/>
      <c r="L1062" s="170">
        <v>43565</v>
      </c>
      <c r="M1062" s="116">
        <v>152.75</v>
      </c>
      <c r="N1062" s="116">
        <v>155.9</v>
      </c>
      <c r="O1062" s="116">
        <v>152.35</v>
      </c>
      <c r="P1062" s="116">
        <v>155</v>
      </c>
      <c r="Q1062" s="116">
        <v>152.75</v>
      </c>
      <c r="R1062">
        <v>858943</v>
      </c>
    </row>
    <row r="1063" spans="1:18" x14ac:dyDescent="0.25">
      <c r="A1063" s="170">
        <v>43566</v>
      </c>
      <c r="B1063" s="116">
        <v>148.715244269507</v>
      </c>
      <c r="C1063" s="116">
        <v>147.01868835378599</v>
      </c>
      <c r="D1063" s="116">
        <v>146.38853901366099</v>
      </c>
      <c r="E1063" s="116">
        <v>148.715244269507</v>
      </c>
      <c r="F1063" s="116">
        <v>151.65</v>
      </c>
      <c r="G1063">
        <v>21769</v>
      </c>
      <c r="H1063" s="116"/>
      <c r="I1063" s="116"/>
      <c r="L1063" s="170">
        <v>43566</v>
      </c>
      <c r="M1063" s="116">
        <v>151.85</v>
      </c>
      <c r="N1063" s="116">
        <v>153.44999999999999</v>
      </c>
      <c r="O1063" s="116">
        <v>150.9</v>
      </c>
      <c r="P1063" s="116">
        <v>152.9</v>
      </c>
      <c r="Q1063" s="116">
        <v>151.85</v>
      </c>
      <c r="R1063">
        <v>632103</v>
      </c>
    </row>
    <row r="1064" spans="1:18" x14ac:dyDescent="0.25">
      <c r="A1064" s="170">
        <v>43567</v>
      </c>
      <c r="B1064" s="116">
        <v>148.47287913868999</v>
      </c>
      <c r="C1064" s="116">
        <v>146.873269275295</v>
      </c>
      <c r="D1064" s="116">
        <v>146.437012039824</v>
      </c>
      <c r="E1064" s="116">
        <v>147.84272979856399</v>
      </c>
      <c r="F1064" s="116">
        <v>151.5</v>
      </c>
      <c r="G1064">
        <v>36355</v>
      </c>
      <c r="H1064" s="116"/>
      <c r="I1064" s="116"/>
      <c r="L1064" s="170">
        <v>43567</v>
      </c>
      <c r="M1064" s="116">
        <v>151.19999999999999</v>
      </c>
      <c r="N1064" s="116">
        <v>152.94999999999999</v>
      </c>
      <c r="O1064" s="116">
        <v>150.6</v>
      </c>
      <c r="P1064" s="116">
        <v>152.94999999999999</v>
      </c>
      <c r="Q1064" s="116">
        <v>151.19999999999999</v>
      </c>
      <c r="R1064">
        <v>655373</v>
      </c>
    </row>
    <row r="1065" spans="1:18" x14ac:dyDescent="0.25">
      <c r="A1065" s="170">
        <v>43570</v>
      </c>
      <c r="B1065" s="116">
        <v>149.73317781893999</v>
      </c>
      <c r="C1065" s="116">
        <v>148.18204098170901</v>
      </c>
      <c r="D1065" s="116">
        <v>146.291592961334</v>
      </c>
      <c r="E1065" s="116">
        <v>146.38853901366099</v>
      </c>
      <c r="F1065" s="116">
        <v>152.85</v>
      </c>
      <c r="G1065">
        <v>32468</v>
      </c>
      <c r="H1065" s="116"/>
      <c r="I1065" s="116"/>
      <c r="L1065" s="170">
        <v>43570</v>
      </c>
      <c r="M1065" s="116">
        <v>153.30000000000001</v>
      </c>
      <c r="N1065" s="116">
        <v>154.80000000000001</v>
      </c>
      <c r="O1065" s="116">
        <v>151</v>
      </c>
      <c r="P1065" s="116">
        <v>151.5</v>
      </c>
      <c r="Q1065" s="116">
        <v>153.30000000000001</v>
      </c>
      <c r="R1065">
        <v>1045496</v>
      </c>
    </row>
    <row r="1066" spans="1:18" x14ac:dyDescent="0.25">
      <c r="A1066" s="170">
        <v>43571</v>
      </c>
      <c r="B1066" s="116">
        <v>151.09042255151701</v>
      </c>
      <c r="C1066" s="116">
        <v>149.00608242648801</v>
      </c>
      <c r="D1066" s="116">
        <v>147.35799953693001</v>
      </c>
      <c r="E1066" s="116">
        <v>151.09042255151701</v>
      </c>
      <c r="F1066" s="116">
        <v>153.69999999999999</v>
      </c>
      <c r="G1066">
        <v>99985</v>
      </c>
      <c r="H1066" s="116"/>
      <c r="I1066" s="116"/>
      <c r="L1066" s="170">
        <v>43571</v>
      </c>
      <c r="M1066" s="116">
        <v>154.05000000000001</v>
      </c>
      <c r="N1066" s="116">
        <v>155.05000000000001</v>
      </c>
      <c r="O1066" s="116">
        <v>151.65</v>
      </c>
      <c r="P1066" s="116">
        <v>154.94999999999999</v>
      </c>
      <c r="Q1066" s="116">
        <v>154.05000000000001</v>
      </c>
      <c r="R1066">
        <v>1628761</v>
      </c>
    </row>
    <row r="1067" spans="1:18" x14ac:dyDescent="0.25">
      <c r="A1067" s="170">
        <v>43573</v>
      </c>
      <c r="B1067" s="116">
        <v>150.75111136837199</v>
      </c>
      <c r="C1067" s="116">
        <v>148.957609400324</v>
      </c>
      <c r="D1067" s="116">
        <v>146.049227830516</v>
      </c>
      <c r="E1067" s="116">
        <v>150.26638110673801</v>
      </c>
      <c r="F1067" s="116">
        <v>153.65</v>
      </c>
      <c r="G1067">
        <v>617509</v>
      </c>
      <c r="H1067" s="116"/>
      <c r="I1067" s="116"/>
      <c r="L1067" s="170">
        <v>43573</v>
      </c>
      <c r="M1067" s="116">
        <v>153.35</v>
      </c>
      <c r="N1067" s="116">
        <v>155.80000000000001</v>
      </c>
      <c r="O1067" s="116">
        <v>150.35</v>
      </c>
      <c r="P1067" s="116">
        <v>154.80000000000001</v>
      </c>
      <c r="Q1067" s="116">
        <v>153.35</v>
      </c>
      <c r="R1067">
        <v>1180720</v>
      </c>
    </row>
    <row r="1068" spans="1:18" x14ac:dyDescent="0.25">
      <c r="A1068" s="170">
        <v>43577</v>
      </c>
      <c r="B1068" s="116">
        <v>151.28431465617001</v>
      </c>
      <c r="C1068" s="116">
        <v>149.345393609632</v>
      </c>
      <c r="D1068" s="116">
        <v>148.327460060199</v>
      </c>
      <c r="E1068" s="116">
        <v>148.327460060199</v>
      </c>
      <c r="F1068" s="116">
        <v>154.05000000000001</v>
      </c>
      <c r="G1068">
        <v>42394</v>
      </c>
      <c r="H1068" s="116"/>
      <c r="I1068" s="116"/>
      <c r="L1068" s="170">
        <v>43577</v>
      </c>
      <c r="M1068" s="116">
        <v>153.94999999999999</v>
      </c>
      <c r="N1068" s="116">
        <v>156</v>
      </c>
      <c r="O1068" s="116">
        <v>152.85</v>
      </c>
      <c r="P1068" s="116">
        <v>156</v>
      </c>
      <c r="Q1068" s="116">
        <v>153.94999999999999</v>
      </c>
      <c r="R1068">
        <v>927415</v>
      </c>
    </row>
    <row r="1069" spans="1:18" x14ac:dyDescent="0.25">
      <c r="A1069" s="170">
        <v>43578</v>
      </c>
      <c r="B1069" s="116">
        <v>149.539285714286</v>
      </c>
      <c r="C1069" s="116">
        <v>147.16410743227601</v>
      </c>
      <c r="D1069" s="116">
        <v>146.53395809215101</v>
      </c>
      <c r="E1069" s="116">
        <v>149.539285714286</v>
      </c>
      <c r="F1069" s="116">
        <v>151.80000000000001</v>
      </c>
      <c r="G1069">
        <v>275535</v>
      </c>
      <c r="H1069" s="116"/>
      <c r="I1069" s="116"/>
      <c r="L1069" s="170">
        <v>43578</v>
      </c>
      <c r="M1069" s="116">
        <v>151.55000000000001</v>
      </c>
      <c r="N1069" s="116">
        <v>154.75</v>
      </c>
      <c r="O1069" s="116">
        <v>150.80000000000001</v>
      </c>
      <c r="P1069" s="116">
        <v>154.75</v>
      </c>
      <c r="Q1069" s="116">
        <v>151.55000000000001</v>
      </c>
      <c r="R1069">
        <v>541423</v>
      </c>
    </row>
    <row r="1070" spans="1:18" x14ac:dyDescent="0.25">
      <c r="A1070" s="170">
        <v>43579</v>
      </c>
      <c r="B1070" s="116">
        <v>148.76371729567001</v>
      </c>
      <c r="C1070" s="116">
        <v>147.697310720074</v>
      </c>
      <c r="D1070" s="116">
        <v>146.48548506598701</v>
      </c>
      <c r="E1070" s="116">
        <v>147.115634406113</v>
      </c>
      <c r="F1070" s="116">
        <v>152.35</v>
      </c>
      <c r="G1070">
        <v>137954</v>
      </c>
      <c r="H1070" s="116"/>
      <c r="I1070" s="116"/>
      <c r="L1070" s="170">
        <v>43579</v>
      </c>
      <c r="M1070" s="116">
        <v>152.4</v>
      </c>
      <c r="N1070" s="116">
        <v>154.1</v>
      </c>
      <c r="O1070" s="116">
        <v>151.1</v>
      </c>
      <c r="P1070" s="116">
        <v>151.1</v>
      </c>
      <c r="Q1070" s="116">
        <v>152.4</v>
      </c>
      <c r="R1070">
        <v>640909</v>
      </c>
    </row>
    <row r="1071" spans="1:18" x14ac:dyDescent="0.25">
      <c r="A1071" s="170">
        <v>43580</v>
      </c>
      <c r="B1071" s="116">
        <v>150.169435054411</v>
      </c>
      <c r="C1071" s="116">
        <v>147.261053484603</v>
      </c>
      <c r="D1071" s="116">
        <v>146.77632322296799</v>
      </c>
      <c r="E1071" s="116">
        <v>149.781650845103</v>
      </c>
      <c r="F1071" s="116">
        <v>151.9</v>
      </c>
      <c r="G1071">
        <v>83804</v>
      </c>
      <c r="H1071" s="116"/>
      <c r="I1071" s="116"/>
      <c r="L1071" s="170">
        <v>43580</v>
      </c>
      <c r="M1071" s="116">
        <v>152.4</v>
      </c>
      <c r="N1071" s="116">
        <v>154.75</v>
      </c>
      <c r="O1071" s="116">
        <v>152.15</v>
      </c>
      <c r="P1071" s="116">
        <v>154.65</v>
      </c>
      <c r="Q1071" s="116">
        <v>152.4</v>
      </c>
      <c r="R1071">
        <v>618990</v>
      </c>
    </row>
    <row r="1072" spans="1:18" x14ac:dyDescent="0.25">
      <c r="A1072" s="170">
        <v>43581</v>
      </c>
      <c r="B1072" s="116">
        <v>149.00608242648801</v>
      </c>
      <c r="C1072" s="116">
        <v>147.84272979856399</v>
      </c>
      <c r="D1072" s="116">
        <v>146.72785019680501</v>
      </c>
      <c r="E1072" s="116">
        <v>148.327460060199</v>
      </c>
      <c r="F1072" s="116">
        <v>152.5</v>
      </c>
      <c r="G1072">
        <v>573936</v>
      </c>
      <c r="H1072" s="116"/>
      <c r="I1072" s="116"/>
      <c r="L1072" s="170">
        <v>43581</v>
      </c>
      <c r="M1072" s="116">
        <v>152.35</v>
      </c>
      <c r="N1072" s="116">
        <v>153.35</v>
      </c>
      <c r="O1072" s="116">
        <v>151.5</v>
      </c>
      <c r="P1072" s="116">
        <v>152.5</v>
      </c>
      <c r="Q1072" s="116">
        <v>152.35</v>
      </c>
      <c r="R1072">
        <v>518040</v>
      </c>
    </row>
    <row r="1073" spans="1:18" x14ac:dyDescent="0.25">
      <c r="A1073" s="170">
        <v>43585</v>
      </c>
      <c r="B1073" s="116">
        <v>149.83012387126701</v>
      </c>
      <c r="C1073" s="116">
        <v>149.24844755730501</v>
      </c>
      <c r="D1073" s="116">
        <v>146.19464690900699</v>
      </c>
      <c r="E1073" s="116">
        <v>147.45494558925699</v>
      </c>
      <c r="F1073" s="116">
        <v>153.94999999999999</v>
      </c>
      <c r="G1073">
        <v>47283</v>
      </c>
      <c r="H1073" s="116"/>
      <c r="I1073" s="116"/>
      <c r="L1073" s="170">
        <v>43585</v>
      </c>
      <c r="M1073" s="116">
        <v>154.35</v>
      </c>
      <c r="N1073" s="116">
        <v>154.9</v>
      </c>
      <c r="O1073" s="116">
        <v>150.5</v>
      </c>
      <c r="P1073" s="116">
        <v>152.69999999999999</v>
      </c>
      <c r="Q1073" s="116">
        <v>154.35</v>
      </c>
      <c r="R1073">
        <v>1034624</v>
      </c>
    </row>
    <row r="1074" spans="1:18" x14ac:dyDescent="0.25">
      <c r="A1074" s="170">
        <v>43587</v>
      </c>
      <c r="B1074" s="116">
        <v>156.08314424635299</v>
      </c>
      <c r="C1074" s="116">
        <v>148.085094929382</v>
      </c>
      <c r="D1074" s="116">
        <v>147.35799953693001</v>
      </c>
      <c r="E1074" s="116">
        <v>153.17476267654601</v>
      </c>
      <c r="F1074" s="116">
        <v>152.75</v>
      </c>
      <c r="G1074">
        <v>336563</v>
      </c>
      <c r="H1074" s="116"/>
      <c r="I1074" s="116"/>
      <c r="L1074" s="170">
        <v>43587</v>
      </c>
      <c r="M1074" s="116">
        <v>153</v>
      </c>
      <c r="N1074" s="116">
        <v>161</v>
      </c>
      <c r="O1074" s="116">
        <v>152.1</v>
      </c>
      <c r="P1074" s="116">
        <v>157</v>
      </c>
      <c r="Q1074" s="116">
        <v>153</v>
      </c>
      <c r="R1074">
        <v>3533693</v>
      </c>
    </row>
    <row r="1075" spans="1:18" x14ac:dyDescent="0.25">
      <c r="A1075" s="170">
        <v>43588</v>
      </c>
      <c r="B1075" s="116">
        <v>150.75111136837199</v>
      </c>
      <c r="C1075" s="116">
        <v>148.66677124334299</v>
      </c>
      <c r="D1075" s="116">
        <v>146.72785019680501</v>
      </c>
      <c r="E1075" s="116">
        <v>149.587758740449</v>
      </c>
      <c r="F1075" s="116">
        <v>153.35</v>
      </c>
      <c r="G1075">
        <v>51278</v>
      </c>
      <c r="H1075" s="116"/>
      <c r="I1075" s="116"/>
      <c r="L1075" s="170">
        <v>43588</v>
      </c>
      <c r="M1075" s="116">
        <v>153.05000000000001</v>
      </c>
      <c r="N1075" s="116">
        <v>155.75</v>
      </c>
      <c r="O1075" s="116">
        <v>151.25</v>
      </c>
      <c r="P1075" s="116">
        <v>154</v>
      </c>
      <c r="Q1075" s="116">
        <v>153.05000000000001</v>
      </c>
      <c r="R1075">
        <v>1310434</v>
      </c>
    </row>
    <row r="1076" spans="1:18" x14ac:dyDescent="0.25">
      <c r="A1076" s="170">
        <v>43591</v>
      </c>
      <c r="B1076" s="116">
        <v>148.61829821718001</v>
      </c>
      <c r="C1076" s="116">
        <v>147.84272979856399</v>
      </c>
      <c r="D1076" s="116">
        <v>144.83740217643</v>
      </c>
      <c r="E1076" s="116">
        <v>147.067161379949</v>
      </c>
      <c r="F1076" s="116">
        <v>152.5</v>
      </c>
      <c r="G1076">
        <v>23016</v>
      </c>
      <c r="H1076" s="116"/>
      <c r="I1076" s="116"/>
      <c r="L1076" s="170">
        <v>43591</v>
      </c>
      <c r="M1076" s="116">
        <v>152.69999999999999</v>
      </c>
      <c r="N1076" s="116">
        <v>153.35</v>
      </c>
      <c r="O1076" s="116">
        <v>150.15</v>
      </c>
      <c r="P1076" s="116">
        <v>151.80000000000001</v>
      </c>
      <c r="Q1076" s="116">
        <v>152.69999999999999</v>
      </c>
      <c r="R1076">
        <v>404501</v>
      </c>
    </row>
    <row r="1077" spans="1:18" x14ac:dyDescent="0.25">
      <c r="A1077" s="170">
        <v>43592</v>
      </c>
      <c r="B1077" s="116">
        <v>148.133567955545</v>
      </c>
      <c r="C1077" s="116">
        <v>146.14617388284299</v>
      </c>
      <c r="D1077" s="116">
        <v>145.51602454271799</v>
      </c>
      <c r="E1077" s="116">
        <v>147.891202824728</v>
      </c>
      <c r="F1077" s="116">
        <v>150.75</v>
      </c>
      <c r="G1077">
        <v>38265</v>
      </c>
      <c r="H1077" s="116"/>
      <c r="I1077" s="116"/>
      <c r="L1077" s="170">
        <v>43592</v>
      </c>
      <c r="M1077" s="116">
        <v>150.75</v>
      </c>
      <c r="N1077" s="116">
        <v>153.30000000000001</v>
      </c>
      <c r="O1077" s="116">
        <v>150.25</v>
      </c>
      <c r="P1077" s="116">
        <v>153.30000000000001</v>
      </c>
      <c r="Q1077" s="116">
        <v>150.75</v>
      </c>
      <c r="R1077">
        <v>755573</v>
      </c>
    </row>
    <row r="1078" spans="1:18" x14ac:dyDescent="0.25">
      <c r="A1078" s="170">
        <v>43593</v>
      </c>
      <c r="B1078" s="116">
        <v>146.14617388284299</v>
      </c>
      <c r="C1078" s="116">
        <v>142.55916994674701</v>
      </c>
      <c r="D1078" s="116">
        <v>141.54123639731401</v>
      </c>
      <c r="E1078" s="116">
        <v>146.14617388284299</v>
      </c>
      <c r="F1078" s="116">
        <v>147.05000000000001</v>
      </c>
      <c r="G1078">
        <v>45046</v>
      </c>
      <c r="H1078" s="116"/>
      <c r="I1078" s="116"/>
      <c r="L1078" s="170">
        <v>43593</v>
      </c>
      <c r="M1078" s="116">
        <v>147.19999999999999</v>
      </c>
      <c r="N1078" s="116">
        <v>151</v>
      </c>
      <c r="O1078" s="116">
        <v>146.19999999999999</v>
      </c>
      <c r="P1078" s="116">
        <v>150.25</v>
      </c>
      <c r="Q1078" s="116">
        <v>147.19999999999999</v>
      </c>
      <c r="R1078">
        <v>559878</v>
      </c>
    </row>
    <row r="1079" spans="1:18" x14ac:dyDescent="0.25">
      <c r="A1079" s="170">
        <v>43594</v>
      </c>
      <c r="B1079" s="116">
        <v>144.352671914795</v>
      </c>
      <c r="C1079" s="116">
        <v>142.898481129891</v>
      </c>
      <c r="D1079" s="116">
        <v>140.95956008335301</v>
      </c>
      <c r="E1079" s="116">
        <v>144.06183375781399</v>
      </c>
      <c r="F1079" s="116">
        <v>147.4</v>
      </c>
      <c r="G1079">
        <v>34016</v>
      </c>
      <c r="H1079" s="116"/>
      <c r="I1079" s="116"/>
      <c r="L1079" s="170">
        <v>43594</v>
      </c>
      <c r="M1079" s="116">
        <v>147.75</v>
      </c>
      <c r="N1079" s="116">
        <v>149</v>
      </c>
      <c r="O1079" s="116">
        <v>145.55000000000001</v>
      </c>
      <c r="P1079" s="116">
        <v>147.19999999999999</v>
      </c>
      <c r="Q1079" s="116">
        <v>147.75</v>
      </c>
      <c r="R1079">
        <v>463510</v>
      </c>
    </row>
    <row r="1080" spans="1:18" x14ac:dyDescent="0.25">
      <c r="A1080" s="170">
        <v>43595</v>
      </c>
      <c r="B1080" s="116">
        <v>144.01336073165101</v>
      </c>
      <c r="C1080" s="116">
        <v>141.686655475805</v>
      </c>
      <c r="D1080" s="116">
        <v>140.76566797869901</v>
      </c>
      <c r="E1080" s="116">
        <v>143.140846260709</v>
      </c>
      <c r="F1080" s="116">
        <v>146.15</v>
      </c>
      <c r="G1080">
        <v>26869</v>
      </c>
      <c r="H1080" s="116"/>
      <c r="I1080" s="116"/>
      <c r="L1080" s="170">
        <v>43595</v>
      </c>
      <c r="M1080" s="116">
        <v>146.6</v>
      </c>
      <c r="N1080" s="116">
        <v>148.9</v>
      </c>
      <c r="O1080" s="116">
        <v>146</v>
      </c>
      <c r="P1080" s="116">
        <v>148</v>
      </c>
      <c r="Q1080" s="116">
        <v>146.6</v>
      </c>
      <c r="R1080">
        <v>210574</v>
      </c>
    </row>
    <row r="1081" spans="1:18" x14ac:dyDescent="0.25">
      <c r="A1081" s="170">
        <v>43598</v>
      </c>
      <c r="B1081" s="116">
        <v>142.02596665894899</v>
      </c>
      <c r="C1081" s="116">
        <v>137.37255614725601</v>
      </c>
      <c r="D1081" s="116">
        <v>136.40309562398701</v>
      </c>
      <c r="E1081" s="116">
        <v>142.02596665894899</v>
      </c>
      <c r="F1081" s="116">
        <v>141.69999999999999</v>
      </c>
      <c r="G1081">
        <v>43799</v>
      </c>
      <c r="H1081" s="116"/>
      <c r="I1081" s="116"/>
      <c r="L1081" s="170">
        <v>43598</v>
      </c>
      <c r="M1081" s="116">
        <v>143.30000000000001</v>
      </c>
      <c r="N1081" s="116">
        <v>146.9</v>
      </c>
      <c r="O1081" s="116">
        <v>141.4</v>
      </c>
      <c r="P1081" s="116">
        <v>146.80000000000001</v>
      </c>
      <c r="Q1081" s="116">
        <v>143.30000000000001</v>
      </c>
      <c r="R1081">
        <v>693887</v>
      </c>
    </row>
    <row r="1082" spans="1:18" x14ac:dyDescent="0.25">
      <c r="A1082" s="170">
        <v>43599</v>
      </c>
      <c r="B1082" s="116">
        <v>140.32941074322801</v>
      </c>
      <c r="C1082" s="116">
        <v>139.06911206297801</v>
      </c>
      <c r="D1082" s="116">
        <v>137.71186733040099</v>
      </c>
      <c r="E1082" s="116">
        <v>139.11758508914099</v>
      </c>
      <c r="F1082" s="116">
        <v>143.44999999999999</v>
      </c>
      <c r="G1082">
        <v>19458</v>
      </c>
      <c r="H1082" s="116"/>
      <c r="I1082" s="116"/>
      <c r="L1082" s="170">
        <v>43599</v>
      </c>
      <c r="M1082" s="116">
        <v>143.85</v>
      </c>
      <c r="N1082" s="116">
        <v>145</v>
      </c>
      <c r="O1082" s="116">
        <v>142.19999999999999</v>
      </c>
      <c r="P1082" s="116">
        <v>143.55000000000001</v>
      </c>
      <c r="Q1082" s="116">
        <v>143.85</v>
      </c>
      <c r="R1082">
        <v>200402</v>
      </c>
    </row>
    <row r="1083" spans="1:18" x14ac:dyDescent="0.25">
      <c r="A1083" s="170">
        <v>43600</v>
      </c>
      <c r="B1083" s="116">
        <v>139.89315350775601</v>
      </c>
      <c r="C1083" s="116">
        <v>138.82674693216001</v>
      </c>
      <c r="D1083" s="116">
        <v>137.324083121093</v>
      </c>
      <c r="E1083" s="116">
        <v>139.11758508914099</v>
      </c>
      <c r="F1083" s="116">
        <v>143.19999999999999</v>
      </c>
      <c r="G1083">
        <v>16079</v>
      </c>
      <c r="H1083" s="116"/>
      <c r="I1083" s="116"/>
      <c r="L1083" s="170">
        <v>43600</v>
      </c>
      <c r="M1083" s="116">
        <v>143.75</v>
      </c>
      <c r="N1083" s="116">
        <v>144.69999999999999</v>
      </c>
      <c r="O1083" s="116">
        <v>141.5</v>
      </c>
      <c r="P1083" s="116">
        <v>144.69999999999999</v>
      </c>
      <c r="Q1083" s="116">
        <v>143.75</v>
      </c>
      <c r="R1083">
        <v>264083</v>
      </c>
    </row>
    <row r="1084" spans="1:18" x14ac:dyDescent="0.25">
      <c r="A1084" s="170">
        <v>43601</v>
      </c>
      <c r="B1084" s="116">
        <v>138.82674693216001</v>
      </c>
      <c r="C1084" s="116">
        <v>137.56644825191</v>
      </c>
      <c r="D1084" s="116">
        <v>136.693933780968</v>
      </c>
      <c r="E1084" s="116">
        <v>138.63285482750601</v>
      </c>
      <c r="F1084" s="116">
        <v>141.9</v>
      </c>
      <c r="G1084">
        <v>28134</v>
      </c>
      <c r="H1084" s="116"/>
      <c r="I1084" s="116"/>
      <c r="L1084" s="170">
        <v>43601</v>
      </c>
      <c r="M1084" s="116">
        <v>141.94999999999999</v>
      </c>
      <c r="N1084" s="116">
        <v>143.85</v>
      </c>
      <c r="O1084" s="116">
        <v>140.9</v>
      </c>
      <c r="P1084" s="116">
        <v>142.55000000000001</v>
      </c>
      <c r="Q1084" s="116">
        <v>141.94999999999999</v>
      </c>
      <c r="R1084">
        <v>776199</v>
      </c>
    </row>
    <row r="1085" spans="1:18" x14ac:dyDescent="0.25">
      <c r="A1085" s="170">
        <v>43602</v>
      </c>
      <c r="B1085" s="116">
        <v>145.90380875202601</v>
      </c>
      <c r="C1085" s="116">
        <v>138.778273905997</v>
      </c>
      <c r="D1085" s="116">
        <v>135.869892336189</v>
      </c>
      <c r="E1085" s="116">
        <v>136.936298911785</v>
      </c>
      <c r="F1085" s="116">
        <v>143.15</v>
      </c>
      <c r="G1085">
        <v>91262</v>
      </c>
      <c r="H1085" s="116"/>
      <c r="I1085" s="116"/>
      <c r="L1085" s="170">
        <v>43602</v>
      </c>
      <c r="M1085" s="116">
        <v>143.05000000000001</v>
      </c>
      <c r="N1085" s="116">
        <v>151.5</v>
      </c>
      <c r="O1085" s="116">
        <v>140.1</v>
      </c>
      <c r="P1085" s="116">
        <v>141</v>
      </c>
      <c r="Q1085" s="116">
        <v>143.05000000000001</v>
      </c>
      <c r="R1085">
        <v>2000551</v>
      </c>
    </row>
    <row r="1086" spans="1:18" x14ac:dyDescent="0.25">
      <c r="A1086" s="170">
        <v>43605</v>
      </c>
      <c r="B1086" s="116">
        <v>146.38853901366099</v>
      </c>
      <c r="C1086" s="116">
        <v>144.69198309793899</v>
      </c>
      <c r="D1086" s="116">
        <v>139.602315350776</v>
      </c>
      <c r="E1086" s="116">
        <v>141.492763371151</v>
      </c>
      <c r="F1086" s="116">
        <v>149.25</v>
      </c>
      <c r="G1086">
        <v>74656</v>
      </c>
      <c r="H1086" s="116"/>
      <c r="I1086" s="116"/>
      <c r="L1086" s="170">
        <v>43605</v>
      </c>
      <c r="M1086" s="116">
        <v>149.35</v>
      </c>
      <c r="N1086" s="116">
        <v>150.94999999999999</v>
      </c>
      <c r="O1086" s="116">
        <v>144.5</v>
      </c>
      <c r="P1086" s="116">
        <v>145</v>
      </c>
      <c r="Q1086" s="116">
        <v>149.35</v>
      </c>
      <c r="R1086">
        <v>1826752</v>
      </c>
    </row>
    <row r="1087" spans="1:18" x14ac:dyDescent="0.25">
      <c r="A1087" s="170">
        <v>43606</v>
      </c>
      <c r="B1087" s="116">
        <v>145.70991664737201</v>
      </c>
      <c r="C1087" s="116">
        <v>144.788929150266</v>
      </c>
      <c r="D1087" s="116">
        <v>144.01336073165101</v>
      </c>
      <c r="E1087" s="116">
        <v>144.44961796712201</v>
      </c>
      <c r="F1087" s="116">
        <v>149.35</v>
      </c>
      <c r="G1087">
        <v>23791</v>
      </c>
      <c r="H1087" s="116"/>
      <c r="I1087" s="116"/>
      <c r="L1087" s="170">
        <v>43606</v>
      </c>
      <c r="M1087" s="116">
        <v>149</v>
      </c>
      <c r="N1087" s="116">
        <v>150.30000000000001</v>
      </c>
      <c r="O1087" s="116">
        <v>148.30000000000001</v>
      </c>
      <c r="P1087" s="116">
        <v>149.35</v>
      </c>
      <c r="Q1087" s="116">
        <v>149</v>
      </c>
      <c r="R1087">
        <v>579671</v>
      </c>
    </row>
    <row r="1088" spans="1:18" x14ac:dyDescent="0.25">
      <c r="A1088" s="170">
        <v>43607</v>
      </c>
      <c r="B1088" s="116">
        <v>144.401144940959</v>
      </c>
      <c r="C1088" s="116">
        <v>143.43168441768901</v>
      </c>
      <c r="D1088" s="116">
        <v>142.65611599907399</v>
      </c>
      <c r="E1088" s="116">
        <v>143.81946862699701</v>
      </c>
      <c r="F1088" s="116">
        <v>147.94999999999999</v>
      </c>
      <c r="G1088">
        <v>14360</v>
      </c>
      <c r="H1088" s="116"/>
      <c r="I1088" s="116"/>
      <c r="L1088" s="170">
        <v>43607</v>
      </c>
      <c r="M1088" s="116">
        <v>148.35</v>
      </c>
      <c r="N1088" s="116">
        <v>149</v>
      </c>
      <c r="O1088" s="116">
        <v>147</v>
      </c>
      <c r="P1088" s="116">
        <v>147.4</v>
      </c>
      <c r="Q1088" s="116">
        <v>148.35</v>
      </c>
      <c r="R1088">
        <v>280359</v>
      </c>
    </row>
    <row r="1089" spans="1:18" x14ac:dyDescent="0.25">
      <c r="A1089" s="170">
        <v>43608</v>
      </c>
      <c r="B1089" s="116">
        <v>146.437012039824</v>
      </c>
      <c r="C1089" s="116">
        <v>144.01336073165101</v>
      </c>
      <c r="D1089" s="116">
        <v>142.02596665894899</v>
      </c>
      <c r="E1089" s="116">
        <v>144.401144940959</v>
      </c>
      <c r="F1089" s="116">
        <v>148.55000000000001</v>
      </c>
      <c r="G1089">
        <v>61935</v>
      </c>
      <c r="H1089" s="116"/>
      <c r="I1089" s="116"/>
      <c r="L1089" s="170">
        <v>43608</v>
      </c>
      <c r="M1089" s="116">
        <v>148.4</v>
      </c>
      <c r="N1089" s="116">
        <v>152.30000000000001</v>
      </c>
      <c r="O1089" s="116">
        <v>147</v>
      </c>
      <c r="P1089" s="116">
        <v>152.30000000000001</v>
      </c>
      <c r="Q1089" s="116">
        <v>148.4</v>
      </c>
      <c r="R1089">
        <v>753761</v>
      </c>
    </row>
    <row r="1090" spans="1:18" x14ac:dyDescent="0.25">
      <c r="A1090" s="170">
        <v>43609</v>
      </c>
      <c r="B1090" s="116">
        <v>147.35799953693001</v>
      </c>
      <c r="C1090" s="116">
        <v>146.97021532762199</v>
      </c>
      <c r="D1090" s="116">
        <v>144.207252836305</v>
      </c>
      <c r="E1090" s="116">
        <v>144.207252836305</v>
      </c>
      <c r="F1090" s="116">
        <v>151.6</v>
      </c>
      <c r="G1090">
        <v>26123</v>
      </c>
      <c r="H1090" s="116"/>
      <c r="I1090" s="116"/>
      <c r="L1090" s="170">
        <v>43609</v>
      </c>
      <c r="M1090" s="116">
        <v>151.5</v>
      </c>
      <c r="N1090" s="116">
        <v>152</v>
      </c>
      <c r="O1090" s="116">
        <v>148.25</v>
      </c>
      <c r="P1090" s="116">
        <v>148.25</v>
      </c>
      <c r="Q1090" s="116">
        <v>151.5</v>
      </c>
      <c r="R1090">
        <v>914379</v>
      </c>
    </row>
    <row r="1091" spans="1:18" x14ac:dyDescent="0.25">
      <c r="A1091" s="170">
        <v>43612</v>
      </c>
      <c r="B1091" s="116">
        <v>150.12096202824699</v>
      </c>
      <c r="C1091" s="116">
        <v>148.03662190321799</v>
      </c>
      <c r="D1091" s="116">
        <v>147.64883769391099</v>
      </c>
      <c r="E1091" s="116">
        <v>148.81219032183401</v>
      </c>
      <c r="F1091" s="116">
        <v>152.69999999999999</v>
      </c>
      <c r="G1091">
        <v>68198</v>
      </c>
      <c r="H1091" s="116"/>
      <c r="I1091" s="116"/>
      <c r="L1091" s="170">
        <v>43612</v>
      </c>
      <c r="M1091" s="116">
        <v>152.80000000000001</v>
      </c>
      <c r="N1091" s="116">
        <v>154.94999999999999</v>
      </c>
      <c r="O1091" s="116">
        <v>152.35</v>
      </c>
      <c r="P1091" s="116">
        <v>154</v>
      </c>
      <c r="Q1091" s="116">
        <v>152.80000000000001</v>
      </c>
      <c r="R1091">
        <v>1389215</v>
      </c>
    </row>
    <row r="1092" spans="1:18" x14ac:dyDescent="0.25">
      <c r="A1092" s="170">
        <v>43613</v>
      </c>
      <c r="B1092" s="116">
        <v>150.169435054411</v>
      </c>
      <c r="C1092" s="116">
        <v>148.27898703403599</v>
      </c>
      <c r="D1092" s="116">
        <v>145.806862699699</v>
      </c>
      <c r="E1092" s="116">
        <v>150.169435054411</v>
      </c>
      <c r="F1092" s="116">
        <v>152.94999999999999</v>
      </c>
      <c r="G1092">
        <v>37164</v>
      </c>
      <c r="H1092" s="116"/>
      <c r="I1092" s="116"/>
      <c r="L1092" s="170">
        <v>43613</v>
      </c>
      <c r="M1092" s="116">
        <v>153</v>
      </c>
      <c r="N1092" s="116">
        <v>154.5</v>
      </c>
      <c r="O1092" s="116">
        <v>150.55000000000001</v>
      </c>
      <c r="P1092" s="116">
        <v>153.5</v>
      </c>
      <c r="Q1092" s="116">
        <v>153</v>
      </c>
      <c r="R1092">
        <v>1048207</v>
      </c>
    </row>
    <row r="1093" spans="1:18" x14ac:dyDescent="0.25">
      <c r="A1093" s="170">
        <v>43614</v>
      </c>
      <c r="B1093" s="116">
        <v>149.10302847881499</v>
      </c>
      <c r="C1093" s="116">
        <v>145.031294281084</v>
      </c>
      <c r="D1093" s="116">
        <v>144.44961796712201</v>
      </c>
      <c r="E1093" s="116">
        <v>148.327460060199</v>
      </c>
      <c r="F1093" s="116">
        <v>149.6</v>
      </c>
      <c r="G1093">
        <v>28031</v>
      </c>
      <c r="H1093" s="116"/>
      <c r="I1093" s="116"/>
      <c r="L1093" s="170">
        <v>43614</v>
      </c>
      <c r="M1093" s="116">
        <v>149.55000000000001</v>
      </c>
      <c r="N1093" s="116">
        <v>153.75</v>
      </c>
      <c r="O1093" s="116">
        <v>149</v>
      </c>
      <c r="P1093" s="116">
        <v>153.44999999999999</v>
      </c>
      <c r="Q1093" s="116">
        <v>149.55000000000001</v>
      </c>
      <c r="R1093">
        <v>342529</v>
      </c>
    </row>
    <row r="1094" spans="1:18" x14ac:dyDescent="0.25">
      <c r="A1094" s="170">
        <v>43615</v>
      </c>
      <c r="B1094" s="116">
        <v>147.745783746238</v>
      </c>
      <c r="C1094" s="116">
        <v>146.679377170641</v>
      </c>
      <c r="D1094" s="116">
        <v>144.06183375781399</v>
      </c>
      <c r="E1094" s="116">
        <v>145.419078490391</v>
      </c>
      <c r="F1094" s="116">
        <v>151.30000000000001</v>
      </c>
      <c r="G1094">
        <v>28172</v>
      </c>
      <c r="H1094" s="116"/>
      <c r="I1094" s="116"/>
      <c r="L1094" s="170">
        <v>43615</v>
      </c>
      <c r="M1094" s="116">
        <v>151.6</v>
      </c>
      <c r="N1094" s="116">
        <v>152.5</v>
      </c>
      <c r="O1094" s="116">
        <v>148</v>
      </c>
      <c r="P1094" s="116">
        <v>149.69999999999999</v>
      </c>
      <c r="Q1094" s="116">
        <v>151.6</v>
      </c>
      <c r="R1094">
        <v>961682</v>
      </c>
    </row>
    <row r="1095" spans="1:18" x14ac:dyDescent="0.25">
      <c r="A1095" s="170">
        <v>43616</v>
      </c>
      <c r="B1095" s="116">
        <v>155.11368372308399</v>
      </c>
      <c r="C1095" s="116">
        <v>153.56254688585301</v>
      </c>
      <c r="D1095" s="116">
        <v>145.95228177818899</v>
      </c>
      <c r="E1095" s="116">
        <v>145.95228177818899</v>
      </c>
      <c r="F1095" s="116">
        <v>158.4</v>
      </c>
      <c r="G1095">
        <v>345555</v>
      </c>
      <c r="H1095" s="116"/>
      <c r="I1095" s="116"/>
      <c r="L1095" s="170">
        <v>43616</v>
      </c>
      <c r="M1095" s="116">
        <v>157.15</v>
      </c>
      <c r="N1095" s="116">
        <v>158.30000000000001</v>
      </c>
      <c r="O1095" s="116">
        <v>151</v>
      </c>
      <c r="P1095" s="116">
        <v>151.6</v>
      </c>
      <c r="Q1095" s="116">
        <v>157.15</v>
      </c>
      <c r="R1095">
        <v>2366324</v>
      </c>
    </row>
    <row r="1096" spans="1:18" x14ac:dyDescent="0.25">
      <c r="A1096" s="170">
        <v>43619</v>
      </c>
      <c r="B1096" s="116">
        <v>153.56254688585301</v>
      </c>
      <c r="C1096" s="116">
        <v>150.07248900208401</v>
      </c>
      <c r="D1096" s="116">
        <v>149.539285714286</v>
      </c>
      <c r="E1096" s="116">
        <v>152.20530215327599</v>
      </c>
      <c r="F1096" s="116">
        <v>154.80000000000001</v>
      </c>
      <c r="G1096">
        <v>50840</v>
      </c>
      <c r="H1096" s="116"/>
      <c r="I1096" s="116"/>
      <c r="L1096" s="170">
        <v>43619</v>
      </c>
      <c r="M1096" s="116">
        <v>155.1</v>
      </c>
      <c r="N1096" s="116">
        <v>158.4</v>
      </c>
      <c r="O1096" s="116">
        <v>154</v>
      </c>
      <c r="P1096" s="116">
        <v>158</v>
      </c>
      <c r="Q1096" s="116">
        <v>155.1</v>
      </c>
      <c r="R1096">
        <v>410171</v>
      </c>
    </row>
    <row r="1097" spans="1:18" x14ac:dyDescent="0.25">
      <c r="A1097" s="170">
        <v>43620</v>
      </c>
      <c r="B1097" s="116">
        <v>152.20530215327599</v>
      </c>
      <c r="C1097" s="116">
        <v>147.891202824728</v>
      </c>
      <c r="D1097" s="116">
        <v>146.873269275295</v>
      </c>
      <c r="E1097" s="116">
        <v>149.19997453114101</v>
      </c>
      <c r="F1097" s="116">
        <v>152.55000000000001</v>
      </c>
      <c r="G1097">
        <v>69035</v>
      </c>
      <c r="H1097" s="116"/>
      <c r="I1097" s="116"/>
      <c r="L1097" s="170">
        <v>43620</v>
      </c>
      <c r="M1097" s="116">
        <v>152.80000000000001</v>
      </c>
      <c r="N1097" s="116">
        <v>157.1</v>
      </c>
      <c r="O1097" s="116">
        <v>151.65</v>
      </c>
      <c r="P1097" s="116">
        <v>154.9</v>
      </c>
      <c r="Q1097" s="116">
        <v>152.80000000000001</v>
      </c>
      <c r="R1097">
        <v>600737</v>
      </c>
    </row>
    <row r="1098" spans="1:18" x14ac:dyDescent="0.25">
      <c r="A1098" s="170">
        <v>43622</v>
      </c>
      <c r="B1098" s="116">
        <v>149.781650845103</v>
      </c>
      <c r="C1098" s="116">
        <v>145.27365941190101</v>
      </c>
      <c r="D1098" s="116">
        <v>144.352671914795</v>
      </c>
      <c r="E1098" s="116">
        <v>149.781650845103</v>
      </c>
      <c r="F1098" s="116">
        <v>149.85</v>
      </c>
      <c r="G1098">
        <v>54134</v>
      </c>
      <c r="H1098" s="116"/>
      <c r="I1098" s="116"/>
      <c r="L1098" s="170">
        <v>43622</v>
      </c>
      <c r="M1098" s="116">
        <v>150.05000000000001</v>
      </c>
      <c r="N1098" s="116">
        <v>154.75</v>
      </c>
      <c r="O1098" s="116">
        <v>149.75</v>
      </c>
      <c r="P1098" s="116">
        <v>152.80000000000001</v>
      </c>
      <c r="Q1098" s="116">
        <v>150.05000000000001</v>
      </c>
      <c r="R1098">
        <v>840723</v>
      </c>
    </row>
    <row r="1099" spans="1:18" x14ac:dyDescent="0.25">
      <c r="A1099" s="170">
        <v>43623</v>
      </c>
      <c r="B1099" s="116">
        <v>146.38853901366099</v>
      </c>
      <c r="C1099" s="116">
        <v>144.64351007177601</v>
      </c>
      <c r="D1099" s="116">
        <v>142.26833178976599</v>
      </c>
      <c r="E1099" s="116">
        <v>146.38853901366099</v>
      </c>
      <c r="F1099" s="116">
        <v>149.19999999999999</v>
      </c>
      <c r="G1099">
        <v>35630</v>
      </c>
      <c r="H1099" s="116"/>
      <c r="I1099" s="116"/>
      <c r="L1099" s="170">
        <v>43623</v>
      </c>
      <c r="M1099" s="116">
        <v>149.4</v>
      </c>
      <c r="N1099" s="116">
        <v>151.6</v>
      </c>
      <c r="O1099" s="116">
        <v>146.25</v>
      </c>
      <c r="P1099" s="116">
        <v>151.6</v>
      </c>
      <c r="Q1099" s="116">
        <v>149.4</v>
      </c>
      <c r="R1099">
        <v>414015</v>
      </c>
    </row>
    <row r="1100" spans="1:18" x14ac:dyDescent="0.25">
      <c r="A1100" s="170">
        <v>43626</v>
      </c>
      <c r="B1100" s="116">
        <v>146.38853901366099</v>
      </c>
      <c r="C1100" s="116">
        <v>141.97749363278501</v>
      </c>
      <c r="D1100" s="116">
        <v>141.54123639731401</v>
      </c>
      <c r="E1100" s="116">
        <v>146.38853901366099</v>
      </c>
      <c r="F1100" s="116">
        <v>146.44999999999999</v>
      </c>
      <c r="G1100">
        <v>21250</v>
      </c>
      <c r="H1100" s="116"/>
      <c r="I1100" s="116"/>
      <c r="L1100" s="170">
        <v>43626</v>
      </c>
      <c r="M1100" s="116">
        <v>146.55000000000001</v>
      </c>
      <c r="N1100" s="116">
        <v>149.69999999999999</v>
      </c>
      <c r="O1100" s="116">
        <v>146.19999999999999</v>
      </c>
      <c r="P1100" s="116">
        <v>149.15</v>
      </c>
      <c r="Q1100" s="116">
        <v>146.55000000000001</v>
      </c>
      <c r="R1100">
        <v>732815</v>
      </c>
    </row>
    <row r="1101" spans="1:18" x14ac:dyDescent="0.25">
      <c r="A1101" s="170">
        <v>43627</v>
      </c>
      <c r="B1101" s="116">
        <v>145.90380875202601</v>
      </c>
      <c r="C1101" s="116">
        <v>144.98282125492</v>
      </c>
      <c r="D1101" s="116">
        <v>141.73512850196801</v>
      </c>
      <c r="E1101" s="116">
        <v>141.73512850196801</v>
      </c>
      <c r="F1101" s="116">
        <v>149.55000000000001</v>
      </c>
      <c r="G1101">
        <v>17492</v>
      </c>
      <c r="H1101" s="116"/>
      <c r="I1101" s="116"/>
      <c r="L1101" s="170">
        <v>43627</v>
      </c>
      <c r="M1101" s="116">
        <v>149.75</v>
      </c>
      <c r="N1101" s="116">
        <v>151</v>
      </c>
      <c r="O1101" s="116">
        <v>146</v>
      </c>
      <c r="P1101" s="116">
        <v>146.1</v>
      </c>
      <c r="Q1101" s="116">
        <v>149.75</v>
      </c>
      <c r="R1101">
        <v>534736</v>
      </c>
    </row>
    <row r="1102" spans="1:18" x14ac:dyDescent="0.25">
      <c r="A1102" s="170">
        <v>43628</v>
      </c>
      <c r="B1102" s="116">
        <v>149.68470479277599</v>
      </c>
      <c r="C1102" s="116">
        <v>145.419078490391</v>
      </c>
      <c r="D1102" s="116">
        <v>144.158779810141</v>
      </c>
      <c r="E1102" s="116">
        <v>145.32213243806399</v>
      </c>
      <c r="F1102" s="116">
        <v>150</v>
      </c>
      <c r="G1102">
        <v>188474</v>
      </c>
      <c r="H1102" s="116"/>
      <c r="I1102" s="116"/>
      <c r="L1102" s="170">
        <v>43628</v>
      </c>
      <c r="M1102" s="116">
        <v>148.80000000000001</v>
      </c>
      <c r="N1102" s="116">
        <v>153.9</v>
      </c>
      <c r="O1102" s="116">
        <v>147.80000000000001</v>
      </c>
      <c r="P1102" s="116">
        <v>149.55000000000001</v>
      </c>
      <c r="Q1102" s="116">
        <v>148.80000000000001</v>
      </c>
      <c r="R1102">
        <v>304267</v>
      </c>
    </row>
    <row r="1103" spans="1:18" x14ac:dyDescent="0.25">
      <c r="A1103" s="170">
        <v>43629</v>
      </c>
      <c r="B1103" s="116">
        <v>146.19464690900699</v>
      </c>
      <c r="C1103" s="116">
        <v>143.23779231303499</v>
      </c>
      <c r="D1103" s="116">
        <v>142.02596665894899</v>
      </c>
      <c r="E1103" s="116">
        <v>146.19464690900699</v>
      </c>
      <c r="F1103" s="116">
        <v>147.75</v>
      </c>
      <c r="G1103">
        <v>41208</v>
      </c>
      <c r="H1103" s="116"/>
      <c r="I1103" s="116"/>
      <c r="L1103" s="170">
        <v>43629</v>
      </c>
      <c r="M1103" s="116">
        <v>147.15</v>
      </c>
      <c r="N1103" s="116">
        <v>149.69999999999999</v>
      </c>
      <c r="O1103" s="116">
        <v>145.9</v>
      </c>
      <c r="P1103" s="116">
        <v>148.80000000000001</v>
      </c>
      <c r="Q1103" s="116">
        <v>147.15</v>
      </c>
      <c r="R1103">
        <v>907904</v>
      </c>
    </row>
    <row r="1104" spans="1:18" x14ac:dyDescent="0.25">
      <c r="A1104" s="170">
        <v>43630</v>
      </c>
      <c r="B1104" s="116">
        <v>143.48015744385299</v>
      </c>
      <c r="C1104" s="116">
        <v>142.17138573743901</v>
      </c>
      <c r="D1104" s="116">
        <v>141.63818244964099</v>
      </c>
      <c r="E1104" s="116">
        <v>142.85000810372799</v>
      </c>
      <c r="F1104" s="116">
        <v>146.65</v>
      </c>
      <c r="G1104">
        <v>15732</v>
      </c>
      <c r="H1104" s="116"/>
      <c r="I1104" s="116"/>
      <c r="L1104" s="170">
        <v>43630</v>
      </c>
      <c r="M1104" s="116">
        <v>146.19999999999999</v>
      </c>
      <c r="N1104" s="116">
        <v>148.30000000000001</v>
      </c>
      <c r="O1104" s="116">
        <v>146</v>
      </c>
      <c r="P1104" s="116">
        <v>148.30000000000001</v>
      </c>
      <c r="Q1104" s="116">
        <v>146.19999999999999</v>
      </c>
      <c r="R1104">
        <v>447676</v>
      </c>
    </row>
    <row r="1105" spans="1:18" x14ac:dyDescent="0.25">
      <c r="A1105" s="170">
        <v>43633</v>
      </c>
      <c r="B1105" s="116">
        <v>145.32213243806399</v>
      </c>
      <c r="C1105" s="116">
        <v>141.58970942347801</v>
      </c>
      <c r="D1105" s="116">
        <v>140.08704561241001</v>
      </c>
      <c r="E1105" s="116">
        <v>145.32213243806399</v>
      </c>
      <c r="F1105" s="116">
        <v>146.05000000000001</v>
      </c>
      <c r="G1105">
        <v>42538</v>
      </c>
      <c r="H1105" s="116"/>
      <c r="I1105" s="116"/>
      <c r="L1105" s="170">
        <v>43633</v>
      </c>
      <c r="M1105" s="116">
        <v>146.30000000000001</v>
      </c>
      <c r="N1105" s="116">
        <v>147.35</v>
      </c>
      <c r="O1105" s="116">
        <v>144.4</v>
      </c>
      <c r="P1105" s="116">
        <v>147</v>
      </c>
      <c r="Q1105" s="116">
        <v>146.30000000000001</v>
      </c>
      <c r="R1105">
        <v>1235565</v>
      </c>
    </row>
    <row r="1106" spans="1:18" x14ac:dyDescent="0.25">
      <c r="A1106" s="170">
        <v>43634</v>
      </c>
      <c r="B1106" s="116">
        <v>144.74045612410299</v>
      </c>
      <c r="C1106" s="116">
        <v>144.25572586246801</v>
      </c>
      <c r="D1106" s="116">
        <v>141.104979161843</v>
      </c>
      <c r="E1106" s="116">
        <v>142.46222389441999</v>
      </c>
      <c r="F1106" s="116">
        <v>148.80000000000001</v>
      </c>
      <c r="G1106">
        <v>37064</v>
      </c>
      <c r="H1106" s="116"/>
      <c r="I1106" s="116"/>
      <c r="L1106" s="170">
        <v>43634</v>
      </c>
      <c r="M1106" s="116">
        <v>148.35</v>
      </c>
      <c r="N1106" s="116">
        <v>149.15</v>
      </c>
      <c r="O1106" s="116">
        <v>145.69999999999999</v>
      </c>
      <c r="P1106" s="116">
        <v>145.9</v>
      </c>
      <c r="Q1106" s="116">
        <v>148.35</v>
      </c>
      <c r="R1106">
        <v>463682</v>
      </c>
    </row>
    <row r="1107" spans="1:18" x14ac:dyDescent="0.25">
      <c r="A1107" s="170">
        <v>43635</v>
      </c>
      <c r="B1107" s="116">
        <v>144.44961796712201</v>
      </c>
      <c r="C1107" s="116">
        <v>142.17138573743901</v>
      </c>
      <c r="D1107" s="116">
        <v>141.97749363278501</v>
      </c>
      <c r="E1107" s="116">
        <v>144.44961796712201</v>
      </c>
      <c r="F1107" s="116">
        <v>146.65</v>
      </c>
      <c r="G1107">
        <v>15940</v>
      </c>
      <c r="H1107" s="116"/>
      <c r="I1107" s="116"/>
      <c r="L1107" s="170">
        <v>43635</v>
      </c>
      <c r="M1107" s="116">
        <v>147</v>
      </c>
      <c r="N1107" s="116">
        <v>149.4</v>
      </c>
      <c r="O1107" s="116">
        <v>146.30000000000001</v>
      </c>
      <c r="P1107" s="116">
        <v>148</v>
      </c>
      <c r="Q1107" s="116">
        <v>147</v>
      </c>
      <c r="R1107">
        <v>608798</v>
      </c>
    </row>
    <row r="1108" spans="1:18" x14ac:dyDescent="0.25">
      <c r="A1108" s="170">
        <v>43636</v>
      </c>
      <c r="B1108" s="116">
        <v>145.90380875202601</v>
      </c>
      <c r="C1108" s="116">
        <v>144.98282125492</v>
      </c>
      <c r="D1108" s="116">
        <v>141.492763371151</v>
      </c>
      <c r="E1108" s="116">
        <v>144.44961796712201</v>
      </c>
      <c r="F1108" s="116">
        <v>149.55000000000001</v>
      </c>
      <c r="G1108">
        <v>24168</v>
      </c>
      <c r="H1108" s="116"/>
      <c r="I1108" s="116"/>
      <c r="L1108" s="170">
        <v>43636</v>
      </c>
      <c r="M1108" s="116">
        <v>149.9</v>
      </c>
      <c r="N1108" s="116">
        <v>150.55000000000001</v>
      </c>
      <c r="O1108" s="116">
        <v>146.35</v>
      </c>
      <c r="P1108" s="116">
        <v>146.35</v>
      </c>
      <c r="Q1108" s="116">
        <v>149.9</v>
      </c>
      <c r="R1108">
        <v>1080230</v>
      </c>
    </row>
    <row r="1109" spans="1:18" x14ac:dyDescent="0.25">
      <c r="A1109" s="170">
        <v>43637</v>
      </c>
      <c r="B1109" s="116">
        <v>147.64883769391099</v>
      </c>
      <c r="C1109" s="116">
        <v>146.09770085668001</v>
      </c>
      <c r="D1109" s="116">
        <v>145.031294281084</v>
      </c>
      <c r="E1109" s="116">
        <v>145.225186385737</v>
      </c>
      <c r="F1109" s="116">
        <v>150.69999999999999</v>
      </c>
      <c r="G1109">
        <v>12914</v>
      </c>
      <c r="H1109" s="116"/>
      <c r="I1109" s="116"/>
      <c r="L1109" s="170">
        <v>43637</v>
      </c>
      <c r="M1109" s="116">
        <v>150.80000000000001</v>
      </c>
      <c r="N1109" s="116">
        <v>152.5</v>
      </c>
      <c r="O1109" s="116">
        <v>149.19999999999999</v>
      </c>
      <c r="P1109" s="116">
        <v>150.05000000000001</v>
      </c>
      <c r="Q1109" s="116">
        <v>150.80000000000001</v>
      </c>
      <c r="R1109">
        <v>906360</v>
      </c>
    </row>
    <row r="1110" spans="1:18" x14ac:dyDescent="0.25">
      <c r="A1110" s="170">
        <v>43640</v>
      </c>
      <c r="B1110" s="116">
        <v>150.26638110673801</v>
      </c>
      <c r="C1110" s="116">
        <v>149.19997453114101</v>
      </c>
      <c r="D1110" s="116">
        <v>143.72252257466999</v>
      </c>
      <c r="E1110" s="116">
        <v>146.38853901366099</v>
      </c>
      <c r="F1110" s="116">
        <v>153.9</v>
      </c>
      <c r="G1110">
        <v>42198</v>
      </c>
      <c r="H1110" s="116"/>
      <c r="I1110" s="116"/>
      <c r="L1110" s="170">
        <v>43640</v>
      </c>
      <c r="M1110" s="116">
        <v>154</v>
      </c>
      <c r="N1110" s="116">
        <v>155</v>
      </c>
      <c r="O1110" s="116">
        <v>148.85</v>
      </c>
      <c r="P1110" s="116">
        <v>151</v>
      </c>
      <c r="Q1110" s="116">
        <v>154</v>
      </c>
      <c r="R1110">
        <v>1513981</v>
      </c>
    </row>
    <row r="1111" spans="1:18" x14ac:dyDescent="0.25">
      <c r="A1111" s="170">
        <v>43641</v>
      </c>
      <c r="B1111" s="116">
        <v>155.01673767075701</v>
      </c>
      <c r="C1111" s="116">
        <v>153.950331095161</v>
      </c>
      <c r="D1111" s="116">
        <v>148.133567955545</v>
      </c>
      <c r="E1111" s="116">
        <v>149.781650845103</v>
      </c>
      <c r="F1111" s="116">
        <v>158.80000000000001</v>
      </c>
      <c r="G1111">
        <v>146284</v>
      </c>
      <c r="H1111" s="116"/>
      <c r="I1111" s="116"/>
      <c r="L1111" s="170">
        <v>43641</v>
      </c>
      <c r="M1111" s="116">
        <v>158.80000000000001</v>
      </c>
      <c r="N1111" s="116">
        <v>159.5</v>
      </c>
      <c r="O1111" s="116">
        <v>152.55000000000001</v>
      </c>
      <c r="P1111" s="116">
        <v>154.05000000000001</v>
      </c>
      <c r="Q1111" s="116">
        <v>158.80000000000001</v>
      </c>
      <c r="R1111">
        <v>1335700</v>
      </c>
    </row>
    <row r="1112" spans="1:18" x14ac:dyDescent="0.25">
      <c r="A1112" s="170">
        <v>43642</v>
      </c>
      <c r="B1112" s="116">
        <v>159.088471868488</v>
      </c>
      <c r="C1112" s="116">
        <v>154.04727714748799</v>
      </c>
      <c r="D1112" s="116">
        <v>150.65416531604501</v>
      </c>
      <c r="E1112" s="116">
        <v>154.62895346144899</v>
      </c>
      <c r="F1112" s="116">
        <v>158.9</v>
      </c>
      <c r="G1112">
        <v>266634</v>
      </c>
      <c r="H1112" s="116"/>
      <c r="I1112" s="116"/>
      <c r="L1112" s="170">
        <v>43642</v>
      </c>
      <c r="M1112" s="116">
        <v>159</v>
      </c>
      <c r="N1112" s="116">
        <v>164.3</v>
      </c>
      <c r="O1112" s="116">
        <v>155.4</v>
      </c>
      <c r="P1112" s="116">
        <v>159.5</v>
      </c>
      <c r="Q1112" s="116">
        <v>159</v>
      </c>
      <c r="R1112">
        <v>3460260</v>
      </c>
    </row>
    <row r="1113" spans="1:18" x14ac:dyDescent="0.25">
      <c r="A1113" s="170">
        <v>43643</v>
      </c>
      <c r="B1113" s="116">
        <v>156.76176661264199</v>
      </c>
      <c r="C1113" s="116">
        <v>153.41712780736299</v>
      </c>
      <c r="D1113" s="116">
        <v>152.39919425792999</v>
      </c>
      <c r="E1113" s="116">
        <v>153.75643899050701</v>
      </c>
      <c r="F1113" s="116">
        <v>158.25</v>
      </c>
      <c r="G1113">
        <v>64570</v>
      </c>
      <c r="H1113" s="116"/>
      <c r="I1113" s="116"/>
      <c r="L1113" s="170">
        <v>43643</v>
      </c>
      <c r="M1113" s="116">
        <v>158.35</v>
      </c>
      <c r="N1113" s="116">
        <v>161.6</v>
      </c>
      <c r="O1113" s="116">
        <v>157</v>
      </c>
      <c r="P1113" s="116">
        <v>158.5</v>
      </c>
      <c r="Q1113" s="116">
        <v>158.35</v>
      </c>
      <c r="R1113">
        <v>1647739</v>
      </c>
    </row>
    <row r="1114" spans="1:18" x14ac:dyDescent="0.25">
      <c r="A1114" s="170">
        <v>43644</v>
      </c>
      <c r="B1114" s="116">
        <v>154.144223199815</v>
      </c>
      <c r="C1114" s="116">
        <v>152.641559388747</v>
      </c>
      <c r="D1114" s="116">
        <v>151.235841630007</v>
      </c>
      <c r="E1114" s="116">
        <v>153.17476267654601</v>
      </c>
      <c r="F1114" s="116">
        <v>157.44999999999999</v>
      </c>
      <c r="G1114">
        <v>45434</v>
      </c>
      <c r="H1114" s="116"/>
      <c r="I1114" s="116"/>
      <c r="L1114" s="170">
        <v>43644</v>
      </c>
      <c r="M1114" s="116">
        <v>157.55000000000001</v>
      </c>
      <c r="N1114" s="116">
        <v>159.4</v>
      </c>
      <c r="O1114" s="116">
        <v>155.80000000000001</v>
      </c>
      <c r="P1114" s="116">
        <v>158.05000000000001</v>
      </c>
      <c r="Q1114" s="116">
        <v>157.55000000000001</v>
      </c>
      <c r="R1114">
        <v>873951</v>
      </c>
    </row>
    <row r="1115" spans="1:18" x14ac:dyDescent="0.25">
      <c r="A1115" s="170">
        <v>43647</v>
      </c>
      <c r="B1115" s="116">
        <v>154.725899513776</v>
      </c>
      <c r="C1115" s="116">
        <v>148.86066334799699</v>
      </c>
      <c r="D1115" s="116">
        <v>148.327460060199</v>
      </c>
      <c r="E1115" s="116">
        <v>153.22323570270899</v>
      </c>
      <c r="F1115" s="116">
        <v>153.55000000000001</v>
      </c>
      <c r="G1115">
        <v>44164</v>
      </c>
      <c r="H1115" s="116"/>
      <c r="I1115" s="116"/>
      <c r="L1115" s="170">
        <v>43647</v>
      </c>
      <c r="M1115" s="116">
        <v>153.9</v>
      </c>
      <c r="N1115" s="116">
        <v>159.55000000000001</v>
      </c>
      <c r="O1115" s="116">
        <v>152.9</v>
      </c>
      <c r="P1115" s="116">
        <v>158.65</v>
      </c>
      <c r="Q1115" s="116">
        <v>153.9</v>
      </c>
      <c r="R1115">
        <v>1080085</v>
      </c>
    </row>
    <row r="1116" spans="1:18" x14ac:dyDescent="0.25">
      <c r="A1116" s="170">
        <v>43648</v>
      </c>
      <c r="B1116" s="116">
        <v>151.187368603843</v>
      </c>
      <c r="C1116" s="116">
        <v>148.27898703403599</v>
      </c>
      <c r="D1116" s="116">
        <v>147.50341861542</v>
      </c>
      <c r="E1116" s="116">
        <v>150.26638110673801</v>
      </c>
      <c r="F1116" s="116">
        <v>152.94999999999999</v>
      </c>
      <c r="G1116">
        <v>25087</v>
      </c>
      <c r="H1116" s="116"/>
      <c r="I1116" s="116"/>
      <c r="L1116" s="170">
        <v>43648</v>
      </c>
      <c r="M1116" s="116">
        <v>152.94999999999999</v>
      </c>
      <c r="N1116" s="116">
        <v>155.9</v>
      </c>
      <c r="O1116" s="116">
        <v>152.05000000000001</v>
      </c>
      <c r="P1116" s="116">
        <v>154.65</v>
      </c>
      <c r="Q1116" s="116">
        <v>152.94999999999999</v>
      </c>
      <c r="R1116">
        <v>605931</v>
      </c>
    </row>
    <row r="1117" spans="1:18" x14ac:dyDescent="0.25">
      <c r="A1117" s="170">
        <v>43649</v>
      </c>
      <c r="B1117" s="116">
        <v>149.68470479277599</v>
      </c>
      <c r="C1117" s="116">
        <v>147.21258045843899</v>
      </c>
      <c r="D1117" s="116">
        <v>146.873269275295</v>
      </c>
      <c r="E1117" s="116">
        <v>148.47287913868999</v>
      </c>
      <c r="F1117" s="116">
        <v>151.85</v>
      </c>
      <c r="G1117">
        <v>24496</v>
      </c>
      <c r="H1117" s="116"/>
      <c r="I1117" s="116"/>
      <c r="L1117" s="170">
        <v>43649</v>
      </c>
      <c r="M1117" s="116">
        <v>152</v>
      </c>
      <c r="N1117" s="116">
        <v>154.5</v>
      </c>
      <c r="O1117" s="116">
        <v>151.30000000000001</v>
      </c>
      <c r="P1117" s="116">
        <v>153</v>
      </c>
      <c r="Q1117" s="116">
        <v>152</v>
      </c>
      <c r="R1117">
        <v>997853</v>
      </c>
    </row>
    <row r="1118" spans="1:18" x14ac:dyDescent="0.25">
      <c r="A1118" s="170">
        <v>43650</v>
      </c>
      <c r="B1118" s="116">
        <v>148.133567955545</v>
      </c>
      <c r="C1118" s="116">
        <v>147.55189164158401</v>
      </c>
      <c r="D1118" s="116">
        <v>146.92174230145901</v>
      </c>
      <c r="E1118" s="116">
        <v>148.03662190321799</v>
      </c>
      <c r="F1118" s="116">
        <v>152.19999999999999</v>
      </c>
      <c r="G1118">
        <v>23638</v>
      </c>
      <c r="H1118" s="116"/>
      <c r="I1118" s="116"/>
      <c r="L1118" s="170">
        <v>43650</v>
      </c>
      <c r="M1118" s="116">
        <v>152.15</v>
      </c>
      <c r="N1118" s="116">
        <v>152.94999999999999</v>
      </c>
      <c r="O1118" s="116">
        <v>151.44999999999999</v>
      </c>
      <c r="P1118" s="116">
        <v>151.65</v>
      </c>
      <c r="Q1118" s="116">
        <v>152.15</v>
      </c>
      <c r="R1118">
        <v>249666</v>
      </c>
    </row>
    <row r="1119" spans="1:18" x14ac:dyDescent="0.25">
      <c r="A1119" s="170">
        <v>43651</v>
      </c>
      <c r="B1119" s="116">
        <v>148.23051400787199</v>
      </c>
      <c r="C1119" s="116">
        <v>145.612970595045</v>
      </c>
      <c r="D1119" s="116">
        <v>145.419078490391</v>
      </c>
      <c r="E1119" s="116">
        <v>147.64883769391099</v>
      </c>
      <c r="F1119" s="116">
        <v>150.19999999999999</v>
      </c>
      <c r="G1119">
        <v>25816</v>
      </c>
      <c r="H1119" s="116"/>
      <c r="I1119" s="116"/>
      <c r="L1119" s="170">
        <v>43651</v>
      </c>
      <c r="M1119" s="116">
        <v>150.44999999999999</v>
      </c>
      <c r="N1119" s="116">
        <v>153.19999999999999</v>
      </c>
      <c r="O1119" s="116">
        <v>150.05000000000001</v>
      </c>
      <c r="P1119" s="116">
        <v>153.19999999999999</v>
      </c>
      <c r="Q1119" s="116">
        <v>150.44999999999999</v>
      </c>
      <c r="R1119">
        <v>718878</v>
      </c>
    </row>
    <row r="1120" spans="1:18" x14ac:dyDescent="0.25">
      <c r="A1120" s="170">
        <v>43654</v>
      </c>
      <c r="B1120" s="116">
        <v>146.19464690900699</v>
      </c>
      <c r="C1120" s="116">
        <v>143.28626533919899</v>
      </c>
      <c r="D1120" s="116">
        <v>140.862614031026</v>
      </c>
      <c r="E1120" s="116">
        <v>146.19464690900699</v>
      </c>
      <c r="F1120" s="116">
        <v>147.80000000000001</v>
      </c>
      <c r="G1120">
        <v>56377</v>
      </c>
      <c r="H1120" s="116"/>
      <c r="I1120" s="116"/>
      <c r="L1120" s="170">
        <v>43654</v>
      </c>
      <c r="M1120" s="116">
        <v>147.85</v>
      </c>
      <c r="N1120" s="116">
        <v>150.5</v>
      </c>
      <c r="O1120" s="116">
        <v>145.30000000000001</v>
      </c>
      <c r="P1120" s="116">
        <v>150</v>
      </c>
      <c r="Q1120" s="116">
        <v>147.85</v>
      </c>
      <c r="R1120">
        <v>497844</v>
      </c>
    </row>
    <row r="1121" spans="1:18" x14ac:dyDescent="0.25">
      <c r="A1121" s="170">
        <v>43655</v>
      </c>
      <c r="B1121" s="116">
        <v>146.82479624913199</v>
      </c>
      <c r="C1121" s="116">
        <v>143.43168441768901</v>
      </c>
      <c r="D1121" s="116">
        <v>142.510696920583</v>
      </c>
      <c r="E1121" s="116">
        <v>144.44961796712201</v>
      </c>
      <c r="F1121" s="116">
        <v>147.94999999999999</v>
      </c>
      <c r="G1121">
        <v>23646</v>
      </c>
      <c r="H1121" s="116"/>
      <c r="I1121" s="116"/>
      <c r="L1121" s="170">
        <v>43655</v>
      </c>
      <c r="M1121" s="116">
        <v>147.75</v>
      </c>
      <c r="N1121" s="116">
        <v>151.5</v>
      </c>
      <c r="O1121" s="116">
        <v>146.5</v>
      </c>
      <c r="P1121" s="116">
        <v>146.5</v>
      </c>
      <c r="Q1121" s="116">
        <v>147.75</v>
      </c>
      <c r="R1121">
        <v>957307</v>
      </c>
    </row>
    <row r="1122" spans="1:18" x14ac:dyDescent="0.25">
      <c r="A1122" s="170">
        <v>43656</v>
      </c>
      <c r="B1122" s="116">
        <v>145.031294281084</v>
      </c>
      <c r="C1122" s="116">
        <v>143.72252257466999</v>
      </c>
      <c r="D1122" s="116">
        <v>143.28626533919899</v>
      </c>
      <c r="E1122" s="116">
        <v>144.25572586246801</v>
      </c>
      <c r="F1122" s="116">
        <v>148.25</v>
      </c>
      <c r="G1122">
        <v>18042</v>
      </c>
      <c r="H1122" s="116"/>
      <c r="I1122" s="116"/>
      <c r="L1122" s="170">
        <v>43656</v>
      </c>
      <c r="M1122" s="116">
        <v>148.30000000000001</v>
      </c>
      <c r="N1122" s="116">
        <v>149.9</v>
      </c>
      <c r="O1122" s="116">
        <v>147.30000000000001</v>
      </c>
      <c r="P1122" s="116">
        <v>148.6</v>
      </c>
      <c r="Q1122" s="116">
        <v>148.30000000000001</v>
      </c>
      <c r="R1122">
        <v>545512</v>
      </c>
    </row>
    <row r="1123" spans="1:18" x14ac:dyDescent="0.25">
      <c r="A1123" s="170">
        <v>43657</v>
      </c>
      <c r="B1123" s="116">
        <v>146.873269275295</v>
      </c>
      <c r="C1123" s="116">
        <v>144.44961796712201</v>
      </c>
      <c r="D1123" s="116">
        <v>143.48015744385299</v>
      </c>
      <c r="E1123" s="116">
        <v>145.12824033341099</v>
      </c>
      <c r="F1123" s="116">
        <v>149</v>
      </c>
      <c r="G1123">
        <v>140830</v>
      </c>
      <c r="H1123" s="116"/>
      <c r="I1123" s="116"/>
      <c r="L1123" s="170">
        <v>43657</v>
      </c>
      <c r="M1123" s="116">
        <v>149</v>
      </c>
      <c r="N1123" s="116">
        <v>150.44999999999999</v>
      </c>
      <c r="O1123" s="116">
        <v>147.80000000000001</v>
      </c>
      <c r="P1123" s="116">
        <v>149.1</v>
      </c>
      <c r="Q1123" s="116">
        <v>149</v>
      </c>
      <c r="R1123">
        <v>1080114</v>
      </c>
    </row>
    <row r="1124" spans="1:18" x14ac:dyDescent="0.25">
      <c r="A1124" s="170">
        <v>43658</v>
      </c>
      <c r="B1124" s="116">
        <v>145.612970595045</v>
      </c>
      <c r="C1124" s="116">
        <v>143.57710349618</v>
      </c>
      <c r="D1124" s="116">
        <v>142.704589025237</v>
      </c>
      <c r="E1124" s="116">
        <v>144.595037045612</v>
      </c>
      <c r="F1124" s="116">
        <v>148.1</v>
      </c>
      <c r="G1124">
        <v>20358</v>
      </c>
      <c r="H1124" s="116"/>
      <c r="I1124" s="116"/>
      <c r="L1124" s="170">
        <v>43658</v>
      </c>
      <c r="M1124" s="116">
        <v>148.19999999999999</v>
      </c>
      <c r="N1124" s="116">
        <v>150.5</v>
      </c>
      <c r="O1124" s="116">
        <v>147.19999999999999</v>
      </c>
      <c r="P1124" s="116">
        <v>149.80000000000001</v>
      </c>
      <c r="Q1124" s="116">
        <v>148.19999999999999</v>
      </c>
      <c r="R1124">
        <v>447655</v>
      </c>
    </row>
    <row r="1125" spans="1:18" x14ac:dyDescent="0.25">
      <c r="A1125" s="170">
        <v>43661</v>
      </c>
      <c r="B1125" s="116">
        <v>144.44961796712201</v>
      </c>
      <c r="C1125" s="116">
        <v>140.42635679555499</v>
      </c>
      <c r="D1125" s="116">
        <v>138.43896272285301</v>
      </c>
      <c r="E1125" s="116">
        <v>144.352671914795</v>
      </c>
      <c r="F1125" s="116">
        <v>144.85</v>
      </c>
      <c r="G1125">
        <v>50007</v>
      </c>
      <c r="H1125" s="116"/>
      <c r="I1125" s="116"/>
      <c r="L1125" s="170">
        <v>43661</v>
      </c>
      <c r="M1125" s="116">
        <v>144.44999999999999</v>
      </c>
      <c r="N1125" s="116">
        <v>149.1</v>
      </c>
      <c r="O1125" s="116">
        <v>142.69999999999999</v>
      </c>
      <c r="P1125" s="116">
        <v>148.80000000000001</v>
      </c>
      <c r="Q1125" s="116">
        <v>144.44999999999999</v>
      </c>
      <c r="R1125">
        <v>522073</v>
      </c>
    </row>
    <row r="1126" spans="1:18" x14ac:dyDescent="0.25">
      <c r="A1126" s="170">
        <v>43662</v>
      </c>
      <c r="B1126" s="116">
        <v>141.492763371151</v>
      </c>
      <c r="C1126" s="116">
        <v>140.668721926372</v>
      </c>
      <c r="D1126" s="116">
        <v>138.05117851354501</v>
      </c>
      <c r="E1126" s="116">
        <v>139.55384232461199</v>
      </c>
      <c r="F1126" s="116">
        <v>145.1</v>
      </c>
      <c r="G1126">
        <v>23622</v>
      </c>
      <c r="H1126" s="116"/>
      <c r="I1126" s="116"/>
      <c r="L1126" s="170">
        <v>43662</v>
      </c>
      <c r="M1126" s="116">
        <v>145.05000000000001</v>
      </c>
      <c r="N1126" s="116">
        <v>146</v>
      </c>
      <c r="O1126" s="116">
        <v>142.35</v>
      </c>
      <c r="P1126" s="116">
        <v>143.80000000000001</v>
      </c>
      <c r="Q1126" s="116">
        <v>145.05000000000001</v>
      </c>
      <c r="R1126">
        <v>348229</v>
      </c>
    </row>
    <row r="1127" spans="1:18" x14ac:dyDescent="0.25">
      <c r="A1127" s="170">
        <v>43663</v>
      </c>
      <c r="B1127" s="116">
        <v>143.48015744385299</v>
      </c>
      <c r="C1127" s="116">
        <v>142.122912711276</v>
      </c>
      <c r="D1127" s="116">
        <v>141.20192521416999</v>
      </c>
      <c r="E1127" s="116">
        <v>142.02596665894899</v>
      </c>
      <c r="F1127" s="116">
        <v>146.6</v>
      </c>
      <c r="G1127">
        <v>21130</v>
      </c>
      <c r="H1127" s="116"/>
      <c r="I1127" s="116"/>
      <c r="L1127" s="170">
        <v>43663</v>
      </c>
      <c r="M1127" s="116">
        <v>146.55000000000001</v>
      </c>
      <c r="N1127" s="116">
        <v>148</v>
      </c>
      <c r="O1127" s="116">
        <v>145.4</v>
      </c>
      <c r="P1127" s="116">
        <v>145.5</v>
      </c>
      <c r="Q1127" s="116">
        <v>146.55000000000001</v>
      </c>
      <c r="R1127">
        <v>894145</v>
      </c>
    </row>
    <row r="1128" spans="1:18" x14ac:dyDescent="0.25">
      <c r="A1128" s="170">
        <v>43664</v>
      </c>
      <c r="B1128" s="116">
        <v>144.788929150266</v>
      </c>
      <c r="C1128" s="116">
        <v>143.28626533919899</v>
      </c>
      <c r="D1128" s="116">
        <v>141.54123639731401</v>
      </c>
      <c r="E1128" s="116">
        <v>141.78360152813201</v>
      </c>
      <c r="F1128" s="116">
        <v>147.80000000000001</v>
      </c>
      <c r="G1128">
        <v>15940</v>
      </c>
      <c r="H1128" s="116"/>
      <c r="I1128" s="116"/>
      <c r="L1128" s="170">
        <v>43664</v>
      </c>
      <c r="M1128" s="116">
        <v>147.9</v>
      </c>
      <c r="N1128" s="116">
        <v>149.4</v>
      </c>
      <c r="O1128" s="116">
        <v>146.30000000000001</v>
      </c>
      <c r="P1128" s="116">
        <v>147</v>
      </c>
      <c r="Q1128" s="116">
        <v>147.9</v>
      </c>
      <c r="R1128">
        <v>342317</v>
      </c>
    </row>
    <row r="1129" spans="1:18" x14ac:dyDescent="0.25">
      <c r="A1129" s="170">
        <v>43665</v>
      </c>
      <c r="B1129" s="116">
        <v>143.964887705487</v>
      </c>
      <c r="C1129" s="116">
        <v>140.668721926372</v>
      </c>
      <c r="D1129" s="116">
        <v>139.602315350776</v>
      </c>
      <c r="E1129" s="116">
        <v>143.964887705487</v>
      </c>
      <c r="F1129" s="116">
        <v>145.1</v>
      </c>
      <c r="G1129">
        <v>31890</v>
      </c>
      <c r="H1129" s="116"/>
      <c r="I1129" s="116"/>
      <c r="L1129" s="170">
        <v>43665</v>
      </c>
      <c r="M1129" s="116">
        <v>145.05000000000001</v>
      </c>
      <c r="N1129" s="116">
        <v>148.65</v>
      </c>
      <c r="O1129" s="116">
        <v>144.1</v>
      </c>
      <c r="P1129" s="116">
        <v>148.44999999999999</v>
      </c>
      <c r="Q1129" s="116">
        <v>145.05000000000001</v>
      </c>
      <c r="R1129">
        <v>729550</v>
      </c>
    </row>
    <row r="1130" spans="1:18" x14ac:dyDescent="0.25">
      <c r="A1130" s="170">
        <v>43668</v>
      </c>
      <c r="B1130" s="116">
        <v>141.250398240333</v>
      </c>
      <c r="C1130" s="116">
        <v>140.91108705718901</v>
      </c>
      <c r="D1130" s="116">
        <v>138.778273905997</v>
      </c>
      <c r="E1130" s="116">
        <v>140.37788376939099</v>
      </c>
      <c r="F1130" s="116">
        <v>145.35</v>
      </c>
      <c r="G1130">
        <v>7907</v>
      </c>
      <c r="H1130" s="116"/>
      <c r="I1130" s="116"/>
      <c r="L1130" s="170">
        <v>43668</v>
      </c>
      <c r="M1130" s="116">
        <v>145.35</v>
      </c>
      <c r="N1130" s="116">
        <v>145.75</v>
      </c>
      <c r="O1130" s="116">
        <v>143.15</v>
      </c>
      <c r="P1130" s="116">
        <v>144.05000000000001</v>
      </c>
      <c r="Q1130" s="116">
        <v>145.35</v>
      </c>
      <c r="R1130">
        <v>251336</v>
      </c>
    </row>
    <row r="1131" spans="1:18" x14ac:dyDescent="0.25">
      <c r="A1131" s="170">
        <v>43669</v>
      </c>
      <c r="B1131" s="116">
        <v>141.54123639731401</v>
      </c>
      <c r="C1131" s="116">
        <v>139.166058115304</v>
      </c>
      <c r="D1131" s="116">
        <v>135.724473257699</v>
      </c>
      <c r="E1131" s="116">
        <v>141.05650613568</v>
      </c>
      <c r="F1131" s="116">
        <v>143.55000000000001</v>
      </c>
      <c r="G1131">
        <v>24745</v>
      </c>
      <c r="H1131" s="116"/>
      <c r="I1131" s="116"/>
      <c r="L1131" s="170">
        <v>43669</v>
      </c>
      <c r="M1131" s="116">
        <v>143.5</v>
      </c>
      <c r="N1131" s="116">
        <v>146</v>
      </c>
      <c r="O1131" s="116">
        <v>139.44999999999999</v>
      </c>
      <c r="P1131" s="116">
        <v>145.1</v>
      </c>
      <c r="Q1131" s="116">
        <v>143.5</v>
      </c>
      <c r="R1131">
        <v>1574616</v>
      </c>
    </row>
    <row r="1132" spans="1:18" x14ac:dyDescent="0.25">
      <c r="A1132" s="170">
        <v>43670</v>
      </c>
      <c r="B1132" s="116">
        <v>144.158779810141</v>
      </c>
      <c r="C1132" s="116">
        <v>143.334738365362</v>
      </c>
      <c r="D1132" s="116">
        <v>138.535908775179</v>
      </c>
      <c r="E1132" s="116">
        <v>139.602315350776</v>
      </c>
      <c r="F1132" s="116">
        <v>147.85</v>
      </c>
      <c r="G1132">
        <v>32851</v>
      </c>
      <c r="H1132" s="116"/>
      <c r="I1132" s="116"/>
      <c r="L1132" s="170">
        <v>43670</v>
      </c>
      <c r="M1132" s="116">
        <v>147.94999999999999</v>
      </c>
      <c r="N1132" s="116">
        <v>148.75</v>
      </c>
      <c r="O1132" s="116">
        <v>142.55000000000001</v>
      </c>
      <c r="P1132" s="116">
        <v>144.35</v>
      </c>
      <c r="Q1132" s="116">
        <v>147.94999999999999</v>
      </c>
      <c r="R1132">
        <v>908756</v>
      </c>
    </row>
    <row r="1133" spans="1:18" x14ac:dyDescent="0.25">
      <c r="A1133" s="170">
        <v>43671</v>
      </c>
      <c r="B1133" s="116">
        <v>145.07976730724701</v>
      </c>
      <c r="C1133" s="116">
        <v>140.862614031026</v>
      </c>
      <c r="D1133" s="116">
        <v>140.08704561241001</v>
      </c>
      <c r="E1133" s="116">
        <v>143.48015744385299</v>
      </c>
      <c r="F1133" s="116">
        <v>145.30000000000001</v>
      </c>
      <c r="G1133">
        <v>13473</v>
      </c>
      <c r="H1133" s="116"/>
      <c r="I1133" s="116"/>
      <c r="L1133" s="170">
        <v>43671</v>
      </c>
      <c r="M1133" s="116">
        <v>145.44999999999999</v>
      </c>
      <c r="N1133" s="116">
        <v>149.85</v>
      </c>
      <c r="O1133" s="116">
        <v>144.4</v>
      </c>
      <c r="P1133" s="116">
        <v>148</v>
      </c>
      <c r="Q1133" s="116">
        <v>145.44999999999999</v>
      </c>
      <c r="R1133">
        <v>391035</v>
      </c>
    </row>
    <row r="1134" spans="1:18" x14ac:dyDescent="0.25">
      <c r="A1134" s="170">
        <v>43672</v>
      </c>
      <c r="B1134" s="116">
        <v>145.32213243806399</v>
      </c>
      <c r="C1134" s="116">
        <v>139.69926140310301</v>
      </c>
      <c r="D1134" s="116">
        <v>139.214531141468</v>
      </c>
      <c r="E1134" s="116">
        <v>145.32213243806399</v>
      </c>
      <c r="F1134" s="116">
        <v>144.1</v>
      </c>
      <c r="G1134">
        <v>17039</v>
      </c>
      <c r="H1134" s="116"/>
      <c r="I1134" s="116"/>
      <c r="L1134" s="170">
        <v>43672</v>
      </c>
      <c r="M1134" s="116">
        <v>144.19999999999999</v>
      </c>
      <c r="N1134" s="116">
        <v>146.35</v>
      </c>
      <c r="O1134" s="116">
        <v>143.5</v>
      </c>
      <c r="P1134" s="116">
        <v>146.19999999999999</v>
      </c>
      <c r="Q1134" s="116">
        <v>144.19999999999999</v>
      </c>
      <c r="R1134">
        <v>290543</v>
      </c>
    </row>
    <row r="1135" spans="1:18" x14ac:dyDescent="0.25">
      <c r="A1135" s="170">
        <v>43675</v>
      </c>
      <c r="B1135" s="116">
        <v>141.00803310951599</v>
      </c>
      <c r="C1135" s="116">
        <v>135.38516207455399</v>
      </c>
      <c r="D1135" s="116">
        <v>134.75501273442899</v>
      </c>
      <c r="E1135" s="116">
        <v>138.63285482750601</v>
      </c>
      <c r="F1135" s="116">
        <v>139.65</v>
      </c>
      <c r="G1135">
        <v>23094</v>
      </c>
      <c r="H1135" s="116"/>
      <c r="I1135" s="116"/>
      <c r="L1135" s="170">
        <v>43675</v>
      </c>
      <c r="M1135" s="116">
        <v>139.55000000000001</v>
      </c>
      <c r="N1135" s="116">
        <v>145.5</v>
      </c>
      <c r="O1135" s="116">
        <v>138.94999999999999</v>
      </c>
      <c r="P1135" s="116">
        <v>144.19999999999999</v>
      </c>
      <c r="Q1135" s="116">
        <v>139.55000000000001</v>
      </c>
      <c r="R1135">
        <v>412144</v>
      </c>
    </row>
    <row r="1136" spans="1:18" x14ac:dyDescent="0.25">
      <c r="A1136" s="170">
        <v>43676</v>
      </c>
      <c r="B1136" s="116">
        <v>139.89315350775601</v>
      </c>
      <c r="C1136" s="116">
        <v>139.31147719379501</v>
      </c>
      <c r="D1136" s="116">
        <v>135.04585089141</v>
      </c>
      <c r="E1136" s="116">
        <v>135.04585089141</v>
      </c>
      <c r="F1136" s="116">
        <v>143.69999999999999</v>
      </c>
      <c r="G1136">
        <v>19168</v>
      </c>
      <c r="H1136" s="116"/>
      <c r="I1136" s="116"/>
      <c r="L1136" s="170">
        <v>43676</v>
      </c>
      <c r="M1136" s="116">
        <v>143.85</v>
      </c>
      <c r="N1136" s="116">
        <v>144.4</v>
      </c>
      <c r="O1136" s="116">
        <v>138.85</v>
      </c>
      <c r="P1136" s="116">
        <v>139</v>
      </c>
      <c r="Q1136" s="116">
        <v>143.85</v>
      </c>
      <c r="R1136">
        <v>631800</v>
      </c>
    </row>
    <row r="1137" spans="1:18" x14ac:dyDescent="0.25">
      <c r="A1137" s="170">
        <v>43677</v>
      </c>
      <c r="B1137" s="116">
        <v>139.602315350776</v>
      </c>
      <c r="C1137" s="116">
        <v>138.778273905997</v>
      </c>
      <c r="D1137" s="116">
        <v>132.816091687891</v>
      </c>
      <c r="E1137" s="116">
        <v>137.66339430423699</v>
      </c>
      <c r="F1137" s="116">
        <v>143.15</v>
      </c>
      <c r="G1137">
        <v>79874</v>
      </c>
      <c r="H1137" s="116"/>
      <c r="I1137" s="116"/>
      <c r="L1137" s="170">
        <v>43677</v>
      </c>
      <c r="M1137" s="116">
        <v>143.30000000000001</v>
      </c>
      <c r="N1137" s="116">
        <v>144</v>
      </c>
      <c r="O1137" s="116">
        <v>140</v>
      </c>
      <c r="P1137" s="116">
        <v>142.1</v>
      </c>
      <c r="Q1137" s="116">
        <v>143.30000000000001</v>
      </c>
      <c r="R1137">
        <v>877083</v>
      </c>
    </row>
    <row r="1138" spans="1:18" x14ac:dyDescent="0.25">
      <c r="A1138" s="170">
        <v>43678</v>
      </c>
      <c r="B1138" s="116">
        <v>139.31147719379501</v>
      </c>
      <c r="C1138" s="116">
        <v>136.30614957166</v>
      </c>
      <c r="D1138" s="116">
        <v>135.33668904839101</v>
      </c>
      <c r="E1138" s="116">
        <v>137.954232461218</v>
      </c>
      <c r="F1138" s="116">
        <v>140.6</v>
      </c>
      <c r="G1138">
        <v>18551</v>
      </c>
      <c r="H1138" s="116"/>
      <c r="I1138" s="116"/>
      <c r="L1138" s="170">
        <v>43678</v>
      </c>
      <c r="M1138" s="116">
        <v>140.69999999999999</v>
      </c>
      <c r="N1138" s="116">
        <v>143.75</v>
      </c>
      <c r="O1138" s="116">
        <v>139.5</v>
      </c>
      <c r="P1138" s="116">
        <v>142.44999999999999</v>
      </c>
      <c r="Q1138" s="116">
        <v>140.69999999999999</v>
      </c>
      <c r="R1138">
        <v>262925</v>
      </c>
    </row>
    <row r="1139" spans="1:18" x14ac:dyDescent="0.25">
      <c r="A1139" s="170">
        <v>43679</v>
      </c>
      <c r="B1139" s="116">
        <v>136.54851470247701</v>
      </c>
      <c r="C1139" s="116">
        <v>133.446241028016</v>
      </c>
      <c r="D1139" s="116">
        <v>132.91303774021799</v>
      </c>
      <c r="E1139" s="116">
        <v>136.20920351933299</v>
      </c>
      <c r="F1139" s="116">
        <v>137.65</v>
      </c>
      <c r="G1139">
        <v>29160</v>
      </c>
      <c r="H1139" s="116"/>
      <c r="I1139" s="116"/>
      <c r="L1139" s="170">
        <v>43679</v>
      </c>
      <c r="M1139" s="116">
        <v>137.9</v>
      </c>
      <c r="N1139" s="116">
        <v>141</v>
      </c>
      <c r="O1139" s="116">
        <v>137</v>
      </c>
      <c r="P1139" s="116">
        <v>140.30000000000001</v>
      </c>
      <c r="Q1139" s="116">
        <v>137.9</v>
      </c>
      <c r="R1139">
        <v>573041</v>
      </c>
    </row>
    <row r="1140" spans="1:18" x14ac:dyDescent="0.25">
      <c r="A1140" s="170">
        <v>43682</v>
      </c>
      <c r="B1140" s="116">
        <v>133.78555221116</v>
      </c>
      <c r="C1140" s="116">
        <v>130.877170641352</v>
      </c>
      <c r="D1140" s="116">
        <v>127.6294778884</v>
      </c>
      <c r="E1140" s="116">
        <v>131.07106274600599</v>
      </c>
      <c r="F1140" s="116">
        <v>135</v>
      </c>
      <c r="G1140">
        <v>26256</v>
      </c>
      <c r="H1140" s="116"/>
      <c r="I1140" s="116"/>
      <c r="L1140" s="170">
        <v>43682</v>
      </c>
      <c r="M1140" s="116">
        <v>135.4</v>
      </c>
      <c r="N1140" s="116">
        <v>138</v>
      </c>
      <c r="O1140" s="116">
        <v>131.80000000000001</v>
      </c>
      <c r="P1140" s="116">
        <v>137.4</v>
      </c>
      <c r="Q1140" s="116">
        <v>135.4</v>
      </c>
      <c r="R1140">
        <v>327260</v>
      </c>
    </row>
    <row r="1141" spans="1:18" x14ac:dyDescent="0.25">
      <c r="A1141" s="170">
        <v>43683</v>
      </c>
      <c r="B1141" s="116">
        <v>137.760340356564</v>
      </c>
      <c r="C1141" s="116">
        <v>136.79087983329501</v>
      </c>
      <c r="D1141" s="116">
        <v>132.331361426256</v>
      </c>
      <c r="E1141" s="116">
        <v>132.86456471405401</v>
      </c>
      <c r="F1141" s="116">
        <v>141.1</v>
      </c>
      <c r="G1141">
        <v>43524</v>
      </c>
      <c r="H1141" s="116"/>
      <c r="I1141" s="116"/>
      <c r="L1141" s="170">
        <v>43683</v>
      </c>
      <c r="M1141" s="116">
        <v>141.30000000000001</v>
      </c>
      <c r="N1141" s="116">
        <v>142.19999999999999</v>
      </c>
      <c r="O1141" s="116">
        <v>136.30000000000001</v>
      </c>
      <c r="P1141" s="116">
        <v>137.9</v>
      </c>
      <c r="Q1141" s="116">
        <v>141.30000000000001</v>
      </c>
      <c r="R1141">
        <v>2785582</v>
      </c>
    </row>
    <row r="1142" spans="1:18" x14ac:dyDescent="0.25">
      <c r="A1142" s="170">
        <v>43684</v>
      </c>
      <c r="B1142" s="116">
        <v>136.98477193794901</v>
      </c>
      <c r="C1142" s="116">
        <v>135.14279694373701</v>
      </c>
      <c r="D1142" s="116">
        <v>133.88249826348701</v>
      </c>
      <c r="E1142" s="116">
        <v>136.98477193794901</v>
      </c>
      <c r="F1142" s="116">
        <v>139.4</v>
      </c>
      <c r="G1142">
        <v>21551</v>
      </c>
      <c r="H1142" s="116"/>
      <c r="I1142" s="116"/>
      <c r="L1142" s="170">
        <v>43684</v>
      </c>
      <c r="M1142" s="116">
        <v>139.9</v>
      </c>
      <c r="N1142" s="116">
        <v>144.5</v>
      </c>
      <c r="O1142" s="116">
        <v>137.15</v>
      </c>
      <c r="P1142" s="116">
        <v>140.9</v>
      </c>
      <c r="Q1142" s="116">
        <v>139.9</v>
      </c>
      <c r="R1142">
        <v>828907</v>
      </c>
    </row>
    <row r="1143" spans="1:18" x14ac:dyDescent="0.25">
      <c r="A1143" s="170">
        <v>43685</v>
      </c>
      <c r="B1143" s="116">
        <v>137.08171799027599</v>
      </c>
      <c r="C1143" s="116">
        <v>136.59698772864101</v>
      </c>
      <c r="D1143" s="116">
        <v>133.97944431581399</v>
      </c>
      <c r="E1143" s="116">
        <v>134.75501273442899</v>
      </c>
      <c r="F1143" s="116">
        <v>140.9</v>
      </c>
      <c r="G1143">
        <v>26704</v>
      </c>
      <c r="H1143" s="116"/>
      <c r="I1143" s="116"/>
      <c r="L1143" s="170">
        <v>43685</v>
      </c>
      <c r="M1143" s="116">
        <v>140.80000000000001</v>
      </c>
      <c r="N1143" s="116">
        <v>141.5</v>
      </c>
      <c r="O1143" s="116">
        <v>138</v>
      </c>
      <c r="P1143" s="116">
        <v>139</v>
      </c>
      <c r="Q1143" s="116">
        <v>140.80000000000001</v>
      </c>
      <c r="R1143">
        <v>211901</v>
      </c>
    </row>
    <row r="1144" spans="1:18" x14ac:dyDescent="0.25">
      <c r="A1144" s="170">
        <v>43686</v>
      </c>
      <c r="B1144" s="116">
        <v>138.24507061819901</v>
      </c>
      <c r="C1144" s="116">
        <v>135.77294628386201</v>
      </c>
      <c r="D1144" s="116">
        <v>134.027917341977</v>
      </c>
      <c r="E1144" s="116">
        <v>137.17866404260201</v>
      </c>
      <c r="F1144" s="116">
        <v>140.05000000000001</v>
      </c>
      <c r="G1144">
        <v>21721</v>
      </c>
      <c r="H1144" s="116"/>
      <c r="I1144" s="116"/>
      <c r="L1144" s="170">
        <v>43686</v>
      </c>
      <c r="M1144" s="116">
        <v>140.30000000000001</v>
      </c>
      <c r="N1144" s="116">
        <v>142.94999999999999</v>
      </c>
      <c r="O1144" s="116">
        <v>138.05000000000001</v>
      </c>
      <c r="P1144" s="116">
        <v>140.80000000000001</v>
      </c>
      <c r="Q1144" s="116">
        <v>140.30000000000001</v>
      </c>
      <c r="R1144">
        <v>2007752</v>
      </c>
    </row>
    <row r="1145" spans="1:18" x14ac:dyDescent="0.25">
      <c r="A1145" s="170">
        <v>43690</v>
      </c>
      <c r="B1145" s="116">
        <v>135.724473257699</v>
      </c>
      <c r="C1145" s="116">
        <v>132.04052326927501</v>
      </c>
      <c r="D1145" s="116">
        <v>130.537859458208</v>
      </c>
      <c r="E1145" s="116">
        <v>135.724473257699</v>
      </c>
      <c r="F1145" s="116">
        <v>136.19999999999999</v>
      </c>
      <c r="G1145">
        <v>17582</v>
      </c>
      <c r="H1145" s="116"/>
      <c r="I1145" s="116"/>
      <c r="L1145" s="170">
        <v>43690</v>
      </c>
      <c r="M1145" s="116">
        <v>136.4</v>
      </c>
      <c r="N1145" s="116">
        <v>139.80000000000001</v>
      </c>
      <c r="O1145" s="116">
        <v>134.6</v>
      </c>
      <c r="P1145" s="116">
        <v>139.1</v>
      </c>
      <c r="Q1145" s="116">
        <v>136.4</v>
      </c>
      <c r="R1145">
        <v>635596</v>
      </c>
    </row>
    <row r="1146" spans="1:18" x14ac:dyDescent="0.25">
      <c r="A1146" s="170">
        <v>43691</v>
      </c>
      <c r="B1146" s="116">
        <v>132.37983445242</v>
      </c>
      <c r="C1146" s="116">
        <v>130.295494327391</v>
      </c>
      <c r="D1146" s="116">
        <v>128.06573512387101</v>
      </c>
      <c r="E1146" s="116">
        <v>132.331361426256</v>
      </c>
      <c r="F1146" s="116">
        <v>134.4</v>
      </c>
      <c r="G1146">
        <v>17551</v>
      </c>
      <c r="H1146" s="116"/>
      <c r="I1146" s="116"/>
      <c r="L1146" s="170">
        <v>43691</v>
      </c>
      <c r="M1146" s="116">
        <v>134.69999999999999</v>
      </c>
      <c r="N1146" s="116">
        <v>137.75</v>
      </c>
      <c r="O1146" s="116">
        <v>132.15</v>
      </c>
      <c r="P1146" s="116">
        <v>136.4</v>
      </c>
      <c r="Q1146" s="116">
        <v>134.69999999999999</v>
      </c>
      <c r="R1146">
        <v>2164074</v>
      </c>
    </row>
    <row r="1147" spans="1:18" x14ac:dyDescent="0.25">
      <c r="A1147" s="170">
        <v>43693</v>
      </c>
      <c r="B1147" s="116">
        <v>131.02258971984301</v>
      </c>
      <c r="C1147" s="116">
        <v>128.16268117619799</v>
      </c>
      <c r="D1147" s="116">
        <v>126.32070618198701</v>
      </c>
      <c r="E1147" s="116">
        <v>131.02258971984301</v>
      </c>
      <c r="F1147" s="116">
        <v>132.19999999999999</v>
      </c>
      <c r="G1147">
        <v>29997</v>
      </c>
      <c r="H1147" s="116"/>
      <c r="I1147" s="116"/>
      <c r="L1147" s="170">
        <v>43693</v>
      </c>
      <c r="M1147" s="116">
        <v>132.44999999999999</v>
      </c>
      <c r="N1147" s="116">
        <v>135.55000000000001</v>
      </c>
      <c r="O1147" s="116">
        <v>130.25</v>
      </c>
      <c r="P1147" s="116">
        <v>135</v>
      </c>
      <c r="Q1147" s="116">
        <v>132.44999999999999</v>
      </c>
      <c r="R1147">
        <v>1515380</v>
      </c>
    </row>
    <row r="1148" spans="1:18" x14ac:dyDescent="0.25">
      <c r="A1148" s="170">
        <v>43696</v>
      </c>
      <c r="B1148" s="116">
        <v>132.331361426256</v>
      </c>
      <c r="C1148" s="116">
        <v>130.82869761518899</v>
      </c>
      <c r="D1148" s="116">
        <v>125.88444894651499</v>
      </c>
      <c r="E1148" s="116">
        <v>129.907710118083</v>
      </c>
      <c r="F1148" s="116">
        <v>134.94999999999999</v>
      </c>
      <c r="G1148">
        <v>35321</v>
      </c>
      <c r="H1148" s="116"/>
      <c r="I1148" s="116"/>
      <c r="L1148" s="170">
        <v>43696</v>
      </c>
      <c r="M1148" s="116">
        <v>135</v>
      </c>
      <c r="N1148" s="116">
        <v>136.35</v>
      </c>
      <c r="O1148" s="116">
        <v>129.80000000000001</v>
      </c>
      <c r="P1148" s="116">
        <v>133.5</v>
      </c>
      <c r="Q1148" s="116">
        <v>135</v>
      </c>
      <c r="R1148">
        <v>878653</v>
      </c>
    </row>
    <row r="1149" spans="1:18" x14ac:dyDescent="0.25">
      <c r="A1149" s="170">
        <v>43697</v>
      </c>
      <c r="B1149" s="116">
        <v>130.295494327391</v>
      </c>
      <c r="C1149" s="116">
        <v>127.6294778884</v>
      </c>
      <c r="D1149" s="116">
        <v>126.999328548275</v>
      </c>
      <c r="E1149" s="116">
        <v>130.053129196573</v>
      </c>
      <c r="F1149" s="116">
        <v>131.65</v>
      </c>
      <c r="G1149">
        <v>14937</v>
      </c>
      <c r="H1149" s="116"/>
      <c r="I1149" s="116"/>
      <c r="L1149" s="170">
        <v>43697</v>
      </c>
      <c r="M1149" s="116">
        <v>131.65</v>
      </c>
      <c r="N1149" s="116">
        <v>135.94999999999999</v>
      </c>
      <c r="O1149" s="116">
        <v>130.94999999999999</v>
      </c>
      <c r="P1149" s="116">
        <v>135.94999999999999</v>
      </c>
      <c r="Q1149" s="116">
        <v>131.65</v>
      </c>
      <c r="R1149">
        <v>931903</v>
      </c>
    </row>
    <row r="1150" spans="1:18" x14ac:dyDescent="0.25">
      <c r="A1150" s="170">
        <v>43698</v>
      </c>
      <c r="B1150" s="116">
        <v>128.35657328085199</v>
      </c>
      <c r="C1150" s="116">
        <v>125.59361078953501</v>
      </c>
      <c r="D1150" s="116">
        <v>123.31537855985199</v>
      </c>
      <c r="E1150" s="116">
        <v>127.096274600602</v>
      </c>
      <c r="F1150" s="116">
        <v>129.55000000000001</v>
      </c>
      <c r="G1150">
        <v>37687</v>
      </c>
      <c r="H1150" s="116"/>
      <c r="I1150" s="116"/>
      <c r="L1150" s="170">
        <v>43698</v>
      </c>
      <c r="M1150" s="116">
        <v>129.35</v>
      </c>
      <c r="N1150" s="116">
        <v>132.4</v>
      </c>
      <c r="O1150" s="116">
        <v>127.25</v>
      </c>
      <c r="P1150" s="116">
        <v>131.55000000000001</v>
      </c>
      <c r="Q1150" s="116">
        <v>129.35</v>
      </c>
      <c r="R1150">
        <v>2057246</v>
      </c>
    </row>
    <row r="1151" spans="1:18" x14ac:dyDescent="0.25">
      <c r="A1151" s="170">
        <v>43699</v>
      </c>
      <c r="B1151" s="116">
        <v>126.272233155823</v>
      </c>
      <c r="C1151" s="116">
        <v>120.891727251679</v>
      </c>
      <c r="D1151" s="116">
        <v>117.450142394073</v>
      </c>
      <c r="E1151" s="116">
        <v>124.67262329242899</v>
      </c>
      <c r="F1151" s="116">
        <v>124.7</v>
      </c>
      <c r="G1151">
        <v>18687</v>
      </c>
      <c r="H1151" s="116"/>
      <c r="I1151" s="116"/>
      <c r="L1151" s="170">
        <v>43699</v>
      </c>
      <c r="M1151" s="116">
        <v>126.15</v>
      </c>
      <c r="N1151" s="116">
        <v>130.30000000000001</v>
      </c>
      <c r="O1151" s="116">
        <v>123.5</v>
      </c>
      <c r="P1151" s="116">
        <v>129</v>
      </c>
      <c r="Q1151" s="116">
        <v>126.15</v>
      </c>
      <c r="R1151">
        <v>2602257</v>
      </c>
    </row>
    <row r="1152" spans="1:18" x14ac:dyDescent="0.25">
      <c r="A1152" s="170">
        <v>43700</v>
      </c>
      <c r="B1152" s="116">
        <v>132.331361426256</v>
      </c>
      <c r="C1152" s="116">
        <v>131.749685112295</v>
      </c>
      <c r="D1152" s="116">
        <v>118.031818708034</v>
      </c>
      <c r="E1152" s="116">
        <v>122.152025931929</v>
      </c>
      <c r="F1152" s="116">
        <v>135.9</v>
      </c>
      <c r="G1152">
        <v>48640</v>
      </c>
      <c r="H1152" s="116"/>
      <c r="I1152" s="116"/>
      <c r="L1152" s="170">
        <v>43700</v>
      </c>
      <c r="M1152" s="116">
        <v>135.94999999999999</v>
      </c>
      <c r="N1152" s="116">
        <v>136.6</v>
      </c>
      <c r="O1152" s="116">
        <v>121.3</v>
      </c>
      <c r="P1152" s="116">
        <v>125</v>
      </c>
      <c r="Q1152" s="116">
        <v>135.94999999999999</v>
      </c>
      <c r="R1152">
        <v>1865418</v>
      </c>
    </row>
    <row r="1153" spans="1:18" x14ac:dyDescent="0.25">
      <c r="A1153" s="170">
        <v>43703</v>
      </c>
      <c r="B1153" s="116">
        <v>132.52525353090999</v>
      </c>
      <c r="C1153" s="116">
        <v>131.89510419078499</v>
      </c>
      <c r="D1153" s="116">
        <v>127.193220652929</v>
      </c>
      <c r="E1153" s="116">
        <v>131.84663116462099</v>
      </c>
      <c r="F1153" s="116">
        <v>136.05000000000001</v>
      </c>
      <c r="G1153">
        <v>15995</v>
      </c>
      <c r="H1153" s="116"/>
      <c r="I1153" s="116"/>
      <c r="L1153" s="170">
        <v>43703</v>
      </c>
      <c r="M1153" s="116">
        <v>136</v>
      </c>
      <c r="N1153" s="116">
        <v>136.75</v>
      </c>
      <c r="O1153" s="116">
        <v>131</v>
      </c>
      <c r="P1153" s="116">
        <v>135.1</v>
      </c>
      <c r="Q1153" s="116">
        <v>136</v>
      </c>
      <c r="R1153">
        <v>699302</v>
      </c>
    </row>
    <row r="1154" spans="1:18" x14ac:dyDescent="0.25">
      <c r="A1154" s="170">
        <v>43704</v>
      </c>
      <c r="B1154" s="116">
        <v>136.112257467006</v>
      </c>
      <c r="C1154" s="116">
        <v>133.64013313267</v>
      </c>
      <c r="D1154" s="116">
        <v>128.93824959481401</v>
      </c>
      <c r="E1154" s="116">
        <v>133.10692984487201</v>
      </c>
      <c r="F1154" s="116">
        <v>137.85</v>
      </c>
      <c r="G1154">
        <v>162951</v>
      </c>
      <c r="H1154" s="116"/>
      <c r="I1154" s="116"/>
      <c r="L1154" s="170">
        <v>43704</v>
      </c>
      <c r="M1154" s="116">
        <v>137.65</v>
      </c>
      <c r="N1154" s="116">
        <v>140.5</v>
      </c>
      <c r="O1154" s="116">
        <v>132.80000000000001</v>
      </c>
      <c r="P1154" s="116">
        <v>136</v>
      </c>
      <c r="Q1154" s="116">
        <v>137.65</v>
      </c>
      <c r="R1154">
        <v>1090224</v>
      </c>
    </row>
    <row r="1155" spans="1:18" x14ac:dyDescent="0.25">
      <c r="A1155" s="170">
        <v>43705</v>
      </c>
      <c r="B1155" s="116">
        <v>135.239742996064</v>
      </c>
      <c r="C1155" s="116">
        <v>134.46417457744801</v>
      </c>
      <c r="D1155" s="116">
        <v>132.86456471405401</v>
      </c>
      <c r="E1155" s="116">
        <v>132.86456471405401</v>
      </c>
      <c r="F1155" s="116">
        <v>138.69999999999999</v>
      </c>
      <c r="G1155">
        <v>7225</v>
      </c>
      <c r="H1155" s="116"/>
      <c r="I1155" s="116"/>
      <c r="L1155" s="170">
        <v>43705</v>
      </c>
      <c r="M1155" s="116">
        <v>138.55000000000001</v>
      </c>
      <c r="N1155" s="116">
        <v>139.80000000000001</v>
      </c>
      <c r="O1155" s="116">
        <v>136</v>
      </c>
      <c r="P1155" s="116">
        <v>136</v>
      </c>
      <c r="Q1155" s="116">
        <v>138.55000000000001</v>
      </c>
      <c r="R1155">
        <v>587027</v>
      </c>
    </row>
    <row r="1156" spans="1:18" x14ac:dyDescent="0.25">
      <c r="A1156" s="170">
        <v>43706</v>
      </c>
      <c r="B1156" s="116">
        <v>135.239742996064</v>
      </c>
      <c r="C1156" s="116">
        <v>134.75501273442899</v>
      </c>
      <c r="D1156" s="116">
        <v>130.295494327391</v>
      </c>
      <c r="E1156" s="116">
        <v>132.816091687891</v>
      </c>
      <c r="F1156" s="116">
        <v>139</v>
      </c>
      <c r="G1156">
        <v>16436</v>
      </c>
      <c r="H1156" s="116"/>
      <c r="I1156" s="116"/>
      <c r="L1156" s="170">
        <v>43706</v>
      </c>
      <c r="M1156" s="116">
        <v>138.9</v>
      </c>
      <c r="N1156" s="116">
        <v>139.80000000000001</v>
      </c>
      <c r="O1156" s="116">
        <v>134.4</v>
      </c>
      <c r="P1156" s="116">
        <v>137.19999999999999</v>
      </c>
      <c r="Q1156" s="116">
        <v>138.9</v>
      </c>
      <c r="R1156">
        <v>619196</v>
      </c>
    </row>
    <row r="1157" spans="1:18" x14ac:dyDescent="0.25">
      <c r="A1157" s="170">
        <v>43707</v>
      </c>
      <c r="B1157" s="116">
        <v>135.239742996064</v>
      </c>
      <c r="C1157" s="116">
        <v>134.56112062977499</v>
      </c>
      <c r="D1157" s="116">
        <v>132.185942347766</v>
      </c>
      <c r="E1157" s="116">
        <v>134.75501273442899</v>
      </c>
      <c r="F1157" s="116">
        <v>138.80000000000001</v>
      </c>
      <c r="G1157">
        <v>9625</v>
      </c>
      <c r="H1157" s="116"/>
      <c r="I1157" s="116"/>
      <c r="L1157" s="170">
        <v>43707</v>
      </c>
      <c r="M1157" s="116">
        <v>139</v>
      </c>
      <c r="N1157" s="116">
        <v>140</v>
      </c>
      <c r="O1157" s="116">
        <v>136.05000000000001</v>
      </c>
      <c r="P1157" s="116">
        <v>138.9</v>
      </c>
      <c r="Q1157" s="116">
        <v>139</v>
      </c>
      <c r="R1157">
        <v>277553</v>
      </c>
    </row>
    <row r="1158" spans="1:18" x14ac:dyDescent="0.25">
      <c r="A1158" s="170">
        <v>43711</v>
      </c>
      <c r="B1158" s="116">
        <v>133.93097128964999</v>
      </c>
      <c r="C1158" s="116">
        <v>130.24702130122699</v>
      </c>
      <c r="D1158" s="116">
        <v>129.61687196110199</v>
      </c>
      <c r="E1158" s="116">
        <v>133.73707918499699</v>
      </c>
      <c r="F1158" s="116">
        <v>134.35</v>
      </c>
      <c r="G1158">
        <v>12861</v>
      </c>
      <c r="H1158" s="116"/>
      <c r="I1158" s="116"/>
      <c r="L1158" s="170">
        <v>43711</v>
      </c>
      <c r="M1158" s="116">
        <v>134.35</v>
      </c>
      <c r="N1158" s="116">
        <v>138.80000000000001</v>
      </c>
      <c r="O1158" s="116">
        <v>134</v>
      </c>
      <c r="P1158" s="116">
        <v>137.1</v>
      </c>
      <c r="Q1158" s="116">
        <v>134.35</v>
      </c>
      <c r="R1158">
        <v>370096</v>
      </c>
    </row>
    <row r="1159" spans="1:18" x14ac:dyDescent="0.25">
      <c r="A1159" s="170">
        <v>43712</v>
      </c>
      <c r="B1159" s="116">
        <v>130.877170641352</v>
      </c>
      <c r="C1159" s="116">
        <v>128.98672262097699</v>
      </c>
      <c r="D1159" s="116">
        <v>128.35657328085199</v>
      </c>
      <c r="E1159" s="116">
        <v>130.053129196573</v>
      </c>
      <c r="F1159" s="116">
        <v>133.05000000000001</v>
      </c>
      <c r="G1159">
        <v>6875</v>
      </c>
      <c r="H1159" s="116"/>
      <c r="I1159" s="116"/>
      <c r="L1159" s="170">
        <v>43712</v>
      </c>
      <c r="M1159" s="116">
        <v>133</v>
      </c>
      <c r="N1159" s="116">
        <v>135.05000000000001</v>
      </c>
      <c r="O1159" s="116">
        <v>132.25</v>
      </c>
      <c r="P1159" s="116">
        <v>134</v>
      </c>
      <c r="Q1159" s="116">
        <v>133</v>
      </c>
      <c r="R1159">
        <v>125165</v>
      </c>
    </row>
    <row r="1160" spans="1:18" x14ac:dyDescent="0.25">
      <c r="A1160" s="170">
        <v>43713</v>
      </c>
      <c r="B1160" s="116">
        <v>133.78555221116</v>
      </c>
      <c r="C1160" s="116">
        <v>127.67795091456399</v>
      </c>
      <c r="D1160" s="116">
        <v>124.090946978467</v>
      </c>
      <c r="E1160" s="116">
        <v>133.78555221116</v>
      </c>
      <c r="F1160" s="116">
        <v>131.69999999999999</v>
      </c>
      <c r="G1160">
        <v>105137</v>
      </c>
      <c r="H1160" s="116"/>
      <c r="I1160" s="116"/>
      <c r="L1160" s="170">
        <v>43713</v>
      </c>
      <c r="M1160" s="116">
        <v>132</v>
      </c>
      <c r="N1160" s="116">
        <v>135.1</v>
      </c>
      <c r="O1160" s="116">
        <v>128.1</v>
      </c>
      <c r="P1160" s="116">
        <v>133.69999999999999</v>
      </c>
      <c r="Q1160" s="116">
        <v>132</v>
      </c>
      <c r="R1160">
        <v>546138</v>
      </c>
    </row>
    <row r="1161" spans="1:18" x14ac:dyDescent="0.25">
      <c r="A1161" s="170">
        <v>43714</v>
      </c>
      <c r="B1161" s="116">
        <v>129.665344987266</v>
      </c>
      <c r="C1161" s="116">
        <v>128.79283051632299</v>
      </c>
      <c r="D1161" s="116">
        <v>127.48405880991</v>
      </c>
      <c r="E1161" s="116">
        <v>128.453519333179</v>
      </c>
      <c r="F1161" s="116">
        <v>132.85</v>
      </c>
      <c r="G1161">
        <v>22222</v>
      </c>
      <c r="H1161" s="116"/>
      <c r="I1161" s="116"/>
      <c r="L1161" s="170">
        <v>43714</v>
      </c>
      <c r="M1161" s="116">
        <v>132.85</v>
      </c>
      <c r="N1161" s="116">
        <v>133.75</v>
      </c>
      <c r="O1161" s="116">
        <v>131.55000000000001</v>
      </c>
      <c r="P1161" s="116">
        <v>132.4</v>
      </c>
      <c r="Q1161" s="116">
        <v>132.85</v>
      </c>
      <c r="R1161">
        <v>262624</v>
      </c>
    </row>
    <row r="1162" spans="1:18" x14ac:dyDescent="0.25">
      <c r="A1162" s="170">
        <v>43717</v>
      </c>
      <c r="B1162" s="116">
        <v>131.361900902987</v>
      </c>
      <c r="C1162" s="116">
        <v>130.82869761518899</v>
      </c>
      <c r="D1162" s="116">
        <v>129.13214169946701</v>
      </c>
      <c r="E1162" s="116">
        <v>130.053129196573</v>
      </c>
      <c r="F1162" s="116">
        <v>134.94999999999999</v>
      </c>
      <c r="G1162">
        <v>6013</v>
      </c>
      <c r="H1162" s="116"/>
      <c r="I1162" s="116"/>
      <c r="L1162" s="170">
        <v>43717</v>
      </c>
      <c r="M1162" s="116">
        <v>134.94999999999999</v>
      </c>
      <c r="N1162" s="116">
        <v>135.55000000000001</v>
      </c>
      <c r="O1162" s="116">
        <v>133.1</v>
      </c>
      <c r="P1162" s="116">
        <v>133.5</v>
      </c>
      <c r="Q1162" s="116">
        <v>134.94999999999999</v>
      </c>
      <c r="R1162">
        <v>173145</v>
      </c>
    </row>
    <row r="1163" spans="1:18" x14ac:dyDescent="0.25">
      <c r="A1163" s="170">
        <v>43719</v>
      </c>
      <c r="B1163" s="116">
        <v>133.78555221116</v>
      </c>
      <c r="C1163" s="116">
        <v>130.15007524890001</v>
      </c>
      <c r="D1163" s="116">
        <v>128.98672262097699</v>
      </c>
      <c r="E1163" s="116">
        <v>130.877170641352</v>
      </c>
      <c r="F1163" s="116">
        <v>134.25</v>
      </c>
      <c r="G1163">
        <v>15004</v>
      </c>
      <c r="H1163" s="116"/>
      <c r="I1163" s="116"/>
      <c r="L1163" s="170">
        <v>43719</v>
      </c>
      <c r="M1163" s="116">
        <v>134.69999999999999</v>
      </c>
      <c r="N1163" s="116">
        <v>136.55000000000001</v>
      </c>
      <c r="O1163" s="116">
        <v>133</v>
      </c>
      <c r="P1163" s="116">
        <v>134.9</v>
      </c>
      <c r="Q1163" s="116">
        <v>134.69999999999999</v>
      </c>
      <c r="R1163">
        <v>263600</v>
      </c>
    </row>
    <row r="1164" spans="1:18" x14ac:dyDescent="0.25">
      <c r="A1164" s="170">
        <v>43720</v>
      </c>
      <c r="B1164" s="116">
        <v>131.79815813845801</v>
      </c>
      <c r="C1164" s="116">
        <v>130.15007524890001</v>
      </c>
      <c r="D1164" s="116">
        <v>129.665344987266</v>
      </c>
      <c r="E1164" s="116">
        <v>130.877170641352</v>
      </c>
      <c r="F1164" s="116">
        <v>134.25</v>
      </c>
      <c r="G1164">
        <v>6286</v>
      </c>
      <c r="H1164" s="116"/>
      <c r="I1164" s="116"/>
      <c r="L1164" s="170">
        <v>43720</v>
      </c>
      <c r="M1164" s="116">
        <v>134.44999999999999</v>
      </c>
      <c r="N1164" s="116">
        <v>135.85</v>
      </c>
      <c r="O1164" s="116">
        <v>133.5</v>
      </c>
      <c r="P1164" s="116">
        <v>134.69999999999999</v>
      </c>
      <c r="Q1164" s="116">
        <v>134.44999999999999</v>
      </c>
      <c r="R1164">
        <v>208272</v>
      </c>
    </row>
    <row r="1165" spans="1:18" x14ac:dyDescent="0.25">
      <c r="A1165" s="170">
        <v>43721</v>
      </c>
      <c r="B1165" s="116">
        <v>130.925643667516</v>
      </c>
      <c r="C1165" s="116">
        <v>128.55046538550599</v>
      </c>
      <c r="D1165" s="116">
        <v>127.77489696689</v>
      </c>
      <c r="E1165" s="116">
        <v>129.665344987266</v>
      </c>
      <c r="F1165" s="116">
        <v>132.6</v>
      </c>
      <c r="G1165">
        <v>13554</v>
      </c>
      <c r="H1165" s="116"/>
      <c r="I1165" s="116"/>
      <c r="L1165" s="170">
        <v>43721</v>
      </c>
      <c r="M1165" s="116">
        <v>132.75</v>
      </c>
      <c r="N1165" s="116">
        <v>135.30000000000001</v>
      </c>
      <c r="O1165" s="116">
        <v>131.55000000000001</v>
      </c>
      <c r="P1165" s="116">
        <v>134.9</v>
      </c>
      <c r="Q1165" s="116">
        <v>132.75</v>
      </c>
      <c r="R1165">
        <v>461299</v>
      </c>
    </row>
    <row r="1166" spans="1:18" x14ac:dyDescent="0.25">
      <c r="A1166" s="170">
        <v>43724</v>
      </c>
      <c r="B1166" s="116">
        <v>130.877170641352</v>
      </c>
      <c r="C1166" s="116">
        <v>128.69588446399601</v>
      </c>
      <c r="D1166" s="116">
        <v>128.06573512387101</v>
      </c>
      <c r="E1166" s="116">
        <v>129.18061472563099</v>
      </c>
      <c r="F1166" s="116">
        <v>132.75</v>
      </c>
      <c r="G1166">
        <v>25006</v>
      </c>
      <c r="H1166" s="116"/>
      <c r="I1166" s="116"/>
      <c r="L1166" s="170">
        <v>43724</v>
      </c>
      <c r="M1166" s="116">
        <v>132.85</v>
      </c>
      <c r="N1166" s="116">
        <v>135.25</v>
      </c>
      <c r="O1166" s="116">
        <v>132.05000000000001</v>
      </c>
      <c r="P1166" s="116">
        <v>133.30000000000001</v>
      </c>
      <c r="Q1166" s="116">
        <v>132.85</v>
      </c>
      <c r="R1166">
        <v>345932</v>
      </c>
    </row>
    <row r="1167" spans="1:18" x14ac:dyDescent="0.25">
      <c r="A1167" s="170">
        <v>43725</v>
      </c>
      <c r="B1167" s="116">
        <v>128.93824959481401</v>
      </c>
      <c r="C1167" s="116">
        <v>126.272233155823</v>
      </c>
      <c r="D1167" s="116">
        <v>125.835975920352</v>
      </c>
      <c r="E1167" s="116">
        <v>128.93824959481401</v>
      </c>
      <c r="F1167" s="116">
        <v>130.25</v>
      </c>
      <c r="G1167">
        <v>45612</v>
      </c>
      <c r="H1167" s="116"/>
      <c r="I1167" s="116"/>
      <c r="L1167" s="170">
        <v>43725</v>
      </c>
      <c r="M1167" s="116">
        <v>130.05000000000001</v>
      </c>
      <c r="N1167" s="116">
        <v>133.1</v>
      </c>
      <c r="O1167" s="116">
        <v>129.55000000000001</v>
      </c>
      <c r="P1167" s="116">
        <v>133</v>
      </c>
      <c r="Q1167" s="116">
        <v>130.05000000000001</v>
      </c>
      <c r="R1167">
        <v>694226</v>
      </c>
    </row>
    <row r="1168" spans="1:18" x14ac:dyDescent="0.25">
      <c r="A1168" s="170">
        <v>43726</v>
      </c>
      <c r="B1168" s="116">
        <v>132.42830747858301</v>
      </c>
      <c r="C1168" s="116">
        <v>130.101602222737</v>
      </c>
      <c r="D1168" s="116">
        <v>127.77489696689</v>
      </c>
      <c r="E1168" s="116">
        <v>130.877170641352</v>
      </c>
      <c r="F1168" s="116">
        <v>134.19999999999999</v>
      </c>
      <c r="G1168">
        <v>198257</v>
      </c>
      <c r="H1168" s="116"/>
      <c r="I1168" s="116"/>
      <c r="L1168" s="170">
        <v>43726</v>
      </c>
      <c r="M1168" s="116">
        <v>134.1</v>
      </c>
      <c r="N1168" s="116">
        <v>136.4</v>
      </c>
      <c r="O1168" s="116">
        <v>131.80000000000001</v>
      </c>
      <c r="P1168" s="116">
        <v>134.75</v>
      </c>
      <c r="Q1168" s="116">
        <v>134.1</v>
      </c>
      <c r="R1168">
        <v>2925597</v>
      </c>
    </row>
    <row r="1169" spans="1:18" x14ac:dyDescent="0.25">
      <c r="A1169" s="170">
        <v>43727</v>
      </c>
      <c r="B1169" s="116">
        <v>131.749685112295</v>
      </c>
      <c r="C1169" s="116">
        <v>130.731751562862</v>
      </c>
      <c r="D1169" s="116">
        <v>125.545137763371</v>
      </c>
      <c r="E1169" s="116">
        <v>129.229087751794</v>
      </c>
      <c r="F1169" s="116">
        <v>134.85</v>
      </c>
      <c r="G1169">
        <v>133752</v>
      </c>
      <c r="H1169" s="116"/>
      <c r="I1169" s="116"/>
      <c r="L1169" s="170">
        <v>43727</v>
      </c>
      <c r="M1169" s="116">
        <v>134.85</v>
      </c>
      <c r="N1169" s="116">
        <v>136</v>
      </c>
      <c r="O1169" s="116">
        <v>129.5</v>
      </c>
      <c r="P1169" s="116">
        <v>134.1</v>
      </c>
      <c r="Q1169" s="116">
        <v>134.85</v>
      </c>
      <c r="R1169">
        <v>1248233</v>
      </c>
    </row>
    <row r="1170" spans="1:18" x14ac:dyDescent="0.25">
      <c r="A1170" s="170">
        <v>43728</v>
      </c>
      <c r="B1170" s="116">
        <v>146.14617388284299</v>
      </c>
      <c r="C1170" s="116">
        <v>143.72252257466999</v>
      </c>
      <c r="D1170" s="116">
        <v>130.877170641352</v>
      </c>
      <c r="E1170" s="116">
        <v>133.78555221116</v>
      </c>
      <c r="F1170" s="116">
        <v>148.25</v>
      </c>
      <c r="G1170">
        <v>141387</v>
      </c>
      <c r="H1170" s="116"/>
      <c r="I1170" s="116"/>
      <c r="L1170" s="170">
        <v>43728</v>
      </c>
      <c r="M1170" s="116">
        <v>149.05000000000001</v>
      </c>
      <c r="N1170" s="116">
        <v>150.94999999999999</v>
      </c>
      <c r="O1170" s="116">
        <v>135.5</v>
      </c>
      <c r="P1170" s="116">
        <v>138</v>
      </c>
      <c r="Q1170" s="116">
        <v>149.05000000000001</v>
      </c>
      <c r="R1170">
        <v>3017123</v>
      </c>
    </row>
    <row r="1171" spans="1:18" x14ac:dyDescent="0.25">
      <c r="A1171" s="170">
        <v>43731</v>
      </c>
      <c r="B1171" s="116">
        <v>157.97359226672799</v>
      </c>
      <c r="C1171" s="116">
        <v>155.50146793239199</v>
      </c>
      <c r="D1171" s="116">
        <v>153.17476267654601</v>
      </c>
      <c r="E1171" s="116">
        <v>155.11368372308399</v>
      </c>
      <c r="F1171" s="116">
        <v>160.4</v>
      </c>
      <c r="G1171">
        <v>404129</v>
      </c>
      <c r="H1171" s="116"/>
      <c r="I1171" s="116"/>
      <c r="L1171" s="170">
        <v>43731</v>
      </c>
      <c r="M1171" s="116">
        <v>160.44999999999999</v>
      </c>
      <c r="N1171" s="116">
        <v>163</v>
      </c>
      <c r="O1171" s="116">
        <v>158</v>
      </c>
      <c r="P1171" s="116">
        <v>158</v>
      </c>
      <c r="Q1171" s="116">
        <v>160.44999999999999</v>
      </c>
      <c r="R1171">
        <v>11727033</v>
      </c>
    </row>
    <row r="1172" spans="1:18" x14ac:dyDescent="0.25">
      <c r="A1172" s="170">
        <v>43732</v>
      </c>
      <c r="B1172" s="116">
        <v>155.69536003704599</v>
      </c>
      <c r="C1172" s="116">
        <v>154.82284556610301</v>
      </c>
      <c r="D1172" s="116">
        <v>147.891202824728</v>
      </c>
      <c r="E1172" s="116">
        <v>155.404521880065</v>
      </c>
      <c r="F1172" s="116">
        <v>159.69999999999999</v>
      </c>
      <c r="G1172">
        <v>202816</v>
      </c>
      <c r="H1172" s="116"/>
      <c r="I1172" s="116"/>
      <c r="L1172" s="170">
        <v>43732</v>
      </c>
      <c r="M1172" s="116">
        <v>159.85</v>
      </c>
      <c r="N1172" s="116">
        <v>161.25</v>
      </c>
      <c r="O1172" s="116">
        <v>152.35</v>
      </c>
      <c r="P1172" s="116">
        <v>161.25</v>
      </c>
      <c r="Q1172" s="116">
        <v>159.85</v>
      </c>
      <c r="R1172">
        <v>3205251</v>
      </c>
    </row>
    <row r="1173" spans="1:18" x14ac:dyDescent="0.25">
      <c r="A1173" s="170">
        <v>43733</v>
      </c>
      <c r="B1173" s="116">
        <v>154.38658833063201</v>
      </c>
      <c r="C1173" s="116">
        <v>150.21790808057401</v>
      </c>
      <c r="D1173" s="116">
        <v>149.539285714286</v>
      </c>
      <c r="E1173" s="116">
        <v>152.93239754572801</v>
      </c>
      <c r="F1173" s="116">
        <v>154.94999999999999</v>
      </c>
      <c r="G1173">
        <v>65914</v>
      </c>
      <c r="H1173" s="116"/>
      <c r="I1173" s="116"/>
      <c r="L1173" s="170">
        <v>43733</v>
      </c>
      <c r="M1173" s="116">
        <v>154.94999999999999</v>
      </c>
      <c r="N1173" s="116">
        <v>159.5</v>
      </c>
      <c r="O1173" s="116">
        <v>154</v>
      </c>
      <c r="P1173" s="116">
        <v>158.9</v>
      </c>
      <c r="Q1173" s="116">
        <v>154.94999999999999</v>
      </c>
      <c r="R1173">
        <v>444146</v>
      </c>
    </row>
    <row r="1174" spans="1:18" x14ac:dyDescent="0.25">
      <c r="A1174" s="170">
        <v>43734</v>
      </c>
      <c r="B1174" s="116">
        <v>152.54461333642001</v>
      </c>
      <c r="C1174" s="116">
        <v>150.169435054411</v>
      </c>
      <c r="D1174" s="116">
        <v>147.84272979856399</v>
      </c>
      <c r="E1174" s="116">
        <v>149.05455545265099</v>
      </c>
      <c r="F1174" s="116">
        <v>154.9</v>
      </c>
      <c r="G1174">
        <v>62982</v>
      </c>
      <c r="H1174" s="116"/>
      <c r="I1174" s="116"/>
      <c r="L1174" s="170">
        <v>43734</v>
      </c>
      <c r="M1174" s="116">
        <v>154.94999999999999</v>
      </c>
      <c r="N1174" s="116">
        <v>157.44999999999999</v>
      </c>
      <c r="O1174" s="116">
        <v>152.19999999999999</v>
      </c>
      <c r="P1174" s="116">
        <v>155</v>
      </c>
      <c r="Q1174" s="116">
        <v>154.94999999999999</v>
      </c>
      <c r="R1174">
        <v>1097772</v>
      </c>
    </row>
    <row r="1175" spans="1:18" x14ac:dyDescent="0.25">
      <c r="A1175" s="170">
        <v>43735</v>
      </c>
      <c r="B1175" s="116">
        <v>152.011410048622</v>
      </c>
      <c r="C1175" s="116">
        <v>149.927069923593</v>
      </c>
      <c r="D1175" s="116">
        <v>147.067161379949</v>
      </c>
      <c r="E1175" s="116">
        <v>150.26638110673801</v>
      </c>
      <c r="F1175" s="116">
        <v>154.65</v>
      </c>
      <c r="G1175">
        <v>111695</v>
      </c>
      <c r="H1175" s="116"/>
      <c r="I1175" s="116"/>
      <c r="L1175" s="170">
        <v>43735</v>
      </c>
      <c r="M1175" s="116">
        <v>154.44999999999999</v>
      </c>
      <c r="N1175" s="116">
        <v>156.6</v>
      </c>
      <c r="O1175" s="116">
        <v>151.5</v>
      </c>
      <c r="P1175" s="116">
        <v>155.55000000000001</v>
      </c>
      <c r="Q1175" s="116">
        <v>154.44999999999999</v>
      </c>
      <c r="R1175">
        <v>532579</v>
      </c>
    </row>
    <row r="1176" spans="1:18" x14ac:dyDescent="0.25">
      <c r="A1176" s="170">
        <v>43738</v>
      </c>
      <c r="B1176" s="116">
        <v>156.56787450798799</v>
      </c>
      <c r="C1176" s="116">
        <v>154.82284556610301</v>
      </c>
      <c r="D1176" s="116">
        <v>145.75838967353599</v>
      </c>
      <c r="E1176" s="116">
        <v>150.26638110673801</v>
      </c>
      <c r="F1176" s="116">
        <v>159.69999999999999</v>
      </c>
      <c r="G1176">
        <v>70432</v>
      </c>
      <c r="H1176" s="116"/>
      <c r="I1176" s="116"/>
      <c r="L1176" s="170">
        <v>43738</v>
      </c>
      <c r="M1176" s="116">
        <v>159.80000000000001</v>
      </c>
      <c r="N1176" s="116">
        <v>161.9</v>
      </c>
      <c r="O1176" s="116">
        <v>150</v>
      </c>
      <c r="P1176" s="116">
        <v>154</v>
      </c>
      <c r="Q1176" s="116">
        <v>159.80000000000001</v>
      </c>
      <c r="R1176">
        <v>1837554</v>
      </c>
    </row>
    <row r="1177" spans="1:18" x14ac:dyDescent="0.25">
      <c r="A1177" s="170">
        <v>43739</v>
      </c>
      <c r="B1177" s="116">
        <v>156.56787450798799</v>
      </c>
      <c r="C1177" s="116">
        <v>148.56982519101601</v>
      </c>
      <c r="D1177" s="116">
        <v>147.64883769391099</v>
      </c>
      <c r="E1177" s="116">
        <v>156.56787450798799</v>
      </c>
      <c r="F1177" s="116">
        <v>153.25</v>
      </c>
      <c r="G1177">
        <v>40458</v>
      </c>
      <c r="H1177" s="116"/>
      <c r="I1177" s="116"/>
      <c r="L1177" s="170">
        <v>43739</v>
      </c>
      <c r="M1177" s="116">
        <v>153.35</v>
      </c>
      <c r="N1177" s="116">
        <v>160.1</v>
      </c>
      <c r="O1177" s="116">
        <v>152.30000000000001</v>
      </c>
      <c r="P1177" s="116">
        <v>160</v>
      </c>
      <c r="Q1177" s="116">
        <v>153.35</v>
      </c>
      <c r="R1177">
        <v>532635</v>
      </c>
    </row>
    <row r="1178" spans="1:18" x14ac:dyDescent="0.25">
      <c r="A1178" s="170">
        <v>43741</v>
      </c>
      <c r="B1178" s="116">
        <v>151.67209886547801</v>
      </c>
      <c r="C1178" s="116">
        <v>149.975542949757</v>
      </c>
      <c r="D1178" s="116">
        <v>148.18204098170901</v>
      </c>
      <c r="E1178" s="116">
        <v>148.327460060199</v>
      </c>
      <c r="F1178" s="116">
        <v>154.69999999999999</v>
      </c>
      <c r="G1178">
        <v>22589</v>
      </c>
      <c r="H1178" s="116"/>
      <c r="I1178" s="116"/>
      <c r="L1178" s="170">
        <v>43741</v>
      </c>
      <c r="M1178" s="116">
        <v>154.6</v>
      </c>
      <c r="N1178" s="116">
        <v>156.5</v>
      </c>
      <c r="O1178" s="116">
        <v>153</v>
      </c>
      <c r="P1178" s="116">
        <v>154</v>
      </c>
      <c r="Q1178" s="116">
        <v>154.6</v>
      </c>
      <c r="R1178">
        <v>2963464</v>
      </c>
    </row>
    <row r="1179" spans="1:18" x14ac:dyDescent="0.25">
      <c r="A1179" s="170">
        <v>43742</v>
      </c>
      <c r="B1179" s="116">
        <v>154.19269622597801</v>
      </c>
      <c r="C1179" s="116">
        <v>152.25377517944</v>
      </c>
      <c r="D1179" s="116">
        <v>148.76371729567001</v>
      </c>
      <c r="E1179" s="116">
        <v>151.33278768233399</v>
      </c>
      <c r="F1179" s="116">
        <v>157.05000000000001</v>
      </c>
      <c r="G1179">
        <v>17326</v>
      </c>
      <c r="H1179" s="116"/>
      <c r="I1179" s="116"/>
      <c r="L1179" s="170">
        <v>43742</v>
      </c>
      <c r="M1179" s="116">
        <v>156.05000000000001</v>
      </c>
      <c r="N1179" s="116">
        <v>159</v>
      </c>
      <c r="O1179" s="116">
        <v>153.19999999999999</v>
      </c>
      <c r="P1179" s="116">
        <v>155.9</v>
      </c>
      <c r="Q1179" s="116">
        <v>156.05000000000001</v>
      </c>
      <c r="R1179">
        <v>2846231</v>
      </c>
    </row>
    <row r="1180" spans="1:18" x14ac:dyDescent="0.25">
      <c r="A1180" s="170">
        <v>43745</v>
      </c>
      <c r="B1180" s="116">
        <v>152.011410048622</v>
      </c>
      <c r="C1180" s="116">
        <v>151.381260708497</v>
      </c>
      <c r="D1180" s="116">
        <v>149.49081268812199</v>
      </c>
      <c r="E1180" s="116">
        <v>150.75111136837199</v>
      </c>
      <c r="F1180" s="116">
        <v>156.15</v>
      </c>
      <c r="G1180">
        <v>18050</v>
      </c>
      <c r="H1180" s="116"/>
      <c r="I1180" s="116"/>
      <c r="L1180" s="170">
        <v>43745</v>
      </c>
      <c r="M1180" s="116">
        <v>156.19999999999999</v>
      </c>
      <c r="N1180" s="116">
        <v>157</v>
      </c>
      <c r="O1180" s="116">
        <v>154.19999999999999</v>
      </c>
      <c r="P1180" s="116">
        <v>156.6</v>
      </c>
      <c r="Q1180" s="116">
        <v>156.19999999999999</v>
      </c>
      <c r="R1180">
        <v>1340343</v>
      </c>
    </row>
    <row r="1181" spans="1:18" x14ac:dyDescent="0.25">
      <c r="A1181" s="170">
        <v>43747</v>
      </c>
      <c r="B1181" s="116">
        <v>153.61101991201701</v>
      </c>
      <c r="C1181" s="116">
        <v>149.345393609632</v>
      </c>
      <c r="D1181" s="116">
        <v>148.327460060199</v>
      </c>
      <c r="E1181" s="116">
        <v>151.235841630007</v>
      </c>
      <c r="F1181" s="116">
        <v>154.05000000000001</v>
      </c>
      <c r="G1181">
        <v>35807</v>
      </c>
      <c r="H1181" s="116"/>
      <c r="I1181" s="116"/>
      <c r="L1181" s="170">
        <v>43747</v>
      </c>
      <c r="M1181" s="116">
        <v>154.05000000000001</v>
      </c>
      <c r="N1181" s="116">
        <v>158.80000000000001</v>
      </c>
      <c r="O1181" s="116">
        <v>152.65</v>
      </c>
      <c r="P1181" s="116">
        <v>156.4</v>
      </c>
      <c r="Q1181" s="116">
        <v>154.05000000000001</v>
      </c>
      <c r="R1181">
        <v>2016860</v>
      </c>
    </row>
    <row r="1182" spans="1:18" x14ac:dyDescent="0.25">
      <c r="A1182" s="170">
        <v>43748</v>
      </c>
      <c r="B1182" s="116">
        <v>151.235841630007</v>
      </c>
      <c r="C1182" s="116">
        <v>147.21258045843899</v>
      </c>
      <c r="D1182" s="116">
        <v>145.90380875202601</v>
      </c>
      <c r="E1182" s="116">
        <v>149.539285714286</v>
      </c>
      <c r="F1182" s="116">
        <v>151.85</v>
      </c>
      <c r="G1182">
        <v>33035</v>
      </c>
      <c r="H1182" s="116"/>
      <c r="I1182" s="116"/>
      <c r="L1182" s="170">
        <v>43748</v>
      </c>
      <c r="M1182" s="116">
        <v>151.85</v>
      </c>
      <c r="N1182" s="116">
        <v>156.30000000000001</v>
      </c>
      <c r="O1182" s="116">
        <v>150.30000000000001</v>
      </c>
      <c r="P1182" s="116">
        <v>153.55000000000001</v>
      </c>
      <c r="Q1182" s="116">
        <v>151.85</v>
      </c>
      <c r="R1182">
        <v>1719136</v>
      </c>
    </row>
    <row r="1183" spans="1:18" x14ac:dyDescent="0.25">
      <c r="A1183" s="170">
        <v>43749</v>
      </c>
      <c r="B1183" s="116">
        <v>149.19997453114101</v>
      </c>
      <c r="C1183" s="116">
        <v>146.24311993517</v>
      </c>
      <c r="D1183" s="116">
        <v>145.27365941190101</v>
      </c>
      <c r="E1183" s="116">
        <v>147.60036466774699</v>
      </c>
      <c r="F1183" s="116">
        <v>150.85</v>
      </c>
      <c r="G1183">
        <v>629914</v>
      </c>
      <c r="H1183" s="116"/>
      <c r="I1183" s="116"/>
      <c r="L1183" s="170">
        <v>43749</v>
      </c>
      <c r="M1183" s="116">
        <v>150.65</v>
      </c>
      <c r="N1183" s="116">
        <v>153.80000000000001</v>
      </c>
      <c r="O1183" s="116">
        <v>149.19999999999999</v>
      </c>
      <c r="P1183" s="116">
        <v>152.35</v>
      </c>
      <c r="Q1183" s="116">
        <v>150.65</v>
      </c>
      <c r="R1183">
        <v>1003177</v>
      </c>
    </row>
    <row r="1184" spans="1:18" x14ac:dyDescent="0.25">
      <c r="A1184" s="170">
        <v>43752</v>
      </c>
      <c r="B1184" s="116">
        <v>148.327460060199</v>
      </c>
      <c r="C1184" s="116">
        <v>147.50341861542</v>
      </c>
      <c r="D1184" s="116">
        <v>145.51602454271799</v>
      </c>
      <c r="E1184" s="116">
        <v>146.873269275295</v>
      </c>
      <c r="F1184" s="116">
        <v>152.15</v>
      </c>
      <c r="G1184">
        <v>21812</v>
      </c>
      <c r="H1184" s="116"/>
      <c r="I1184" s="116"/>
      <c r="L1184" s="170">
        <v>43752</v>
      </c>
      <c r="M1184" s="116">
        <v>152</v>
      </c>
      <c r="N1184" s="116">
        <v>153.15</v>
      </c>
      <c r="O1184" s="116">
        <v>150.25</v>
      </c>
      <c r="P1184" s="116">
        <v>151</v>
      </c>
      <c r="Q1184" s="116">
        <v>152</v>
      </c>
      <c r="R1184">
        <v>549640</v>
      </c>
    </row>
    <row r="1185" spans="1:18" x14ac:dyDescent="0.25">
      <c r="A1185" s="170">
        <v>43753</v>
      </c>
      <c r="B1185" s="116">
        <v>148.715244269507</v>
      </c>
      <c r="C1185" s="116">
        <v>144.401144940959</v>
      </c>
      <c r="D1185" s="116">
        <v>138.63285482750601</v>
      </c>
      <c r="E1185" s="116">
        <v>147.35799953693001</v>
      </c>
      <c r="F1185" s="116">
        <v>148.94999999999999</v>
      </c>
      <c r="G1185">
        <v>37032</v>
      </c>
      <c r="H1185" s="116"/>
      <c r="I1185" s="116"/>
      <c r="L1185" s="170">
        <v>43753</v>
      </c>
      <c r="M1185" s="116">
        <v>149.05000000000001</v>
      </c>
      <c r="N1185" s="116">
        <v>153.5</v>
      </c>
      <c r="O1185" s="116">
        <v>148</v>
      </c>
      <c r="P1185" s="116">
        <v>152.94999999999999</v>
      </c>
      <c r="Q1185" s="116">
        <v>149.05000000000001</v>
      </c>
      <c r="R1185">
        <v>1028285</v>
      </c>
    </row>
    <row r="1186" spans="1:18" x14ac:dyDescent="0.25">
      <c r="A1186" s="170">
        <v>43754</v>
      </c>
      <c r="B1186" s="116">
        <v>145.90380875202601</v>
      </c>
      <c r="C1186" s="116">
        <v>144.74045612410299</v>
      </c>
      <c r="D1186" s="116">
        <v>142.02596665894899</v>
      </c>
      <c r="E1186" s="116">
        <v>145.661443621209</v>
      </c>
      <c r="F1186" s="116">
        <v>149.30000000000001</v>
      </c>
      <c r="G1186">
        <v>23230</v>
      </c>
      <c r="H1186" s="116"/>
      <c r="I1186" s="116"/>
      <c r="L1186" s="170">
        <v>43754</v>
      </c>
      <c r="M1186" s="116">
        <v>149</v>
      </c>
      <c r="N1186" s="116">
        <v>149.94999999999999</v>
      </c>
      <c r="O1186" s="116">
        <v>146.30000000000001</v>
      </c>
      <c r="P1186" s="116">
        <v>149.55000000000001</v>
      </c>
      <c r="Q1186" s="116">
        <v>149</v>
      </c>
      <c r="R1186">
        <v>1330935</v>
      </c>
    </row>
    <row r="1187" spans="1:18" x14ac:dyDescent="0.25">
      <c r="A1187" s="170">
        <v>43755</v>
      </c>
      <c r="B1187" s="116">
        <v>149.29692058346799</v>
      </c>
      <c r="C1187" s="116">
        <v>146.00075480435299</v>
      </c>
      <c r="D1187" s="116">
        <v>142.074439685112</v>
      </c>
      <c r="E1187" s="116">
        <v>144.93434822875699</v>
      </c>
      <c r="F1187" s="116">
        <v>150.6</v>
      </c>
      <c r="G1187">
        <v>31698</v>
      </c>
      <c r="H1187" s="116"/>
      <c r="I1187" s="116"/>
      <c r="L1187" s="170">
        <v>43755</v>
      </c>
      <c r="M1187" s="116">
        <v>151.85</v>
      </c>
      <c r="N1187" s="116">
        <v>153.19999999999999</v>
      </c>
      <c r="O1187" s="116">
        <v>147.35</v>
      </c>
      <c r="P1187" s="116">
        <v>149.94999999999999</v>
      </c>
      <c r="Q1187" s="116">
        <v>151.85</v>
      </c>
      <c r="R1187">
        <v>992660</v>
      </c>
    </row>
    <row r="1188" spans="1:18" x14ac:dyDescent="0.25">
      <c r="A1188" s="170">
        <v>43756</v>
      </c>
      <c r="B1188" s="116">
        <v>148.327460060199</v>
      </c>
      <c r="C1188" s="116">
        <v>145.07976730724701</v>
      </c>
      <c r="D1188" s="116">
        <v>143.67404954850701</v>
      </c>
      <c r="E1188" s="116">
        <v>148.327460060199</v>
      </c>
      <c r="F1188" s="116">
        <v>149.65</v>
      </c>
      <c r="G1188">
        <v>189986</v>
      </c>
      <c r="H1188" s="116"/>
      <c r="I1188" s="116"/>
      <c r="L1188" s="170">
        <v>43756</v>
      </c>
      <c r="M1188" s="116">
        <v>149.4</v>
      </c>
      <c r="N1188" s="116">
        <v>153.44999999999999</v>
      </c>
      <c r="O1188" s="116">
        <v>148</v>
      </c>
      <c r="P1188" s="116">
        <v>151.85</v>
      </c>
      <c r="Q1188" s="116">
        <v>149.4</v>
      </c>
      <c r="R1188">
        <v>1353287</v>
      </c>
    </row>
    <row r="1189" spans="1:18" x14ac:dyDescent="0.25">
      <c r="A1189" s="170">
        <v>43760</v>
      </c>
      <c r="B1189" s="116">
        <v>148.521352164853</v>
      </c>
      <c r="C1189" s="116">
        <v>147.60036466774699</v>
      </c>
      <c r="D1189" s="116">
        <v>143.81946862699701</v>
      </c>
      <c r="E1189" s="116">
        <v>145.07976730724701</v>
      </c>
      <c r="F1189" s="116">
        <v>152.25</v>
      </c>
      <c r="G1189">
        <v>41218</v>
      </c>
      <c r="H1189" s="116"/>
      <c r="I1189" s="116"/>
      <c r="L1189" s="170">
        <v>43760</v>
      </c>
      <c r="M1189" s="116">
        <v>152.30000000000001</v>
      </c>
      <c r="N1189" s="116">
        <v>153.19999999999999</v>
      </c>
      <c r="O1189" s="116">
        <v>148.15</v>
      </c>
      <c r="P1189" s="116">
        <v>149.80000000000001</v>
      </c>
      <c r="Q1189" s="116">
        <v>152.30000000000001</v>
      </c>
      <c r="R1189">
        <v>926734</v>
      </c>
    </row>
    <row r="1190" spans="1:18" x14ac:dyDescent="0.25">
      <c r="A1190" s="170">
        <v>43761</v>
      </c>
      <c r="B1190" s="116">
        <v>150.26638110673801</v>
      </c>
      <c r="C1190" s="116">
        <v>145.95228177818899</v>
      </c>
      <c r="D1190" s="116">
        <v>145.419078490391</v>
      </c>
      <c r="E1190" s="116">
        <v>146.873269275295</v>
      </c>
      <c r="F1190" s="116">
        <v>150.55000000000001</v>
      </c>
      <c r="G1190">
        <v>70871</v>
      </c>
      <c r="H1190" s="116"/>
      <c r="I1190" s="116"/>
      <c r="L1190" s="170">
        <v>43761</v>
      </c>
      <c r="M1190" s="116">
        <v>150.4</v>
      </c>
      <c r="N1190" s="116">
        <v>155</v>
      </c>
      <c r="O1190" s="116">
        <v>149.80000000000001</v>
      </c>
      <c r="P1190" s="116">
        <v>152.4</v>
      </c>
      <c r="Q1190" s="116">
        <v>150.4</v>
      </c>
      <c r="R1190">
        <v>990214</v>
      </c>
    </row>
    <row r="1191" spans="1:18" x14ac:dyDescent="0.25">
      <c r="A1191" s="170">
        <v>43762</v>
      </c>
      <c r="B1191" s="116">
        <v>147.35799953693001</v>
      </c>
      <c r="C1191" s="116">
        <v>146.679377170641</v>
      </c>
      <c r="D1191" s="116">
        <v>145.225186385737</v>
      </c>
      <c r="E1191" s="116">
        <v>146.38853901366099</v>
      </c>
      <c r="F1191" s="116">
        <v>151.30000000000001</v>
      </c>
      <c r="G1191">
        <v>19922</v>
      </c>
      <c r="H1191" s="116"/>
      <c r="I1191" s="116"/>
      <c r="L1191" s="170">
        <v>43762</v>
      </c>
      <c r="M1191" s="116">
        <v>151.35</v>
      </c>
      <c r="N1191" s="116">
        <v>152.15</v>
      </c>
      <c r="O1191" s="116">
        <v>149.4</v>
      </c>
      <c r="P1191" s="116">
        <v>151</v>
      </c>
      <c r="Q1191" s="116">
        <v>151.35</v>
      </c>
      <c r="R1191">
        <v>840309</v>
      </c>
    </row>
    <row r="1192" spans="1:18" x14ac:dyDescent="0.25">
      <c r="A1192" s="170">
        <v>43763</v>
      </c>
      <c r="B1192" s="116">
        <v>149.10302847881499</v>
      </c>
      <c r="C1192" s="116">
        <v>146.34006598749701</v>
      </c>
      <c r="D1192" s="116">
        <v>142.510696920583</v>
      </c>
      <c r="E1192" s="116">
        <v>149.10302847881499</v>
      </c>
      <c r="F1192" s="116">
        <v>150.94999999999999</v>
      </c>
      <c r="G1192">
        <v>14864</v>
      </c>
      <c r="H1192" s="116"/>
      <c r="I1192" s="116"/>
      <c r="L1192" s="170">
        <v>43763</v>
      </c>
      <c r="M1192" s="116">
        <v>150.85</v>
      </c>
      <c r="N1192" s="116">
        <v>152.25</v>
      </c>
      <c r="O1192" s="116">
        <v>149.5</v>
      </c>
      <c r="P1192" s="116">
        <v>152.15</v>
      </c>
      <c r="Q1192" s="116">
        <v>150.85</v>
      </c>
      <c r="R1192">
        <v>776488</v>
      </c>
    </row>
    <row r="1193" spans="1:18" x14ac:dyDescent="0.25">
      <c r="A1193" s="170">
        <v>43765</v>
      </c>
      <c r="B1193" s="116">
        <v>149.151501504978</v>
      </c>
      <c r="C1193" s="116">
        <v>147.50341861542</v>
      </c>
      <c r="D1193" s="116">
        <v>146.72785019680501</v>
      </c>
      <c r="E1193" s="116">
        <v>148.327460060199</v>
      </c>
      <c r="F1193" s="116">
        <v>152.15</v>
      </c>
      <c r="G1193">
        <v>24682</v>
      </c>
      <c r="H1193" s="116"/>
      <c r="I1193" s="116"/>
      <c r="L1193" s="170">
        <v>43765</v>
      </c>
      <c r="M1193" s="116">
        <v>152.15</v>
      </c>
      <c r="N1193" s="116">
        <v>153.80000000000001</v>
      </c>
      <c r="O1193" s="116">
        <v>151</v>
      </c>
      <c r="P1193" s="116">
        <v>153.30000000000001</v>
      </c>
      <c r="Q1193" s="116">
        <v>152.15</v>
      </c>
      <c r="R1193">
        <v>139980</v>
      </c>
    </row>
    <row r="1194" spans="1:18" x14ac:dyDescent="0.25">
      <c r="A1194" s="170">
        <v>43767</v>
      </c>
      <c r="B1194" s="116">
        <v>149.781650845103</v>
      </c>
      <c r="C1194" s="116">
        <v>146.58243111831399</v>
      </c>
      <c r="D1194" s="116">
        <v>146.00075480435299</v>
      </c>
      <c r="E1194" s="116">
        <v>148.27898703403599</v>
      </c>
      <c r="F1194" s="116">
        <v>151.19999999999999</v>
      </c>
      <c r="G1194">
        <v>37721</v>
      </c>
      <c r="H1194" s="116"/>
      <c r="I1194" s="116"/>
      <c r="L1194" s="170">
        <v>43767</v>
      </c>
      <c r="M1194" s="116">
        <v>151.25</v>
      </c>
      <c r="N1194" s="116">
        <v>154.69999999999999</v>
      </c>
      <c r="O1194" s="116">
        <v>150.75</v>
      </c>
      <c r="P1194" s="116">
        <v>152.75</v>
      </c>
      <c r="Q1194" s="116">
        <v>151.25</v>
      </c>
      <c r="R1194">
        <v>920934</v>
      </c>
    </row>
    <row r="1195" spans="1:18" x14ac:dyDescent="0.25">
      <c r="A1195" s="170">
        <v>43768</v>
      </c>
      <c r="B1195" s="116">
        <v>151.623625839315</v>
      </c>
      <c r="C1195" s="116">
        <v>145.51602454271799</v>
      </c>
      <c r="D1195" s="116">
        <v>144.93434822875699</v>
      </c>
      <c r="E1195" s="116">
        <v>147.84272979856399</v>
      </c>
      <c r="F1195" s="116">
        <v>150.1</v>
      </c>
      <c r="G1195">
        <v>154737</v>
      </c>
      <c r="H1195" s="116"/>
      <c r="I1195" s="116"/>
      <c r="L1195" s="170">
        <v>43768</v>
      </c>
      <c r="M1195" s="116">
        <v>150</v>
      </c>
      <c r="N1195" s="116">
        <v>153.5</v>
      </c>
      <c r="O1195" s="116">
        <v>149.30000000000001</v>
      </c>
      <c r="P1195" s="116">
        <v>152.4</v>
      </c>
      <c r="Q1195" s="116">
        <v>150</v>
      </c>
      <c r="R1195">
        <v>1167865</v>
      </c>
    </row>
    <row r="1196" spans="1:18" x14ac:dyDescent="0.25">
      <c r="A1196" s="170">
        <v>43769</v>
      </c>
      <c r="B1196" s="116">
        <v>148.327460060199</v>
      </c>
      <c r="C1196" s="116">
        <v>147.55189164158401</v>
      </c>
      <c r="D1196" s="116">
        <v>144.83740217643</v>
      </c>
      <c r="E1196" s="116">
        <v>146.38853901366099</v>
      </c>
      <c r="F1196" s="116">
        <v>152.19999999999999</v>
      </c>
      <c r="G1196">
        <v>34853</v>
      </c>
      <c r="H1196" s="116"/>
      <c r="I1196" s="116"/>
      <c r="L1196" s="170">
        <v>43769</v>
      </c>
      <c r="M1196" s="116">
        <v>152</v>
      </c>
      <c r="N1196" s="116">
        <v>153.44999999999999</v>
      </c>
      <c r="O1196" s="116">
        <v>149.25</v>
      </c>
      <c r="P1196" s="116">
        <v>150.9</v>
      </c>
      <c r="Q1196" s="116">
        <v>152</v>
      </c>
      <c r="R1196">
        <v>809168</v>
      </c>
    </row>
    <row r="1197" spans="1:18" x14ac:dyDescent="0.25">
      <c r="A1197" s="170">
        <v>43770</v>
      </c>
      <c r="B1197" s="116">
        <v>149.29692058346799</v>
      </c>
      <c r="C1197" s="116">
        <v>146.48548506598701</v>
      </c>
      <c r="D1197" s="116">
        <v>146.291592961334</v>
      </c>
      <c r="E1197" s="116">
        <v>148.085094929382</v>
      </c>
      <c r="F1197" s="116">
        <v>151.1</v>
      </c>
      <c r="G1197">
        <v>20663</v>
      </c>
      <c r="H1197" s="116"/>
      <c r="I1197" s="116"/>
      <c r="L1197" s="170">
        <v>43770</v>
      </c>
      <c r="M1197" s="116">
        <v>151.1</v>
      </c>
      <c r="N1197" s="116">
        <v>154.35</v>
      </c>
      <c r="O1197" s="116">
        <v>150.5</v>
      </c>
      <c r="P1197" s="116">
        <v>152.85</v>
      </c>
      <c r="Q1197" s="116">
        <v>151.1</v>
      </c>
      <c r="R1197">
        <v>1124427</v>
      </c>
    </row>
    <row r="1198" spans="1:18" x14ac:dyDescent="0.25">
      <c r="A1198" s="170">
        <v>43773</v>
      </c>
      <c r="B1198" s="116">
        <v>148.81219032183401</v>
      </c>
      <c r="C1198" s="116">
        <v>147.745783746238</v>
      </c>
      <c r="D1198" s="116">
        <v>146.38853901366099</v>
      </c>
      <c r="E1198" s="116">
        <v>146.48548506598701</v>
      </c>
      <c r="F1198" s="116">
        <v>152.4</v>
      </c>
      <c r="G1198">
        <v>35110</v>
      </c>
      <c r="H1198" s="116"/>
      <c r="I1198" s="116"/>
      <c r="L1198" s="170">
        <v>43773</v>
      </c>
      <c r="M1198" s="116">
        <v>152.55000000000001</v>
      </c>
      <c r="N1198" s="116">
        <v>153.65</v>
      </c>
      <c r="O1198" s="116">
        <v>150.80000000000001</v>
      </c>
      <c r="P1198" s="116">
        <v>150.80000000000001</v>
      </c>
      <c r="Q1198" s="116">
        <v>152.55000000000001</v>
      </c>
      <c r="R1198">
        <v>1514268</v>
      </c>
    </row>
    <row r="1199" spans="1:18" x14ac:dyDescent="0.25">
      <c r="A1199" s="170">
        <v>43774</v>
      </c>
      <c r="B1199" s="116">
        <v>152.835451493401</v>
      </c>
      <c r="C1199" s="116">
        <v>146.48548506598701</v>
      </c>
      <c r="D1199" s="116">
        <v>145.51602454271799</v>
      </c>
      <c r="E1199" s="116">
        <v>149.39386663579501</v>
      </c>
      <c r="F1199" s="116">
        <v>151.1</v>
      </c>
      <c r="G1199">
        <v>137908</v>
      </c>
      <c r="H1199" s="116"/>
      <c r="I1199" s="116"/>
      <c r="L1199" s="170">
        <v>43774</v>
      </c>
      <c r="M1199" s="116">
        <v>151.5</v>
      </c>
      <c r="N1199" s="116">
        <v>158</v>
      </c>
      <c r="O1199" s="116">
        <v>150.6</v>
      </c>
      <c r="P1199" s="116">
        <v>155</v>
      </c>
      <c r="Q1199" s="116">
        <v>151.5</v>
      </c>
      <c r="R1199">
        <v>1516772</v>
      </c>
    </row>
    <row r="1200" spans="1:18" x14ac:dyDescent="0.25">
      <c r="A1200" s="170">
        <v>43775</v>
      </c>
      <c r="B1200" s="116">
        <v>147.35799953693001</v>
      </c>
      <c r="C1200" s="116">
        <v>146.48548506598701</v>
      </c>
      <c r="D1200" s="116">
        <v>145.12824033341099</v>
      </c>
      <c r="E1200" s="116">
        <v>146.873269275295</v>
      </c>
      <c r="F1200" s="116">
        <v>151.1</v>
      </c>
      <c r="G1200">
        <v>15066</v>
      </c>
      <c r="H1200" s="116"/>
      <c r="I1200" s="116"/>
      <c r="L1200" s="170">
        <v>43775</v>
      </c>
      <c r="M1200" s="116">
        <v>151.30000000000001</v>
      </c>
      <c r="N1200" s="116">
        <v>152.15</v>
      </c>
      <c r="O1200" s="116">
        <v>149.5</v>
      </c>
      <c r="P1200" s="116">
        <v>151.35</v>
      </c>
      <c r="Q1200" s="116">
        <v>151.30000000000001</v>
      </c>
      <c r="R1200">
        <v>615467</v>
      </c>
    </row>
    <row r="1201" spans="1:18" x14ac:dyDescent="0.25">
      <c r="A1201" s="170">
        <v>43776</v>
      </c>
      <c r="B1201" s="116">
        <v>147.35799953693001</v>
      </c>
      <c r="C1201" s="116">
        <v>146.09770085668001</v>
      </c>
      <c r="D1201" s="116">
        <v>145.661443621209</v>
      </c>
      <c r="E1201" s="116">
        <v>146.34006598749701</v>
      </c>
      <c r="F1201" s="116">
        <v>150.69999999999999</v>
      </c>
      <c r="G1201">
        <v>20174</v>
      </c>
      <c r="H1201" s="116"/>
      <c r="I1201" s="116"/>
      <c r="L1201" s="170">
        <v>43776</v>
      </c>
      <c r="M1201" s="116">
        <v>150.85</v>
      </c>
      <c r="N1201" s="116">
        <v>152</v>
      </c>
      <c r="O1201" s="116">
        <v>150.25</v>
      </c>
      <c r="P1201" s="116">
        <v>151.9</v>
      </c>
      <c r="Q1201" s="116">
        <v>150.85</v>
      </c>
      <c r="R1201">
        <v>267324</v>
      </c>
    </row>
    <row r="1202" spans="1:18" x14ac:dyDescent="0.25">
      <c r="A1202" s="170">
        <v>43777</v>
      </c>
      <c r="B1202" s="116">
        <v>146.630904144478</v>
      </c>
      <c r="C1202" s="116">
        <v>144.64351007177601</v>
      </c>
      <c r="D1202" s="116">
        <v>144.401144940959</v>
      </c>
      <c r="E1202" s="116">
        <v>146.58243111831399</v>
      </c>
      <c r="F1202" s="116">
        <v>149.19999999999999</v>
      </c>
      <c r="G1202">
        <v>22092</v>
      </c>
      <c r="H1202" s="116"/>
      <c r="I1202" s="116"/>
      <c r="L1202" s="170">
        <v>43777</v>
      </c>
      <c r="M1202" s="116">
        <v>149.35</v>
      </c>
      <c r="N1202" s="116">
        <v>151.25</v>
      </c>
      <c r="O1202" s="116">
        <v>149</v>
      </c>
      <c r="P1202" s="116">
        <v>150.4</v>
      </c>
      <c r="Q1202" s="116">
        <v>149.35</v>
      </c>
      <c r="R1202">
        <v>265291</v>
      </c>
    </row>
    <row r="1203" spans="1:18" x14ac:dyDescent="0.25">
      <c r="A1203" s="170">
        <v>43780</v>
      </c>
      <c r="B1203" s="116">
        <v>145.90380875202601</v>
      </c>
      <c r="C1203" s="116">
        <v>142.02596665894899</v>
      </c>
      <c r="D1203" s="116">
        <v>140.37788376939099</v>
      </c>
      <c r="E1203" s="116">
        <v>145.419078490391</v>
      </c>
      <c r="F1203" s="116">
        <v>146.5</v>
      </c>
      <c r="G1203">
        <v>61887</v>
      </c>
      <c r="H1203" s="116"/>
      <c r="I1203" s="116"/>
      <c r="L1203" s="170">
        <v>43780</v>
      </c>
      <c r="M1203" s="116">
        <v>146.55000000000001</v>
      </c>
      <c r="N1203" s="116">
        <v>150.5</v>
      </c>
      <c r="O1203" s="116">
        <v>144.6</v>
      </c>
      <c r="P1203" s="116">
        <v>149</v>
      </c>
      <c r="Q1203" s="116">
        <v>146.55000000000001</v>
      </c>
      <c r="R1203">
        <v>703499</v>
      </c>
    </row>
    <row r="1204" spans="1:18" x14ac:dyDescent="0.25">
      <c r="A1204" s="170">
        <v>43782</v>
      </c>
      <c r="B1204" s="116">
        <v>153.17476267654601</v>
      </c>
      <c r="C1204" s="116">
        <v>151.09042255151701</v>
      </c>
      <c r="D1204" s="116">
        <v>144.44961796712201</v>
      </c>
      <c r="E1204" s="116">
        <v>147.261053484603</v>
      </c>
      <c r="F1204" s="116">
        <v>155.85</v>
      </c>
      <c r="G1204">
        <v>234549</v>
      </c>
      <c r="H1204" s="116"/>
      <c r="I1204" s="116"/>
      <c r="L1204" s="170">
        <v>43782</v>
      </c>
      <c r="M1204" s="116">
        <v>155.9</v>
      </c>
      <c r="N1204" s="116">
        <v>157.9</v>
      </c>
      <c r="O1204" s="116">
        <v>148.5</v>
      </c>
      <c r="P1204" s="116">
        <v>151</v>
      </c>
      <c r="Q1204" s="116">
        <v>155.9</v>
      </c>
      <c r="R1204">
        <v>4819293</v>
      </c>
    </row>
    <row r="1205" spans="1:18" x14ac:dyDescent="0.25">
      <c r="A1205" s="170">
        <v>43783</v>
      </c>
      <c r="B1205" s="116">
        <v>152.883924519565</v>
      </c>
      <c r="C1205" s="116">
        <v>150.26638110673801</v>
      </c>
      <c r="D1205" s="116">
        <v>146.58243111831399</v>
      </c>
      <c r="E1205" s="116">
        <v>151.235841630007</v>
      </c>
      <c r="F1205" s="116">
        <v>155</v>
      </c>
      <c r="G1205">
        <v>60783</v>
      </c>
      <c r="H1205" s="116"/>
      <c r="I1205" s="116"/>
      <c r="L1205" s="170">
        <v>43783</v>
      </c>
      <c r="M1205" s="116">
        <v>155.25</v>
      </c>
      <c r="N1205" s="116">
        <v>157.80000000000001</v>
      </c>
      <c r="O1205" s="116">
        <v>150.44999999999999</v>
      </c>
      <c r="P1205" s="116">
        <v>156.80000000000001</v>
      </c>
      <c r="Q1205" s="116">
        <v>155.25</v>
      </c>
      <c r="R1205">
        <v>1764991</v>
      </c>
    </row>
    <row r="1206" spans="1:18" x14ac:dyDescent="0.25">
      <c r="A1206" s="170">
        <v>43784</v>
      </c>
      <c r="B1206" s="116">
        <v>152.93239754572801</v>
      </c>
      <c r="C1206" s="116">
        <v>149.975542949757</v>
      </c>
      <c r="D1206" s="116">
        <v>147.697310720074</v>
      </c>
      <c r="E1206" s="116">
        <v>151.235841630007</v>
      </c>
      <c r="F1206" s="116">
        <v>154.69999999999999</v>
      </c>
      <c r="G1206">
        <v>38768</v>
      </c>
      <c r="H1206" s="116"/>
      <c r="I1206" s="116"/>
      <c r="L1206" s="170">
        <v>43784</v>
      </c>
      <c r="M1206" s="116">
        <v>154.65</v>
      </c>
      <c r="N1206" s="116">
        <v>157.9</v>
      </c>
      <c r="O1206" s="116">
        <v>152.19999999999999</v>
      </c>
      <c r="P1206" s="116">
        <v>155</v>
      </c>
      <c r="Q1206" s="116">
        <v>154.65</v>
      </c>
      <c r="R1206">
        <v>839257</v>
      </c>
    </row>
    <row r="1207" spans="1:18" x14ac:dyDescent="0.25">
      <c r="A1207" s="170">
        <v>43787</v>
      </c>
      <c r="B1207" s="116">
        <v>150.84805742069901</v>
      </c>
      <c r="C1207" s="116">
        <v>149.151501504978</v>
      </c>
      <c r="D1207" s="116">
        <v>147.93967585089101</v>
      </c>
      <c r="E1207" s="116">
        <v>150.84805742069901</v>
      </c>
      <c r="F1207" s="116">
        <v>153.85</v>
      </c>
      <c r="G1207">
        <v>27622</v>
      </c>
      <c r="H1207" s="116"/>
      <c r="I1207" s="116"/>
      <c r="L1207" s="170">
        <v>43787</v>
      </c>
      <c r="M1207" s="116">
        <v>154.35</v>
      </c>
      <c r="N1207" s="116">
        <v>155.4</v>
      </c>
      <c r="O1207" s="116">
        <v>152.5</v>
      </c>
      <c r="P1207" s="116">
        <v>154.6</v>
      </c>
      <c r="Q1207" s="116">
        <v>154.35</v>
      </c>
      <c r="R1207">
        <v>326937</v>
      </c>
    </row>
    <row r="1208" spans="1:18" x14ac:dyDescent="0.25">
      <c r="A1208" s="170">
        <v>43788</v>
      </c>
      <c r="B1208" s="116">
        <v>150.21790808057401</v>
      </c>
      <c r="C1208" s="116">
        <v>148.42440611252599</v>
      </c>
      <c r="D1208" s="116">
        <v>146.14617388284299</v>
      </c>
      <c r="E1208" s="116">
        <v>150.169435054411</v>
      </c>
      <c r="F1208" s="116">
        <v>153.1</v>
      </c>
      <c r="G1208">
        <v>61589</v>
      </c>
      <c r="H1208" s="116"/>
      <c r="I1208" s="116"/>
      <c r="L1208" s="170">
        <v>43788</v>
      </c>
      <c r="M1208" s="116">
        <v>153.30000000000001</v>
      </c>
      <c r="N1208" s="116">
        <v>155.1</v>
      </c>
      <c r="O1208" s="116">
        <v>150.69999999999999</v>
      </c>
      <c r="P1208" s="116">
        <v>155</v>
      </c>
      <c r="Q1208" s="116">
        <v>153.30000000000001</v>
      </c>
      <c r="R1208">
        <v>1377273</v>
      </c>
    </row>
    <row r="1209" spans="1:18" x14ac:dyDescent="0.25">
      <c r="A1209" s="170">
        <v>43789</v>
      </c>
      <c r="B1209" s="116">
        <v>148.81219032183401</v>
      </c>
      <c r="C1209" s="116">
        <v>147.55189164158401</v>
      </c>
      <c r="D1209" s="116">
        <v>147.16410743227601</v>
      </c>
      <c r="E1209" s="116">
        <v>148.327460060199</v>
      </c>
      <c r="F1209" s="116">
        <v>152.19999999999999</v>
      </c>
      <c r="G1209">
        <v>15558</v>
      </c>
      <c r="H1209" s="116"/>
      <c r="I1209" s="116"/>
      <c r="L1209" s="170">
        <v>43789</v>
      </c>
      <c r="M1209" s="116">
        <v>152.19999999999999</v>
      </c>
      <c r="N1209" s="116">
        <v>153.9</v>
      </c>
      <c r="O1209" s="116">
        <v>151.85</v>
      </c>
      <c r="P1209" s="116">
        <v>153.9</v>
      </c>
      <c r="Q1209" s="116">
        <v>152.19999999999999</v>
      </c>
      <c r="R1209">
        <v>787051</v>
      </c>
    </row>
    <row r="1210" spans="1:18" x14ac:dyDescent="0.25">
      <c r="A1210" s="170">
        <v>43790</v>
      </c>
      <c r="B1210" s="116">
        <v>149.19997453114101</v>
      </c>
      <c r="C1210" s="116">
        <v>146.873269275295</v>
      </c>
      <c r="D1210" s="116">
        <v>146.34006598749701</v>
      </c>
      <c r="E1210" s="116">
        <v>147.35799953693001</v>
      </c>
      <c r="F1210" s="116">
        <v>151.5</v>
      </c>
      <c r="G1210">
        <v>25295</v>
      </c>
      <c r="H1210" s="116"/>
      <c r="I1210" s="116"/>
      <c r="L1210" s="170">
        <v>43790</v>
      </c>
      <c r="M1210" s="116">
        <v>151.80000000000001</v>
      </c>
      <c r="N1210" s="116">
        <v>153.94999999999999</v>
      </c>
      <c r="O1210" s="116">
        <v>150.9</v>
      </c>
      <c r="P1210" s="116">
        <v>151.19999999999999</v>
      </c>
      <c r="Q1210" s="116">
        <v>151.80000000000001</v>
      </c>
      <c r="R1210">
        <v>574226</v>
      </c>
    </row>
    <row r="1211" spans="1:18" x14ac:dyDescent="0.25">
      <c r="A1211" s="170">
        <v>43791</v>
      </c>
      <c r="B1211" s="116">
        <v>149.29692058346799</v>
      </c>
      <c r="C1211" s="116">
        <v>145.07976730724701</v>
      </c>
      <c r="D1211" s="116">
        <v>144.595037045612</v>
      </c>
      <c r="E1211" s="116">
        <v>149.29692058346799</v>
      </c>
      <c r="F1211" s="116">
        <v>149.65</v>
      </c>
      <c r="G1211">
        <v>16465</v>
      </c>
      <c r="H1211" s="116"/>
      <c r="I1211" s="116"/>
      <c r="L1211" s="170">
        <v>43791</v>
      </c>
      <c r="M1211" s="116">
        <v>149.6</v>
      </c>
      <c r="N1211" s="116">
        <v>152.35</v>
      </c>
      <c r="O1211" s="116">
        <v>149</v>
      </c>
      <c r="P1211" s="116">
        <v>152.35</v>
      </c>
      <c r="Q1211" s="116">
        <v>149.6</v>
      </c>
      <c r="R1211">
        <v>488918</v>
      </c>
    </row>
    <row r="1212" spans="1:18" x14ac:dyDescent="0.25">
      <c r="A1212" s="170">
        <v>43794</v>
      </c>
      <c r="B1212" s="116">
        <v>148.18204098170901</v>
      </c>
      <c r="C1212" s="116">
        <v>146.72785019680501</v>
      </c>
      <c r="D1212" s="116">
        <v>144.93434822875699</v>
      </c>
      <c r="E1212" s="116">
        <v>144.93434822875699</v>
      </c>
      <c r="F1212" s="116">
        <v>151.35</v>
      </c>
      <c r="G1212">
        <v>25221</v>
      </c>
      <c r="H1212" s="116"/>
      <c r="I1212" s="116"/>
      <c r="L1212" s="170">
        <v>43794</v>
      </c>
      <c r="M1212" s="116">
        <v>151.80000000000001</v>
      </c>
      <c r="N1212" s="116">
        <v>152.80000000000001</v>
      </c>
      <c r="O1212" s="116">
        <v>149.1</v>
      </c>
      <c r="P1212" s="116">
        <v>150</v>
      </c>
      <c r="Q1212" s="116">
        <v>151.80000000000001</v>
      </c>
      <c r="R1212">
        <v>1575980</v>
      </c>
    </row>
    <row r="1213" spans="1:18" x14ac:dyDescent="0.25">
      <c r="A1213" s="170">
        <v>43795</v>
      </c>
      <c r="B1213" s="116">
        <v>148.327460060199</v>
      </c>
      <c r="C1213" s="116">
        <v>143.72252257466999</v>
      </c>
      <c r="D1213" s="116">
        <v>142.21985876360301</v>
      </c>
      <c r="E1213" s="116">
        <v>148.327460060199</v>
      </c>
      <c r="F1213" s="116">
        <v>148.25</v>
      </c>
      <c r="G1213">
        <v>38894</v>
      </c>
      <c r="H1213" s="116"/>
      <c r="I1213" s="116"/>
      <c r="L1213" s="170">
        <v>43795</v>
      </c>
      <c r="M1213" s="116">
        <v>148.1</v>
      </c>
      <c r="N1213" s="116">
        <v>153</v>
      </c>
      <c r="O1213" s="116">
        <v>146.5</v>
      </c>
      <c r="P1213" s="116">
        <v>152.80000000000001</v>
      </c>
      <c r="Q1213" s="116">
        <v>148.1</v>
      </c>
      <c r="R1213">
        <v>1117541</v>
      </c>
    </row>
    <row r="1214" spans="1:18" x14ac:dyDescent="0.25">
      <c r="A1214" s="170">
        <v>43796</v>
      </c>
      <c r="B1214" s="116">
        <v>146.92174230145901</v>
      </c>
      <c r="C1214" s="116">
        <v>144.69198309793899</v>
      </c>
      <c r="D1214" s="116">
        <v>143.09237323454499</v>
      </c>
      <c r="E1214" s="116">
        <v>144.401144940959</v>
      </c>
      <c r="F1214" s="116">
        <v>149.25</v>
      </c>
      <c r="G1214">
        <v>41291</v>
      </c>
      <c r="H1214" s="116"/>
      <c r="I1214" s="116"/>
      <c r="L1214" s="170">
        <v>43796</v>
      </c>
      <c r="M1214" s="116">
        <v>149.65</v>
      </c>
      <c r="N1214" s="116">
        <v>151.9</v>
      </c>
      <c r="O1214" s="116">
        <v>147.5</v>
      </c>
      <c r="P1214" s="116">
        <v>148.80000000000001</v>
      </c>
      <c r="Q1214" s="116">
        <v>149.65</v>
      </c>
      <c r="R1214">
        <v>1014628</v>
      </c>
    </row>
    <row r="1215" spans="1:18" x14ac:dyDescent="0.25">
      <c r="A1215" s="170">
        <v>43797</v>
      </c>
      <c r="B1215" s="116">
        <v>146.291592961334</v>
      </c>
      <c r="C1215" s="116">
        <v>144.01336073165101</v>
      </c>
      <c r="D1215" s="116">
        <v>143.67404954850701</v>
      </c>
      <c r="E1215" s="116">
        <v>145.419078490391</v>
      </c>
      <c r="F1215" s="116">
        <v>148.55000000000001</v>
      </c>
      <c r="G1215">
        <v>29699</v>
      </c>
      <c r="H1215" s="116"/>
      <c r="I1215" s="116"/>
      <c r="L1215" s="170">
        <v>43797</v>
      </c>
      <c r="M1215" s="116">
        <v>148.75</v>
      </c>
      <c r="N1215" s="116">
        <v>151.30000000000001</v>
      </c>
      <c r="O1215" s="116">
        <v>148.15</v>
      </c>
      <c r="P1215" s="116">
        <v>150</v>
      </c>
      <c r="Q1215" s="116">
        <v>148.75</v>
      </c>
      <c r="R1215">
        <v>535571</v>
      </c>
    </row>
    <row r="1216" spans="1:18" x14ac:dyDescent="0.25">
      <c r="A1216" s="170">
        <v>43798</v>
      </c>
      <c r="B1216" s="116">
        <v>146.97021532762199</v>
      </c>
      <c r="C1216" s="116">
        <v>145.031294281084</v>
      </c>
      <c r="D1216" s="116">
        <v>143.48015744385299</v>
      </c>
      <c r="E1216" s="116">
        <v>144.25572586246801</v>
      </c>
      <c r="F1216" s="116">
        <v>149.6</v>
      </c>
      <c r="G1216">
        <v>52911</v>
      </c>
      <c r="H1216" s="116"/>
      <c r="I1216" s="116"/>
      <c r="L1216" s="170">
        <v>43798</v>
      </c>
      <c r="M1216" s="116">
        <v>149.4</v>
      </c>
      <c r="N1216" s="116">
        <v>151.75</v>
      </c>
      <c r="O1216" s="116">
        <v>147.4</v>
      </c>
      <c r="P1216" s="116">
        <v>148.94999999999999</v>
      </c>
      <c r="Q1216" s="116">
        <v>149.4</v>
      </c>
      <c r="R1216">
        <v>989659</v>
      </c>
    </row>
    <row r="1217" spans="1:18" x14ac:dyDescent="0.25">
      <c r="A1217" s="170">
        <v>43801</v>
      </c>
      <c r="B1217" s="116">
        <v>145.12824033341099</v>
      </c>
      <c r="C1217" s="116">
        <v>144.158779810141</v>
      </c>
      <c r="D1217" s="116">
        <v>143.57710349618</v>
      </c>
      <c r="E1217" s="116">
        <v>145.12824033341099</v>
      </c>
      <c r="F1217" s="116">
        <v>148.69999999999999</v>
      </c>
      <c r="G1217">
        <v>17349</v>
      </c>
      <c r="H1217" s="116"/>
      <c r="I1217" s="116"/>
      <c r="L1217" s="170">
        <v>43801</v>
      </c>
      <c r="M1217" s="116">
        <v>148.80000000000001</v>
      </c>
      <c r="N1217" s="116">
        <v>149.80000000000001</v>
      </c>
      <c r="O1217" s="116">
        <v>148</v>
      </c>
      <c r="P1217" s="116">
        <v>149</v>
      </c>
      <c r="Q1217" s="116">
        <v>148.80000000000001</v>
      </c>
      <c r="R1217">
        <v>598317</v>
      </c>
    </row>
    <row r="1218" spans="1:18" x14ac:dyDescent="0.25">
      <c r="A1218" s="170">
        <v>43802</v>
      </c>
      <c r="B1218" s="116">
        <v>145.612970595045</v>
      </c>
      <c r="C1218" s="116">
        <v>144.158779810141</v>
      </c>
      <c r="D1218" s="116">
        <v>143.86794165315999</v>
      </c>
      <c r="E1218" s="116">
        <v>144.64351007177601</v>
      </c>
      <c r="F1218" s="116">
        <v>148.69999999999999</v>
      </c>
      <c r="G1218">
        <v>11757</v>
      </c>
      <c r="H1218" s="116"/>
      <c r="I1218" s="116"/>
      <c r="L1218" s="170">
        <v>43802</v>
      </c>
      <c r="M1218" s="116">
        <v>148.65</v>
      </c>
      <c r="N1218" s="116">
        <v>150.19999999999999</v>
      </c>
      <c r="O1218" s="116">
        <v>148.19999999999999</v>
      </c>
      <c r="P1218" s="116">
        <v>148.80000000000001</v>
      </c>
      <c r="Q1218" s="116">
        <v>148.65</v>
      </c>
      <c r="R1218">
        <v>384561</v>
      </c>
    </row>
    <row r="1219" spans="1:18" x14ac:dyDescent="0.25">
      <c r="A1219" s="170">
        <v>43803</v>
      </c>
      <c r="B1219" s="116">
        <v>144.69198309793899</v>
      </c>
      <c r="C1219" s="116">
        <v>144.06183375781399</v>
      </c>
      <c r="D1219" s="116">
        <v>143.43168441768901</v>
      </c>
      <c r="E1219" s="116">
        <v>144.44961796712201</v>
      </c>
      <c r="F1219" s="116">
        <v>148.6</v>
      </c>
      <c r="G1219">
        <v>14038</v>
      </c>
      <c r="H1219" s="116"/>
      <c r="I1219" s="116"/>
      <c r="L1219" s="170">
        <v>43803</v>
      </c>
      <c r="M1219" s="116">
        <v>148.65</v>
      </c>
      <c r="N1219" s="116">
        <v>149.4</v>
      </c>
      <c r="O1219" s="116">
        <v>147.75</v>
      </c>
      <c r="P1219" s="116">
        <v>149</v>
      </c>
      <c r="Q1219" s="116">
        <v>148.65</v>
      </c>
      <c r="R1219">
        <v>886563</v>
      </c>
    </row>
    <row r="1220" spans="1:18" x14ac:dyDescent="0.25">
      <c r="A1220" s="170">
        <v>43804</v>
      </c>
      <c r="B1220" s="116">
        <v>145.51602454271799</v>
      </c>
      <c r="C1220" s="116">
        <v>143.57710349618</v>
      </c>
      <c r="D1220" s="116">
        <v>142.99542718221801</v>
      </c>
      <c r="E1220" s="116">
        <v>145.225186385737</v>
      </c>
      <c r="F1220" s="116">
        <v>148.1</v>
      </c>
      <c r="G1220">
        <v>33309</v>
      </c>
      <c r="H1220" s="116"/>
      <c r="I1220" s="116"/>
      <c r="L1220" s="170">
        <v>43804</v>
      </c>
      <c r="M1220" s="116">
        <v>148.15</v>
      </c>
      <c r="N1220" s="116">
        <v>151</v>
      </c>
      <c r="O1220" s="116">
        <v>147.19999999999999</v>
      </c>
      <c r="P1220" s="116">
        <v>150</v>
      </c>
      <c r="Q1220" s="116">
        <v>148.15</v>
      </c>
      <c r="R1220">
        <v>567820</v>
      </c>
    </row>
    <row r="1221" spans="1:18" x14ac:dyDescent="0.25">
      <c r="A1221" s="170">
        <v>43805</v>
      </c>
      <c r="B1221" s="116">
        <v>146.291592961334</v>
      </c>
      <c r="C1221" s="116">
        <v>143.72252257466999</v>
      </c>
      <c r="D1221" s="116">
        <v>141.73512850196801</v>
      </c>
      <c r="E1221" s="116">
        <v>146.291592961334</v>
      </c>
      <c r="F1221" s="116">
        <v>148.25</v>
      </c>
      <c r="G1221">
        <v>29790</v>
      </c>
      <c r="H1221" s="116"/>
      <c r="I1221" s="116"/>
      <c r="L1221" s="170">
        <v>43805</v>
      </c>
      <c r="M1221" s="116">
        <v>148.35</v>
      </c>
      <c r="N1221" s="116">
        <v>149.4</v>
      </c>
      <c r="O1221" s="116">
        <v>146.19999999999999</v>
      </c>
      <c r="P1221" s="116">
        <v>148.94999999999999</v>
      </c>
      <c r="Q1221" s="116">
        <v>148.35</v>
      </c>
      <c r="R1221">
        <v>778578</v>
      </c>
    </row>
    <row r="1222" spans="1:18" x14ac:dyDescent="0.25">
      <c r="A1222" s="170">
        <v>43808</v>
      </c>
      <c r="B1222" s="116">
        <v>146.679377170641</v>
      </c>
      <c r="C1222" s="116">
        <v>143.48015744385299</v>
      </c>
      <c r="D1222" s="116">
        <v>143.04390020838201</v>
      </c>
      <c r="E1222" s="116">
        <v>143.72252257466999</v>
      </c>
      <c r="F1222" s="116">
        <v>148</v>
      </c>
      <c r="G1222">
        <v>45219</v>
      </c>
      <c r="H1222" s="116"/>
      <c r="I1222" s="116"/>
      <c r="L1222" s="170">
        <v>43808</v>
      </c>
      <c r="M1222" s="116">
        <v>148.15</v>
      </c>
      <c r="N1222" s="116">
        <v>151.30000000000001</v>
      </c>
      <c r="O1222" s="116">
        <v>147.19999999999999</v>
      </c>
      <c r="P1222" s="116">
        <v>148.35</v>
      </c>
      <c r="Q1222" s="116">
        <v>148.15</v>
      </c>
      <c r="R1222">
        <v>541662</v>
      </c>
    </row>
    <row r="1223" spans="1:18" x14ac:dyDescent="0.25">
      <c r="A1223" s="170">
        <v>43809</v>
      </c>
      <c r="B1223" s="116">
        <v>144.207252836305</v>
      </c>
      <c r="C1223" s="116">
        <v>142.17138573743901</v>
      </c>
      <c r="D1223" s="116">
        <v>141.15345218800601</v>
      </c>
      <c r="E1223" s="116">
        <v>143.770995600834</v>
      </c>
      <c r="F1223" s="116">
        <v>146.65</v>
      </c>
      <c r="G1223">
        <v>21380</v>
      </c>
      <c r="H1223" s="116"/>
      <c r="I1223" s="116"/>
      <c r="L1223" s="170">
        <v>43809</v>
      </c>
      <c r="M1223" s="116">
        <v>146.65</v>
      </c>
      <c r="N1223" s="116">
        <v>148.9</v>
      </c>
      <c r="O1223" s="116">
        <v>145.5</v>
      </c>
      <c r="P1223" s="116">
        <v>148.05000000000001</v>
      </c>
      <c r="Q1223" s="116">
        <v>146.65</v>
      </c>
      <c r="R1223">
        <v>425078</v>
      </c>
    </row>
    <row r="1224" spans="1:18" x14ac:dyDescent="0.25">
      <c r="A1224" s="170">
        <v>43810</v>
      </c>
      <c r="B1224" s="116">
        <v>142.753062051401</v>
      </c>
      <c r="C1224" s="116">
        <v>141.444290344987</v>
      </c>
      <c r="D1224" s="116">
        <v>134.027917341977</v>
      </c>
      <c r="E1224" s="116">
        <v>142.02596665894899</v>
      </c>
      <c r="F1224" s="116">
        <v>145.9</v>
      </c>
      <c r="G1224">
        <v>135883</v>
      </c>
      <c r="H1224" s="116"/>
      <c r="I1224" s="116"/>
      <c r="L1224" s="170">
        <v>43810</v>
      </c>
      <c r="M1224" s="116">
        <v>146.44999999999999</v>
      </c>
      <c r="N1224" s="116">
        <v>147.69999999999999</v>
      </c>
      <c r="O1224" s="116">
        <v>138.30000000000001</v>
      </c>
      <c r="P1224" s="116">
        <v>147</v>
      </c>
      <c r="Q1224" s="116">
        <v>146.44999999999999</v>
      </c>
      <c r="R1224">
        <v>3305428</v>
      </c>
    </row>
    <row r="1225" spans="1:18" x14ac:dyDescent="0.25">
      <c r="A1225" s="170">
        <v>43811</v>
      </c>
      <c r="B1225" s="116">
        <v>142.510696920583</v>
      </c>
      <c r="C1225" s="116">
        <v>139.06911206297801</v>
      </c>
      <c r="D1225" s="116">
        <v>136.500041676314</v>
      </c>
      <c r="E1225" s="116">
        <v>141.78360152813201</v>
      </c>
      <c r="F1225" s="116">
        <v>143.44999999999999</v>
      </c>
      <c r="G1225">
        <v>36936</v>
      </c>
      <c r="H1225" s="116"/>
      <c r="I1225" s="116"/>
      <c r="L1225" s="170">
        <v>43811</v>
      </c>
      <c r="M1225" s="116">
        <v>143.5</v>
      </c>
      <c r="N1225" s="116">
        <v>147</v>
      </c>
      <c r="O1225" s="116">
        <v>140.80000000000001</v>
      </c>
      <c r="P1225" s="116">
        <v>146.1</v>
      </c>
      <c r="Q1225" s="116">
        <v>143.5</v>
      </c>
      <c r="R1225">
        <v>1101731</v>
      </c>
    </row>
    <row r="1226" spans="1:18" x14ac:dyDescent="0.25">
      <c r="A1226" s="170">
        <v>43812</v>
      </c>
      <c r="B1226" s="116">
        <v>143.28626533919899</v>
      </c>
      <c r="C1226" s="116">
        <v>142.17138573743901</v>
      </c>
      <c r="D1226" s="116">
        <v>139.602315350776</v>
      </c>
      <c r="E1226" s="116">
        <v>139.796207455429</v>
      </c>
      <c r="F1226" s="116">
        <v>146.65</v>
      </c>
      <c r="G1226">
        <v>36498</v>
      </c>
      <c r="H1226" s="116"/>
      <c r="I1226" s="116"/>
      <c r="L1226" s="170">
        <v>43812</v>
      </c>
      <c r="M1226" s="116">
        <v>146.65</v>
      </c>
      <c r="N1226" s="116">
        <v>147.9</v>
      </c>
      <c r="O1226" s="116">
        <v>143.30000000000001</v>
      </c>
      <c r="P1226" s="116">
        <v>144</v>
      </c>
      <c r="Q1226" s="116">
        <v>146.65</v>
      </c>
      <c r="R1226">
        <v>1426877</v>
      </c>
    </row>
    <row r="1227" spans="1:18" x14ac:dyDescent="0.25">
      <c r="A1227" s="170">
        <v>43815</v>
      </c>
      <c r="B1227" s="116">
        <v>144.93434822875699</v>
      </c>
      <c r="C1227" s="116">
        <v>141.58970942347801</v>
      </c>
      <c r="D1227" s="116">
        <v>139.844680481593</v>
      </c>
      <c r="E1227" s="116">
        <v>143.28626533919899</v>
      </c>
      <c r="F1227" s="116">
        <v>146.05000000000001</v>
      </c>
      <c r="G1227">
        <v>24933</v>
      </c>
      <c r="H1227" s="116"/>
      <c r="I1227" s="116"/>
      <c r="L1227" s="170">
        <v>43815</v>
      </c>
      <c r="M1227" s="116">
        <v>146.25</v>
      </c>
      <c r="N1227" s="116">
        <v>149.80000000000001</v>
      </c>
      <c r="O1227" s="116">
        <v>144.19999999999999</v>
      </c>
      <c r="P1227" s="116">
        <v>146.75</v>
      </c>
      <c r="Q1227" s="116">
        <v>146.25</v>
      </c>
      <c r="R1227">
        <v>540664</v>
      </c>
    </row>
    <row r="1228" spans="1:18" x14ac:dyDescent="0.25">
      <c r="A1228" s="170">
        <v>43816</v>
      </c>
      <c r="B1228" s="116">
        <v>145.419078490391</v>
      </c>
      <c r="C1228" s="116">
        <v>144.74045612410299</v>
      </c>
      <c r="D1228" s="116">
        <v>140.668721926372</v>
      </c>
      <c r="E1228" s="116">
        <v>141.58970942347801</v>
      </c>
      <c r="F1228" s="116">
        <v>149.30000000000001</v>
      </c>
      <c r="G1228">
        <v>46698</v>
      </c>
      <c r="H1228" s="116"/>
      <c r="I1228" s="116"/>
      <c r="L1228" s="170">
        <v>43816</v>
      </c>
      <c r="M1228" s="116">
        <v>149.5</v>
      </c>
      <c r="N1228" s="116">
        <v>150</v>
      </c>
      <c r="O1228" s="116">
        <v>145.4</v>
      </c>
      <c r="P1228" s="116">
        <v>147.30000000000001</v>
      </c>
      <c r="Q1228" s="116">
        <v>149.5</v>
      </c>
      <c r="R1228">
        <v>1208730</v>
      </c>
    </row>
    <row r="1229" spans="1:18" x14ac:dyDescent="0.25">
      <c r="A1229" s="170">
        <v>43817</v>
      </c>
      <c r="B1229" s="116">
        <v>144.30419888863199</v>
      </c>
      <c r="C1229" s="116">
        <v>140.57177587404499</v>
      </c>
      <c r="D1229" s="116">
        <v>140.13551863857401</v>
      </c>
      <c r="E1229" s="116">
        <v>143.72252257466999</v>
      </c>
      <c r="F1229" s="116">
        <v>145</v>
      </c>
      <c r="G1229">
        <v>147581</v>
      </c>
      <c r="H1229" s="116"/>
      <c r="I1229" s="116"/>
      <c r="L1229" s="170">
        <v>43817</v>
      </c>
      <c r="M1229" s="116">
        <v>145.19999999999999</v>
      </c>
      <c r="N1229" s="116">
        <v>150.15</v>
      </c>
      <c r="O1229" s="116">
        <v>144.30000000000001</v>
      </c>
      <c r="P1229" s="116">
        <v>150.15</v>
      </c>
      <c r="Q1229" s="116">
        <v>145.19999999999999</v>
      </c>
      <c r="R1229">
        <v>1666489</v>
      </c>
    </row>
    <row r="1230" spans="1:18" x14ac:dyDescent="0.25">
      <c r="A1230" s="170">
        <v>43818</v>
      </c>
      <c r="B1230" s="116">
        <v>141.54123639731401</v>
      </c>
      <c r="C1230" s="116">
        <v>137.71186733040099</v>
      </c>
      <c r="D1230" s="116">
        <v>136.98477193794901</v>
      </c>
      <c r="E1230" s="116">
        <v>141.54123639731401</v>
      </c>
      <c r="F1230" s="116">
        <v>142.05000000000001</v>
      </c>
      <c r="G1230">
        <v>37052</v>
      </c>
      <c r="H1230" s="116"/>
      <c r="I1230" s="116"/>
      <c r="L1230" s="170">
        <v>43818</v>
      </c>
      <c r="M1230" s="116">
        <v>142</v>
      </c>
      <c r="N1230" s="116">
        <v>145.85</v>
      </c>
      <c r="O1230" s="116">
        <v>141.19999999999999</v>
      </c>
      <c r="P1230" s="116">
        <v>143</v>
      </c>
      <c r="Q1230" s="116">
        <v>142</v>
      </c>
      <c r="R1230">
        <v>559636</v>
      </c>
    </row>
    <row r="1231" spans="1:18" x14ac:dyDescent="0.25">
      <c r="A1231" s="170">
        <v>43819</v>
      </c>
      <c r="B1231" s="116">
        <v>139.06911206297801</v>
      </c>
      <c r="C1231" s="116">
        <v>136.01531141467899</v>
      </c>
      <c r="D1231" s="116">
        <v>133.97944431581399</v>
      </c>
      <c r="E1231" s="116">
        <v>139.020639036814</v>
      </c>
      <c r="F1231" s="116">
        <v>140.30000000000001</v>
      </c>
      <c r="G1231">
        <v>53751</v>
      </c>
      <c r="H1231" s="116"/>
      <c r="I1231" s="116"/>
      <c r="L1231" s="170">
        <v>43819</v>
      </c>
      <c r="M1231" s="116">
        <v>141</v>
      </c>
      <c r="N1231" s="116">
        <v>143.5</v>
      </c>
      <c r="O1231" s="116">
        <v>138.15</v>
      </c>
      <c r="P1231" s="116">
        <v>142.15</v>
      </c>
      <c r="Q1231" s="116">
        <v>141</v>
      </c>
      <c r="R1231">
        <v>1620184</v>
      </c>
    </row>
    <row r="1232" spans="1:18" x14ac:dyDescent="0.25">
      <c r="A1232" s="170">
        <v>43822</v>
      </c>
      <c r="B1232" s="116">
        <v>140.57177587404499</v>
      </c>
      <c r="C1232" s="116">
        <v>139.74773442926599</v>
      </c>
      <c r="D1232" s="116">
        <v>134.94890483908301</v>
      </c>
      <c r="E1232" s="116">
        <v>136.06378444084299</v>
      </c>
      <c r="F1232" s="116">
        <v>144.15</v>
      </c>
      <c r="G1232">
        <v>58998</v>
      </c>
      <c r="H1232" s="116"/>
      <c r="I1232" s="116"/>
      <c r="L1232" s="170">
        <v>43822</v>
      </c>
      <c r="M1232" s="116">
        <v>143.65</v>
      </c>
      <c r="N1232" s="116">
        <v>144.80000000000001</v>
      </c>
      <c r="O1232" s="116">
        <v>139.30000000000001</v>
      </c>
      <c r="P1232" s="116">
        <v>140.30000000000001</v>
      </c>
      <c r="Q1232" s="116">
        <v>143.65</v>
      </c>
      <c r="R1232">
        <v>1056867</v>
      </c>
    </row>
    <row r="1233" spans="1:18" x14ac:dyDescent="0.25">
      <c r="A1233" s="170">
        <v>43823</v>
      </c>
      <c r="B1233" s="116">
        <v>141.39581731882399</v>
      </c>
      <c r="C1233" s="116">
        <v>140.52330284788101</v>
      </c>
      <c r="D1233" s="116">
        <v>138.148124565872</v>
      </c>
      <c r="E1233" s="116">
        <v>138.778273905997</v>
      </c>
      <c r="F1233" s="116">
        <v>144.94999999999999</v>
      </c>
      <c r="G1233">
        <v>40309</v>
      </c>
      <c r="H1233" s="116"/>
      <c r="I1233" s="116"/>
      <c r="L1233" s="170">
        <v>43823</v>
      </c>
      <c r="M1233" s="116">
        <v>145</v>
      </c>
      <c r="N1233" s="116">
        <v>145.69999999999999</v>
      </c>
      <c r="O1233" s="116">
        <v>142.55000000000001</v>
      </c>
      <c r="P1233" s="116">
        <v>144</v>
      </c>
      <c r="Q1233" s="116">
        <v>145</v>
      </c>
      <c r="R1233">
        <v>859359</v>
      </c>
    </row>
    <row r="1234" spans="1:18" x14ac:dyDescent="0.25">
      <c r="A1234" s="170">
        <v>43825</v>
      </c>
      <c r="B1234" s="116">
        <v>141.104979161843</v>
      </c>
      <c r="C1234" s="116">
        <v>139.11758508914099</v>
      </c>
      <c r="D1234" s="116">
        <v>136.54851470247701</v>
      </c>
      <c r="E1234" s="116">
        <v>140.42635679555499</v>
      </c>
      <c r="F1234" s="116">
        <v>143.5</v>
      </c>
      <c r="G1234">
        <v>31473</v>
      </c>
      <c r="H1234" s="116"/>
      <c r="I1234" s="116"/>
      <c r="L1234" s="170">
        <v>43825</v>
      </c>
      <c r="M1234" s="116">
        <v>143.6</v>
      </c>
      <c r="N1234" s="116">
        <v>145.75</v>
      </c>
      <c r="O1234" s="116">
        <v>140.69999999999999</v>
      </c>
      <c r="P1234" s="116">
        <v>144.6</v>
      </c>
      <c r="Q1234" s="116">
        <v>143.6</v>
      </c>
      <c r="R1234">
        <v>1163484</v>
      </c>
    </row>
    <row r="1235" spans="1:18" x14ac:dyDescent="0.25">
      <c r="A1235" s="170">
        <v>43826</v>
      </c>
      <c r="B1235" s="116">
        <v>145.12824033341099</v>
      </c>
      <c r="C1235" s="116">
        <v>144.25572586246801</v>
      </c>
      <c r="D1235" s="116">
        <v>139.11758508914099</v>
      </c>
      <c r="E1235" s="116">
        <v>139.35995021995799</v>
      </c>
      <c r="F1235" s="116">
        <v>148.80000000000001</v>
      </c>
      <c r="G1235">
        <v>80498</v>
      </c>
      <c r="H1235" s="116"/>
      <c r="I1235" s="116"/>
      <c r="L1235" s="170">
        <v>43826</v>
      </c>
      <c r="M1235" s="116">
        <v>148.69999999999999</v>
      </c>
      <c r="N1235" s="116">
        <v>149.75</v>
      </c>
      <c r="O1235" s="116">
        <v>143.1</v>
      </c>
      <c r="P1235" s="116">
        <v>144</v>
      </c>
      <c r="Q1235" s="116">
        <v>148.69999999999999</v>
      </c>
      <c r="R1235">
        <v>1854091</v>
      </c>
    </row>
    <row r="1236" spans="1:18" x14ac:dyDescent="0.25">
      <c r="A1236" s="170">
        <v>43829</v>
      </c>
      <c r="B1236" s="116">
        <v>145.70991664737201</v>
      </c>
      <c r="C1236" s="116">
        <v>139.45689627228501</v>
      </c>
      <c r="D1236" s="116">
        <v>137.85728640889101</v>
      </c>
      <c r="E1236" s="116">
        <v>144.25572586246801</v>
      </c>
      <c r="F1236" s="116">
        <v>143.85</v>
      </c>
      <c r="G1236">
        <v>35409</v>
      </c>
      <c r="H1236" s="116"/>
      <c r="I1236" s="116"/>
      <c r="L1236" s="170">
        <v>43829</v>
      </c>
      <c r="M1236" s="116">
        <v>143.65</v>
      </c>
      <c r="N1236" s="116">
        <v>150.5</v>
      </c>
      <c r="O1236" s="116">
        <v>142.1</v>
      </c>
      <c r="P1236" s="116">
        <v>147.94999999999999</v>
      </c>
      <c r="Q1236" s="116">
        <v>143.65</v>
      </c>
      <c r="R1236">
        <v>1726708</v>
      </c>
    </row>
    <row r="1237" spans="1:18" x14ac:dyDescent="0.25">
      <c r="A1237" s="170">
        <v>43830</v>
      </c>
      <c r="B1237" s="116">
        <v>141.250398240333</v>
      </c>
      <c r="C1237" s="116">
        <v>140.57177587404499</v>
      </c>
      <c r="D1237" s="116">
        <v>137.130191016439</v>
      </c>
      <c r="E1237" s="116">
        <v>138.63285482750601</v>
      </c>
      <c r="F1237" s="116">
        <v>145</v>
      </c>
      <c r="G1237">
        <v>70837</v>
      </c>
      <c r="H1237" s="116"/>
      <c r="I1237" s="116"/>
      <c r="L1237" s="170">
        <v>43830</v>
      </c>
      <c r="M1237" s="116">
        <v>145</v>
      </c>
      <c r="N1237" s="116">
        <v>145.6</v>
      </c>
      <c r="O1237" s="116">
        <v>141.30000000000001</v>
      </c>
      <c r="P1237" s="116">
        <v>142.80000000000001</v>
      </c>
      <c r="Q1237" s="116">
        <v>145</v>
      </c>
      <c r="R1237">
        <v>1230725</v>
      </c>
    </row>
    <row r="1238" spans="1:18" x14ac:dyDescent="0.25">
      <c r="A1238" s="170">
        <v>43831</v>
      </c>
      <c r="B1238" s="116">
        <v>140.57177587404499</v>
      </c>
      <c r="C1238" s="116">
        <v>139.69926140310301</v>
      </c>
      <c r="D1238" s="116">
        <v>139.35995021995799</v>
      </c>
      <c r="E1238" s="116">
        <v>139.844680481593</v>
      </c>
      <c r="F1238" s="116">
        <v>144.1</v>
      </c>
      <c r="G1238">
        <v>9175</v>
      </c>
      <c r="H1238" s="116"/>
      <c r="I1238" s="116"/>
      <c r="L1238" s="170">
        <v>43831</v>
      </c>
      <c r="M1238" s="116">
        <v>144.19999999999999</v>
      </c>
      <c r="N1238" s="116">
        <v>145.85</v>
      </c>
      <c r="O1238" s="116">
        <v>143.6</v>
      </c>
      <c r="P1238" s="116">
        <v>145</v>
      </c>
      <c r="Q1238" s="116">
        <v>144.19999999999999</v>
      </c>
      <c r="R1238">
        <v>160775</v>
      </c>
    </row>
    <row r="1239" spans="1:18" x14ac:dyDescent="0.25">
      <c r="A1239" s="170">
        <v>43832</v>
      </c>
      <c r="B1239" s="116">
        <v>145.95228177818899</v>
      </c>
      <c r="C1239" s="116">
        <v>142.02596665894899</v>
      </c>
      <c r="D1239" s="116">
        <v>139.55384232461199</v>
      </c>
      <c r="E1239" s="116">
        <v>139.55384232461199</v>
      </c>
      <c r="F1239" s="116">
        <v>146.5</v>
      </c>
      <c r="G1239">
        <v>46679</v>
      </c>
      <c r="H1239" s="116"/>
      <c r="I1239" s="116"/>
      <c r="L1239" s="170">
        <v>43832</v>
      </c>
      <c r="M1239" s="116">
        <v>147.6</v>
      </c>
      <c r="N1239" s="116">
        <v>151</v>
      </c>
      <c r="O1239" s="116">
        <v>143.55000000000001</v>
      </c>
      <c r="P1239" s="116">
        <v>144.6</v>
      </c>
      <c r="Q1239" s="116">
        <v>147.6</v>
      </c>
      <c r="R1239">
        <v>1657880</v>
      </c>
    </row>
    <row r="1240" spans="1:18" x14ac:dyDescent="0.25">
      <c r="A1240" s="170">
        <v>43833</v>
      </c>
      <c r="B1240" s="116">
        <v>142.80153507756401</v>
      </c>
      <c r="C1240" s="116">
        <v>141.444290344987</v>
      </c>
      <c r="D1240" s="116">
        <v>139.94162653391999</v>
      </c>
      <c r="E1240" s="116">
        <v>141.298871266497</v>
      </c>
      <c r="F1240" s="116">
        <v>145.9</v>
      </c>
      <c r="G1240">
        <v>21838</v>
      </c>
      <c r="H1240" s="116"/>
      <c r="I1240" s="116"/>
      <c r="L1240" s="170">
        <v>43833</v>
      </c>
      <c r="M1240" s="116">
        <v>145.9</v>
      </c>
      <c r="N1240" s="116">
        <v>147.30000000000001</v>
      </c>
      <c r="O1240" s="116">
        <v>144.1</v>
      </c>
      <c r="P1240" s="116">
        <v>145.5</v>
      </c>
      <c r="Q1240" s="116">
        <v>145.9</v>
      </c>
      <c r="R1240">
        <v>410983</v>
      </c>
    </row>
    <row r="1241" spans="1:18" x14ac:dyDescent="0.25">
      <c r="A1241" s="170">
        <v>43836</v>
      </c>
      <c r="B1241" s="116">
        <v>141.444290344987</v>
      </c>
      <c r="C1241" s="116">
        <v>136.54851470247701</v>
      </c>
      <c r="D1241" s="116">
        <v>136.112257467006</v>
      </c>
      <c r="E1241" s="116">
        <v>141.444290344987</v>
      </c>
      <c r="F1241" s="116">
        <v>140.85</v>
      </c>
      <c r="G1241">
        <v>21103</v>
      </c>
      <c r="H1241" s="116"/>
      <c r="I1241" s="116"/>
      <c r="L1241" s="170">
        <v>43836</v>
      </c>
      <c r="M1241" s="116">
        <v>141.05000000000001</v>
      </c>
      <c r="N1241" s="116">
        <v>145.80000000000001</v>
      </c>
      <c r="O1241" s="116">
        <v>140.35</v>
      </c>
      <c r="P1241" s="116">
        <v>145</v>
      </c>
      <c r="Q1241" s="116">
        <v>141.05000000000001</v>
      </c>
      <c r="R1241">
        <v>416160</v>
      </c>
    </row>
    <row r="1242" spans="1:18" x14ac:dyDescent="0.25">
      <c r="A1242" s="170">
        <v>43837</v>
      </c>
      <c r="B1242" s="116">
        <v>139.45689627228501</v>
      </c>
      <c r="C1242" s="116">
        <v>136.40309562398701</v>
      </c>
      <c r="D1242" s="116">
        <v>136.16073049317001</v>
      </c>
      <c r="E1242" s="116">
        <v>137.71186733040099</v>
      </c>
      <c r="F1242" s="116">
        <v>140.69999999999999</v>
      </c>
      <c r="G1242">
        <v>29580</v>
      </c>
      <c r="H1242" s="116"/>
      <c r="I1242" s="116"/>
      <c r="L1242" s="170">
        <v>43837</v>
      </c>
      <c r="M1242" s="116">
        <v>140.9</v>
      </c>
      <c r="N1242" s="116">
        <v>143.85</v>
      </c>
      <c r="O1242" s="116">
        <v>140.55000000000001</v>
      </c>
      <c r="P1242" s="116">
        <v>142.9</v>
      </c>
      <c r="Q1242" s="116">
        <v>140.9</v>
      </c>
      <c r="R1242">
        <v>1202154</v>
      </c>
    </row>
    <row r="1243" spans="1:18" x14ac:dyDescent="0.25">
      <c r="A1243" s="170">
        <v>43838</v>
      </c>
      <c r="B1243" s="116">
        <v>135.869892336189</v>
      </c>
      <c r="C1243" s="116">
        <v>134.99737786524699</v>
      </c>
      <c r="D1243" s="116">
        <v>133.25234892336201</v>
      </c>
      <c r="E1243" s="116">
        <v>135.724473257699</v>
      </c>
      <c r="F1243" s="116">
        <v>139.25</v>
      </c>
      <c r="G1243">
        <v>47615</v>
      </c>
      <c r="H1243" s="116"/>
      <c r="I1243" s="116"/>
      <c r="L1243" s="170">
        <v>43838</v>
      </c>
      <c r="M1243" s="116">
        <v>139.19999999999999</v>
      </c>
      <c r="N1243" s="116">
        <v>140.25</v>
      </c>
      <c r="O1243" s="116">
        <v>137.4</v>
      </c>
      <c r="P1243" s="116">
        <v>140</v>
      </c>
      <c r="Q1243" s="116">
        <v>139.19999999999999</v>
      </c>
      <c r="R1243">
        <v>1191802</v>
      </c>
    </row>
    <row r="1244" spans="1:18" x14ac:dyDescent="0.25">
      <c r="A1244" s="170">
        <v>43839</v>
      </c>
      <c r="B1244" s="116">
        <v>137.71186733040099</v>
      </c>
      <c r="C1244" s="116">
        <v>135.482108126881</v>
      </c>
      <c r="D1244" s="116">
        <v>134.56112062977499</v>
      </c>
      <c r="E1244" s="116">
        <v>137.17866404260201</v>
      </c>
      <c r="F1244" s="116">
        <v>139.75</v>
      </c>
      <c r="G1244">
        <v>36417</v>
      </c>
      <c r="H1244" s="116"/>
      <c r="I1244" s="116"/>
      <c r="L1244" s="170">
        <v>43839</v>
      </c>
      <c r="M1244" s="116">
        <v>139.69999999999999</v>
      </c>
      <c r="N1244" s="116">
        <v>142.25</v>
      </c>
      <c r="O1244" s="116">
        <v>138.80000000000001</v>
      </c>
      <c r="P1244" s="116">
        <v>140.4</v>
      </c>
      <c r="Q1244" s="116">
        <v>139.69999999999999</v>
      </c>
      <c r="R1244">
        <v>989555</v>
      </c>
    </row>
    <row r="1245" spans="1:18" x14ac:dyDescent="0.25">
      <c r="A1245" s="170">
        <v>43840</v>
      </c>
      <c r="B1245" s="116">
        <v>136.693933780968</v>
      </c>
      <c r="C1245" s="116">
        <v>133.97944431581399</v>
      </c>
      <c r="D1245" s="116">
        <v>132.331361426256</v>
      </c>
      <c r="E1245" s="116">
        <v>135.82141931002499</v>
      </c>
      <c r="F1245" s="116">
        <v>138.19999999999999</v>
      </c>
      <c r="G1245">
        <v>129585</v>
      </c>
      <c r="H1245" s="116"/>
      <c r="I1245" s="116"/>
      <c r="L1245" s="170">
        <v>43840</v>
      </c>
      <c r="M1245" s="116">
        <v>138.1</v>
      </c>
      <c r="N1245" s="116">
        <v>141.35</v>
      </c>
      <c r="O1245" s="116">
        <v>136.5</v>
      </c>
      <c r="P1245" s="116">
        <v>140.19999999999999</v>
      </c>
      <c r="Q1245" s="116">
        <v>138.1</v>
      </c>
      <c r="R1245">
        <v>946528</v>
      </c>
    </row>
    <row r="1246" spans="1:18" x14ac:dyDescent="0.25">
      <c r="A1246" s="170">
        <v>43843</v>
      </c>
      <c r="B1246" s="116">
        <v>135.43363510071799</v>
      </c>
      <c r="C1246" s="116">
        <v>133.73707918499699</v>
      </c>
      <c r="D1246" s="116">
        <v>133.30082194952499</v>
      </c>
      <c r="E1246" s="116">
        <v>134.75501273442899</v>
      </c>
      <c r="F1246" s="116">
        <v>137.94999999999999</v>
      </c>
      <c r="G1246">
        <v>29491</v>
      </c>
      <c r="H1246" s="116"/>
      <c r="I1246" s="116"/>
      <c r="L1246" s="170">
        <v>43843</v>
      </c>
      <c r="M1246" s="116">
        <v>138</v>
      </c>
      <c r="N1246" s="116">
        <v>139.85</v>
      </c>
      <c r="O1246" s="116">
        <v>137.5</v>
      </c>
      <c r="P1246" s="116">
        <v>139.85</v>
      </c>
      <c r="Q1246" s="116">
        <v>138</v>
      </c>
      <c r="R1246">
        <v>608348</v>
      </c>
    </row>
    <row r="1247" spans="1:18" x14ac:dyDescent="0.25">
      <c r="A1247" s="170">
        <v>43844</v>
      </c>
      <c r="B1247" s="116">
        <v>136.40309562398701</v>
      </c>
      <c r="C1247" s="116">
        <v>135.676000231535</v>
      </c>
      <c r="D1247" s="116">
        <v>132.62219958323701</v>
      </c>
      <c r="E1247" s="116">
        <v>134.270282472795</v>
      </c>
      <c r="F1247" s="116">
        <v>139.94999999999999</v>
      </c>
      <c r="G1247">
        <v>51632</v>
      </c>
      <c r="H1247" s="116"/>
      <c r="I1247" s="116"/>
      <c r="L1247" s="170">
        <v>43844</v>
      </c>
      <c r="M1247" s="116">
        <v>140</v>
      </c>
      <c r="N1247" s="116">
        <v>140.65</v>
      </c>
      <c r="O1247" s="116">
        <v>136.69999999999999</v>
      </c>
      <c r="P1247" s="116">
        <v>138.44999999999999</v>
      </c>
      <c r="Q1247" s="116">
        <v>140</v>
      </c>
      <c r="R1247">
        <v>2068215</v>
      </c>
    </row>
    <row r="1248" spans="1:18" x14ac:dyDescent="0.25">
      <c r="A1248" s="170">
        <v>43845</v>
      </c>
      <c r="B1248" s="116">
        <v>137.17866404260201</v>
      </c>
      <c r="C1248" s="116">
        <v>133.446241028016</v>
      </c>
      <c r="D1248" s="116">
        <v>132.816091687891</v>
      </c>
      <c r="E1248" s="116">
        <v>136.693933780968</v>
      </c>
      <c r="F1248" s="116">
        <v>137.65</v>
      </c>
      <c r="G1248">
        <v>63059</v>
      </c>
      <c r="H1248" s="116"/>
      <c r="I1248" s="116"/>
      <c r="L1248" s="170">
        <v>43845</v>
      </c>
      <c r="M1248" s="116">
        <v>137.85</v>
      </c>
      <c r="N1248" s="116">
        <v>141.5</v>
      </c>
      <c r="O1248" s="116">
        <v>136.85</v>
      </c>
      <c r="P1248" s="116">
        <v>140</v>
      </c>
      <c r="Q1248" s="116">
        <v>137.85</v>
      </c>
      <c r="R1248">
        <v>891068</v>
      </c>
    </row>
    <row r="1249" spans="1:18" x14ac:dyDescent="0.25">
      <c r="A1249" s="170">
        <v>43846</v>
      </c>
      <c r="B1249" s="116">
        <v>137.324083121093</v>
      </c>
      <c r="C1249" s="116">
        <v>136.936298911785</v>
      </c>
      <c r="D1249" s="116">
        <v>132.91303774021799</v>
      </c>
      <c r="E1249" s="116">
        <v>132.91303774021799</v>
      </c>
      <c r="F1249" s="116">
        <v>141.25</v>
      </c>
      <c r="G1249">
        <v>47129</v>
      </c>
      <c r="H1249" s="116"/>
      <c r="I1249" s="116"/>
      <c r="L1249" s="170">
        <v>43846</v>
      </c>
      <c r="M1249" s="116">
        <v>141.25</v>
      </c>
      <c r="N1249" s="116">
        <v>141.85</v>
      </c>
      <c r="O1249" s="116">
        <v>137.30000000000001</v>
      </c>
      <c r="P1249" s="116">
        <v>138.44999999999999</v>
      </c>
      <c r="Q1249" s="116">
        <v>141.25</v>
      </c>
      <c r="R1249">
        <v>908345</v>
      </c>
    </row>
    <row r="1250" spans="1:18" x14ac:dyDescent="0.25">
      <c r="A1250" s="170">
        <v>43847</v>
      </c>
      <c r="B1250" s="116">
        <v>141.250398240333</v>
      </c>
      <c r="C1250" s="116">
        <v>140.81414100486199</v>
      </c>
      <c r="D1250" s="116">
        <v>135.19126996989999</v>
      </c>
      <c r="E1250" s="116">
        <v>136.64546075480399</v>
      </c>
      <c r="F1250" s="116">
        <v>145.25</v>
      </c>
      <c r="G1250">
        <v>60039</v>
      </c>
      <c r="H1250" s="116"/>
      <c r="I1250" s="116"/>
      <c r="L1250" s="170">
        <v>43847</v>
      </c>
      <c r="M1250" s="116">
        <v>145.5</v>
      </c>
      <c r="N1250" s="116">
        <v>146</v>
      </c>
      <c r="O1250" s="116">
        <v>139.30000000000001</v>
      </c>
      <c r="P1250" s="116">
        <v>141</v>
      </c>
      <c r="Q1250" s="116">
        <v>145.5</v>
      </c>
      <c r="R1250">
        <v>1142899</v>
      </c>
    </row>
    <row r="1251" spans="1:18" x14ac:dyDescent="0.25">
      <c r="A1251" s="170">
        <v>43850</v>
      </c>
      <c r="B1251" s="116">
        <v>141.05650613568</v>
      </c>
      <c r="C1251" s="116">
        <v>138.92369298448699</v>
      </c>
      <c r="D1251" s="116">
        <v>138.24507061819901</v>
      </c>
      <c r="E1251" s="116">
        <v>141.05650613568</v>
      </c>
      <c r="F1251" s="116">
        <v>143.30000000000001</v>
      </c>
      <c r="G1251">
        <v>45279</v>
      </c>
      <c r="H1251" s="116"/>
      <c r="I1251" s="116"/>
      <c r="L1251" s="170">
        <v>43850</v>
      </c>
      <c r="M1251" s="116">
        <v>143.4</v>
      </c>
      <c r="N1251" s="116">
        <v>145.9</v>
      </c>
      <c r="O1251" s="116">
        <v>142.5</v>
      </c>
      <c r="P1251" s="116">
        <v>145</v>
      </c>
      <c r="Q1251" s="116">
        <v>143.4</v>
      </c>
      <c r="R1251">
        <v>1750451</v>
      </c>
    </row>
    <row r="1252" spans="1:18" x14ac:dyDescent="0.25">
      <c r="A1252" s="170">
        <v>43851</v>
      </c>
      <c r="B1252" s="116">
        <v>140.13551863857401</v>
      </c>
      <c r="C1252" s="116">
        <v>139.74773442926599</v>
      </c>
      <c r="D1252" s="116">
        <v>137.17866404260201</v>
      </c>
      <c r="E1252" s="116">
        <v>139.06911206297801</v>
      </c>
      <c r="F1252" s="116">
        <v>144.15</v>
      </c>
      <c r="G1252">
        <v>54175</v>
      </c>
      <c r="H1252" s="116"/>
      <c r="I1252" s="116"/>
      <c r="L1252" s="170">
        <v>43851</v>
      </c>
      <c r="M1252" s="116">
        <v>144.1</v>
      </c>
      <c r="N1252" s="116">
        <v>144.5</v>
      </c>
      <c r="O1252" s="116">
        <v>141.55000000000001</v>
      </c>
      <c r="P1252" s="116">
        <v>141.55000000000001</v>
      </c>
      <c r="Q1252" s="116">
        <v>144.1</v>
      </c>
      <c r="R1252">
        <v>1250565</v>
      </c>
    </row>
    <row r="1253" spans="1:18" x14ac:dyDescent="0.25">
      <c r="A1253" s="170">
        <v>43852</v>
      </c>
      <c r="B1253" s="116">
        <v>141.250398240333</v>
      </c>
      <c r="C1253" s="116">
        <v>139.89315350775601</v>
      </c>
      <c r="D1253" s="116">
        <v>139.11758508914099</v>
      </c>
      <c r="E1253" s="116">
        <v>139.602315350776</v>
      </c>
      <c r="F1253" s="116">
        <v>144.30000000000001</v>
      </c>
      <c r="G1253">
        <v>20614</v>
      </c>
      <c r="H1253" s="116"/>
      <c r="I1253" s="116"/>
      <c r="L1253" s="170">
        <v>43852</v>
      </c>
      <c r="M1253" s="116">
        <v>144.19999999999999</v>
      </c>
      <c r="N1253" s="116">
        <v>145.75</v>
      </c>
      <c r="O1253" s="116">
        <v>143.5</v>
      </c>
      <c r="P1253" s="116">
        <v>143.65</v>
      </c>
      <c r="Q1253" s="116">
        <v>144.19999999999999</v>
      </c>
      <c r="R1253">
        <v>251517</v>
      </c>
    </row>
    <row r="1254" spans="1:18" x14ac:dyDescent="0.25">
      <c r="A1254" s="170">
        <v>43853</v>
      </c>
      <c r="B1254" s="116">
        <v>142.122912711276</v>
      </c>
      <c r="C1254" s="116">
        <v>139.35995021995799</v>
      </c>
      <c r="D1254" s="116">
        <v>137.66339430423699</v>
      </c>
      <c r="E1254" s="116">
        <v>140.08704561241001</v>
      </c>
      <c r="F1254" s="116">
        <v>143.75</v>
      </c>
      <c r="G1254">
        <v>33254</v>
      </c>
      <c r="H1254" s="116"/>
      <c r="I1254" s="116"/>
      <c r="L1254" s="170">
        <v>43853</v>
      </c>
      <c r="M1254" s="116">
        <v>144.19999999999999</v>
      </c>
      <c r="N1254" s="116">
        <v>146.1</v>
      </c>
      <c r="O1254" s="116">
        <v>141.80000000000001</v>
      </c>
      <c r="P1254" s="116">
        <v>144.44999999999999</v>
      </c>
      <c r="Q1254" s="116">
        <v>144.19999999999999</v>
      </c>
      <c r="R1254">
        <v>865884</v>
      </c>
    </row>
    <row r="1255" spans="1:18" x14ac:dyDescent="0.25">
      <c r="A1255" s="170">
        <v>43854</v>
      </c>
      <c r="B1255" s="116">
        <v>141.104979161843</v>
      </c>
      <c r="C1255" s="116">
        <v>140.52330284788101</v>
      </c>
      <c r="D1255" s="116">
        <v>139.408423246122</v>
      </c>
      <c r="E1255" s="116">
        <v>140.474829821718</v>
      </c>
      <c r="F1255" s="116">
        <v>144.94999999999999</v>
      </c>
      <c r="G1255">
        <v>17940</v>
      </c>
      <c r="H1255" s="116"/>
      <c r="I1255" s="116"/>
      <c r="L1255" s="170">
        <v>43854</v>
      </c>
      <c r="M1255" s="116">
        <v>145.1</v>
      </c>
      <c r="N1255" s="116">
        <v>145.5</v>
      </c>
      <c r="O1255" s="116">
        <v>143.80000000000001</v>
      </c>
      <c r="P1255" s="116">
        <v>144</v>
      </c>
      <c r="Q1255" s="116">
        <v>145.1</v>
      </c>
      <c r="R1255">
        <v>358719</v>
      </c>
    </row>
    <row r="1256" spans="1:18" x14ac:dyDescent="0.25">
      <c r="A1256" s="170">
        <v>43857</v>
      </c>
      <c r="B1256" s="116">
        <v>142.753062051401</v>
      </c>
      <c r="C1256" s="116">
        <v>139.06911206297801</v>
      </c>
      <c r="D1256" s="116">
        <v>138.48743574901599</v>
      </c>
      <c r="E1256" s="116">
        <v>140.57177587404499</v>
      </c>
      <c r="F1256" s="116">
        <v>143.44999999999999</v>
      </c>
      <c r="G1256">
        <v>33799</v>
      </c>
      <c r="H1256" s="116"/>
      <c r="I1256" s="116"/>
      <c r="L1256" s="170">
        <v>43857</v>
      </c>
      <c r="M1256" s="116">
        <v>143.25</v>
      </c>
      <c r="N1256" s="116">
        <v>147.75</v>
      </c>
      <c r="O1256" s="116">
        <v>142.80000000000001</v>
      </c>
      <c r="P1256" s="116">
        <v>145</v>
      </c>
      <c r="Q1256" s="116">
        <v>143.25</v>
      </c>
      <c r="R1256">
        <v>535829</v>
      </c>
    </row>
    <row r="1257" spans="1:18" x14ac:dyDescent="0.25">
      <c r="A1257" s="170">
        <v>43858</v>
      </c>
      <c r="B1257" s="116">
        <v>139.50536929844901</v>
      </c>
      <c r="C1257" s="116">
        <v>135.724473257699</v>
      </c>
      <c r="D1257" s="116">
        <v>135.04585089141</v>
      </c>
      <c r="E1257" s="116">
        <v>139.11758508914099</v>
      </c>
      <c r="F1257" s="116">
        <v>140</v>
      </c>
      <c r="G1257">
        <v>56168</v>
      </c>
      <c r="H1257" s="116"/>
      <c r="I1257" s="116"/>
      <c r="L1257" s="170">
        <v>43858</v>
      </c>
      <c r="M1257" s="116">
        <v>140.05000000000001</v>
      </c>
      <c r="N1257" s="116">
        <v>145.30000000000001</v>
      </c>
      <c r="O1257" s="116">
        <v>139.25</v>
      </c>
      <c r="P1257" s="116">
        <v>145.30000000000001</v>
      </c>
      <c r="Q1257" s="116">
        <v>140.05000000000001</v>
      </c>
      <c r="R1257">
        <v>1640073</v>
      </c>
    </row>
    <row r="1258" spans="1:18" x14ac:dyDescent="0.25">
      <c r="A1258" s="170">
        <v>43859</v>
      </c>
      <c r="B1258" s="116">
        <v>137.954232461218</v>
      </c>
      <c r="C1258" s="116">
        <v>135.724473257699</v>
      </c>
      <c r="D1258" s="116">
        <v>135.239742996064</v>
      </c>
      <c r="E1258" s="116">
        <v>135.288216022227</v>
      </c>
      <c r="F1258" s="116">
        <v>140</v>
      </c>
      <c r="G1258">
        <v>24960</v>
      </c>
      <c r="H1258" s="116"/>
      <c r="I1258" s="116"/>
      <c r="L1258" s="170">
        <v>43859</v>
      </c>
      <c r="M1258" s="116">
        <v>140.25</v>
      </c>
      <c r="N1258" s="116">
        <v>142.35</v>
      </c>
      <c r="O1258" s="116">
        <v>139.5</v>
      </c>
      <c r="P1258" s="116">
        <v>139.5</v>
      </c>
      <c r="Q1258" s="116">
        <v>140.25</v>
      </c>
      <c r="R1258">
        <v>613973</v>
      </c>
    </row>
    <row r="1259" spans="1:18" x14ac:dyDescent="0.25">
      <c r="A1259" s="170">
        <v>43860</v>
      </c>
      <c r="B1259" s="116">
        <v>137.85728640889101</v>
      </c>
      <c r="C1259" s="116">
        <v>136.500041676314</v>
      </c>
      <c r="D1259" s="116">
        <v>135.482108126881</v>
      </c>
      <c r="E1259" s="116">
        <v>135.91836536235201</v>
      </c>
      <c r="F1259" s="116">
        <v>140.80000000000001</v>
      </c>
      <c r="G1259">
        <v>39508</v>
      </c>
      <c r="H1259" s="116"/>
      <c r="I1259" s="116"/>
      <c r="L1259" s="170">
        <v>43860</v>
      </c>
      <c r="M1259" s="116">
        <v>140.69999999999999</v>
      </c>
      <c r="N1259" s="116">
        <v>142.35</v>
      </c>
      <c r="O1259" s="116">
        <v>139.55000000000001</v>
      </c>
      <c r="P1259" s="116">
        <v>141</v>
      </c>
      <c r="Q1259" s="116">
        <v>140.69999999999999</v>
      </c>
      <c r="R1259">
        <v>1779356</v>
      </c>
    </row>
    <row r="1260" spans="1:18" x14ac:dyDescent="0.25">
      <c r="A1260" s="170">
        <v>43861</v>
      </c>
      <c r="B1260" s="116">
        <v>138.535908775179</v>
      </c>
      <c r="C1260" s="116">
        <v>137.71186733040099</v>
      </c>
      <c r="D1260" s="116">
        <v>134.12486339430399</v>
      </c>
      <c r="E1260" s="116">
        <v>136.500041676314</v>
      </c>
      <c r="F1260" s="116">
        <v>142.05000000000001</v>
      </c>
      <c r="G1260">
        <v>34487</v>
      </c>
      <c r="H1260" s="116"/>
      <c r="I1260" s="116"/>
      <c r="L1260" s="170">
        <v>43861</v>
      </c>
      <c r="M1260" s="116">
        <v>142.30000000000001</v>
      </c>
      <c r="N1260" s="116">
        <v>143</v>
      </c>
      <c r="O1260" s="116">
        <v>138.25</v>
      </c>
      <c r="P1260" s="116">
        <v>142.94999999999999</v>
      </c>
      <c r="Q1260" s="116">
        <v>142.30000000000001</v>
      </c>
      <c r="R1260">
        <v>718940</v>
      </c>
    </row>
    <row r="1261" spans="1:18" x14ac:dyDescent="0.25">
      <c r="A1261" s="170">
        <v>43862</v>
      </c>
      <c r="B1261" s="116">
        <v>138.68132785367001</v>
      </c>
      <c r="C1261" s="116">
        <v>134.46417457744801</v>
      </c>
      <c r="D1261" s="116">
        <v>133.78555221116</v>
      </c>
      <c r="E1261" s="116">
        <v>138.63285482750601</v>
      </c>
      <c r="F1261" s="116">
        <v>138.69999999999999</v>
      </c>
      <c r="G1261">
        <v>28437</v>
      </c>
      <c r="H1261" s="116"/>
      <c r="I1261" s="116"/>
      <c r="L1261" s="170">
        <v>43862</v>
      </c>
      <c r="M1261" s="116">
        <v>138.69999999999999</v>
      </c>
      <c r="N1261" s="116">
        <v>143</v>
      </c>
      <c r="O1261" s="116">
        <v>137.75</v>
      </c>
      <c r="P1261" s="116">
        <v>143</v>
      </c>
      <c r="Q1261" s="116">
        <v>138.69999999999999</v>
      </c>
      <c r="R1261">
        <v>619399</v>
      </c>
    </row>
    <row r="1262" spans="1:18" x14ac:dyDescent="0.25">
      <c r="A1262" s="170">
        <v>43864</v>
      </c>
      <c r="B1262" s="116">
        <v>137.130191016439</v>
      </c>
      <c r="C1262" s="116">
        <v>136.54851470247701</v>
      </c>
      <c r="D1262" s="116">
        <v>133.49471405417901</v>
      </c>
      <c r="E1262" s="116">
        <v>135.19126996989999</v>
      </c>
      <c r="F1262" s="116">
        <v>140.85</v>
      </c>
      <c r="G1262">
        <v>27049</v>
      </c>
      <c r="H1262" s="116"/>
      <c r="I1262" s="116"/>
      <c r="L1262" s="170">
        <v>43864</v>
      </c>
      <c r="M1262" s="116">
        <v>140.85</v>
      </c>
      <c r="N1262" s="116">
        <v>141.65</v>
      </c>
      <c r="O1262" s="116">
        <v>137.55000000000001</v>
      </c>
      <c r="P1262" s="116">
        <v>138.75</v>
      </c>
      <c r="Q1262" s="116">
        <v>140.85</v>
      </c>
      <c r="R1262">
        <v>602454</v>
      </c>
    </row>
    <row r="1263" spans="1:18" x14ac:dyDescent="0.25">
      <c r="A1263" s="170">
        <v>43865</v>
      </c>
      <c r="B1263" s="116">
        <v>138.09965153970799</v>
      </c>
      <c r="C1263" s="116">
        <v>136.20920351933299</v>
      </c>
      <c r="D1263" s="116">
        <v>135.094323917574</v>
      </c>
      <c r="E1263" s="116">
        <v>137.66339430423699</v>
      </c>
      <c r="F1263" s="116">
        <v>140.5</v>
      </c>
      <c r="G1263">
        <v>35119</v>
      </c>
      <c r="H1263" s="116"/>
      <c r="I1263" s="116"/>
      <c r="L1263" s="170">
        <v>43865</v>
      </c>
      <c r="M1263" s="116">
        <v>140.4</v>
      </c>
      <c r="N1263" s="116">
        <v>142.5</v>
      </c>
      <c r="O1263" s="116">
        <v>139.35</v>
      </c>
      <c r="P1263" s="116">
        <v>141.5</v>
      </c>
      <c r="Q1263" s="116">
        <v>140.4</v>
      </c>
      <c r="R1263">
        <v>1989998</v>
      </c>
    </row>
    <row r="1264" spans="1:18" x14ac:dyDescent="0.25">
      <c r="A1264" s="170">
        <v>43866</v>
      </c>
      <c r="B1264" s="116">
        <v>137.03324496411199</v>
      </c>
      <c r="C1264" s="116">
        <v>135.91836536235201</v>
      </c>
      <c r="D1264" s="116">
        <v>134.70653970826601</v>
      </c>
      <c r="E1264" s="116">
        <v>136.45156865015099</v>
      </c>
      <c r="F1264" s="116">
        <v>140.19999999999999</v>
      </c>
      <c r="G1264">
        <v>34582</v>
      </c>
      <c r="H1264" s="116"/>
      <c r="I1264" s="116"/>
      <c r="L1264" s="170">
        <v>43866</v>
      </c>
      <c r="M1264" s="116">
        <v>140.15</v>
      </c>
      <c r="N1264" s="116">
        <v>141.5</v>
      </c>
      <c r="O1264" s="116">
        <v>139.19999999999999</v>
      </c>
      <c r="P1264" s="116">
        <v>141.25</v>
      </c>
      <c r="Q1264" s="116">
        <v>140.15</v>
      </c>
      <c r="R1264">
        <v>585389</v>
      </c>
    </row>
    <row r="1265" spans="1:18" x14ac:dyDescent="0.25">
      <c r="A1265" s="170">
        <v>43867</v>
      </c>
      <c r="B1265" s="116">
        <v>137.61492127807401</v>
      </c>
      <c r="C1265" s="116">
        <v>137.03324496411199</v>
      </c>
      <c r="D1265" s="116">
        <v>136.25767654549699</v>
      </c>
      <c r="E1265" s="116">
        <v>136.693933780968</v>
      </c>
      <c r="F1265" s="116">
        <v>141.35</v>
      </c>
      <c r="G1265">
        <v>58232</v>
      </c>
      <c r="H1265" s="116"/>
      <c r="I1265" s="116"/>
      <c r="L1265" s="170">
        <v>43867</v>
      </c>
      <c r="M1265" s="116">
        <v>141.55000000000001</v>
      </c>
      <c r="N1265" s="116">
        <v>142</v>
      </c>
      <c r="O1265" s="116">
        <v>140.19999999999999</v>
      </c>
      <c r="P1265" s="116">
        <v>140.19999999999999</v>
      </c>
      <c r="Q1265" s="116">
        <v>141.55000000000001</v>
      </c>
      <c r="R1265">
        <v>963024</v>
      </c>
    </row>
    <row r="1266" spans="1:18" x14ac:dyDescent="0.25">
      <c r="A1266" s="170">
        <v>43868</v>
      </c>
      <c r="B1266" s="116">
        <v>139.35995021995799</v>
      </c>
      <c r="C1266" s="116">
        <v>135.96683838851601</v>
      </c>
      <c r="D1266" s="116">
        <v>135.239742996064</v>
      </c>
      <c r="E1266" s="116">
        <v>139.35995021995799</v>
      </c>
      <c r="F1266" s="116">
        <v>140.25</v>
      </c>
      <c r="G1266">
        <v>26261</v>
      </c>
      <c r="H1266" s="116"/>
      <c r="I1266" s="116"/>
      <c r="L1266" s="170">
        <v>43868</v>
      </c>
      <c r="M1266" s="116">
        <v>140.15</v>
      </c>
      <c r="N1266" s="116">
        <v>142.80000000000001</v>
      </c>
      <c r="O1266" s="116">
        <v>139.4</v>
      </c>
      <c r="P1266" s="116">
        <v>142</v>
      </c>
      <c r="Q1266" s="116">
        <v>140.15</v>
      </c>
      <c r="R1266">
        <v>821782</v>
      </c>
    </row>
    <row r="1267" spans="1:18" x14ac:dyDescent="0.25">
      <c r="A1267" s="170">
        <v>43871</v>
      </c>
      <c r="B1267" s="116">
        <v>135.96683838851601</v>
      </c>
      <c r="C1267" s="116">
        <v>133.54318708034299</v>
      </c>
      <c r="D1267" s="116">
        <v>130.877170641352</v>
      </c>
      <c r="E1267" s="116">
        <v>135.62752720537199</v>
      </c>
      <c r="F1267" s="116">
        <v>137.75</v>
      </c>
      <c r="G1267">
        <v>57953</v>
      </c>
      <c r="H1267" s="116"/>
      <c r="I1267" s="116"/>
      <c r="L1267" s="170">
        <v>43871</v>
      </c>
      <c r="M1267" s="116">
        <v>137.9</v>
      </c>
      <c r="N1267" s="116">
        <v>140.5</v>
      </c>
      <c r="O1267" s="116">
        <v>137</v>
      </c>
      <c r="P1267" s="116">
        <v>139.5</v>
      </c>
      <c r="Q1267" s="116">
        <v>137.9</v>
      </c>
      <c r="R1267">
        <v>899029</v>
      </c>
    </row>
    <row r="1268" spans="1:18" x14ac:dyDescent="0.25">
      <c r="A1268" s="170">
        <v>43872</v>
      </c>
      <c r="B1268" s="116">
        <v>135.482108126881</v>
      </c>
      <c r="C1268" s="116">
        <v>134.70653970826601</v>
      </c>
      <c r="D1268" s="116">
        <v>134.221809446631</v>
      </c>
      <c r="E1268" s="116">
        <v>134.99737786524699</v>
      </c>
      <c r="F1268" s="116">
        <v>138.94999999999999</v>
      </c>
      <c r="G1268">
        <v>22092</v>
      </c>
      <c r="H1268" s="116"/>
      <c r="I1268" s="116"/>
      <c r="L1268" s="170">
        <v>43872</v>
      </c>
      <c r="M1268" s="116">
        <v>139</v>
      </c>
      <c r="N1268" s="116">
        <v>140</v>
      </c>
      <c r="O1268" s="116">
        <v>138.30000000000001</v>
      </c>
      <c r="P1268" s="116">
        <v>140</v>
      </c>
      <c r="Q1268" s="116">
        <v>139</v>
      </c>
      <c r="R1268">
        <v>627531</v>
      </c>
    </row>
    <row r="1269" spans="1:18" x14ac:dyDescent="0.25">
      <c r="A1269" s="170">
        <v>43873</v>
      </c>
      <c r="B1269" s="116">
        <v>135.239742996064</v>
      </c>
      <c r="C1269" s="116">
        <v>133.78555221116</v>
      </c>
      <c r="D1269" s="116">
        <v>133.49471405417901</v>
      </c>
      <c r="E1269" s="116">
        <v>135.239742996064</v>
      </c>
      <c r="F1269" s="116">
        <v>138</v>
      </c>
      <c r="G1269">
        <v>19119</v>
      </c>
      <c r="H1269" s="116"/>
      <c r="I1269" s="116"/>
      <c r="L1269" s="170">
        <v>43873</v>
      </c>
      <c r="M1269" s="116">
        <v>137.94999999999999</v>
      </c>
      <c r="N1269" s="116">
        <v>139.85</v>
      </c>
      <c r="O1269" s="116">
        <v>137.6</v>
      </c>
      <c r="P1269" s="116">
        <v>139.85</v>
      </c>
      <c r="Q1269" s="116">
        <v>137.94999999999999</v>
      </c>
      <c r="R1269">
        <v>284494</v>
      </c>
    </row>
    <row r="1270" spans="1:18" x14ac:dyDescent="0.25">
      <c r="A1270" s="170">
        <v>43874</v>
      </c>
      <c r="B1270" s="116">
        <v>135.53058115304501</v>
      </c>
      <c r="C1270" s="116">
        <v>129.95618314424601</v>
      </c>
      <c r="D1270" s="116">
        <v>129.03519564714099</v>
      </c>
      <c r="E1270" s="116">
        <v>133.78555221116</v>
      </c>
      <c r="F1270" s="116">
        <v>134.05000000000001</v>
      </c>
      <c r="G1270">
        <v>50364</v>
      </c>
      <c r="H1270" s="116"/>
      <c r="I1270" s="116"/>
      <c r="L1270" s="170">
        <v>43874</v>
      </c>
      <c r="M1270" s="116">
        <v>134.19999999999999</v>
      </c>
      <c r="N1270" s="116">
        <v>139.1</v>
      </c>
      <c r="O1270" s="116">
        <v>132.9</v>
      </c>
      <c r="P1270" s="116">
        <v>138</v>
      </c>
      <c r="Q1270" s="116">
        <v>134.19999999999999</v>
      </c>
      <c r="R1270">
        <v>1503932</v>
      </c>
    </row>
    <row r="1271" spans="1:18" x14ac:dyDescent="0.25">
      <c r="A1271" s="170">
        <v>43875</v>
      </c>
      <c r="B1271" s="116">
        <v>130.78022458902501</v>
      </c>
      <c r="C1271" s="116">
        <v>129.859237091919</v>
      </c>
      <c r="D1271" s="116">
        <v>128.93824959481401</v>
      </c>
      <c r="E1271" s="116">
        <v>129.859237091919</v>
      </c>
      <c r="F1271" s="116">
        <v>133.94999999999999</v>
      </c>
      <c r="G1271">
        <v>35192</v>
      </c>
      <c r="H1271" s="116"/>
      <c r="I1271" s="116"/>
      <c r="L1271" s="170">
        <v>43875</v>
      </c>
      <c r="M1271" s="116">
        <v>134.05000000000001</v>
      </c>
      <c r="N1271" s="116">
        <v>135</v>
      </c>
      <c r="O1271" s="116">
        <v>132.9</v>
      </c>
      <c r="P1271" s="116">
        <v>133.9</v>
      </c>
      <c r="Q1271" s="116">
        <v>134.05000000000001</v>
      </c>
      <c r="R1271">
        <v>789618</v>
      </c>
    </row>
    <row r="1272" spans="1:18" x14ac:dyDescent="0.25">
      <c r="A1272" s="170">
        <v>43878</v>
      </c>
      <c r="B1272" s="116">
        <v>130.877170641352</v>
      </c>
      <c r="C1272" s="116">
        <v>127.48405880991</v>
      </c>
      <c r="D1272" s="116">
        <v>126.999328548275</v>
      </c>
      <c r="E1272" s="116">
        <v>130.15007524890001</v>
      </c>
      <c r="F1272" s="116">
        <v>131.5</v>
      </c>
      <c r="G1272">
        <v>18040</v>
      </c>
      <c r="H1272" s="116"/>
      <c r="I1272" s="116"/>
      <c r="L1272" s="170">
        <v>43878</v>
      </c>
      <c r="M1272" s="116">
        <v>131.55000000000001</v>
      </c>
      <c r="N1272" s="116">
        <v>135</v>
      </c>
      <c r="O1272" s="116">
        <v>130.9</v>
      </c>
      <c r="P1272" s="116">
        <v>134.44999999999999</v>
      </c>
      <c r="Q1272" s="116">
        <v>131.55000000000001</v>
      </c>
      <c r="R1272">
        <v>1703903</v>
      </c>
    </row>
    <row r="1273" spans="1:18" x14ac:dyDescent="0.25">
      <c r="A1273" s="170">
        <v>43879</v>
      </c>
      <c r="B1273" s="116">
        <v>128.453519333179</v>
      </c>
      <c r="C1273" s="116">
        <v>126.80543644362101</v>
      </c>
      <c r="D1273" s="116">
        <v>122.976067376708</v>
      </c>
      <c r="E1273" s="116">
        <v>126.999328548275</v>
      </c>
      <c r="F1273" s="116">
        <v>130.80000000000001</v>
      </c>
      <c r="G1273">
        <v>25333</v>
      </c>
      <c r="H1273" s="116"/>
      <c r="I1273" s="116"/>
      <c r="L1273" s="170">
        <v>43879</v>
      </c>
      <c r="M1273" s="116">
        <v>130.9</v>
      </c>
      <c r="N1273" s="116">
        <v>132.80000000000001</v>
      </c>
      <c r="O1273" s="116">
        <v>126.7</v>
      </c>
      <c r="P1273" s="116">
        <v>131</v>
      </c>
      <c r="Q1273" s="116">
        <v>130.9</v>
      </c>
      <c r="R1273">
        <v>788349</v>
      </c>
    </row>
    <row r="1274" spans="1:18" x14ac:dyDescent="0.25">
      <c r="A1274" s="170">
        <v>43880</v>
      </c>
      <c r="B1274" s="116">
        <v>133.49471405417901</v>
      </c>
      <c r="C1274" s="116">
        <v>132.86456471405401</v>
      </c>
      <c r="D1274" s="116">
        <v>126.563071312804</v>
      </c>
      <c r="E1274" s="116">
        <v>126.999328548275</v>
      </c>
      <c r="F1274" s="116">
        <v>137.05000000000001</v>
      </c>
      <c r="G1274">
        <v>32970</v>
      </c>
      <c r="H1274" s="116"/>
      <c r="I1274" s="116"/>
      <c r="L1274" s="170">
        <v>43880</v>
      </c>
      <c r="M1274" s="116">
        <v>137.15</v>
      </c>
      <c r="N1274" s="116">
        <v>137.85</v>
      </c>
      <c r="O1274" s="116">
        <v>130.6</v>
      </c>
      <c r="P1274" s="116">
        <v>132.4</v>
      </c>
      <c r="Q1274" s="116">
        <v>137.15</v>
      </c>
      <c r="R1274">
        <v>791951</v>
      </c>
    </row>
    <row r="1275" spans="1:18" x14ac:dyDescent="0.25">
      <c r="A1275" s="170">
        <v>43881</v>
      </c>
      <c r="B1275" s="116">
        <v>137.08171799027599</v>
      </c>
      <c r="C1275" s="116">
        <v>135.724473257699</v>
      </c>
      <c r="D1275" s="116">
        <v>129.907710118083</v>
      </c>
      <c r="E1275" s="116">
        <v>133.203875897198</v>
      </c>
      <c r="F1275" s="116">
        <v>140</v>
      </c>
      <c r="G1275">
        <v>1683234</v>
      </c>
      <c r="H1275" s="116"/>
      <c r="I1275" s="116"/>
      <c r="L1275" s="170">
        <v>43881</v>
      </c>
      <c r="M1275" s="116">
        <v>140.05000000000001</v>
      </c>
      <c r="N1275" s="116">
        <v>141.80000000000001</v>
      </c>
      <c r="O1275" s="116">
        <v>134.19999999999999</v>
      </c>
      <c r="P1275" s="116">
        <v>137.15</v>
      </c>
      <c r="Q1275" s="116">
        <v>140.05000000000001</v>
      </c>
      <c r="R1275">
        <v>1547185</v>
      </c>
    </row>
    <row r="1276" spans="1:18" x14ac:dyDescent="0.25">
      <c r="A1276" s="170">
        <v>43885</v>
      </c>
      <c r="B1276" s="116">
        <v>138.43896272285301</v>
      </c>
      <c r="C1276" s="116">
        <v>133.68860615883301</v>
      </c>
      <c r="D1276" s="116">
        <v>133.009983792545</v>
      </c>
      <c r="E1276" s="116">
        <v>135.82141931002499</v>
      </c>
      <c r="F1276" s="116">
        <v>137.9</v>
      </c>
      <c r="G1276">
        <v>13951</v>
      </c>
      <c r="H1276" s="116"/>
      <c r="I1276" s="116"/>
      <c r="L1276" s="170">
        <v>43885</v>
      </c>
      <c r="M1276" s="116">
        <v>138</v>
      </c>
      <c r="N1276" s="116">
        <v>139.9</v>
      </c>
      <c r="O1276" s="116">
        <v>137</v>
      </c>
      <c r="P1276" s="116">
        <v>139.9</v>
      </c>
      <c r="Q1276" s="116">
        <v>138</v>
      </c>
      <c r="R1276">
        <v>1243878</v>
      </c>
    </row>
    <row r="1277" spans="1:18" x14ac:dyDescent="0.25">
      <c r="A1277" s="170">
        <v>43886</v>
      </c>
      <c r="B1277" s="116">
        <v>136.54851470247701</v>
      </c>
      <c r="C1277" s="116">
        <v>135.38516207455399</v>
      </c>
      <c r="D1277" s="116">
        <v>134.221809446631</v>
      </c>
      <c r="E1277" s="116">
        <v>136.30614957166</v>
      </c>
      <c r="F1277" s="116">
        <v>139.65</v>
      </c>
      <c r="G1277">
        <v>22272</v>
      </c>
      <c r="H1277" s="116"/>
      <c r="I1277" s="116"/>
      <c r="L1277" s="170">
        <v>43886</v>
      </c>
      <c r="M1277" s="116">
        <v>139.9</v>
      </c>
      <c r="N1277" s="116">
        <v>141</v>
      </c>
      <c r="O1277" s="116">
        <v>138.30000000000001</v>
      </c>
      <c r="P1277" s="116">
        <v>140</v>
      </c>
      <c r="Q1277" s="116">
        <v>139.9</v>
      </c>
      <c r="R1277">
        <v>1332396</v>
      </c>
    </row>
    <row r="1278" spans="1:18" x14ac:dyDescent="0.25">
      <c r="A1278" s="170">
        <v>43887</v>
      </c>
      <c r="B1278" s="116">
        <v>136.693933780968</v>
      </c>
      <c r="C1278" s="116">
        <v>136.06378444084299</v>
      </c>
      <c r="D1278" s="116">
        <v>133.78555221116</v>
      </c>
      <c r="E1278" s="116">
        <v>134.12486339430399</v>
      </c>
      <c r="F1278" s="116">
        <v>140.35</v>
      </c>
      <c r="G1278">
        <v>26359</v>
      </c>
      <c r="H1278" s="116"/>
      <c r="I1278" s="116"/>
      <c r="L1278" s="170">
        <v>43887</v>
      </c>
      <c r="M1278" s="116">
        <v>140.30000000000001</v>
      </c>
      <c r="N1278" s="116">
        <v>141.19999999999999</v>
      </c>
      <c r="O1278" s="116">
        <v>138</v>
      </c>
      <c r="P1278" s="116">
        <v>138.75</v>
      </c>
      <c r="Q1278" s="116">
        <v>140.30000000000001</v>
      </c>
      <c r="R1278">
        <v>2288172</v>
      </c>
    </row>
    <row r="1279" spans="1:18" x14ac:dyDescent="0.25">
      <c r="A1279" s="170">
        <v>43888</v>
      </c>
      <c r="B1279" s="116">
        <v>136.936298911785</v>
      </c>
      <c r="C1279" s="116">
        <v>136.54851470247701</v>
      </c>
      <c r="D1279" s="116">
        <v>132.91303774021799</v>
      </c>
      <c r="E1279" s="116">
        <v>135.14279694373701</v>
      </c>
      <c r="F1279" s="116">
        <v>140.85</v>
      </c>
      <c r="G1279">
        <v>20333</v>
      </c>
      <c r="H1279" s="116"/>
      <c r="I1279" s="116"/>
      <c r="L1279" s="170">
        <v>43888</v>
      </c>
      <c r="M1279" s="116">
        <v>140.94999999999999</v>
      </c>
      <c r="N1279" s="116">
        <v>141.35</v>
      </c>
      <c r="O1279" s="116">
        <v>136.55000000000001</v>
      </c>
      <c r="P1279" s="116">
        <v>140.30000000000001</v>
      </c>
      <c r="Q1279" s="116">
        <v>140.94999999999999</v>
      </c>
      <c r="R1279">
        <v>850169</v>
      </c>
    </row>
    <row r="1280" spans="1:18" x14ac:dyDescent="0.25">
      <c r="A1280" s="170">
        <v>43889</v>
      </c>
      <c r="B1280" s="116">
        <v>133.05845681870801</v>
      </c>
      <c r="C1280" s="116">
        <v>130.82869761518899</v>
      </c>
      <c r="D1280" s="116">
        <v>123.460797638342</v>
      </c>
      <c r="E1280" s="116">
        <v>132.816091687891</v>
      </c>
      <c r="F1280" s="116">
        <v>134.94999999999999</v>
      </c>
      <c r="G1280">
        <v>145355</v>
      </c>
      <c r="H1280" s="116"/>
      <c r="I1280" s="116"/>
      <c r="L1280" s="170">
        <v>43889</v>
      </c>
      <c r="M1280" s="116">
        <v>135</v>
      </c>
      <c r="N1280" s="116">
        <v>137.5</v>
      </c>
      <c r="O1280" s="116">
        <v>127.15</v>
      </c>
      <c r="P1280" s="116">
        <v>135.25</v>
      </c>
      <c r="Q1280" s="116">
        <v>135</v>
      </c>
      <c r="R1280">
        <v>3877212</v>
      </c>
    </row>
    <row r="1281" spans="1:18" x14ac:dyDescent="0.25">
      <c r="A1281" s="170">
        <v>43892</v>
      </c>
      <c r="B1281" s="116">
        <v>133.78555221116</v>
      </c>
      <c r="C1281" s="116">
        <v>129.51992590877501</v>
      </c>
      <c r="D1281" s="116">
        <v>126.999328548275</v>
      </c>
      <c r="E1281" s="116">
        <v>130.877170641352</v>
      </c>
      <c r="F1281" s="116">
        <v>133.6</v>
      </c>
      <c r="G1281">
        <v>43441</v>
      </c>
      <c r="H1281" s="116"/>
      <c r="I1281" s="116"/>
      <c r="L1281" s="170">
        <v>43892</v>
      </c>
      <c r="M1281" s="116">
        <v>133.85</v>
      </c>
      <c r="N1281" s="116">
        <v>138.65</v>
      </c>
      <c r="O1281" s="116">
        <v>130.05000000000001</v>
      </c>
      <c r="P1281" s="116">
        <v>134.15</v>
      </c>
      <c r="Q1281" s="116">
        <v>133.85</v>
      </c>
      <c r="R1281">
        <v>7551033</v>
      </c>
    </row>
    <row r="1282" spans="1:18" x14ac:dyDescent="0.25">
      <c r="A1282" s="170">
        <v>43893</v>
      </c>
      <c r="B1282" s="116">
        <v>131.60426603380401</v>
      </c>
      <c r="C1282" s="116">
        <v>128.79283051632299</v>
      </c>
      <c r="D1282" s="116">
        <v>124.187893030794</v>
      </c>
      <c r="E1282" s="116">
        <v>129.907710118083</v>
      </c>
      <c r="F1282" s="116">
        <v>132.85</v>
      </c>
      <c r="G1282">
        <v>374087</v>
      </c>
      <c r="H1282" s="116"/>
      <c r="I1282" s="116"/>
      <c r="L1282" s="170">
        <v>43893</v>
      </c>
      <c r="M1282" s="116">
        <v>133</v>
      </c>
      <c r="N1282" s="116">
        <v>135.75</v>
      </c>
      <c r="O1282" s="116">
        <v>128.05000000000001</v>
      </c>
      <c r="P1282" s="116">
        <v>134</v>
      </c>
      <c r="Q1282" s="116">
        <v>133</v>
      </c>
      <c r="R1282">
        <v>1732229</v>
      </c>
    </row>
    <row r="1283" spans="1:18" x14ac:dyDescent="0.25">
      <c r="A1283" s="170">
        <v>43894</v>
      </c>
      <c r="B1283" s="116">
        <v>128.74435749016001</v>
      </c>
      <c r="C1283" s="116">
        <v>120.0676858069</v>
      </c>
      <c r="D1283" s="116">
        <v>117.59556147256301</v>
      </c>
      <c r="E1283" s="116">
        <v>128.74435749016001</v>
      </c>
      <c r="F1283" s="116">
        <v>123.85</v>
      </c>
      <c r="G1283">
        <v>76986</v>
      </c>
      <c r="H1283" s="116"/>
      <c r="I1283" s="116"/>
      <c r="L1283" s="170">
        <v>43894</v>
      </c>
      <c r="M1283" s="116">
        <v>123.85</v>
      </c>
      <c r="N1283" s="116">
        <v>132.94999999999999</v>
      </c>
      <c r="O1283" s="116">
        <v>121.3</v>
      </c>
      <c r="P1283" s="116">
        <v>131.4</v>
      </c>
      <c r="Q1283" s="116">
        <v>123.85</v>
      </c>
      <c r="R1283">
        <v>3318780</v>
      </c>
    </row>
    <row r="1284" spans="1:18" x14ac:dyDescent="0.25">
      <c r="A1284" s="170">
        <v>43895</v>
      </c>
      <c r="B1284" s="116">
        <v>121.32798448715</v>
      </c>
      <c r="C1284" s="116">
        <v>115.123437138226</v>
      </c>
      <c r="D1284" s="116">
        <v>111.53643320213</v>
      </c>
      <c r="E1284" s="116">
        <v>121.32798448715</v>
      </c>
      <c r="F1284" s="116">
        <v>118.75</v>
      </c>
      <c r="G1284">
        <v>143488</v>
      </c>
      <c r="H1284" s="116"/>
      <c r="I1284" s="116"/>
      <c r="L1284" s="170">
        <v>43895</v>
      </c>
      <c r="M1284" s="116">
        <v>118.95</v>
      </c>
      <c r="N1284" s="116">
        <v>125.85</v>
      </c>
      <c r="O1284" s="116">
        <v>115</v>
      </c>
      <c r="P1284" s="116">
        <v>124.5</v>
      </c>
      <c r="Q1284" s="116">
        <v>118.95</v>
      </c>
      <c r="R1284">
        <v>5905737</v>
      </c>
    </row>
    <row r="1285" spans="1:18" x14ac:dyDescent="0.25">
      <c r="A1285" s="170">
        <v>43896</v>
      </c>
      <c r="B1285" s="116">
        <v>119.146698309794</v>
      </c>
      <c r="C1285" s="116">
        <v>117.49861542023601</v>
      </c>
      <c r="D1285" s="116">
        <v>110.033769391063</v>
      </c>
      <c r="E1285" s="116">
        <v>114.396341745774</v>
      </c>
      <c r="F1285" s="116">
        <v>121.2</v>
      </c>
      <c r="G1285">
        <v>259783</v>
      </c>
      <c r="H1285" s="116"/>
      <c r="I1285" s="116"/>
      <c r="L1285" s="170">
        <v>43896</v>
      </c>
      <c r="M1285" s="116">
        <v>120.9</v>
      </c>
      <c r="N1285" s="116">
        <v>122.9</v>
      </c>
      <c r="O1285" s="116">
        <v>113.2</v>
      </c>
      <c r="P1285" s="116">
        <v>115</v>
      </c>
      <c r="Q1285" s="116">
        <v>120.9</v>
      </c>
      <c r="R1285">
        <v>3251563</v>
      </c>
    </row>
    <row r="1286" spans="1:18" x14ac:dyDescent="0.25">
      <c r="A1286" s="170">
        <v>43899</v>
      </c>
      <c r="B1286" s="116">
        <v>116.335262792313</v>
      </c>
      <c r="C1286" s="116">
        <v>112.11810951609201</v>
      </c>
      <c r="D1286" s="116">
        <v>108.773470710813</v>
      </c>
      <c r="E1286" s="116">
        <v>116.335262792313</v>
      </c>
      <c r="F1286" s="116">
        <v>115.65</v>
      </c>
      <c r="G1286">
        <v>45852</v>
      </c>
      <c r="H1286" s="116"/>
      <c r="I1286" s="116"/>
      <c r="L1286" s="170">
        <v>43899</v>
      </c>
      <c r="M1286" s="116">
        <v>115.35</v>
      </c>
      <c r="N1286" s="116">
        <v>118.95</v>
      </c>
      <c r="O1286" s="116">
        <v>112</v>
      </c>
      <c r="P1286" s="116">
        <v>118.7</v>
      </c>
      <c r="Q1286" s="116">
        <v>115.35</v>
      </c>
      <c r="R1286">
        <v>1363256</v>
      </c>
    </row>
    <row r="1287" spans="1:18" x14ac:dyDescent="0.25">
      <c r="A1287" s="170">
        <v>43901</v>
      </c>
      <c r="B1287" s="116">
        <v>112.02116346376501</v>
      </c>
      <c r="C1287" s="116">
        <v>110.760864783515</v>
      </c>
      <c r="D1287" s="116">
        <v>108.28874044917799</v>
      </c>
      <c r="E1287" s="116">
        <v>111.584906228294</v>
      </c>
      <c r="F1287" s="116">
        <v>114.25</v>
      </c>
      <c r="G1287">
        <v>116633</v>
      </c>
      <c r="H1287" s="116"/>
      <c r="I1287" s="116"/>
      <c r="L1287" s="170">
        <v>43901</v>
      </c>
      <c r="M1287" s="116">
        <v>114.1</v>
      </c>
      <c r="N1287" s="116">
        <v>115.9</v>
      </c>
      <c r="O1287" s="116">
        <v>111.75</v>
      </c>
      <c r="P1287" s="116">
        <v>115</v>
      </c>
      <c r="Q1287" s="116">
        <v>114.1</v>
      </c>
      <c r="R1287">
        <v>1807420</v>
      </c>
    </row>
    <row r="1288" spans="1:18" x14ac:dyDescent="0.25">
      <c r="A1288" s="170">
        <v>43902</v>
      </c>
      <c r="B1288" s="116">
        <v>114.396341745774</v>
      </c>
      <c r="C1288" s="116">
        <v>107.076914795091</v>
      </c>
      <c r="D1288" s="116">
        <v>93.601413521648496</v>
      </c>
      <c r="E1288" s="116">
        <v>106.73760361194699</v>
      </c>
      <c r="F1288" s="116">
        <v>110.45</v>
      </c>
      <c r="G1288">
        <v>380621</v>
      </c>
      <c r="H1288" s="116"/>
      <c r="I1288" s="116"/>
      <c r="L1288" s="170">
        <v>43902</v>
      </c>
      <c r="M1288" s="116">
        <v>110.1</v>
      </c>
      <c r="N1288" s="116">
        <v>117.4</v>
      </c>
      <c r="O1288" s="116">
        <v>96.4</v>
      </c>
      <c r="P1288" s="116">
        <v>109.35</v>
      </c>
      <c r="Q1288" s="116">
        <v>110.1</v>
      </c>
      <c r="R1288">
        <v>21657388</v>
      </c>
    </row>
    <row r="1289" spans="1:18" x14ac:dyDescent="0.25">
      <c r="A1289" s="170">
        <v>43903</v>
      </c>
      <c r="B1289" s="116">
        <v>113.620773327159</v>
      </c>
      <c r="C1289" s="116">
        <v>111.92421741143799</v>
      </c>
      <c r="D1289" s="116">
        <v>93.068210233850394</v>
      </c>
      <c r="E1289" s="116">
        <v>93.068210233850394</v>
      </c>
      <c r="F1289" s="116">
        <v>115.45</v>
      </c>
      <c r="G1289">
        <v>124198</v>
      </c>
      <c r="H1289" s="116"/>
      <c r="I1289" s="116"/>
      <c r="L1289" s="170">
        <v>43903</v>
      </c>
      <c r="M1289" s="116">
        <v>115.15</v>
      </c>
      <c r="N1289" s="116">
        <v>116.65</v>
      </c>
      <c r="O1289" s="116">
        <v>100.05</v>
      </c>
      <c r="P1289" s="116">
        <v>100.05</v>
      </c>
      <c r="Q1289" s="116">
        <v>115.15</v>
      </c>
      <c r="R1289">
        <v>5726676</v>
      </c>
    </row>
    <row r="1290" spans="1:18" x14ac:dyDescent="0.25">
      <c r="A1290" s="170">
        <v>43906</v>
      </c>
      <c r="B1290" s="116">
        <v>106.883022690438</v>
      </c>
      <c r="C1290" s="116">
        <v>105.331885853207</v>
      </c>
      <c r="D1290" s="116">
        <v>96.9460523269275</v>
      </c>
      <c r="E1290" s="116">
        <v>104.75020953924501</v>
      </c>
      <c r="F1290" s="116">
        <v>108.65</v>
      </c>
      <c r="G1290">
        <v>105033</v>
      </c>
      <c r="H1290" s="116"/>
      <c r="I1290" s="116"/>
      <c r="L1290" s="170">
        <v>43906</v>
      </c>
      <c r="M1290" s="116">
        <v>109.15</v>
      </c>
      <c r="N1290" s="116">
        <v>110.45</v>
      </c>
      <c r="O1290" s="116">
        <v>99.85</v>
      </c>
      <c r="P1290" s="116">
        <v>106.2</v>
      </c>
      <c r="Q1290" s="116">
        <v>109.15</v>
      </c>
      <c r="R1290">
        <v>4693097</v>
      </c>
    </row>
    <row r="1291" spans="1:18" x14ac:dyDescent="0.25">
      <c r="A1291" s="170">
        <v>43907</v>
      </c>
      <c r="B1291" s="116">
        <v>104.99257467006299</v>
      </c>
      <c r="C1291" s="116">
        <v>96.461322065292904</v>
      </c>
      <c r="D1291" s="116">
        <v>96.025064829821702</v>
      </c>
      <c r="E1291" s="116">
        <v>101.793354943274</v>
      </c>
      <c r="F1291" s="116">
        <v>99.5</v>
      </c>
      <c r="G1291">
        <v>88995</v>
      </c>
      <c r="H1291" s="116"/>
      <c r="I1291" s="116"/>
      <c r="L1291" s="170">
        <v>43907</v>
      </c>
      <c r="M1291" s="116">
        <v>99.75</v>
      </c>
      <c r="N1291" s="116">
        <v>109.15</v>
      </c>
      <c r="O1291" s="116">
        <v>99</v>
      </c>
      <c r="P1291" s="116">
        <v>106</v>
      </c>
      <c r="Q1291" s="116">
        <v>99.75</v>
      </c>
      <c r="R1291">
        <v>3319778</v>
      </c>
    </row>
    <row r="1292" spans="1:18" x14ac:dyDescent="0.25">
      <c r="A1292" s="170">
        <v>43908</v>
      </c>
      <c r="B1292" s="116">
        <v>99.563595739754604</v>
      </c>
      <c r="C1292" s="116">
        <v>86.912135911090502</v>
      </c>
      <c r="D1292" s="116">
        <v>84.197646445936599</v>
      </c>
      <c r="E1292" s="116">
        <v>98.642608242648805</v>
      </c>
      <c r="F1292" s="116">
        <v>89.65</v>
      </c>
      <c r="G1292">
        <v>108917</v>
      </c>
      <c r="H1292" s="116"/>
      <c r="I1292" s="116"/>
      <c r="L1292" s="170">
        <v>43908</v>
      </c>
      <c r="M1292" s="116">
        <v>90.05</v>
      </c>
      <c r="N1292" s="116">
        <v>102.95</v>
      </c>
      <c r="O1292" s="116">
        <v>86.65</v>
      </c>
      <c r="P1292" s="116">
        <v>100.35</v>
      </c>
      <c r="Q1292" s="116">
        <v>90.05</v>
      </c>
      <c r="R1292">
        <v>2058750</v>
      </c>
    </row>
    <row r="1293" spans="1:18" x14ac:dyDescent="0.25">
      <c r="A1293" s="170">
        <v>43909</v>
      </c>
      <c r="B1293" s="116">
        <v>86.766716832600096</v>
      </c>
      <c r="C1293" s="116">
        <v>80.756061588330596</v>
      </c>
      <c r="D1293" s="116">
        <v>78.283937253993997</v>
      </c>
      <c r="E1293" s="116">
        <v>86.766716832600096</v>
      </c>
      <c r="F1293" s="116">
        <v>83.3</v>
      </c>
      <c r="G1293">
        <v>77375</v>
      </c>
      <c r="H1293" s="116"/>
      <c r="I1293" s="116"/>
      <c r="L1293" s="170">
        <v>43909</v>
      </c>
      <c r="M1293" s="116">
        <v>83.55</v>
      </c>
      <c r="N1293" s="116">
        <v>87.8</v>
      </c>
      <c r="O1293" s="116">
        <v>81</v>
      </c>
      <c r="P1293" s="116">
        <v>86.5</v>
      </c>
      <c r="Q1293" s="116">
        <v>83.55</v>
      </c>
      <c r="R1293">
        <v>1877988</v>
      </c>
    </row>
    <row r="1294" spans="1:18" x14ac:dyDescent="0.25">
      <c r="A1294" s="170">
        <v>43910</v>
      </c>
      <c r="B1294" s="116">
        <v>89.190368140773302</v>
      </c>
      <c r="C1294" s="116">
        <v>87.881596434359807</v>
      </c>
      <c r="D1294" s="116">
        <v>79.980493169715203</v>
      </c>
      <c r="E1294" s="116">
        <v>82.404144477888394</v>
      </c>
      <c r="F1294" s="116">
        <v>90.65</v>
      </c>
      <c r="G1294">
        <v>69833</v>
      </c>
      <c r="H1294" s="116"/>
      <c r="I1294" s="116"/>
      <c r="L1294" s="170">
        <v>43910</v>
      </c>
      <c r="M1294" s="116">
        <v>90.6</v>
      </c>
      <c r="N1294" s="116">
        <v>92</v>
      </c>
      <c r="O1294" s="116">
        <v>82.2</v>
      </c>
      <c r="P1294" s="116">
        <v>84</v>
      </c>
      <c r="Q1294" s="116">
        <v>90.6</v>
      </c>
      <c r="R1294">
        <v>1149543</v>
      </c>
    </row>
    <row r="1295" spans="1:18" x14ac:dyDescent="0.25">
      <c r="A1295" s="170">
        <v>43913</v>
      </c>
      <c r="B1295" s="116">
        <v>87.154501041907906</v>
      </c>
      <c r="C1295" s="116">
        <v>72.370228062051396</v>
      </c>
      <c r="D1295" s="116">
        <v>70.770618198657104</v>
      </c>
      <c r="E1295" s="116">
        <v>87.154501041907906</v>
      </c>
      <c r="F1295" s="116">
        <v>74.650000000000006</v>
      </c>
      <c r="G1295">
        <v>73417</v>
      </c>
      <c r="H1295" s="116"/>
      <c r="I1295" s="116"/>
      <c r="L1295" s="170">
        <v>43913</v>
      </c>
      <c r="M1295" s="116">
        <v>74.650000000000006</v>
      </c>
      <c r="N1295" s="116">
        <v>85.7</v>
      </c>
      <c r="O1295" s="116">
        <v>73.2</v>
      </c>
      <c r="P1295" s="116">
        <v>80</v>
      </c>
      <c r="Q1295" s="116">
        <v>74.650000000000006</v>
      </c>
      <c r="R1295">
        <v>1638469</v>
      </c>
    </row>
    <row r="1296" spans="1:18" x14ac:dyDescent="0.25">
      <c r="A1296" s="170">
        <v>43914</v>
      </c>
      <c r="B1296" s="116">
        <v>78.283937253993997</v>
      </c>
      <c r="C1296" s="116">
        <v>74.599987265570704</v>
      </c>
      <c r="D1296" s="116">
        <v>70.285887937022494</v>
      </c>
      <c r="E1296" s="116">
        <v>76.587381338272706</v>
      </c>
      <c r="F1296" s="116">
        <v>76.95</v>
      </c>
      <c r="G1296">
        <v>54835</v>
      </c>
      <c r="H1296" s="116"/>
      <c r="I1296" s="116"/>
      <c r="L1296" s="170">
        <v>43914</v>
      </c>
      <c r="M1296" s="116">
        <v>77.150000000000006</v>
      </c>
      <c r="N1296" s="116">
        <v>80.7</v>
      </c>
      <c r="O1296" s="116">
        <v>73.25</v>
      </c>
      <c r="P1296" s="116">
        <v>75.5</v>
      </c>
      <c r="Q1296" s="116">
        <v>77.150000000000006</v>
      </c>
      <c r="R1296">
        <v>1045057</v>
      </c>
    </row>
    <row r="1297" spans="1:18" x14ac:dyDescent="0.25">
      <c r="A1297" s="170">
        <v>43915</v>
      </c>
      <c r="B1297" s="116">
        <v>78.526302384811302</v>
      </c>
      <c r="C1297" s="116">
        <v>73.097323454503396</v>
      </c>
      <c r="D1297" s="116">
        <v>69.995049780041697</v>
      </c>
      <c r="E1297" s="116">
        <v>74.793879370224602</v>
      </c>
      <c r="F1297" s="116">
        <v>75.400000000000006</v>
      </c>
      <c r="G1297">
        <v>269291</v>
      </c>
      <c r="H1297" s="116"/>
      <c r="I1297" s="116"/>
      <c r="L1297" s="170">
        <v>43915</v>
      </c>
      <c r="M1297" s="116">
        <v>75.55</v>
      </c>
      <c r="N1297" s="116">
        <v>81</v>
      </c>
      <c r="O1297" s="116">
        <v>72.099999999999994</v>
      </c>
      <c r="P1297" s="116">
        <v>74</v>
      </c>
      <c r="Q1297" s="116">
        <v>75.55</v>
      </c>
      <c r="R1297">
        <v>4363598</v>
      </c>
    </row>
    <row r="1298" spans="1:18" x14ac:dyDescent="0.25">
      <c r="A1298" s="170">
        <v>43916</v>
      </c>
      <c r="B1298" s="116">
        <v>79.980493169715203</v>
      </c>
      <c r="C1298" s="116">
        <v>75.569447788839994</v>
      </c>
      <c r="D1298" s="116">
        <v>69.7042116230609</v>
      </c>
      <c r="E1298" s="116">
        <v>76.587381338272706</v>
      </c>
      <c r="F1298" s="116">
        <v>77.95</v>
      </c>
      <c r="G1298">
        <v>201897</v>
      </c>
      <c r="H1298" s="116"/>
      <c r="I1298" s="116"/>
      <c r="L1298" s="170">
        <v>43916</v>
      </c>
      <c r="M1298" s="116">
        <v>78.25</v>
      </c>
      <c r="N1298" s="116">
        <v>82.95</v>
      </c>
      <c r="O1298" s="116">
        <v>73.3</v>
      </c>
      <c r="P1298" s="116">
        <v>74.599999999999994</v>
      </c>
      <c r="Q1298" s="116">
        <v>78.25</v>
      </c>
      <c r="R1298">
        <v>2721401</v>
      </c>
    </row>
    <row r="1299" spans="1:18" x14ac:dyDescent="0.25">
      <c r="A1299" s="170">
        <v>43917</v>
      </c>
      <c r="B1299" s="116">
        <v>81.240791849965305</v>
      </c>
      <c r="C1299" s="116">
        <v>73.533580689974499</v>
      </c>
      <c r="D1299" s="116">
        <v>70.770618198657104</v>
      </c>
      <c r="E1299" s="116">
        <v>81.240791849965305</v>
      </c>
      <c r="F1299" s="116">
        <v>75.849999999999994</v>
      </c>
      <c r="G1299">
        <v>85546</v>
      </c>
      <c r="H1299" s="116"/>
      <c r="I1299" s="116"/>
      <c r="L1299" s="170">
        <v>43917</v>
      </c>
      <c r="M1299" s="116">
        <v>75.900000000000006</v>
      </c>
      <c r="N1299" s="116">
        <v>81.25</v>
      </c>
      <c r="O1299" s="116">
        <v>74.099999999999994</v>
      </c>
      <c r="P1299" s="116">
        <v>79</v>
      </c>
      <c r="Q1299" s="116">
        <v>75.900000000000006</v>
      </c>
      <c r="R1299">
        <v>1146598</v>
      </c>
    </row>
    <row r="1300" spans="1:18" x14ac:dyDescent="0.25">
      <c r="A1300" s="170">
        <v>43920</v>
      </c>
      <c r="B1300" s="116">
        <v>79.398816855753694</v>
      </c>
      <c r="C1300" s="116">
        <v>72.854958323686006</v>
      </c>
      <c r="D1300" s="116">
        <v>71.061456355637901</v>
      </c>
      <c r="E1300" s="116">
        <v>73.630526742301498</v>
      </c>
      <c r="F1300" s="116">
        <v>75.150000000000006</v>
      </c>
      <c r="G1300">
        <v>43383</v>
      </c>
      <c r="H1300" s="116"/>
      <c r="I1300" s="116"/>
      <c r="L1300" s="170">
        <v>43920</v>
      </c>
      <c r="M1300" s="116">
        <v>75.2</v>
      </c>
      <c r="N1300" s="116">
        <v>77.599999999999994</v>
      </c>
      <c r="O1300" s="116">
        <v>73.25</v>
      </c>
      <c r="P1300" s="116">
        <v>75.900000000000006</v>
      </c>
      <c r="Q1300" s="116">
        <v>75.2</v>
      </c>
      <c r="R1300">
        <v>1474945</v>
      </c>
    </row>
    <row r="1301" spans="1:18" x14ac:dyDescent="0.25">
      <c r="A1301" s="170">
        <v>43921</v>
      </c>
      <c r="B1301" s="116">
        <v>76.587381338272706</v>
      </c>
      <c r="C1301" s="116">
        <v>72.612593192868701</v>
      </c>
      <c r="D1301" s="116">
        <v>71.109929381801294</v>
      </c>
      <c r="E1301" s="116">
        <v>76.538908312109299</v>
      </c>
      <c r="F1301" s="116">
        <v>74.900000000000006</v>
      </c>
      <c r="G1301">
        <v>40974</v>
      </c>
      <c r="H1301" s="116"/>
      <c r="I1301" s="116"/>
      <c r="L1301" s="170">
        <v>43921</v>
      </c>
      <c r="M1301" s="116">
        <v>75</v>
      </c>
      <c r="N1301" s="116">
        <v>77</v>
      </c>
      <c r="O1301" s="116">
        <v>73.3</v>
      </c>
      <c r="P1301" s="116">
        <v>77</v>
      </c>
      <c r="Q1301" s="116">
        <v>75</v>
      </c>
      <c r="R1301">
        <v>1441863</v>
      </c>
    </row>
    <row r="1302" spans="1:18" x14ac:dyDescent="0.25">
      <c r="A1302" s="170">
        <v>43922</v>
      </c>
      <c r="B1302" s="116">
        <v>73.339688585320701</v>
      </c>
      <c r="C1302" s="116">
        <v>69.849630701551305</v>
      </c>
      <c r="D1302" s="116">
        <v>68.1530747858301</v>
      </c>
      <c r="E1302" s="116">
        <v>72.7095392451956</v>
      </c>
      <c r="F1302" s="116">
        <v>72.05</v>
      </c>
      <c r="G1302">
        <v>53176</v>
      </c>
      <c r="H1302" s="116"/>
      <c r="I1302" s="116"/>
      <c r="L1302" s="170">
        <v>43922</v>
      </c>
      <c r="M1302" s="116">
        <v>72</v>
      </c>
      <c r="N1302" s="116">
        <v>76.5</v>
      </c>
      <c r="O1302" s="116">
        <v>70.3</v>
      </c>
      <c r="P1302" s="116">
        <v>74.5</v>
      </c>
      <c r="Q1302" s="116">
        <v>72</v>
      </c>
      <c r="R1302">
        <v>2806461</v>
      </c>
    </row>
    <row r="1303" spans="1:18" x14ac:dyDescent="0.25">
      <c r="A1303" s="170">
        <v>43924</v>
      </c>
      <c r="B1303" s="116">
        <v>70.673672146330205</v>
      </c>
      <c r="C1303" s="116">
        <v>67.280560314887694</v>
      </c>
      <c r="D1303" s="116">
        <v>66.941249131743504</v>
      </c>
      <c r="E1303" s="116">
        <v>70.285887937022494</v>
      </c>
      <c r="F1303" s="116">
        <v>69.400000000000006</v>
      </c>
      <c r="G1303">
        <v>60084</v>
      </c>
      <c r="H1303" s="116"/>
      <c r="I1303" s="116"/>
      <c r="L1303" s="170">
        <v>43924</v>
      </c>
      <c r="M1303" s="116">
        <v>69.349999999999994</v>
      </c>
      <c r="N1303" s="116">
        <v>73.8</v>
      </c>
      <c r="O1303" s="116">
        <v>69</v>
      </c>
      <c r="P1303" s="116">
        <v>73.8</v>
      </c>
      <c r="Q1303" s="116">
        <v>69.349999999999994</v>
      </c>
      <c r="R1303">
        <v>1324966</v>
      </c>
    </row>
    <row r="1304" spans="1:18" x14ac:dyDescent="0.25">
      <c r="A1304" s="170">
        <v>43928</v>
      </c>
      <c r="B1304" s="116">
        <v>76.538908312109299</v>
      </c>
      <c r="C1304" s="116">
        <v>71.643132669599495</v>
      </c>
      <c r="D1304" s="116">
        <v>67.668344524195405</v>
      </c>
      <c r="E1304" s="116">
        <v>72.7095392451956</v>
      </c>
      <c r="F1304" s="116">
        <v>73.900000000000006</v>
      </c>
      <c r="G1304">
        <v>128236</v>
      </c>
      <c r="H1304" s="116"/>
      <c r="I1304" s="116"/>
      <c r="L1304" s="170">
        <v>43928</v>
      </c>
      <c r="M1304" s="116">
        <v>73.900000000000006</v>
      </c>
      <c r="N1304" s="116">
        <v>75</v>
      </c>
      <c r="O1304" s="116">
        <v>69.75</v>
      </c>
      <c r="P1304" s="116">
        <v>75</v>
      </c>
      <c r="Q1304" s="116">
        <v>73.900000000000006</v>
      </c>
      <c r="R1304">
        <v>2760515</v>
      </c>
    </row>
    <row r="1305" spans="1:18" x14ac:dyDescent="0.25">
      <c r="A1305" s="170">
        <v>43929</v>
      </c>
      <c r="B1305" s="116">
        <v>77.847680018522794</v>
      </c>
      <c r="C1305" s="116">
        <v>72.806485297522599</v>
      </c>
      <c r="D1305" s="116">
        <v>70.528253067839799</v>
      </c>
      <c r="E1305" s="116">
        <v>75.036244501041907</v>
      </c>
      <c r="F1305" s="116">
        <v>75.099999999999994</v>
      </c>
      <c r="G1305">
        <v>629203</v>
      </c>
      <c r="H1305" s="116"/>
      <c r="I1305" s="116"/>
      <c r="L1305" s="170">
        <v>43929</v>
      </c>
      <c r="M1305" s="116">
        <v>75.05</v>
      </c>
      <c r="N1305" s="116">
        <v>80.400000000000006</v>
      </c>
      <c r="O1305" s="116">
        <v>72.599999999999994</v>
      </c>
      <c r="P1305" s="116">
        <v>74.900000000000006</v>
      </c>
      <c r="Q1305" s="116">
        <v>75.05</v>
      </c>
      <c r="R1305">
        <v>4302515</v>
      </c>
    </row>
    <row r="1306" spans="1:18" x14ac:dyDescent="0.25">
      <c r="A1306" s="170">
        <v>43930</v>
      </c>
      <c r="B1306" s="116">
        <v>76.538908312109299</v>
      </c>
      <c r="C1306" s="116">
        <v>72.854958323686006</v>
      </c>
      <c r="D1306" s="116">
        <v>72.030916878907107</v>
      </c>
      <c r="E1306" s="116">
        <v>76.538908312109299</v>
      </c>
      <c r="F1306" s="116">
        <v>75.150000000000006</v>
      </c>
      <c r="G1306">
        <v>87526</v>
      </c>
      <c r="H1306" s="116"/>
      <c r="I1306" s="116"/>
      <c r="L1306" s="170">
        <v>43930</v>
      </c>
      <c r="M1306" s="116">
        <v>75.349999999999994</v>
      </c>
      <c r="N1306" s="116">
        <v>77.45</v>
      </c>
      <c r="O1306" s="116">
        <v>74.400000000000006</v>
      </c>
      <c r="P1306" s="116">
        <v>76</v>
      </c>
      <c r="Q1306" s="116">
        <v>75.349999999999994</v>
      </c>
      <c r="R1306">
        <v>2069115</v>
      </c>
    </row>
    <row r="1307" spans="1:18" x14ac:dyDescent="0.25">
      <c r="A1307" s="170">
        <v>43934</v>
      </c>
      <c r="B1307" s="116">
        <v>73.678999768464905</v>
      </c>
      <c r="C1307" s="116">
        <v>70.237414910859002</v>
      </c>
      <c r="D1307" s="116">
        <v>69.801157675387799</v>
      </c>
      <c r="E1307" s="116">
        <v>73.678999768464905</v>
      </c>
      <c r="F1307" s="116">
        <v>72.45</v>
      </c>
      <c r="G1307">
        <v>87650</v>
      </c>
      <c r="H1307" s="116"/>
      <c r="I1307" s="116"/>
      <c r="L1307" s="170">
        <v>43934</v>
      </c>
      <c r="M1307" s="116">
        <v>72.45</v>
      </c>
      <c r="N1307" s="116">
        <v>75.2</v>
      </c>
      <c r="O1307" s="116">
        <v>72.2</v>
      </c>
      <c r="P1307" s="116">
        <v>75</v>
      </c>
      <c r="Q1307" s="116">
        <v>72.45</v>
      </c>
      <c r="R1307">
        <v>2620169</v>
      </c>
    </row>
    <row r="1308" spans="1:18" x14ac:dyDescent="0.25">
      <c r="A1308" s="170">
        <v>43936</v>
      </c>
      <c r="B1308" s="116">
        <v>82.064833294744204</v>
      </c>
      <c r="C1308" s="116">
        <v>79.738128038897898</v>
      </c>
      <c r="D1308" s="116">
        <v>70.237414910859002</v>
      </c>
      <c r="E1308" s="116">
        <v>70.285887937022494</v>
      </c>
      <c r="F1308" s="116">
        <v>82.25</v>
      </c>
      <c r="G1308">
        <v>202989</v>
      </c>
      <c r="H1308" s="116"/>
      <c r="I1308" s="116"/>
      <c r="L1308" s="170">
        <v>43936</v>
      </c>
      <c r="M1308" s="116">
        <v>82.25</v>
      </c>
      <c r="N1308" s="116">
        <v>84.8</v>
      </c>
      <c r="O1308" s="116">
        <v>72.2</v>
      </c>
      <c r="P1308" s="116">
        <v>72.2</v>
      </c>
      <c r="Q1308" s="116">
        <v>82.25</v>
      </c>
      <c r="R1308">
        <v>8202964</v>
      </c>
    </row>
    <row r="1309" spans="1:18" x14ac:dyDescent="0.25">
      <c r="A1309" s="170">
        <v>43937</v>
      </c>
      <c r="B1309" s="116">
        <v>80.901480666821001</v>
      </c>
      <c r="C1309" s="116">
        <v>78.380883306320897</v>
      </c>
      <c r="D1309" s="116">
        <v>76.248070155128502</v>
      </c>
      <c r="E1309" s="116">
        <v>78.671721463301694</v>
      </c>
      <c r="F1309" s="116">
        <v>80.849999999999994</v>
      </c>
      <c r="G1309">
        <v>136481</v>
      </c>
      <c r="H1309" s="116"/>
      <c r="I1309" s="116"/>
      <c r="L1309" s="170">
        <v>43937</v>
      </c>
      <c r="M1309" s="116">
        <v>80.7</v>
      </c>
      <c r="N1309" s="116">
        <v>83.5</v>
      </c>
      <c r="O1309" s="116">
        <v>78.150000000000006</v>
      </c>
      <c r="P1309" s="116">
        <v>79</v>
      </c>
      <c r="Q1309" s="116">
        <v>80.7</v>
      </c>
      <c r="R1309">
        <v>3277041</v>
      </c>
    </row>
    <row r="1310" spans="1:18" x14ac:dyDescent="0.25">
      <c r="A1310" s="170">
        <v>43938</v>
      </c>
      <c r="B1310" s="116">
        <v>82.404144477888394</v>
      </c>
      <c r="C1310" s="116">
        <v>78.041572123176707</v>
      </c>
      <c r="D1310" s="116">
        <v>77.653787913868996</v>
      </c>
      <c r="E1310" s="116">
        <v>81.434683954619103</v>
      </c>
      <c r="F1310" s="116">
        <v>80.5</v>
      </c>
      <c r="G1310">
        <v>79472</v>
      </c>
      <c r="H1310" s="116"/>
      <c r="I1310" s="116"/>
      <c r="L1310" s="170">
        <v>43938</v>
      </c>
      <c r="M1310" s="116">
        <v>80.5</v>
      </c>
      <c r="N1310" s="116">
        <v>85</v>
      </c>
      <c r="O1310" s="116">
        <v>80.099999999999994</v>
      </c>
      <c r="P1310" s="116">
        <v>84</v>
      </c>
      <c r="Q1310" s="116">
        <v>80.5</v>
      </c>
      <c r="R1310">
        <v>1368527</v>
      </c>
    </row>
    <row r="1311" spans="1:18" x14ac:dyDescent="0.25">
      <c r="A1311" s="170">
        <v>43941</v>
      </c>
      <c r="B1311" s="116">
        <v>82.210252373234496</v>
      </c>
      <c r="C1311" s="116">
        <v>79.011032646445898</v>
      </c>
      <c r="D1311" s="116">
        <v>78.671721463301694</v>
      </c>
      <c r="E1311" s="116">
        <v>79.883547117388304</v>
      </c>
      <c r="F1311" s="116">
        <v>81.5</v>
      </c>
      <c r="G1311">
        <v>79635</v>
      </c>
      <c r="H1311" s="116"/>
      <c r="I1311" s="116"/>
      <c r="L1311" s="170">
        <v>43941</v>
      </c>
      <c r="M1311" s="116">
        <v>81.400000000000006</v>
      </c>
      <c r="N1311" s="116">
        <v>84.95</v>
      </c>
      <c r="O1311" s="116">
        <v>81.099999999999994</v>
      </c>
      <c r="P1311" s="116">
        <v>83.8</v>
      </c>
      <c r="Q1311" s="116">
        <v>81.400000000000006</v>
      </c>
      <c r="R1311">
        <v>1316184</v>
      </c>
    </row>
    <row r="1312" spans="1:18" x14ac:dyDescent="0.25">
      <c r="A1312" s="170">
        <v>43942</v>
      </c>
      <c r="B1312" s="116">
        <v>78.526302384811302</v>
      </c>
      <c r="C1312" s="116">
        <v>77.217530678397793</v>
      </c>
      <c r="D1312" s="116">
        <v>74.309149108590006</v>
      </c>
      <c r="E1312" s="116">
        <v>78.526302384811302</v>
      </c>
      <c r="F1312" s="116">
        <v>79.650000000000006</v>
      </c>
      <c r="G1312">
        <v>78649</v>
      </c>
      <c r="H1312" s="116"/>
      <c r="I1312" s="116"/>
      <c r="L1312" s="170">
        <v>43942</v>
      </c>
      <c r="M1312" s="116">
        <v>79.599999999999994</v>
      </c>
      <c r="N1312" s="116">
        <v>80</v>
      </c>
      <c r="O1312" s="116">
        <v>76.349999999999994</v>
      </c>
      <c r="P1312" s="116">
        <v>79.95</v>
      </c>
      <c r="Q1312" s="116">
        <v>79.599999999999994</v>
      </c>
      <c r="R1312">
        <v>6219676</v>
      </c>
    </row>
    <row r="1313" spans="1:18" x14ac:dyDescent="0.25">
      <c r="A1313" s="170">
        <v>43943</v>
      </c>
      <c r="B1313" s="116">
        <v>81.046899745311407</v>
      </c>
      <c r="C1313" s="116">
        <v>75.424028710349603</v>
      </c>
      <c r="D1313" s="116">
        <v>74.503041213243804</v>
      </c>
      <c r="E1313" s="116">
        <v>80.077439222042102</v>
      </c>
      <c r="F1313" s="116">
        <v>77.8</v>
      </c>
      <c r="G1313">
        <v>121652</v>
      </c>
      <c r="H1313" s="116"/>
      <c r="I1313" s="116"/>
      <c r="L1313" s="170">
        <v>43943</v>
      </c>
      <c r="M1313" s="116">
        <v>77.7</v>
      </c>
      <c r="N1313" s="116">
        <v>83.95</v>
      </c>
      <c r="O1313" s="116">
        <v>76.75</v>
      </c>
      <c r="P1313" s="116">
        <v>81.849999999999994</v>
      </c>
      <c r="Q1313" s="116">
        <v>77.7</v>
      </c>
      <c r="R1313">
        <v>7901392</v>
      </c>
    </row>
    <row r="1314" spans="1:18" x14ac:dyDescent="0.25">
      <c r="A1314" s="170">
        <v>43944</v>
      </c>
      <c r="B1314" s="116">
        <v>79.544235934244</v>
      </c>
      <c r="C1314" s="116">
        <v>76.296543181291995</v>
      </c>
      <c r="D1314" s="116">
        <v>74.939298448714993</v>
      </c>
      <c r="E1314" s="116">
        <v>75.617920815003501</v>
      </c>
      <c r="F1314" s="116">
        <v>78.7</v>
      </c>
      <c r="G1314">
        <v>207074</v>
      </c>
      <c r="H1314" s="116"/>
      <c r="I1314" s="116"/>
      <c r="L1314" s="170">
        <v>43944</v>
      </c>
      <c r="M1314" s="116">
        <v>78.7</v>
      </c>
      <c r="N1314" s="116">
        <v>82</v>
      </c>
      <c r="O1314" s="116">
        <v>77.25</v>
      </c>
      <c r="P1314" s="116">
        <v>77.25</v>
      </c>
      <c r="Q1314" s="116">
        <v>78.7</v>
      </c>
      <c r="R1314">
        <v>4236730</v>
      </c>
    </row>
    <row r="1315" spans="1:18" x14ac:dyDescent="0.25">
      <c r="A1315" s="170">
        <v>43945</v>
      </c>
      <c r="B1315" s="116">
        <v>78.090045149340099</v>
      </c>
      <c r="C1315" s="116">
        <v>73.775945820791804</v>
      </c>
      <c r="D1315" s="116">
        <v>73.388161611484193</v>
      </c>
      <c r="E1315" s="116">
        <v>76.587381338272706</v>
      </c>
      <c r="F1315" s="116">
        <v>76.099999999999994</v>
      </c>
      <c r="G1315">
        <v>98131</v>
      </c>
      <c r="H1315" s="116"/>
      <c r="I1315" s="116"/>
      <c r="L1315" s="170">
        <v>43945</v>
      </c>
      <c r="M1315" s="116">
        <v>76</v>
      </c>
      <c r="N1315" s="116">
        <v>80.7</v>
      </c>
      <c r="O1315" s="116">
        <v>75.349999999999994</v>
      </c>
      <c r="P1315" s="116">
        <v>77.599999999999994</v>
      </c>
      <c r="Q1315" s="116">
        <v>76</v>
      </c>
      <c r="R1315">
        <v>2580911</v>
      </c>
    </row>
    <row r="1316" spans="1:18" x14ac:dyDescent="0.25">
      <c r="A1316" s="170">
        <v>43948</v>
      </c>
      <c r="B1316" s="116">
        <v>77.362949756888199</v>
      </c>
      <c r="C1316" s="116">
        <v>71.9824438527437</v>
      </c>
      <c r="D1316" s="116">
        <v>71.740078721926395</v>
      </c>
      <c r="E1316" s="116">
        <v>76.587381338272706</v>
      </c>
      <c r="F1316" s="116">
        <v>74.25</v>
      </c>
      <c r="G1316">
        <v>142353</v>
      </c>
      <c r="H1316" s="116"/>
      <c r="I1316" s="116"/>
      <c r="L1316" s="170">
        <v>43948</v>
      </c>
      <c r="M1316" s="116">
        <v>74.2</v>
      </c>
      <c r="N1316" s="116">
        <v>79.8</v>
      </c>
      <c r="O1316" s="116">
        <v>73.8</v>
      </c>
      <c r="P1316" s="116">
        <v>76.349999999999994</v>
      </c>
      <c r="Q1316" s="116">
        <v>74.2</v>
      </c>
      <c r="R1316">
        <v>1648921</v>
      </c>
    </row>
    <row r="1317" spans="1:18" x14ac:dyDescent="0.25">
      <c r="A1317" s="170">
        <v>43949</v>
      </c>
      <c r="B1317" s="116">
        <v>73.678999768464905</v>
      </c>
      <c r="C1317" s="116">
        <v>72.854958323686006</v>
      </c>
      <c r="D1317" s="116">
        <v>71.109929381801294</v>
      </c>
      <c r="E1317" s="116">
        <v>73.678999768464905</v>
      </c>
      <c r="F1317" s="116">
        <v>75.150000000000006</v>
      </c>
      <c r="G1317">
        <v>47141</v>
      </c>
      <c r="H1317" s="116"/>
      <c r="I1317" s="116"/>
      <c r="L1317" s="170">
        <v>43949</v>
      </c>
      <c r="M1317" s="116">
        <v>75.099999999999994</v>
      </c>
      <c r="N1317" s="116">
        <v>76</v>
      </c>
      <c r="O1317" s="116">
        <v>73.400000000000006</v>
      </c>
      <c r="P1317" s="116">
        <v>74.849999999999994</v>
      </c>
      <c r="Q1317" s="116">
        <v>75.099999999999994</v>
      </c>
      <c r="R1317">
        <v>2926315</v>
      </c>
    </row>
    <row r="1318" spans="1:18" x14ac:dyDescent="0.25">
      <c r="A1318" s="170">
        <v>43950</v>
      </c>
      <c r="B1318" s="116">
        <v>74.406095160916905</v>
      </c>
      <c r="C1318" s="116">
        <v>73.048850428339904</v>
      </c>
      <c r="D1318" s="116">
        <v>72.806485297522599</v>
      </c>
      <c r="E1318" s="116">
        <v>74.406095160916905</v>
      </c>
      <c r="F1318" s="116">
        <v>75.349999999999994</v>
      </c>
      <c r="G1318">
        <v>46340</v>
      </c>
      <c r="H1318" s="116"/>
      <c r="I1318" s="116"/>
      <c r="L1318" s="170">
        <v>43950</v>
      </c>
      <c r="M1318" s="116">
        <v>75.349999999999994</v>
      </c>
      <c r="N1318" s="116">
        <v>76.400000000000006</v>
      </c>
      <c r="O1318" s="116">
        <v>75</v>
      </c>
      <c r="P1318" s="116">
        <v>75.25</v>
      </c>
      <c r="Q1318" s="116">
        <v>75.349999999999994</v>
      </c>
      <c r="R1318">
        <v>560417</v>
      </c>
    </row>
    <row r="1319" spans="1:18" x14ac:dyDescent="0.25">
      <c r="A1319" s="170">
        <v>43951</v>
      </c>
      <c r="B1319" s="116">
        <v>78.526302384811302</v>
      </c>
      <c r="C1319" s="116">
        <v>77.411422783051606</v>
      </c>
      <c r="D1319" s="116">
        <v>73.678999768464905</v>
      </c>
      <c r="E1319" s="116">
        <v>73.678999768464905</v>
      </c>
      <c r="F1319" s="116">
        <v>79.849999999999994</v>
      </c>
      <c r="G1319">
        <v>241636</v>
      </c>
      <c r="H1319" s="116"/>
      <c r="I1319" s="116"/>
      <c r="L1319" s="170">
        <v>43951</v>
      </c>
      <c r="M1319" s="116">
        <v>79.900000000000006</v>
      </c>
      <c r="N1319" s="116">
        <v>81</v>
      </c>
      <c r="O1319" s="116">
        <v>75.650000000000006</v>
      </c>
      <c r="P1319" s="116">
        <v>75.650000000000006</v>
      </c>
      <c r="Q1319" s="116">
        <v>79.900000000000006</v>
      </c>
      <c r="R1319">
        <v>4184284</v>
      </c>
    </row>
    <row r="1320" spans="1:18" x14ac:dyDescent="0.25">
      <c r="A1320" s="170">
        <v>43955</v>
      </c>
      <c r="B1320" s="116">
        <v>76.732800416763197</v>
      </c>
      <c r="C1320" s="116">
        <v>70.479780041676307</v>
      </c>
      <c r="D1320" s="116">
        <v>70.285887937022494</v>
      </c>
      <c r="E1320" s="116">
        <v>76.732800416763197</v>
      </c>
      <c r="F1320" s="116">
        <v>72.7</v>
      </c>
      <c r="G1320">
        <v>142683</v>
      </c>
      <c r="H1320" s="116"/>
      <c r="I1320" s="116"/>
      <c r="L1320" s="170">
        <v>43955</v>
      </c>
      <c r="M1320" s="116">
        <v>72.650000000000006</v>
      </c>
      <c r="N1320" s="116">
        <v>77</v>
      </c>
      <c r="O1320" s="116">
        <v>72.45</v>
      </c>
      <c r="P1320" s="116">
        <v>77</v>
      </c>
      <c r="Q1320" s="116">
        <v>72.650000000000006</v>
      </c>
      <c r="R1320">
        <v>2044536</v>
      </c>
    </row>
    <row r="1321" spans="1:18" x14ac:dyDescent="0.25">
      <c r="A1321" s="170">
        <v>43956</v>
      </c>
      <c r="B1321" s="116">
        <v>72.515647140541802</v>
      </c>
      <c r="C1321" s="116">
        <v>70.819091224820596</v>
      </c>
      <c r="D1321" s="116">
        <v>69.946576753878205</v>
      </c>
      <c r="E1321" s="116">
        <v>72.224808983561005</v>
      </c>
      <c r="F1321" s="116">
        <v>73.05</v>
      </c>
      <c r="G1321">
        <v>86694</v>
      </c>
      <c r="H1321" s="116"/>
      <c r="I1321" s="116"/>
      <c r="L1321" s="170">
        <v>43956</v>
      </c>
      <c r="M1321" s="116">
        <v>73.099999999999994</v>
      </c>
      <c r="N1321" s="116">
        <v>74.45</v>
      </c>
      <c r="O1321" s="116">
        <v>72.2</v>
      </c>
      <c r="P1321" s="116">
        <v>74.45</v>
      </c>
      <c r="Q1321" s="116">
        <v>73.099999999999994</v>
      </c>
      <c r="R1321">
        <v>6707245</v>
      </c>
    </row>
    <row r="1322" spans="1:18" x14ac:dyDescent="0.25">
      <c r="A1322" s="170">
        <v>43957</v>
      </c>
      <c r="B1322" s="116">
        <v>71.109929381801294</v>
      </c>
      <c r="C1322" s="116">
        <v>69.364900439916696</v>
      </c>
      <c r="D1322" s="116">
        <v>69.074062282935898</v>
      </c>
      <c r="E1322" s="116">
        <v>70.819091224820596</v>
      </c>
      <c r="F1322" s="116">
        <v>71.55</v>
      </c>
      <c r="G1322">
        <v>55315</v>
      </c>
      <c r="H1322" s="116"/>
      <c r="I1322" s="116"/>
      <c r="L1322" s="170">
        <v>43957</v>
      </c>
      <c r="M1322" s="116">
        <v>71.45</v>
      </c>
      <c r="N1322" s="116">
        <v>73.849999999999994</v>
      </c>
      <c r="O1322" s="116">
        <v>71.099999999999994</v>
      </c>
      <c r="P1322" s="116">
        <v>73.849999999999994</v>
      </c>
      <c r="Q1322" s="116">
        <v>71.45</v>
      </c>
      <c r="R1322">
        <v>592120</v>
      </c>
    </row>
    <row r="1323" spans="1:18" x14ac:dyDescent="0.25">
      <c r="A1323" s="170">
        <v>43958</v>
      </c>
      <c r="B1323" s="116">
        <v>69.558792544570494</v>
      </c>
      <c r="C1323" s="116">
        <v>67.813763602685796</v>
      </c>
      <c r="D1323" s="116">
        <v>67.522925445704999</v>
      </c>
      <c r="E1323" s="116">
        <v>69.316427413753203</v>
      </c>
      <c r="F1323" s="116">
        <v>69.95</v>
      </c>
      <c r="G1323">
        <v>103018</v>
      </c>
      <c r="H1323" s="116"/>
      <c r="I1323" s="116"/>
      <c r="L1323" s="170">
        <v>43958</v>
      </c>
      <c r="M1323" s="116">
        <v>69.95</v>
      </c>
      <c r="N1323" s="116">
        <v>71.8</v>
      </c>
      <c r="O1323" s="116">
        <v>69.650000000000006</v>
      </c>
      <c r="P1323" s="116">
        <v>71.150000000000006</v>
      </c>
      <c r="Q1323" s="116">
        <v>69.95</v>
      </c>
      <c r="R1323">
        <v>1157428</v>
      </c>
    </row>
    <row r="1324" spans="1:18" x14ac:dyDescent="0.25">
      <c r="A1324" s="170">
        <v>43959</v>
      </c>
      <c r="B1324" s="116">
        <v>69.122535309099305</v>
      </c>
      <c r="C1324" s="116">
        <v>65.438585320676097</v>
      </c>
      <c r="D1324" s="116">
        <v>63.6450833526279</v>
      </c>
      <c r="E1324" s="116">
        <v>68.831697152118593</v>
      </c>
      <c r="F1324" s="116">
        <v>67.5</v>
      </c>
      <c r="G1324">
        <v>94666</v>
      </c>
      <c r="H1324" s="116"/>
      <c r="I1324" s="116"/>
      <c r="L1324" s="170">
        <v>43959</v>
      </c>
      <c r="M1324" s="116">
        <v>67.25</v>
      </c>
      <c r="N1324" s="116">
        <v>71.7</v>
      </c>
      <c r="O1324" s="116">
        <v>65.7</v>
      </c>
      <c r="P1324" s="116">
        <v>71</v>
      </c>
      <c r="Q1324" s="116">
        <v>67.25</v>
      </c>
      <c r="R1324">
        <v>1196854</v>
      </c>
    </row>
    <row r="1325" spans="1:18" x14ac:dyDescent="0.25">
      <c r="A1325" s="170">
        <v>43962</v>
      </c>
      <c r="B1325" s="116">
        <v>66.214153739291504</v>
      </c>
      <c r="C1325" s="116">
        <v>64.032867561935603</v>
      </c>
      <c r="D1325" s="116">
        <v>63.160353090993297</v>
      </c>
      <c r="E1325" s="116">
        <v>65.341639268349198</v>
      </c>
      <c r="F1325" s="116">
        <v>66.05</v>
      </c>
      <c r="G1325">
        <v>141708</v>
      </c>
      <c r="H1325" s="116"/>
      <c r="I1325" s="116"/>
      <c r="L1325" s="170">
        <v>43962</v>
      </c>
      <c r="M1325" s="116">
        <v>66.05</v>
      </c>
      <c r="N1325" s="116">
        <v>68.349999999999994</v>
      </c>
      <c r="O1325" s="116">
        <v>65.05</v>
      </c>
      <c r="P1325" s="116">
        <v>66.400000000000006</v>
      </c>
      <c r="Q1325" s="116">
        <v>66.05</v>
      </c>
      <c r="R1325">
        <v>1708999</v>
      </c>
    </row>
    <row r="1326" spans="1:18" x14ac:dyDescent="0.25">
      <c r="A1326" s="170">
        <v>43963</v>
      </c>
      <c r="B1326" s="116">
        <v>65.438585320676097</v>
      </c>
      <c r="C1326" s="116">
        <v>63.014934012502898</v>
      </c>
      <c r="D1326" s="116">
        <v>62.627149803195202</v>
      </c>
      <c r="E1326" s="116">
        <v>65.438585320676097</v>
      </c>
      <c r="F1326" s="116">
        <v>65</v>
      </c>
      <c r="G1326">
        <v>976446</v>
      </c>
      <c r="H1326" s="116"/>
      <c r="I1326" s="116"/>
      <c r="L1326" s="170">
        <v>43963</v>
      </c>
      <c r="M1326" s="116">
        <v>64.900000000000006</v>
      </c>
      <c r="N1326" s="116">
        <v>66.45</v>
      </c>
      <c r="O1326" s="116">
        <v>64.5</v>
      </c>
      <c r="P1326" s="116">
        <v>66.099999999999994</v>
      </c>
      <c r="Q1326" s="116">
        <v>64.900000000000006</v>
      </c>
      <c r="R1326">
        <v>1186697</v>
      </c>
    </row>
    <row r="1327" spans="1:18" x14ac:dyDescent="0.25">
      <c r="A1327" s="170">
        <v>43964</v>
      </c>
      <c r="B1327" s="116">
        <v>69.7042116230609</v>
      </c>
      <c r="C1327" s="116">
        <v>65.1477471636953</v>
      </c>
      <c r="D1327" s="116">
        <v>64.178286640425995</v>
      </c>
      <c r="E1327" s="116">
        <v>69.7042116230609</v>
      </c>
      <c r="F1327" s="116">
        <v>67.2</v>
      </c>
      <c r="G1327">
        <v>224391</v>
      </c>
      <c r="H1327" s="116"/>
      <c r="I1327" s="116"/>
      <c r="L1327" s="170">
        <v>43964</v>
      </c>
      <c r="M1327" s="116">
        <v>67.2</v>
      </c>
      <c r="N1327" s="116">
        <v>70</v>
      </c>
      <c r="O1327" s="116">
        <v>66.150000000000006</v>
      </c>
      <c r="P1327" s="116">
        <v>70</v>
      </c>
      <c r="Q1327" s="116">
        <v>67.2</v>
      </c>
      <c r="R1327">
        <v>2293592</v>
      </c>
    </row>
    <row r="1328" spans="1:18" x14ac:dyDescent="0.25">
      <c r="A1328" s="170">
        <v>43965</v>
      </c>
      <c r="B1328" s="116">
        <v>64.663016902060704</v>
      </c>
      <c r="C1328" s="116">
        <v>63.790502431118298</v>
      </c>
      <c r="D1328" s="116">
        <v>63.111880064829798</v>
      </c>
      <c r="E1328" s="116">
        <v>63.6450833526279</v>
      </c>
      <c r="F1328" s="116">
        <v>65.8</v>
      </c>
      <c r="G1328">
        <v>62640</v>
      </c>
      <c r="H1328" s="116"/>
      <c r="I1328" s="116"/>
      <c r="L1328" s="170">
        <v>43965</v>
      </c>
      <c r="M1328" s="116">
        <v>65.7</v>
      </c>
      <c r="N1328" s="116">
        <v>66.8</v>
      </c>
      <c r="O1328" s="116">
        <v>65.2</v>
      </c>
      <c r="P1328" s="116">
        <v>65.5</v>
      </c>
      <c r="Q1328" s="116">
        <v>65.7</v>
      </c>
      <c r="R1328">
        <v>941741</v>
      </c>
    </row>
    <row r="1329" spans="1:18" x14ac:dyDescent="0.25">
      <c r="A1329" s="170">
        <v>43966</v>
      </c>
      <c r="B1329" s="116">
        <v>66.359572817781896</v>
      </c>
      <c r="C1329" s="116">
        <v>65.729423477656894</v>
      </c>
      <c r="D1329" s="116">
        <v>62.675622829358701</v>
      </c>
      <c r="E1329" s="116">
        <v>64.663016902060704</v>
      </c>
      <c r="F1329" s="116">
        <v>67.8</v>
      </c>
      <c r="G1329">
        <v>226878</v>
      </c>
      <c r="H1329" s="116"/>
      <c r="I1329" s="116"/>
      <c r="L1329" s="170">
        <v>43966</v>
      </c>
      <c r="M1329" s="116">
        <v>67.849999999999994</v>
      </c>
      <c r="N1329" s="116">
        <v>68.400000000000006</v>
      </c>
      <c r="O1329" s="116">
        <v>64.55</v>
      </c>
      <c r="P1329" s="116">
        <v>65.2</v>
      </c>
      <c r="Q1329" s="116">
        <v>67.849999999999994</v>
      </c>
      <c r="R1329">
        <v>3502700</v>
      </c>
    </row>
    <row r="1330" spans="1:18" x14ac:dyDescent="0.25">
      <c r="A1330" s="170">
        <v>43969</v>
      </c>
      <c r="B1330" s="116">
        <v>63.984394535772203</v>
      </c>
      <c r="C1330" s="116">
        <v>60.445863625839301</v>
      </c>
      <c r="D1330" s="116">
        <v>60.203498495021996</v>
      </c>
      <c r="E1330" s="116">
        <v>63.451191247974101</v>
      </c>
      <c r="F1330" s="116">
        <v>62.35</v>
      </c>
      <c r="G1330">
        <v>172687</v>
      </c>
      <c r="H1330" s="116"/>
      <c r="I1330" s="116"/>
      <c r="L1330" s="170">
        <v>43969</v>
      </c>
      <c r="M1330" s="116">
        <v>62.3</v>
      </c>
      <c r="N1330" s="116">
        <v>65</v>
      </c>
      <c r="O1330" s="116">
        <v>62.1</v>
      </c>
      <c r="P1330" s="116">
        <v>65</v>
      </c>
      <c r="Q1330" s="116">
        <v>62.3</v>
      </c>
      <c r="R1330">
        <v>1878994</v>
      </c>
    </row>
    <row r="1331" spans="1:18" x14ac:dyDescent="0.25">
      <c r="A1331" s="170">
        <v>43970</v>
      </c>
      <c r="B1331" s="116">
        <v>62.917987960175999</v>
      </c>
      <c r="C1331" s="116">
        <v>62.433257698541297</v>
      </c>
      <c r="D1331" s="116">
        <v>60.397390599675902</v>
      </c>
      <c r="E1331" s="116">
        <v>62.917987960175999</v>
      </c>
      <c r="F1331" s="116">
        <v>64.400000000000006</v>
      </c>
      <c r="G1331">
        <v>1574269</v>
      </c>
      <c r="H1331" s="116"/>
      <c r="I1331" s="116"/>
      <c r="L1331" s="170">
        <v>43970</v>
      </c>
      <c r="M1331" s="116">
        <v>64.3</v>
      </c>
      <c r="N1331" s="116">
        <v>64.849999999999994</v>
      </c>
      <c r="O1331" s="116">
        <v>62.25</v>
      </c>
      <c r="P1331" s="116">
        <v>64</v>
      </c>
      <c r="Q1331" s="116">
        <v>64.3</v>
      </c>
      <c r="R1331">
        <v>956970</v>
      </c>
    </row>
    <row r="1332" spans="1:18" x14ac:dyDescent="0.25">
      <c r="A1332" s="170">
        <v>43971</v>
      </c>
      <c r="B1332" s="116">
        <v>62.917987960175999</v>
      </c>
      <c r="C1332" s="116">
        <v>62.239365593887499</v>
      </c>
      <c r="D1332" s="116">
        <v>61.3183780967817</v>
      </c>
      <c r="E1332" s="116">
        <v>61.3183780967817</v>
      </c>
      <c r="F1332" s="116">
        <v>64.2</v>
      </c>
      <c r="G1332">
        <v>48796</v>
      </c>
      <c r="H1332" s="116"/>
      <c r="I1332" s="116"/>
      <c r="L1332" s="170">
        <v>43971</v>
      </c>
      <c r="M1332" s="116">
        <v>64.099999999999994</v>
      </c>
      <c r="N1332" s="116">
        <v>64.900000000000006</v>
      </c>
      <c r="O1332" s="116">
        <v>63.55</v>
      </c>
      <c r="P1332" s="116">
        <v>64.5</v>
      </c>
      <c r="Q1332" s="116">
        <v>64.099999999999994</v>
      </c>
      <c r="R1332">
        <v>472541</v>
      </c>
    </row>
    <row r="1333" spans="1:18" x14ac:dyDescent="0.25">
      <c r="A1333" s="170">
        <v>43972</v>
      </c>
      <c r="B1333" s="116">
        <v>69.316427413753203</v>
      </c>
      <c r="C1333" s="116">
        <v>67.619871498031998</v>
      </c>
      <c r="D1333" s="116">
        <v>62.724095855522101</v>
      </c>
      <c r="E1333" s="116">
        <v>63.014934012502898</v>
      </c>
      <c r="F1333" s="116">
        <v>69.75</v>
      </c>
      <c r="G1333">
        <v>263826</v>
      </c>
      <c r="H1333" s="116"/>
      <c r="I1333" s="116"/>
      <c r="L1333" s="170">
        <v>43972</v>
      </c>
      <c r="M1333" s="116">
        <v>69.45</v>
      </c>
      <c r="N1333" s="116">
        <v>70.650000000000006</v>
      </c>
      <c r="O1333" s="116">
        <v>64.650000000000006</v>
      </c>
      <c r="P1333" s="116">
        <v>65</v>
      </c>
      <c r="Q1333" s="116">
        <v>69.45</v>
      </c>
      <c r="R1333">
        <v>3107336</v>
      </c>
    </row>
    <row r="1334" spans="1:18" x14ac:dyDescent="0.25">
      <c r="A1334" s="170">
        <v>43973</v>
      </c>
      <c r="B1334" s="116">
        <v>69.074062282935898</v>
      </c>
      <c r="C1334" s="116">
        <v>67.086668210233896</v>
      </c>
      <c r="D1334" s="116">
        <v>65.632477425329895</v>
      </c>
      <c r="E1334" s="116">
        <v>66.892776105579998</v>
      </c>
      <c r="F1334" s="116">
        <v>69.2</v>
      </c>
      <c r="G1334">
        <v>116898</v>
      </c>
      <c r="H1334" s="116"/>
      <c r="I1334" s="116"/>
      <c r="L1334" s="170">
        <v>43973</v>
      </c>
      <c r="M1334" s="116">
        <v>69.099999999999994</v>
      </c>
      <c r="N1334" s="116">
        <v>71.2</v>
      </c>
      <c r="O1334" s="116">
        <v>67.7</v>
      </c>
      <c r="P1334" s="116">
        <v>68.5</v>
      </c>
      <c r="Q1334" s="116">
        <v>69.099999999999994</v>
      </c>
      <c r="R1334">
        <v>1516893</v>
      </c>
    </row>
    <row r="1335" spans="1:18" x14ac:dyDescent="0.25">
      <c r="A1335" s="170">
        <v>43977</v>
      </c>
      <c r="B1335" s="116">
        <v>68.443912942810798</v>
      </c>
      <c r="C1335" s="116">
        <v>65.680950451493402</v>
      </c>
      <c r="D1335" s="116">
        <v>65.293166242185706</v>
      </c>
      <c r="E1335" s="116">
        <v>67.086668210233896</v>
      </c>
      <c r="F1335" s="116">
        <v>67.75</v>
      </c>
      <c r="G1335">
        <v>71818</v>
      </c>
      <c r="H1335" s="116"/>
      <c r="I1335" s="116"/>
      <c r="L1335" s="170">
        <v>43977</v>
      </c>
      <c r="M1335" s="116">
        <v>67.75</v>
      </c>
      <c r="N1335" s="116">
        <v>70.900000000000006</v>
      </c>
      <c r="O1335" s="116">
        <v>67.349999999999994</v>
      </c>
      <c r="P1335" s="116">
        <v>69.7</v>
      </c>
      <c r="Q1335" s="116">
        <v>67.75</v>
      </c>
      <c r="R1335">
        <v>928952</v>
      </c>
    </row>
    <row r="1336" spans="1:18" x14ac:dyDescent="0.25">
      <c r="A1336" s="170">
        <v>43978</v>
      </c>
      <c r="B1336" s="116">
        <v>67.571398471868505</v>
      </c>
      <c r="C1336" s="116">
        <v>65.535531373002996</v>
      </c>
      <c r="D1336" s="116">
        <v>64.808435980551096</v>
      </c>
      <c r="E1336" s="116">
        <v>66.020261634637606</v>
      </c>
      <c r="F1336" s="116">
        <v>67.599999999999994</v>
      </c>
      <c r="G1336">
        <v>64353</v>
      </c>
      <c r="H1336" s="116"/>
      <c r="I1336" s="116"/>
      <c r="L1336" s="170">
        <v>43978</v>
      </c>
      <c r="M1336" s="116">
        <v>67.7</v>
      </c>
      <c r="N1336" s="116">
        <v>69.7</v>
      </c>
      <c r="O1336" s="116">
        <v>66.7</v>
      </c>
      <c r="P1336" s="116">
        <v>68.900000000000006</v>
      </c>
      <c r="Q1336" s="116">
        <v>67.7</v>
      </c>
      <c r="R1336">
        <v>1159962</v>
      </c>
    </row>
    <row r="1337" spans="1:18" x14ac:dyDescent="0.25">
      <c r="A1337" s="170">
        <v>43979</v>
      </c>
      <c r="B1337" s="116">
        <v>71.9824438527437</v>
      </c>
      <c r="C1337" s="116">
        <v>71.546186617272497</v>
      </c>
      <c r="D1337" s="116">
        <v>66.892776105579998</v>
      </c>
      <c r="E1337" s="116">
        <v>68.395439916647405</v>
      </c>
      <c r="F1337" s="116">
        <v>73.8</v>
      </c>
      <c r="G1337">
        <v>264623</v>
      </c>
      <c r="H1337" s="116"/>
      <c r="I1337" s="116"/>
      <c r="L1337" s="170">
        <v>43979</v>
      </c>
      <c r="M1337" s="116">
        <v>73.650000000000006</v>
      </c>
      <c r="N1337" s="116">
        <v>74.25</v>
      </c>
      <c r="O1337" s="116">
        <v>69.05</v>
      </c>
      <c r="P1337" s="116">
        <v>69.099999999999994</v>
      </c>
      <c r="Q1337" s="116">
        <v>73.650000000000006</v>
      </c>
      <c r="R1337">
        <v>4408515</v>
      </c>
    </row>
    <row r="1338" spans="1:18" x14ac:dyDescent="0.25">
      <c r="A1338" s="170">
        <v>43980</v>
      </c>
      <c r="B1338" s="116">
        <v>73.678999768464905</v>
      </c>
      <c r="C1338" s="116">
        <v>73.242742532993702</v>
      </c>
      <c r="D1338" s="116">
        <v>70.091995832368596</v>
      </c>
      <c r="E1338" s="116">
        <v>70.091995832368596</v>
      </c>
      <c r="F1338" s="116">
        <v>75.55</v>
      </c>
      <c r="G1338">
        <v>100659</v>
      </c>
      <c r="H1338" s="116"/>
      <c r="I1338" s="116"/>
      <c r="L1338" s="170">
        <v>43980</v>
      </c>
      <c r="M1338" s="116">
        <v>75.599999999999994</v>
      </c>
      <c r="N1338" s="116">
        <v>76</v>
      </c>
      <c r="O1338" s="116">
        <v>72.650000000000006</v>
      </c>
      <c r="P1338" s="116">
        <v>74.599999999999994</v>
      </c>
      <c r="Q1338" s="116">
        <v>75.599999999999994</v>
      </c>
      <c r="R1338">
        <v>2185790</v>
      </c>
    </row>
    <row r="1339" spans="1:18" x14ac:dyDescent="0.25">
      <c r="A1339" s="170">
        <v>43983</v>
      </c>
      <c r="B1339" s="116">
        <v>82.404144477888394</v>
      </c>
      <c r="C1339" s="116">
        <v>81.628576059273001</v>
      </c>
      <c r="D1339" s="116">
        <v>76.684327390599705</v>
      </c>
      <c r="E1339" s="116">
        <v>76.684327390599705</v>
      </c>
      <c r="F1339" s="116">
        <v>84.2</v>
      </c>
      <c r="G1339">
        <v>423536</v>
      </c>
      <c r="H1339" s="116"/>
      <c r="I1339" s="116"/>
      <c r="L1339" s="170">
        <v>43983</v>
      </c>
      <c r="M1339" s="116">
        <v>84.15</v>
      </c>
      <c r="N1339" s="116">
        <v>85</v>
      </c>
      <c r="O1339" s="116">
        <v>79.05</v>
      </c>
      <c r="P1339" s="116">
        <v>79.900000000000006</v>
      </c>
      <c r="Q1339" s="116">
        <v>84.15</v>
      </c>
      <c r="R1339">
        <v>7609877</v>
      </c>
    </row>
    <row r="1340" spans="1:18" x14ac:dyDescent="0.25">
      <c r="A1340" s="170">
        <v>43984</v>
      </c>
      <c r="B1340" s="116">
        <v>83.761389210465396</v>
      </c>
      <c r="C1340" s="116">
        <v>81.677049085436494</v>
      </c>
      <c r="D1340" s="116">
        <v>81.337737902292204</v>
      </c>
      <c r="E1340" s="116">
        <v>83.761389210465396</v>
      </c>
      <c r="F1340" s="116">
        <v>84.25</v>
      </c>
      <c r="G1340">
        <v>173112</v>
      </c>
      <c r="H1340" s="116"/>
      <c r="I1340" s="116"/>
      <c r="L1340" s="170">
        <v>43984</v>
      </c>
      <c r="M1340" s="116">
        <v>84.2</v>
      </c>
      <c r="N1340" s="116">
        <v>85.8</v>
      </c>
      <c r="O1340" s="116">
        <v>83.8</v>
      </c>
      <c r="P1340" s="116">
        <v>85.8</v>
      </c>
      <c r="Q1340" s="116">
        <v>84.2</v>
      </c>
      <c r="R1340">
        <v>3452448</v>
      </c>
    </row>
    <row r="1341" spans="1:18" x14ac:dyDescent="0.25">
      <c r="A1341" s="170">
        <v>43985</v>
      </c>
      <c r="B1341" s="116">
        <v>90.014409585552201</v>
      </c>
      <c r="C1341" s="116">
        <v>81.386210928455696</v>
      </c>
      <c r="D1341" s="116">
        <v>79.689655012734406</v>
      </c>
      <c r="E1341" s="116">
        <v>82.646509608705699</v>
      </c>
      <c r="F1341" s="116">
        <v>83.95</v>
      </c>
      <c r="G1341">
        <v>177957</v>
      </c>
      <c r="H1341" s="116"/>
      <c r="I1341" s="116"/>
      <c r="L1341" s="170">
        <v>43985</v>
      </c>
      <c r="M1341" s="116">
        <v>82.8</v>
      </c>
      <c r="N1341" s="116">
        <v>86.1</v>
      </c>
      <c r="O1341" s="116">
        <v>82.15</v>
      </c>
      <c r="P1341" s="116">
        <v>86</v>
      </c>
      <c r="Q1341" s="116">
        <v>82.8</v>
      </c>
      <c r="R1341">
        <v>3122939</v>
      </c>
    </row>
    <row r="1342" spans="1:18" x14ac:dyDescent="0.25">
      <c r="A1342" s="170">
        <v>43986</v>
      </c>
      <c r="B1342" s="116">
        <v>81.773995137763393</v>
      </c>
      <c r="C1342" s="116">
        <v>81.046899745311407</v>
      </c>
      <c r="D1342" s="116">
        <v>79.011032646445898</v>
      </c>
      <c r="E1342" s="116">
        <v>81.386210928455696</v>
      </c>
      <c r="F1342" s="116">
        <v>83.6</v>
      </c>
      <c r="G1342">
        <v>131715</v>
      </c>
      <c r="H1342" s="116"/>
      <c r="I1342" s="116"/>
      <c r="L1342" s="170">
        <v>43986</v>
      </c>
      <c r="M1342" s="116">
        <v>83.65</v>
      </c>
      <c r="N1342" s="116">
        <v>84.25</v>
      </c>
      <c r="O1342" s="116">
        <v>81.3</v>
      </c>
      <c r="P1342" s="116">
        <v>82.55</v>
      </c>
      <c r="Q1342" s="116">
        <v>83.65</v>
      </c>
      <c r="R1342">
        <v>1962964</v>
      </c>
    </row>
    <row r="1343" spans="1:18" x14ac:dyDescent="0.25">
      <c r="A1343" s="170">
        <v>43987</v>
      </c>
      <c r="B1343" s="116">
        <v>90.693031951840695</v>
      </c>
      <c r="C1343" s="116">
        <v>88.463272748321401</v>
      </c>
      <c r="D1343" s="116">
        <v>82.016360268580698</v>
      </c>
      <c r="E1343" s="116">
        <v>83.519024079648105</v>
      </c>
      <c r="F1343" s="116">
        <v>91.25</v>
      </c>
      <c r="G1343">
        <v>431277</v>
      </c>
      <c r="H1343" s="116"/>
      <c r="I1343" s="116"/>
      <c r="L1343" s="170">
        <v>43987</v>
      </c>
      <c r="M1343" s="116">
        <v>91.25</v>
      </c>
      <c r="N1343" s="116">
        <v>93.45</v>
      </c>
      <c r="O1343" s="116">
        <v>84.2</v>
      </c>
      <c r="P1343" s="116">
        <v>85.5</v>
      </c>
      <c r="Q1343" s="116">
        <v>91.25</v>
      </c>
      <c r="R1343">
        <v>6635342</v>
      </c>
    </row>
    <row r="1344" spans="1:18" x14ac:dyDescent="0.25">
      <c r="A1344" s="170">
        <v>43990</v>
      </c>
      <c r="B1344" s="116">
        <v>93.843778652465801</v>
      </c>
      <c r="C1344" s="116">
        <v>86.621297754109705</v>
      </c>
      <c r="D1344" s="116">
        <v>85.797256309330905</v>
      </c>
      <c r="E1344" s="116">
        <v>93.843778652465801</v>
      </c>
      <c r="F1344" s="116">
        <v>89.35</v>
      </c>
      <c r="G1344">
        <v>315977</v>
      </c>
      <c r="H1344" s="116"/>
      <c r="I1344" s="116"/>
      <c r="L1344" s="170">
        <v>43990</v>
      </c>
      <c r="M1344" s="116">
        <v>89.2</v>
      </c>
      <c r="N1344" s="116">
        <v>96.5</v>
      </c>
      <c r="O1344" s="116">
        <v>88.3</v>
      </c>
      <c r="P1344" s="116">
        <v>94.8</v>
      </c>
      <c r="Q1344" s="116">
        <v>89.2</v>
      </c>
      <c r="R1344">
        <v>3998298</v>
      </c>
    </row>
    <row r="1345" spans="1:18" x14ac:dyDescent="0.25">
      <c r="A1345" s="170">
        <v>43991</v>
      </c>
      <c r="B1345" s="116">
        <v>89.917463533225302</v>
      </c>
      <c r="C1345" s="116">
        <v>86.621297754109705</v>
      </c>
      <c r="D1345" s="116">
        <v>83.325131974994207</v>
      </c>
      <c r="E1345" s="116">
        <v>88.075488539013705</v>
      </c>
      <c r="F1345" s="116">
        <v>89.35</v>
      </c>
      <c r="G1345">
        <v>401105</v>
      </c>
      <c r="H1345" s="116"/>
      <c r="I1345" s="116"/>
      <c r="L1345" s="170">
        <v>43991</v>
      </c>
      <c r="M1345" s="116">
        <v>89.1</v>
      </c>
      <c r="N1345" s="116">
        <v>92.7</v>
      </c>
      <c r="O1345" s="116">
        <v>85.7</v>
      </c>
      <c r="P1345" s="116">
        <v>90.15</v>
      </c>
      <c r="Q1345" s="116">
        <v>89.1</v>
      </c>
      <c r="R1345">
        <v>7386140</v>
      </c>
    </row>
    <row r="1346" spans="1:18" x14ac:dyDescent="0.25">
      <c r="A1346" s="170">
        <v>43992</v>
      </c>
      <c r="B1346" s="116">
        <v>92.098749710581203</v>
      </c>
      <c r="C1346" s="116">
        <v>89.965936559388794</v>
      </c>
      <c r="D1346" s="116">
        <v>86.427405649455906</v>
      </c>
      <c r="E1346" s="116">
        <v>86.669770780273197</v>
      </c>
      <c r="F1346" s="116">
        <v>92.8</v>
      </c>
      <c r="G1346">
        <v>383884</v>
      </c>
      <c r="H1346" s="116"/>
      <c r="I1346" s="116"/>
      <c r="L1346" s="170">
        <v>43992</v>
      </c>
      <c r="M1346" s="116">
        <v>92.65</v>
      </c>
      <c r="N1346" s="116">
        <v>95</v>
      </c>
      <c r="O1346" s="116">
        <v>89.1</v>
      </c>
      <c r="P1346" s="116">
        <v>89.1</v>
      </c>
      <c r="Q1346" s="116">
        <v>92.65</v>
      </c>
      <c r="R1346">
        <v>5223047</v>
      </c>
    </row>
    <row r="1347" spans="1:18" x14ac:dyDescent="0.25">
      <c r="A1347" s="170">
        <v>43993</v>
      </c>
      <c r="B1347" s="116">
        <v>90.644558925677202</v>
      </c>
      <c r="C1347" s="116">
        <v>88.220907617504096</v>
      </c>
      <c r="D1347" s="116">
        <v>83.664443158138496</v>
      </c>
      <c r="E1347" s="116">
        <v>86.281986570965501</v>
      </c>
      <c r="F1347" s="116">
        <v>91</v>
      </c>
      <c r="G1347">
        <v>2350897</v>
      </c>
      <c r="H1347" s="116"/>
      <c r="I1347" s="116"/>
      <c r="L1347" s="170">
        <v>43993</v>
      </c>
      <c r="M1347" s="116">
        <v>90.9</v>
      </c>
      <c r="N1347" s="116">
        <v>93.5</v>
      </c>
      <c r="O1347" s="116">
        <v>85.4</v>
      </c>
      <c r="P1347" s="116">
        <v>89.3</v>
      </c>
      <c r="Q1347" s="116">
        <v>90.9</v>
      </c>
      <c r="R1347">
        <v>8851976</v>
      </c>
    </row>
    <row r="1348" spans="1:18" x14ac:dyDescent="0.25">
      <c r="A1348" s="170">
        <v>43994</v>
      </c>
      <c r="B1348" s="116">
        <v>86.572824727946298</v>
      </c>
      <c r="C1348" s="116">
        <v>85.942675387821296</v>
      </c>
      <c r="D1348" s="116">
        <v>83.373605001157699</v>
      </c>
      <c r="E1348" s="116">
        <v>83.664443158138496</v>
      </c>
      <c r="F1348" s="116">
        <v>88.65</v>
      </c>
      <c r="G1348">
        <v>134269</v>
      </c>
      <c r="H1348" s="116"/>
      <c r="I1348" s="116"/>
      <c r="L1348" s="170">
        <v>43994</v>
      </c>
      <c r="M1348" s="116">
        <v>88.8</v>
      </c>
      <c r="N1348" s="116">
        <v>89.5</v>
      </c>
      <c r="O1348" s="116">
        <v>85</v>
      </c>
      <c r="P1348" s="116">
        <v>85</v>
      </c>
      <c r="Q1348" s="116">
        <v>88.8</v>
      </c>
      <c r="R1348">
        <v>1796769</v>
      </c>
    </row>
    <row r="1349" spans="1:18" x14ac:dyDescent="0.25">
      <c r="A1349" s="170">
        <v>43997</v>
      </c>
      <c r="B1349" s="116">
        <v>87.881596434359807</v>
      </c>
      <c r="C1349" s="116">
        <v>84.391538550590397</v>
      </c>
      <c r="D1349" s="116">
        <v>83.470551053484598</v>
      </c>
      <c r="E1349" s="116">
        <v>86.185040518638601</v>
      </c>
      <c r="F1349" s="116">
        <v>87.05</v>
      </c>
      <c r="G1349">
        <v>174727</v>
      </c>
      <c r="H1349" s="116"/>
      <c r="I1349" s="116"/>
      <c r="L1349" s="170">
        <v>43997</v>
      </c>
      <c r="M1349" s="116">
        <v>87</v>
      </c>
      <c r="N1349" s="116">
        <v>90.75</v>
      </c>
      <c r="O1349" s="116">
        <v>86</v>
      </c>
      <c r="P1349" s="116">
        <v>88.7</v>
      </c>
      <c r="Q1349" s="116">
        <v>87</v>
      </c>
      <c r="R1349">
        <v>1880185</v>
      </c>
    </row>
    <row r="1350" spans="1:18" x14ac:dyDescent="0.25">
      <c r="A1350" s="170">
        <v>43998</v>
      </c>
      <c r="B1350" s="116">
        <v>86.185040518638601</v>
      </c>
      <c r="C1350" s="116">
        <v>81.531630006946003</v>
      </c>
      <c r="D1350" s="116">
        <v>79.059505672609404</v>
      </c>
      <c r="E1350" s="116">
        <v>84.633903681407702</v>
      </c>
      <c r="F1350" s="116">
        <v>84.1</v>
      </c>
      <c r="G1350">
        <v>225303</v>
      </c>
      <c r="H1350" s="116"/>
      <c r="I1350" s="116"/>
      <c r="L1350" s="170">
        <v>43998</v>
      </c>
      <c r="M1350" s="116">
        <v>84.35</v>
      </c>
      <c r="N1350" s="116">
        <v>89.2</v>
      </c>
      <c r="O1350" s="116">
        <v>81.3</v>
      </c>
      <c r="P1350" s="116">
        <v>88.55</v>
      </c>
      <c r="Q1350" s="116">
        <v>84.35</v>
      </c>
      <c r="R1350">
        <v>3133347</v>
      </c>
    </row>
    <row r="1351" spans="1:18" x14ac:dyDescent="0.25">
      <c r="A1351" s="170">
        <v>43999</v>
      </c>
      <c r="B1351" s="116">
        <v>83.325131974994207</v>
      </c>
      <c r="C1351" s="116">
        <v>78.817140541792099</v>
      </c>
      <c r="D1351" s="116">
        <v>78.235464227830505</v>
      </c>
      <c r="E1351" s="116">
        <v>83.325131974994207</v>
      </c>
      <c r="F1351" s="116">
        <v>81.3</v>
      </c>
      <c r="G1351">
        <v>248152</v>
      </c>
      <c r="H1351" s="116"/>
      <c r="I1351" s="116"/>
      <c r="L1351" s="170">
        <v>43999</v>
      </c>
      <c r="M1351" s="116">
        <v>81.400000000000006</v>
      </c>
      <c r="N1351" s="116">
        <v>85.6</v>
      </c>
      <c r="O1351" s="116">
        <v>81</v>
      </c>
      <c r="P1351" s="116">
        <v>84.65</v>
      </c>
      <c r="Q1351" s="116">
        <v>81.400000000000006</v>
      </c>
      <c r="R1351">
        <v>3785558</v>
      </c>
    </row>
    <row r="1352" spans="1:18" x14ac:dyDescent="0.25">
      <c r="A1352" s="170">
        <v>44000</v>
      </c>
      <c r="B1352" s="116">
        <v>80.756061588330596</v>
      </c>
      <c r="C1352" s="116">
        <v>78.186991201667098</v>
      </c>
      <c r="D1352" s="116">
        <v>77.605314887705504</v>
      </c>
      <c r="E1352" s="116">
        <v>79.059505672609404</v>
      </c>
      <c r="F1352" s="116">
        <v>80.650000000000006</v>
      </c>
      <c r="G1352">
        <v>155823</v>
      </c>
      <c r="H1352" s="116"/>
      <c r="I1352" s="116"/>
      <c r="L1352" s="170">
        <v>44000</v>
      </c>
      <c r="M1352" s="116">
        <v>80.55</v>
      </c>
      <c r="N1352" s="116">
        <v>83.4</v>
      </c>
      <c r="O1352" s="116">
        <v>80</v>
      </c>
      <c r="P1352" s="116">
        <v>81.400000000000006</v>
      </c>
      <c r="Q1352" s="116">
        <v>80.55</v>
      </c>
      <c r="R1352">
        <v>2242856</v>
      </c>
    </row>
    <row r="1353" spans="1:18" x14ac:dyDescent="0.25">
      <c r="A1353" s="170">
        <v>44001</v>
      </c>
      <c r="B1353" s="116">
        <v>83.034293818013396</v>
      </c>
      <c r="C1353" s="116">
        <v>80.853007640657594</v>
      </c>
      <c r="D1353" s="116">
        <v>78.138518175503606</v>
      </c>
      <c r="E1353" s="116">
        <v>79.398816855753694</v>
      </c>
      <c r="F1353" s="116">
        <v>83.4</v>
      </c>
      <c r="G1353">
        <v>370447</v>
      </c>
      <c r="H1353" s="116"/>
      <c r="I1353" s="116"/>
      <c r="L1353" s="170">
        <v>44001</v>
      </c>
      <c r="M1353" s="116">
        <v>83.35</v>
      </c>
      <c r="N1353" s="116">
        <v>85.8</v>
      </c>
      <c r="O1353" s="116">
        <v>80.599999999999994</v>
      </c>
      <c r="P1353" s="116">
        <v>82.45</v>
      </c>
      <c r="Q1353" s="116">
        <v>83.35</v>
      </c>
      <c r="R1353">
        <v>3056317</v>
      </c>
    </row>
    <row r="1354" spans="1:18" x14ac:dyDescent="0.25">
      <c r="A1354" s="170">
        <v>44004</v>
      </c>
      <c r="B1354" s="116">
        <v>83.131239870340394</v>
      </c>
      <c r="C1354" s="116">
        <v>81.580103033109495</v>
      </c>
      <c r="D1354" s="116">
        <v>80.853007640657594</v>
      </c>
      <c r="E1354" s="116">
        <v>81.580103033109495</v>
      </c>
      <c r="F1354" s="116">
        <v>84.15</v>
      </c>
      <c r="G1354">
        <v>158375</v>
      </c>
      <c r="H1354" s="116"/>
      <c r="I1354" s="116"/>
      <c r="L1354" s="170">
        <v>44004</v>
      </c>
      <c r="M1354" s="116">
        <v>84.2</v>
      </c>
      <c r="N1354" s="116">
        <v>85.9</v>
      </c>
      <c r="O1354" s="116">
        <v>83.25</v>
      </c>
      <c r="P1354" s="116">
        <v>84.35</v>
      </c>
      <c r="Q1354" s="116">
        <v>84.2</v>
      </c>
      <c r="R1354">
        <v>1680440</v>
      </c>
    </row>
    <row r="1355" spans="1:18" x14ac:dyDescent="0.25">
      <c r="A1355" s="170">
        <v>44005</v>
      </c>
      <c r="B1355" s="116">
        <v>83.034293818013396</v>
      </c>
      <c r="C1355" s="116">
        <v>81.289264876128698</v>
      </c>
      <c r="D1355" s="116">
        <v>80.465223431349898</v>
      </c>
      <c r="E1355" s="116">
        <v>83.034293818013396</v>
      </c>
      <c r="F1355" s="116">
        <v>83.85</v>
      </c>
      <c r="G1355">
        <v>99260</v>
      </c>
      <c r="H1355" s="116"/>
      <c r="I1355" s="116"/>
      <c r="L1355" s="170">
        <v>44005</v>
      </c>
      <c r="M1355" s="116">
        <v>83.8</v>
      </c>
      <c r="N1355" s="116">
        <v>85.3</v>
      </c>
      <c r="O1355" s="116">
        <v>83</v>
      </c>
      <c r="P1355" s="116">
        <v>85.3</v>
      </c>
      <c r="Q1355" s="116">
        <v>83.8</v>
      </c>
      <c r="R1355">
        <v>1621960</v>
      </c>
    </row>
    <row r="1356" spans="1:18" x14ac:dyDescent="0.25">
      <c r="A1356" s="170">
        <v>44006</v>
      </c>
      <c r="B1356" s="116">
        <v>83.615970131975004</v>
      </c>
      <c r="C1356" s="116">
        <v>78.817140541792099</v>
      </c>
      <c r="D1356" s="116">
        <v>78.283937253993997</v>
      </c>
      <c r="E1356" s="116">
        <v>81.289264876128698</v>
      </c>
      <c r="F1356" s="116">
        <v>81.3</v>
      </c>
      <c r="G1356">
        <v>275797</v>
      </c>
      <c r="H1356" s="116"/>
      <c r="I1356" s="116"/>
      <c r="L1356" s="170">
        <v>44006</v>
      </c>
      <c r="M1356" s="116">
        <v>81.349999999999994</v>
      </c>
      <c r="N1356" s="116">
        <v>86.4</v>
      </c>
      <c r="O1356" s="116">
        <v>81</v>
      </c>
      <c r="P1356" s="116">
        <v>84.75</v>
      </c>
      <c r="Q1356" s="116">
        <v>81.349999999999994</v>
      </c>
      <c r="R1356">
        <v>4230965</v>
      </c>
    </row>
    <row r="1357" spans="1:18" x14ac:dyDescent="0.25">
      <c r="A1357" s="170">
        <v>44007</v>
      </c>
      <c r="B1357" s="116">
        <v>79.980493169715203</v>
      </c>
      <c r="C1357" s="116">
        <v>79.544235934244</v>
      </c>
      <c r="D1357" s="116">
        <v>78.332410280157404</v>
      </c>
      <c r="E1357" s="116">
        <v>78.526302384811302</v>
      </c>
      <c r="F1357" s="116">
        <v>82.05</v>
      </c>
      <c r="G1357">
        <v>76153</v>
      </c>
      <c r="H1357" s="116"/>
      <c r="I1357" s="116"/>
      <c r="L1357" s="170">
        <v>44007</v>
      </c>
      <c r="M1357" s="116">
        <v>82.1</v>
      </c>
      <c r="N1357" s="116">
        <v>82.6</v>
      </c>
      <c r="O1357" s="116">
        <v>81</v>
      </c>
      <c r="P1357" s="116">
        <v>81.8</v>
      </c>
      <c r="Q1357" s="116">
        <v>82.1</v>
      </c>
      <c r="R1357">
        <v>1190207</v>
      </c>
    </row>
    <row r="1358" spans="1:18" x14ac:dyDescent="0.25">
      <c r="A1358" s="170">
        <v>44008</v>
      </c>
      <c r="B1358" s="116">
        <v>80.901480666821001</v>
      </c>
      <c r="C1358" s="116">
        <v>79.107978698772897</v>
      </c>
      <c r="D1358" s="116">
        <v>78.671721463301694</v>
      </c>
      <c r="E1358" s="116">
        <v>80.077439222042102</v>
      </c>
      <c r="F1358" s="116">
        <v>81.599999999999994</v>
      </c>
      <c r="G1358">
        <v>44816</v>
      </c>
      <c r="H1358" s="116"/>
      <c r="I1358" s="116"/>
      <c r="L1358" s="170">
        <v>44008</v>
      </c>
      <c r="M1358" s="116">
        <v>81.5</v>
      </c>
      <c r="N1358" s="116">
        <v>83.6</v>
      </c>
      <c r="O1358" s="116">
        <v>81.099999999999994</v>
      </c>
      <c r="P1358" s="116">
        <v>82.7</v>
      </c>
      <c r="Q1358" s="116">
        <v>81.5</v>
      </c>
      <c r="R1358">
        <v>879902</v>
      </c>
    </row>
    <row r="1359" spans="1:18" x14ac:dyDescent="0.25">
      <c r="A1359" s="170">
        <v>44011</v>
      </c>
      <c r="B1359" s="116">
        <v>80.271331326696</v>
      </c>
      <c r="C1359" s="116">
        <v>76.926692521416996</v>
      </c>
      <c r="D1359" s="116">
        <v>76.587381338272706</v>
      </c>
      <c r="E1359" s="116">
        <v>79.011032646445898</v>
      </c>
      <c r="F1359" s="116">
        <v>79.349999999999994</v>
      </c>
      <c r="G1359">
        <v>143292</v>
      </c>
      <c r="H1359" s="116"/>
      <c r="I1359" s="116"/>
      <c r="L1359" s="170">
        <v>44011</v>
      </c>
      <c r="M1359" s="116">
        <v>79.349999999999994</v>
      </c>
      <c r="N1359" s="116">
        <v>82.9</v>
      </c>
      <c r="O1359" s="116">
        <v>79</v>
      </c>
      <c r="P1359" s="116">
        <v>82</v>
      </c>
      <c r="Q1359" s="116">
        <v>79.349999999999994</v>
      </c>
      <c r="R1359">
        <v>2003495</v>
      </c>
    </row>
    <row r="1360" spans="1:18" x14ac:dyDescent="0.25">
      <c r="A1360" s="170">
        <v>44012</v>
      </c>
      <c r="B1360" s="116">
        <v>78.429356332484403</v>
      </c>
      <c r="C1360" s="116">
        <v>77.411422783051606</v>
      </c>
      <c r="D1360" s="116">
        <v>77.072111599907402</v>
      </c>
      <c r="E1360" s="116">
        <v>78.041572123176707</v>
      </c>
      <c r="F1360" s="116">
        <v>79.849999999999994</v>
      </c>
      <c r="G1360">
        <v>113600</v>
      </c>
      <c r="H1360" s="116"/>
      <c r="I1360" s="116"/>
      <c r="L1360" s="170">
        <v>44012</v>
      </c>
      <c r="M1360" s="116">
        <v>79.900000000000006</v>
      </c>
      <c r="N1360" s="116">
        <v>81</v>
      </c>
      <c r="O1360" s="116">
        <v>79.400000000000006</v>
      </c>
      <c r="P1360" s="116">
        <v>80</v>
      </c>
      <c r="Q1360" s="116">
        <v>79.900000000000006</v>
      </c>
      <c r="R1360">
        <v>1777461</v>
      </c>
    </row>
    <row r="1361" spans="1:18" x14ac:dyDescent="0.25">
      <c r="A1361" s="170">
        <v>44013</v>
      </c>
      <c r="B1361" s="116">
        <v>77.799206992359302</v>
      </c>
      <c r="C1361" s="116">
        <v>76.781273442926604</v>
      </c>
      <c r="D1361" s="116">
        <v>76.635854364436199</v>
      </c>
      <c r="E1361" s="116">
        <v>77.362949756888199</v>
      </c>
      <c r="F1361" s="116">
        <v>79.2</v>
      </c>
      <c r="G1361">
        <v>48599</v>
      </c>
      <c r="H1361" s="116"/>
      <c r="I1361" s="116"/>
      <c r="L1361" s="170">
        <v>44013</v>
      </c>
      <c r="M1361" s="116">
        <v>79.2</v>
      </c>
      <c r="N1361" s="116">
        <v>80.5</v>
      </c>
      <c r="O1361" s="116">
        <v>79</v>
      </c>
      <c r="P1361" s="116">
        <v>79.55</v>
      </c>
      <c r="Q1361" s="116">
        <v>79.2</v>
      </c>
      <c r="R1361">
        <v>722386</v>
      </c>
    </row>
    <row r="1362" spans="1:18" x14ac:dyDescent="0.25">
      <c r="A1362" s="170">
        <v>44014</v>
      </c>
      <c r="B1362" s="116">
        <v>78.7201944894652</v>
      </c>
      <c r="C1362" s="116">
        <v>76.975165547580502</v>
      </c>
      <c r="D1362" s="116">
        <v>76.635854364436199</v>
      </c>
      <c r="E1362" s="116">
        <v>76.926692521416996</v>
      </c>
      <c r="F1362" s="116">
        <v>79.400000000000006</v>
      </c>
      <c r="G1362">
        <v>135781</v>
      </c>
      <c r="H1362" s="116"/>
      <c r="I1362" s="116"/>
      <c r="L1362" s="170">
        <v>44014</v>
      </c>
      <c r="M1362" s="116">
        <v>79.349999999999994</v>
      </c>
      <c r="N1362" s="116">
        <v>81.150000000000006</v>
      </c>
      <c r="O1362" s="116">
        <v>79</v>
      </c>
      <c r="P1362" s="116">
        <v>79.5</v>
      </c>
      <c r="Q1362" s="116">
        <v>79.349999999999994</v>
      </c>
      <c r="R1362">
        <v>1611191</v>
      </c>
    </row>
    <row r="1363" spans="1:18" x14ac:dyDescent="0.25">
      <c r="A1363" s="170">
        <v>44015</v>
      </c>
      <c r="B1363" s="116">
        <v>78.283937253993997</v>
      </c>
      <c r="C1363" s="116">
        <v>77.799206992359302</v>
      </c>
      <c r="D1363" s="116">
        <v>76.781273442926604</v>
      </c>
      <c r="E1363" s="116">
        <v>77.411422783051606</v>
      </c>
      <c r="F1363" s="116">
        <v>80.25</v>
      </c>
      <c r="G1363">
        <v>148747</v>
      </c>
      <c r="H1363" s="116"/>
      <c r="I1363" s="116"/>
      <c r="L1363" s="170">
        <v>44015</v>
      </c>
      <c r="M1363" s="116">
        <v>80.3</v>
      </c>
      <c r="N1363" s="116">
        <v>80.8</v>
      </c>
      <c r="O1363" s="116">
        <v>79</v>
      </c>
      <c r="P1363" s="116">
        <v>79.95</v>
      </c>
      <c r="Q1363" s="116">
        <v>80.3</v>
      </c>
      <c r="R1363">
        <v>1109300</v>
      </c>
    </row>
    <row r="1364" spans="1:18" x14ac:dyDescent="0.25">
      <c r="A1364" s="170">
        <v>44018</v>
      </c>
      <c r="B1364" s="116">
        <v>79.738128038897898</v>
      </c>
      <c r="C1364" s="116">
        <v>78.914086594118999</v>
      </c>
      <c r="D1364" s="116">
        <v>77.847680018522794</v>
      </c>
      <c r="E1364" s="116">
        <v>79.011032646445898</v>
      </c>
      <c r="F1364" s="116">
        <v>81.400000000000006</v>
      </c>
      <c r="G1364">
        <v>118079</v>
      </c>
      <c r="H1364" s="116"/>
      <c r="I1364" s="116"/>
      <c r="L1364" s="170">
        <v>44018</v>
      </c>
      <c r="M1364" s="116">
        <v>81.400000000000006</v>
      </c>
      <c r="N1364" s="116">
        <v>82.4</v>
      </c>
      <c r="O1364" s="116">
        <v>80.150000000000006</v>
      </c>
      <c r="P1364" s="116">
        <v>81.349999999999994</v>
      </c>
      <c r="Q1364" s="116">
        <v>81.400000000000006</v>
      </c>
      <c r="R1364">
        <v>1824382</v>
      </c>
    </row>
    <row r="1365" spans="1:18" x14ac:dyDescent="0.25">
      <c r="A1365" s="170">
        <v>44019</v>
      </c>
      <c r="B1365" s="116">
        <v>85.118633943042397</v>
      </c>
      <c r="C1365" s="116">
        <v>82.452617504051901</v>
      </c>
      <c r="D1365" s="116">
        <v>80.465223431349898</v>
      </c>
      <c r="E1365" s="116">
        <v>80.949953692984494</v>
      </c>
      <c r="F1365" s="116">
        <v>85.05</v>
      </c>
      <c r="G1365">
        <v>706797</v>
      </c>
      <c r="H1365" s="116"/>
      <c r="I1365" s="116"/>
      <c r="L1365" s="170">
        <v>44019</v>
      </c>
      <c r="M1365" s="116">
        <v>85.05</v>
      </c>
      <c r="N1365" s="116">
        <v>87.8</v>
      </c>
      <c r="O1365" s="116">
        <v>83</v>
      </c>
      <c r="P1365" s="116">
        <v>83.7</v>
      </c>
      <c r="Q1365" s="116">
        <v>85.05</v>
      </c>
      <c r="R1365">
        <v>9616459</v>
      </c>
    </row>
    <row r="1366" spans="1:18" x14ac:dyDescent="0.25">
      <c r="A1366" s="170">
        <v>44020</v>
      </c>
      <c r="B1366" s="116">
        <v>84.1007003936096</v>
      </c>
      <c r="C1366" s="116">
        <v>81.095372771474899</v>
      </c>
      <c r="D1366" s="116">
        <v>80.804534614494102</v>
      </c>
      <c r="E1366" s="116">
        <v>83.179712896503801</v>
      </c>
      <c r="F1366" s="116">
        <v>83.65</v>
      </c>
      <c r="G1366">
        <v>213655</v>
      </c>
      <c r="H1366" s="116"/>
      <c r="I1366" s="116"/>
      <c r="L1366" s="170">
        <v>44020</v>
      </c>
      <c r="M1366" s="116">
        <v>83.65</v>
      </c>
      <c r="N1366" s="116">
        <v>86.8</v>
      </c>
      <c r="O1366" s="116">
        <v>83.25</v>
      </c>
      <c r="P1366" s="116">
        <v>86.35</v>
      </c>
      <c r="Q1366" s="116">
        <v>83.65</v>
      </c>
      <c r="R1366">
        <v>3730505</v>
      </c>
    </row>
    <row r="1367" spans="1:18" x14ac:dyDescent="0.25">
      <c r="A1367" s="170">
        <v>44021</v>
      </c>
      <c r="B1367" s="116">
        <v>82.307198425561495</v>
      </c>
      <c r="C1367" s="116">
        <v>79.301870803426695</v>
      </c>
      <c r="D1367" s="116">
        <v>79.156451724936304</v>
      </c>
      <c r="E1367" s="116">
        <v>82.307198425561495</v>
      </c>
      <c r="F1367" s="116">
        <v>81.8</v>
      </c>
      <c r="G1367">
        <v>110577</v>
      </c>
      <c r="H1367" s="116"/>
      <c r="I1367" s="116"/>
      <c r="L1367" s="170">
        <v>44021</v>
      </c>
      <c r="M1367" s="116">
        <v>81.8</v>
      </c>
      <c r="N1367" s="116">
        <v>84.55</v>
      </c>
      <c r="O1367" s="116">
        <v>81.5</v>
      </c>
      <c r="P1367" s="116">
        <v>84.55</v>
      </c>
      <c r="Q1367" s="116">
        <v>81.8</v>
      </c>
      <c r="R1367">
        <v>1403368</v>
      </c>
    </row>
    <row r="1368" spans="1:18" x14ac:dyDescent="0.25">
      <c r="A1368" s="170">
        <v>44022</v>
      </c>
      <c r="B1368" s="116">
        <v>79.980493169715203</v>
      </c>
      <c r="C1368" s="116">
        <v>78.865613567955506</v>
      </c>
      <c r="D1368" s="116">
        <v>77.9930990970132</v>
      </c>
      <c r="E1368" s="116">
        <v>79.980493169715203</v>
      </c>
      <c r="F1368" s="116">
        <v>81.349999999999994</v>
      </c>
      <c r="G1368">
        <v>82220</v>
      </c>
      <c r="H1368" s="116"/>
      <c r="I1368" s="116"/>
      <c r="L1368" s="170">
        <v>44022</v>
      </c>
      <c r="M1368" s="116">
        <v>81.25</v>
      </c>
      <c r="N1368" s="116">
        <v>82.2</v>
      </c>
      <c r="O1368" s="116">
        <v>80.400000000000006</v>
      </c>
      <c r="P1368" s="116">
        <v>81.7</v>
      </c>
      <c r="Q1368" s="116">
        <v>81.25</v>
      </c>
      <c r="R1368">
        <v>1249573</v>
      </c>
    </row>
    <row r="1369" spans="1:18" x14ac:dyDescent="0.25">
      <c r="A1369" s="170">
        <v>44025</v>
      </c>
      <c r="B1369" s="116">
        <v>79.204924751099796</v>
      </c>
      <c r="C1369" s="116">
        <v>77.605314887705504</v>
      </c>
      <c r="D1369" s="116">
        <v>77.169057652234301</v>
      </c>
      <c r="E1369" s="116">
        <v>78.7201944894652</v>
      </c>
      <c r="F1369" s="116">
        <v>80.05</v>
      </c>
      <c r="G1369">
        <v>163641</v>
      </c>
      <c r="H1369" s="116"/>
      <c r="I1369" s="116"/>
      <c r="L1369" s="170">
        <v>44025</v>
      </c>
      <c r="M1369" s="116">
        <v>80.05</v>
      </c>
      <c r="N1369" s="116">
        <v>81.95</v>
      </c>
      <c r="O1369" s="116">
        <v>79.599999999999994</v>
      </c>
      <c r="P1369" s="116">
        <v>81.5</v>
      </c>
      <c r="Q1369" s="116">
        <v>80.05</v>
      </c>
      <c r="R1369">
        <v>1051905</v>
      </c>
    </row>
    <row r="1370" spans="1:18" x14ac:dyDescent="0.25">
      <c r="A1370" s="170">
        <v>44026</v>
      </c>
      <c r="B1370" s="116">
        <v>77.556841861541997</v>
      </c>
      <c r="C1370" s="116">
        <v>76.732800416763197</v>
      </c>
      <c r="D1370" s="116">
        <v>75.7148668673304</v>
      </c>
      <c r="E1370" s="116">
        <v>77.556841861541997</v>
      </c>
      <c r="F1370" s="116">
        <v>79.150000000000006</v>
      </c>
      <c r="G1370">
        <v>77524</v>
      </c>
      <c r="H1370" s="116"/>
      <c r="I1370" s="116"/>
      <c r="L1370" s="170">
        <v>44026</v>
      </c>
      <c r="M1370" s="116">
        <v>79.7</v>
      </c>
      <c r="N1370" s="116">
        <v>81.900000000000006</v>
      </c>
      <c r="O1370" s="116">
        <v>78</v>
      </c>
      <c r="P1370" s="116">
        <v>79.95</v>
      </c>
      <c r="Q1370" s="116">
        <v>79.7</v>
      </c>
      <c r="R1370">
        <v>1431749</v>
      </c>
    </row>
    <row r="1371" spans="1:18" x14ac:dyDescent="0.25">
      <c r="A1371" s="170">
        <v>44027</v>
      </c>
      <c r="B1371" s="116">
        <v>77.459895809215098</v>
      </c>
      <c r="C1371" s="116">
        <v>76.732800416763197</v>
      </c>
      <c r="D1371" s="116">
        <v>76.4419622597824</v>
      </c>
      <c r="E1371" s="116">
        <v>77.362949756888199</v>
      </c>
      <c r="F1371" s="116">
        <v>79.150000000000006</v>
      </c>
      <c r="G1371">
        <v>64894</v>
      </c>
      <c r="H1371" s="116"/>
      <c r="I1371" s="116"/>
      <c r="L1371" s="170">
        <v>44027</v>
      </c>
      <c r="M1371" s="116">
        <v>79.3</v>
      </c>
      <c r="N1371" s="116">
        <v>80.400000000000006</v>
      </c>
      <c r="O1371" s="116">
        <v>78.7</v>
      </c>
      <c r="P1371" s="116">
        <v>80.349999999999994</v>
      </c>
      <c r="Q1371" s="116">
        <v>79.3</v>
      </c>
      <c r="R1371">
        <v>1387312</v>
      </c>
    </row>
    <row r="1372" spans="1:18" x14ac:dyDescent="0.25">
      <c r="A1372" s="170">
        <v>44028</v>
      </c>
      <c r="B1372" s="116">
        <v>77.556841861541997</v>
      </c>
      <c r="C1372" s="116">
        <v>76.296543181291995</v>
      </c>
      <c r="D1372" s="116">
        <v>74.793879370224602</v>
      </c>
      <c r="E1372" s="116">
        <v>77.556841861541997</v>
      </c>
      <c r="F1372" s="116">
        <v>78.7</v>
      </c>
      <c r="G1372">
        <v>48667</v>
      </c>
      <c r="H1372" s="116"/>
      <c r="I1372" s="116"/>
      <c r="L1372" s="170">
        <v>44028</v>
      </c>
      <c r="M1372" s="116">
        <v>78.650000000000006</v>
      </c>
      <c r="N1372" s="116">
        <v>79.8</v>
      </c>
      <c r="O1372" s="116">
        <v>77.099999999999994</v>
      </c>
      <c r="P1372" s="116">
        <v>79.8</v>
      </c>
      <c r="Q1372" s="116">
        <v>78.650000000000006</v>
      </c>
      <c r="R1372">
        <v>923618</v>
      </c>
    </row>
    <row r="1373" spans="1:18" x14ac:dyDescent="0.25">
      <c r="A1373" s="170">
        <v>44029</v>
      </c>
      <c r="B1373" s="116">
        <v>77.459895809215098</v>
      </c>
      <c r="C1373" s="116">
        <v>77.120584626070894</v>
      </c>
      <c r="D1373" s="116">
        <v>75.327082658022704</v>
      </c>
      <c r="E1373" s="116">
        <v>75.327082658022704</v>
      </c>
      <c r="F1373" s="116">
        <v>79.55</v>
      </c>
      <c r="G1373">
        <v>188891</v>
      </c>
      <c r="H1373" s="116"/>
      <c r="I1373" s="116"/>
      <c r="L1373" s="170">
        <v>44029</v>
      </c>
      <c r="M1373" s="116">
        <v>79.400000000000006</v>
      </c>
      <c r="N1373" s="116">
        <v>79.900000000000006</v>
      </c>
      <c r="O1373" s="116">
        <v>77.7</v>
      </c>
      <c r="P1373" s="116">
        <v>78.45</v>
      </c>
      <c r="Q1373" s="116">
        <v>79.400000000000006</v>
      </c>
      <c r="R1373">
        <v>3550352</v>
      </c>
    </row>
    <row r="1374" spans="1:18" x14ac:dyDescent="0.25">
      <c r="A1374" s="170">
        <v>44032</v>
      </c>
      <c r="B1374" s="116">
        <v>80.949953692984494</v>
      </c>
      <c r="C1374" s="116">
        <v>79.156451724936304</v>
      </c>
      <c r="D1374" s="116">
        <v>76.151124102801603</v>
      </c>
      <c r="E1374" s="116">
        <v>76.781273442926604</v>
      </c>
      <c r="F1374" s="116">
        <v>81.650000000000006</v>
      </c>
      <c r="G1374">
        <v>349644</v>
      </c>
      <c r="H1374" s="116"/>
      <c r="I1374" s="116"/>
      <c r="L1374" s="170">
        <v>44032</v>
      </c>
      <c r="M1374" s="116">
        <v>81.7</v>
      </c>
      <c r="N1374" s="116">
        <v>83.5</v>
      </c>
      <c r="O1374" s="116">
        <v>78.55</v>
      </c>
      <c r="P1374" s="116">
        <v>79.75</v>
      </c>
      <c r="Q1374" s="116">
        <v>81.7</v>
      </c>
      <c r="R1374">
        <v>3295502</v>
      </c>
    </row>
    <row r="1375" spans="1:18" x14ac:dyDescent="0.25">
      <c r="A1375" s="170">
        <v>44033</v>
      </c>
      <c r="B1375" s="116">
        <v>81.919414216253799</v>
      </c>
      <c r="C1375" s="116">
        <v>77.847680018522794</v>
      </c>
      <c r="D1375" s="116">
        <v>77.556841861541997</v>
      </c>
      <c r="E1375" s="116">
        <v>81.386210928455696</v>
      </c>
      <c r="F1375" s="116">
        <v>80.3</v>
      </c>
      <c r="G1375">
        <v>239452</v>
      </c>
      <c r="H1375" s="116"/>
      <c r="I1375" s="116"/>
      <c r="L1375" s="170">
        <v>44033</v>
      </c>
      <c r="M1375" s="116">
        <v>80.349999999999994</v>
      </c>
      <c r="N1375" s="116">
        <v>84.5</v>
      </c>
      <c r="O1375" s="116">
        <v>80</v>
      </c>
      <c r="P1375" s="116">
        <v>83.8</v>
      </c>
      <c r="Q1375" s="116">
        <v>80.349999999999994</v>
      </c>
      <c r="R1375">
        <v>4409458</v>
      </c>
    </row>
    <row r="1376" spans="1:18" x14ac:dyDescent="0.25">
      <c r="A1376" s="170">
        <v>44034</v>
      </c>
      <c r="B1376" s="116">
        <v>79.204924751099796</v>
      </c>
      <c r="C1376" s="116">
        <v>77.508368835378604</v>
      </c>
      <c r="D1376" s="116">
        <v>77.217530678397793</v>
      </c>
      <c r="E1376" s="116">
        <v>78.7201944894652</v>
      </c>
      <c r="F1376" s="116">
        <v>79.95</v>
      </c>
      <c r="G1376">
        <v>159129</v>
      </c>
      <c r="H1376" s="116"/>
      <c r="I1376" s="116"/>
      <c r="L1376" s="170">
        <v>44034</v>
      </c>
      <c r="M1376" s="116">
        <v>79.900000000000006</v>
      </c>
      <c r="N1376" s="116">
        <v>81.7</v>
      </c>
      <c r="O1376" s="116">
        <v>79.7</v>
      </c>
      <c r="P1376" s="116">
        <v>81.150000000000006</v>
      </c>
      <c r="Q1376" s="116">
        <v>79.900000000000006</v>
      </c>
      <c r="R1376">
        <v>2352394</v>
      </c>
    </row>
    <row r="1377" spans="1:18" x14ac:dyDescent="0.25">
      <c r="A1377" s="170">
        <v>44035</v>
      </c>
      <c r="B1377" s="116">
        <v>79.786601065061404</v>
      </c>
      <c r="C1377" s="116">
        <v>78.914086594118999</v>
      </c>
      <c r="D1377" s="116">
        <v>77.459895809215098</v>
      </c>
      <c r="E1377" s="116">
        <v>77.605314887705504</v>
      </c>
      <c r="F1377" s="116">
        <v>81.400000000000006</v>
      </c>
      <c r="G1377">
        <v>235827</v>
      </c>
      <c r="H1377" s="116"/>
      <c r="I1377" s="116"/>
      <c r="L1377" s="170">
        <v>44035</v>
      </c>
      <c r="M1377" s="116">
        <v>81.349999999999994</v>
      </c>
      <c r="N1377" s="116">
        <v>82.5</v>
      </c>
      <c r="O1377" s="116">
        <v>79.95</v>
      </c>
      <c r="P1377" s="116">
        <v>80.45</v>
      </c>
      <c r="Q1377" s="116">
        <v>81.349999999999994</v>
      </c>
      <c r="R1377">
        <v>3791825</v>
      </c>
    </row>
    <row r="1378" spans="1:18" x14ac:dyDescent="0.25">
      <c r="A1378" s="170">
        <v>44036</v>
      </c>
      <c r="B1378" s="116">
        <v>79.786601065061404</v>
      </c>
      <c r="C1378" s="116">
        <v>76.781273442926604</v>
      </c>
      <c r="D1378" s="116">
        <v>76.587381338272706</v>
      </c>
      <c r="E1378" s="116">
        <v>79.495762908080593</v>
      </c>
      <c r="F1378" s="116">
        <v>79.2</v>
      </c>
      <c r="G1378">
        <v>202936</v>
      </c>
      <c r="H1378" s="116"/>
      <c r="I1378" s="116"/>
      <c r="L1378" s="170">
        <v>44036</v>
      </c>
      <c r="M1378" s="116">
        <v>79.150000000000006</v>
      </c>
      <c r="N1378" s="116">
        <v>81.900000000000006</v>
      </c>
      <c r="O1378" s="116">
        <v>79</v>
      </c>
      <c r="P1378" s="116">
        <v>81.650000000000006</v>
      </c>
      <c r="Q1378" s="116">
        <v>79.150000000000006</v>
      </c>
      <c r="R1378">
        <v>1953576</v>
      </c>
    </row>
    <row r="1379" spans="1:18" x14ac:dyDescent="0.25">
      <c r="A1379" s="170">
        <v>44039</v>
      </c>
      <c r="B1379" s="116">
        <v>77.556841861541997</v>
      </c>
      <c r="C1379" s="116">
        <v>76.005705024311197</v>
      </c>
      <c r="D1379" s="116">
        <v>75.908758971984298</v>
      </c>
      <c r="E1379" s="116">
        <v>77.556841861541997</v>
      </c>
      <c r="F1379" s="116">
        <v>78.400000000000006</v>
      </c>
      <c r="G1379">
        <v>184630</v>
      </c>
      <c r="H1379" s="116"/>
      <c r="I1379" s="116"/>
      <c r="L1379" s="170">
        <v>44039</v>
      </c>
      <c r="M1379" s="116">
        <v>78.400000000000006</v>
      </c>
      <c r="N1379" s="116">
        <v>80.05</v>
      </c>
      <c r="O1379" s="116">
        <v>78.3</v>
      </c>
      <c r="P1379" s="116">
        <v>79.45</v>
      </c>
      <c r="Q1379" s="116">
        <v>78.400000000000006</v>
      </c>
      <c r="R1379">
        <v>1078984</v>
      </c>
    </row>
    <row r="1380" spans="1:18" x14ac:dyDescent="0.25">
      <c r="A1380" s="170">
        <v>44040</v>
      </c>
      <c r="B1380" s="116">
        <v>76.878219495253504</v>
      </c>
      <c r="C1380" s="116">
        <v>76.393489233618894</v>
      </c>
      <c r="D1380" s="116">
        <v>75.617920815003501</v>
      </c>
      <c r="E1380" s="116">
        <v>75.860285945820806</v>
      </c>
      <c r="F1380" s="116">
        <v>78.8</v>
      </c>
      <c r="G1380">
        <v>75328</v>
      </c>
      <c r="H1380" s="116"/>
      <c r="I1380" s="116"/>
      <c r="L1380" s="170">
        <v>44040</v>
      </c>
      <c r="M1380" s="116">
        <v>78.849999999999994</v>
      </c>
      <c r="N1380" s="116">
        <v>79.349999999999994</v>
      </c>
      <c r="O1380" s="116">
        <v>78</v>
      </c>
      <c r="P1380" s="116">
        <v>78.400000000000006</v>
      </c>
      <c r="Q1380" s="116">
        <v>78.849999999999994</v>
      </c>
      <c r="R1380">
        <v>998628</v>
      </c>
    </row>
    <row r="1381" spans="1:18" x14ac:dyDescent="0.25">
      <c r="A1381" s="170">
        <v>44041</v>
      </c>
      <c r="B1381" s="116">
        <v>78.332410280157404</v>
      </c>
      <c r="C1381" s="116">
        <v>76.781273442926604</v>
      </c>
      <c r="D1381" s="116">
        <v>76.4419622597824</v>
      </c>
      <c r="E1381" s="116">
        <v>76.635854364436199</v>
      </c>
      <c r="F1381" s="116">
        <v>79.2</v>
      </c>
      <c r="G1381">
        <v>102356</v>
      </c>
      <c r="H1381" s="116"/>
      <c r="I1381" s="116"/>
      <c r="L1381" s="170">
        <v>44041</v>
      </c>
      <c r="M1381" s="116">
        <v>79.150000000000006</v>
      </c>
      <c r="N1381" s="116">
        <v>80.8</v>
      </c>
      <c r="O1381" s="116">
        <v>78.8</v>
      </c>
      <c r="P1381" s="116">
        <v>79</v>
      </c>
      <c r="Q1381" s="116">
        <v>79.150000000000006</v>
      </c>
      <c r="R1381">
        <v>1690831</v>
      </c>
    </row>
    <row r="1382" spans="1:18" x14ac:dyDescent="0.25">
      <c r="A1382" s="170">
        <v>44042</v>
      </c>
      <c r="B1382" s="116">
        <v>77.314476730724706</v>
      </c>
      <c r="C1382" s="116">
        <v>74.551514239407297</v>
      </c>
      <c r="D1382" s="116">
        <v>74.406095160916905</v>
      </c>
      <c r="E1382" s="116">
        <v>76.829746469090097</v>
      </c>
      <c r="F1382" s="116">
        <v>76.900000000000006</v>
      </c>
      <c r="G1382">
        <v>215320</v>
      </c>
      <c r="H1382" s="116"/>
      <c r="I1382" s="116"/>
      <c r="L1382" s="170">
        <v>44042</v>
      </c>
      <c r="M1382" s="116">
        <v>76.900000000000006</v>
      </c>
      <c r="N1382" s="116">
        <v>79.650000000000006</v>
      </c>
      <c r="O1382" s="116">
        <v>76.7</v>
      </c>
      <c r="P1382" s="116">
        <v>79.650000000000006</v>
      </c>
      <c r="Q1382" s="116">
        <v>76.900000000000006</v>
      </c>
      <c r="R1382">
        <v>2779518</v>
      </c>
    </row>
    <row r="1383" spans="1:18" x14ac:dyDescent="0.25">
      <c r="A1383" s="170">
        <v>44043</v>
      </c>
      <c r="B1383" s="116">
        <v>75.908758971984298</v>
      </c>
      <c r="C1383" s="116">
        <v>74.066783977772602</v>
      </c>
      <c r="D1383" s="116">
        <v>73.824418846955297</v>
      </c>
      <c r="E1383" s="116">
        <v>75.617920815003501</v>
      </c>
      <c r="F1383" s="116">
        <v>76.400000000000006</v>
      </c>
      <c r="G1383">
        <v>137752</v>
      </c>
      <c r="H1383" s="116"/>
      <c r="I1383" s="116"/>
      <c r="L1383" s="170">
        <v>44043</v>
      </c>
      <c r="M1383" s="116">
        <v>76.349999999999994</v>
      </c>
      <c r="N1383" s="116">
        <v>78.2</v>
      </c>
      <c r="O1383" s="116">
        <v>76.099999999999994</v>
      </c>
      <c r="P1383" s="116">
        <v>77.599999999999994</v>
      </c>
      <c r="Q1383" s="116">
        <v>76.349999999999994</v>
      </c>
      <c r="R1383">
        <v>2093421</v>
      </c>
    </row>
    <row r="1384" spans="1:18" x14ac:dyDescent="0.25">
      <c r="A1384" s="170">
        <v>44046</v>
      </c>
      <c r="B1384" s="116">
        <v>76.102651076638097</v>
      </c>
      <c r="C1384" s="116">
        <v>74.890825422551501</v>
      </c>
      <c r="D1384" s="116">
        <v>73.921364899282196</v>
      </c>
      <c r="E1384" s="116">
        <v>74.066783977772602</v>
      </c>
      <c r="F1384" s="116">
        <v>77.25</v>
      </c>
      <c r="G1384">
        <v>147894</v>
      </c>
      <c r="H1384" s="116"/>
      <c r="I1384" s="116"/>
      <c r="L1384" s="170">
        <v>44046</v>
      </c>
      <c r="M1384" s="116">
        <v>77.25</v>
      </c>
      <c r="N1384" s="116">
        <v>78.5</v>
      </c>
      <c r="O1384" s="116">
        <v>76.349999999999994</v>
      </c>
      <c r="P1384" s="116">
        <v>76.400000000000006</v>
      </c>
      <c r="Q1384" s="116">
        <v>77.25</v>
      </c>
      <c r="R1384">
        <v>1714485</v>
      </c>
    </row>
    <row r="1385" spans="1:18" x14ac:dyDescent="0.25">
      <c r="A1385" s="170">
        <v>44047</v>
      </c>
      <c r="B1385" s="116">
        <v>75.666393841166894</v>
      </c>
      <c r="C1385" s="116">
        <v>74.551514239407297</v>
      </c>
      <c r="D1385" s="116">
        <v>74.454568187080298</v>
      </c>
      <c r="E1385" s="116">
        <v>75.617920815003501</v>
      </c>
      <c r="F1385" s="116">
        <v>76.900000000000006</v>
      </c>
      <c r="G1385">
        <v>71186</v>
      </c>
      <c r="H1385" s="116"/>
      <c r="I1385" s="116"/>
      <c r="L1385" s="170">
        <v>44047</v>
      </c>
      <c r="M1385" s="116">
        <v>76.900000000000006</v>
      </c>
      <c r="N1385" s="116">
        <v>78</v>
      </c>
      <c r="O1385" s="116">
        <v>76.8</v>
      </c>
      <c r="P1385" s="116">
        <v>77.95</v>
      </c>
      <c r="Q1385" s="116">
        <v>76.900000000000006</v>
      </c>
      <c r="R1385">
        <v>1280326</v>
      </c>
    </row>
    <row r="1386" spans="1:18" x14ac:dyDescent="0.25">
      <c r="A1386" s="170">
        <v>44048</v>
      </c>
      <c r="B1386" s="116">
        <v>75.811812919657299</v>
      </c>
      <c r="C1386" s="116">
        <v>75.375555684186196</v>
      </c>
      <c r="D1386" s="116">
        <v>74.503041213243804</v>
      </c>
      <c r="E1386" s="116">
        <v>74.9877714748784</v>
      </c>
      <c r="F1386" s="116">
        <v>77.75</v>
      </c>
      <c r="G1386">
        <v>55220</v>
      </c>
      <c r="H1386" s="116"/>
      <c r="I1386" s="116"/>
      <c r="L1386" s="170">
        <v>44048</v>
      </c>
      <c r="M1386" s="116">
        <v>77.8</v>
      </c>
      <c r="N1386" s="116">
        <v>78.2</v>
      </c>
      <c r="O1386" s="116">
        <v>76.8</v>
      </c>
      <c r="P1386" s="116">
        <v>77.099999999999994</v>
      </c>
      <c r="Q1386" s="116">
        <v>77.8</v>
      </c>
      <c r="R1386">
        <v>1743178</v>
      </c>
    </row>
    <row r="1387" spans="1:18" x14ac:dyDescent="0.25">
      <c r="A1387" s="170">
        <v>44049</v>
      </c>
      <c r="B1387" s="116">
        <v>77.217530678397793</v>
      </c>
      <c r="C1387" s="116">
        <v>75.327082658022704</v>
      </c>
      <c r="D1387" s="116">
        <v>75.133190553368806</v>
      </c>
      <c r="E1387" s="116">
        <v>77.169057652234301</v>
      </c>
      <c r="F1387" s="116">
        <v>77.7</v>
      </c>
      <c r="G1387">
        <v>114803</v>
      </c>
      <c r="H1387" s="116"/>
      <c r="I1387" s="116"/>
      <c r="L1387" s="170">
        <v>44049</v>
      </c>
      <c r="M1387" s="116">
        <v>77.849999999999994</v>
      </c>
      <c r="N1387" s="116">
        <v>79.599999999999994</v>
      </c>
      <c r="O1387" s="116">
        <v>77.599999999999994</v>
      </c>
      <c r="P1387" s="116">
        <v>79.25</v>
      </c>
      <c r="Q1387" s="116">
        <v>77.849999999999994</v>
      </c>
      <c r="R1387">
        <v>1681247</v>
      </c>
    </row>
    <row r="1388" spans="1:18" x14ac:dyDescent="0.25">
      <c r="A1388" s="170">
        <v>44050</v>
      </c>
      <c r="B1388" s="116">
        <v>75.957231998147705</v>
      </c>
      <c r="C1388" s="116">
        <v>75.520974762676602</v>
      </c>
      <c r="D1388" s="116">
        <v>74.939298448714993</v>
      </c>
      <c r="E1388" s="116">
        <v>75.327082658022704</v>
      </c>
      <c r="F1388" s="116">
        <v>77.900000000000006</v>
      </c>
      <c r="G1388">
        <v>94239</v>
      </c>
      <c r="H1388" s="116"/>
      <c r="I1388" s="116"/>
      <c r="L1388" s="170">
        <v>44050</v>
      </c>
      <c r="M1388" s="116">
        <v>77.849999999999994</v>
      </c>
      <c r="N1388" s="116">
        <v>78.3</v>
      </c>
      <c r="O1388" s="116">
        <v>77</v>
      </c>
      <c r="P1388" s="116">
        <v>77.7</v>
      </c>
      <c r="Q1388" s="116">
        <v>77.849999999999994</v>
      </c>
      <c r="R1388">
        <v>1606503</v>
      </c>
    </row>
    <row r="1389" spans="1:18" x14ac:dyDescent="0.25">
      <c r="A1389" s="170">
        <v>44053</v>
      </c>
      <c r="B1389" s="116">
        <v>78.914086594118999</v>
      </c>
      <c r="C1389" s="116">
        <v>78.477829358647796</v>
      </c>
      <c r="D1389" s="116">
        <v>76.005705024311197</v>
      </c>
      <c r="E1389" s="116">
        <v>76.490435285945793</v>
      </c>
      <c r="F1389" s="116">
        <v>80.95</v>
      </c>
      <c r="G1389">
        <v>388550</v>
      </c>
      <c r="H1389" s="116"/>
      <c r="I1389" s="116"/>
      <c r="L1389" s="170">
        <v>44053</v>
      </c>
      <c r="M1389" s="116">
        <v>80.95</v>
      </c>
      <c r="N1389" s="116">
        <v>81.400000000000006</v>
      </c>
      <c r="O1389" s="116">
        <v>78.099999999999994</v>
      </c>
      <c r="P1389" s="116">
        <v>79.3</v>
      </c>
      <c r="Q1389" s="116">
        <v>80.95</v>
      </c>
      <c r="R1389">
        <v>3326350</v>
      </c>
    </row>
    <row r="1390" spans="1:18" x14ac:dyDescent="0.25">
      <c r="A1390" s="170">
        <v>44054</v>
      </c>
      <c r="B1390" s="116">
        <v>82.355671451724902</v>
      </c>
      <c r="C1390" s="116">
        <v>80.901480666821001</v>
      </c>
      <c r="D1390" s="116">
        <v>78.138518175503606</v>
      </c>
      <c r="E1390" s="116">
        <v>79.447289881917101</v>
      </c>
      <c r="F1390" s="116">
        <v>83.45</v>
      </c>
      <c r="G1390">
        <v>532210</v>
      </c>
      <c r="H1390" s="116"/>
      <c r="I1390" s="116"/>
      <c r="L1390" s="170">
        <v>44054</v>
      </c>
      <c r="M1390" s="116">
        <v>83.55</v>
      </c>
      <c r="N1390" s="116">
        <v>84.8</v>
      </c>
      <c r="O1390" s="116">
        <v>80.5</v>
      </c>
      <c r="P1390" s="116">
        <v>82</v>
      </c>
      <c r="Q1390" s="116">
        <v>83.55</v>
      </c>
      <c r="R1390">
        <v>17937792</v>
      </c>
    </row>
    <row r="1391" spans="1:18" x14ac:dyDescent="0.25">
      <c r="A1391" s="170">
        <v>44055</v>
      </c>
      <c r="B1391" s="116">
        <v>85.070160916878905</v>
      </c>
      <c r="C1391" s="116">
        <v>84.682376707571194</v>
      </c>
      <c r="D1391" s="116">
        <v>80.659115536003696</v>
      </c>
      <c r="E1391" s="116">
        <v>80.901480666821001</v>
      </c>
      <c r="F1391" s="116">
        <v>87.35</v>
      </c>
      <c r="G1391">
        <v>650645</v>
      </c>
      <c r="H1391" s="116"/>
      <c r="I1391" s="116"/>
      <c r="L1391" s="170">
        <v>44055</v>
      </c>
      <c r="M1391" s="116">
        <v>87.4</v>
      </c>
      <c r="N1391" s="116">
        <v>87.85</v>
      </c>
      <c r="O1391" s="116">
        <v>83</v>
      </c>
      <c r="P1391" s="116">
        <v>83.25</v>
      </c>
      <c r="Q1391" s="116">
        <v>87.4</v>
      </c>
      <c r="R1391">
        <v>9224081</v>
      </c>
    </row>
    <row r="1392" spans="1:18" x14ac:dyDescent="0.25">
      <c r="A1392" s="170">
        <v>44056</v>
      </c>
      <c r="B1392" s="116">
        <v>95.734226672840904</v>
      </c>
      <c r="C1392" s="116">
        <v>94.570874044917801</v>
      </c>
      <c r="D1392" s="116">
        <v>85.167106969205804</v>
      </c>
      <c r="E1392" s="116">
        <v>85.312526047696196</v>
      </c>
      <c r="F1392" s="116">
        <v>97.55</v>
      </c>
      <c r="G1392">
        <v>1101119</v>
      </c>
      <c r="H1392" s="116"/>
      <c r="I1392" s="116"/>
      <c r="L1392" s="170">
        <v>44056</v>
      </c>
      <c r="M1392" s="116">
        <v>97.65</v>
      </c>
      <c r="N1392" s="116">
        <v>98.9</v>
      </c>
      <c r="O1392" s="116">
        <v>87.75</v>
      </c>
      <c r="P1392" s="116">
        <v>88</v>
      </c>
      <c r="Q1392" s="116">
        <v>97.65</v>
      </c>
      <c r="R1392">
        <v>24582532</v>
      </c>
    </row>
    <row r="1393" spans="1:18" x14ac:dyDescent="0.25">
      <c r="A1393" s="170">
        <v>44057</v>
      </c>
      <c r="B1393" s="116">
        <v>99.321230608937299</v>
      </c>
      <c r="C1393" s="116">
        <v>90.741504978004201</v>
      </c>
      <c r="D1393" s="116">
        <v>88.220907617504096</v>
      </c>
      <c r="E1393" s="116">
        <v>96.364376012966005</v>
      </c>
      <c r="F1393" s="116">
        <v>93.6</v>
      </c>
      <c r="G1393">
        <v>488522</v>
      </c>
      <c r="H1393" s="116"/>
      <c r="I1393" s="116"/>
      <c r="L1393" s="170">
        <v>44057</v>
      </c>
      <c r="M1393" s="116">
        <v>93.75</v>
      </c>
      <c r="N1393" s="116">
        <v>102.5</v>
      </c>
      <c r="O1393" s="116">
        <v>91</v>
      </c>
      <c r="P1393" s="116">
        <v>99.6</v>
      </c>
      <c r="Q1393" s="116">
        <v>93.75</v>
      </c>
      <c r="R1393">
        <v>10165610</v>
      </c>
    </row>
    <row r="1394" spans="1:18" x14ac:dyDescent="0.25">
      <c r="A1394" s="170">
        <v>44060</v>
      </c>
      <c r="B1394" s="116">
        <v>93.262102338504306</v>
      </c>
      <c r="C1394" s="116">
        <v>90.014409585552201</v>
      </c>
      <c r="D1394" s="116">
        <v>89.335787219263693</v>
      </c>
      <c r="E1394" s="116">
        <v>92.3895878675619</v>
      </c>
      <c r="F1394" s="116">
        <v>92.85</v>
      </c>
      <c r="G1394">
        <v>154647</v>
      </c>
      <c r="H1394" s="116"/>
      <c r="I1394" s="116"/>
      <c r="L1394" s="170">
        <v>44060</v>
      </c>
      <c r="M1394" s="116">
        <v>92.85</v>
      </c>
      <c r="N1394" s="116">
        <v>96</v>
      </c>
      <c r="O1394" s="116">
        <v>92</v>
      </c>
      <c r="P1394" s="116">
        <v>95.4</v>
      </c>
      <c r="Q1394" s="116">
        <v>92.85</v>
      </c>
      <c r="R1394">
        <v>2647879</v>
      </c>
    </row>
    <row r="1395" spans="1:18" x14ac:dyDescent="0.25">
      <c r="A1395" s="170">
        <v>44061</v>
      </c>
      <c r="B1395" s="116">
        <v>94.813239175735106</v>
      </c>
      <c r="C1395" s="116">
        <v>94.037670757119699</v>
      </c>
      <c r="D1395" s="116">
        <v>90.596085899513795</v>
      </c>
      <c r="E1395" s="116">
        <v>91.129289187311898</v>
      </c>
      <c r="F1395" s="116">
        <v>97</v>
      </c>
      <c r="G1395">
        <v>180132</v>
      </c>
      <c r="H1395" s="116"/>
      <c r="I1395" s="116"/>
      <c r="L1395" s="170">
        <v>44061</v>
      </c>
      <c r="M1395" s="116">
        <v>97.25</v>
      </c>
      <c r="N1395" s="116">
        <v>98</v>
      </c>
      <c r="O1395" s="116">
        <v>93.25</v>
      </c>
      <c r="P1395" s="116">
        <v>93.3</v>
      </c>
      <c r="Q1395" s="116">
        <v>97.25</v>
      </c>
      <c r="R1395">
        <v>5978902</v>
      </c>
    </row>
    <row r="1396" spans="1:18" x14ac:dyDescent="0.25">
      <c r="A1396" s="170">
        <v>44062</v>
      </c>
      <c r="B1396" s="116">
        <v>95.249496411206295</v>
      </c>
      <c r="C1396" s="116">
        <v>93.698359573975495</v>
      </c>
      <c r="D1396" s="116">
        <v>93.165156286177407</v>
      </c>
      <c r="E1396" s="116">
        <v>95.007131280389004</v>
      </c>
      <c r="F1396" s="116">
        <v>96.65</v>
      </c>
      <c r="G1396">
        <v>124780</v>
      </c>
      <c r="H1396" s="116"/>
      <c r="I1396" s="116"/>
      <c r="L1396" s="170">
        <v>44062</v>
      </c>
      <c r="M1396" s="116">
        <v>96.75</v>
      </c>
      <c r="N1396" s="116">
        <v>98.3</v>
      </c>
      <c r="O1396" s="116">
        <v>96</v>
      </c>
      <c r="P1396" s="116">
        <v>97.95</v>
      </c>
      <c r="Q1396" s="116">
        <v>96.75</v>
      </c>
      <c r="R1396">
        <v>2078132</v>
      </c>
    </row>
    <row r="1397" spans="1:18" x14ac:dyDescent="0.25">
      <c r="A1397" s="170">
        <v>44063</v>
      </c>
      <c r="B1397" s="116">
        <v>101.11473257698501</v>
      </c>
      <c r="C1397" s="116">
        <v>99.418176661264198</v>
      </c>
      <c r="D1397" s="116">
        <v>94.037670757119699</v>
      </c>
      <c r="E1397" s="116">
        <v>94.764766149571699</v>
      </c>
      <c r="F1397" s="116">
        <v>102.55</v>
      </c>
      <c r="G1397">
        <v>407262</v>
      </c>
      <c r="H1397" s="116"/>
      <c r="I1397" s="116"/>
      <c r="L1397" s="170">
        <v>44063</v>
      </c>
      <c r="M1397" s="116">
        <v>102.5</v>
      </c>
      <c r="N1397" s="116">
        <v>104.5</v>
      </c>
      <c r="O1397" s="116">
        <v>96.15</v>
      </c>
      <c r="P1397" s="116">
        <v>96.7</v>
      </c>
      <c r="Q1397" s="116">
        <v>102.5</v>
      </c>
      <c r="R1397">
        <v>11943094</v>
      </c>
    </row>
    <row r="1398" spans="1:18" x14ac:dyDescent="0.25">
      <c r="A1398" s="170">
        <v>44064</v>
      </c>
      <c r="B1398" s="116">
        <v>103.150599675851</v>
      </c>
      <c r="C1398" s="116">
        <v>97.867039824033299</v>
      </c>
      <c r="D1398" s="116">
        <v>96.9460523269275</v>
      </c>
      <c r="E1398" s="116">
        <v>101.211678629312</v>
      </c>
      <c r="F1398" s="116">
        <v>100.95</v>
      </c>
      <c r="G1398">
        <v>490451</v>
      </c>
      <c r="H1398" s="116"/>
      <c r="I1398" s="116"/>
      <c r="L1398" s="170">
        <v>44064</v>
      </c>
      <c r="M1398" s="116">
        <v>100.85</v>
      </c>
      <c r="N1398" s="116">
        <v>106.45</v>
      </c>
      <c r="O1398" s="116">
        <v>100</v>
      </c>
      <c r="P1398" s="116">
        <v>104.45</v>
      </c>
      <c r="Q1398" s="116">
        <v>100.85</v>
      </c>
      <c r="R1398">
        <v>5513988</v>
      </c>
    </row>
    <row r="1399" spans="1:18" x14ac:dyDescent="0.25">
      <c r="A1399" s="170">
        <v>44067</v>
      </c>
      <c r="B1399" s="116">
        <v>102.278085204909</v>
      </c>
      <c r="C1399" s="116">
        <v>101.59946283862</v>
      </c>
      <c r="D1399" s="116">
        <v>98.109404954850703</v>
      </c>
      <c r="E1399" s="116">
        <v>98.254824033341094</v>
      </c>
      <c r="F1399" s="116">
        <v>104.8</v>
      </c>
      <c r="G1399">
        <v>475850</v>
      </c>
      <c r="H1399" s="116"/>
      <c r="I1399" s="116"/>
      <c r="L1399" s="170">
        <v>44067</v>
      </c>
      <c r="M1399" s="116">
        <v>104.5</v>
      </c>
      <c r="N1399" s="116">
        <v>106</v>
      </c>
      <c r="O1399" s="116">
        <v>101.2</v>
      </c>
      <c r="P1399" s="116">
        <v>102.35</v>
      </c>
      <c r="Q1399" s="116">
        <v>104.5</v>
      </c>
      <c r="R1399">
        <v>12277119</v>
      </c>
    </row>
    <row r="1400" spans="1:18" x14ac:dyDescent="0.25">
      <c r="A1400" s="170">
        <v>44068</v>
      </c>
      <c r="B1400" s="116">
        <v>103.732275989812</v>
      </c>
      <c r="C1400" s="116">
        <v>101.308624681639</v>
      </c>
      <c r="D1400" s="116">
        <v>100.242218106043</v>
      </c>
      <c r="E1400" s="116">
        <v>102.278085204909</v>
      </c>
      <c r="F1400" s="116">
        <v>104.5</v>
      </c>
      <c r="G1400">
        <v>338421</v>
      </c>
      <c r="H1400" s="116"/>
      <c r="I1400" s="116"/>
      <c r="L1400" s="170">
        <v>44068</v>
      </c>
      <c r="M1400" s="116">
        <v>104.65</v>
      </c>
      <c r="N1400" s="116">
        <v>106.85</v>
      </c>
      <c r="O1400" s="116">
        <v>103.4</v>
      </c>
      <c r="P1400" s="116">
        <v>105.65</v>
      </c>
      <c r="Q1400" s="116">
        <v>104.65</v>
      </c>
      <c r="R1400">
        <v>4698446</v>
      </c>
    </row>
    <row r="1401" spans="1:18" x14ac:dyDescent="0.25">
      <c r="A1401" s="170">
        <v>44069</v>
      </c>
      <c r="B1401" s="116">
        <v>102.278085204909</v>
      </c>
      <c r="C1401" s="116">
        <v>101.647935864784</v>
      </c>
      <c r="D1401" s="116">
        <v>100.53305626302399</v>
      </c>
      <c r="E1401" s="116">
        <v>101.45404376013001</v>
      </c>
      <c r="F1401" s="116">
        <v>104.85</v>
      </c>
      <c r="G1401">
        <v>96254</v>
      </c>
      <c r="H1401" s="116"/>
      <c r="I1401" s="116"/>
      <c r="L1401" s="170">
        <v>44069</v>
      </c>
      <c r="M1401" s="116">
        <v>104.95</v>
      </c>
      <c r="N1401" s="116">
        <v>105.5</v>
      </c>
      <c r="O1401" s="116">
        <v>103.55</v>
      </c>
      <c r="P1401" s="116">
        <v>104</v>
      </c>
      <c r="Q1401" s="116">
        <v>104.95</v>
      </c>
      <c r="R1401">
        <v>2131877</v>
      </c>
    </row>
    <row r="1402" spans="1:18" x14ac:dyDescent="0.25">
      <c r="A1402" s="170">
        <v>44070</v>
      </c>
      <c r="B1402" s="116">
        <v>107.61011808289</v>
      </c>
      <c r="C1402" s="116">
        <v>103.586856911322</v>
      </c>
      <c r="D1402" s="116">
        <v>100.38763718453301</v>
      </c>
      <c r="E1402" s="116">
        <v>101.793354943274</v>
      </c>
      <c r="F1402" s="116">
        <v>106.85</v>
      </c>
      <c r="G1402">
        <v>230424</v>
      </c>
      <c r="H1402" s="116"/>
      <c r="I1402" s="116"/>
      <c r="L1402" s="170">
        <v>44070</v>
      </c>
      <c r="M1402" s="116">
        <v>106.75</v>
      </c>
      <c r="N1402" s="116">
        <v>111.15</v>
      </c>
      <c r="O1402" s="116">
        <v>103.5</v>
      </c>
      <c r="P1402" s="116">
        <v>105</v>
      </c>
      <c r="Q1402" s="116">
        <v>106.75</v>
      </c>
      <c r="R1402">
        <v>5167127</v>
      </c>
    </row>
    <row r="1403" spans="1:18" x14ac:dyDescent="0.25">
      <c r="A1403" s="170">
        <v>44071</v>
      </c>
      <c r="B1403" s="116">
        <v>108.91888978930299</v>
      </c>
      <c r="C1403" s="116">
        <v>105.47730493169701</v>
      </c>
      <c r="D1403" s="116">
        <v>101.890300995601</v>
      </c>
      <c r="E1403" s="116">
        <v>103.732275989812</v>
      </c>
      <c r="F1403" s="116">
        <v>108.8</v>
      </c>
      <c r="G1403">
        <v>632805</v>
      </c>
      <c r="H1403" s="116"/>
      <c r="I1403" s="116"/>
      <c r="L1403" s="170">
        <v>44071</v>
      </c>
      <c r="M1403" s="116">
        <v>108.65</v>
      </c>
      <c r="N1403" s="116">
        <v>112.5</v>
      </c>
      <c r="O1403" s="116">
        <v>105</v>
      </c>
      <c r="P1403" s="116">
        <v>107.6</v>
      </c>
      <c r="Q1403" s="116">
        <v>108.65</v>
      </c>
      <c r="R1403">
        <v>5759670</v>
      </c>
    </row>
    <row r="1404" spans="1:18" x14ac:dyDescent="0.25">
      <c r="A1404" s="170">
        <v>44074</v>
      </c>
      <c r="B1404" s="116">
        <v>107.513172030563</v>
      </c>
      <c r="C1404" s="116">
        <v>100.48458323686</v>
      </c>
      <c r="D1404" s="116">
        <v>96.9460523269275</v>
      </c>
      <c r="E1404" s="116">
        <v>107.513172030563</v>
      </c>
      <c r="F1404" s="116">
        <v>103.65</v>
      </c>
      <c r="G1404">
        <v>537973</v>
      </c>
      <c r="H1404" s="116"/>
      <c r="I1404" s="116"/>
      <c r="L1404" s="170">
        <v>44074</v>
      </c>
      <c r="M1404" s="116">
        <v>103.7</v>
      </c>
      <c r="N1404" s="116">
        <v>111.3</v>
      </c>
      <c r="O1404" s="116">
        <v>100</v>
      </c>
      <c r="P1404" s="116">
        <v>109.85</v>
      </c>
      <c r="Q1404" s="116">
        <v>103.7</v>
      </c>
      <c r="R1404">
        <v>4880429</v>
      </c>
    </row>
    <row r="1405" spans="1:18" x14ac:dyDescent="0.25">
      <c r="A1405" s="170">
        <v>44075</v>
      </c>
      <c r="B1405" s="116">
        <v>104.89562861773599</v>
      </c>
      <c r="C1405" s="116">
        <v>99.757487844408402</v>
      </c>
      <c r="D1405" s="116">
        <v>99.369703635100706</v>
      </c>
      <c r="E1405" s="116">
        <v>101.308624681639</v>
      </c>
      <c r="F1405" s="116">
        <v>102.9</v>
      </c>
      <c r="G1405">
        <v>121762</v>
      </c>
      <c r="H1405" s="116"/>
      <c r="I1405" s="116"/>
      <c r="L1405" s="170">
        <v>44075</v>
      </c>
      <c r="M1405" s="116">
        <v>103.1</v>
      </c>
      <c r="N1405" s="116">
        <v>108.3</v>
      </c>
      <c r="O1405" s="116">
        <v>102.25</v>
      </c>
      <c r="P1405" s="116">
        <v>104.95</v>
      </c>
      <c r="Q1405" s="116">
        <v>103.1</v>
      </c>
      <c r="R1405">
        <v>2809864</v>
      </c>
    </row>
    <row r="1406" spans="1:18" x14ac:dyDescent="0.25">
      <c r="A1406" s="170">
        <v>44076</v>
      </c>
      <c r="B1406" s="116">
        <v>101.938774021764</v>
      </c>
      <c r="C1406" s="116">
        <v>100.48458323686</v>
      </c>
      <c r="D1406" s="116">
        <v>99.854433896735401</v>
      </c>
      <c r="E1406" s="116">
        <v>100.823894420005</v>
      </c>
      <c r="F1406" s="116">
        <v>103.65</v>
      </c>
      <c r="G1406">
        <v>50329</v>
      </c>
      <c r="H1406" s="116"/>
      <c r="I1406" s="116"/>
      <c r="L1406" s="170">
        <v>44076</v>
      </c>
      <c r="M1406" s="116">
        <v>103.6</v>
      </c>
      <c r="N1406" s="116">
        <v>105.35</v>
      </c>
      <c r="O1406" s="116">
        <v>102.9</v>
      </c>
      <c r="P1406" s="116">
        <v>103.1</v>
      </c>
      <c r="Q1406" s="116">
        <v>103.6</v>
      </c>
      <c r="R1406">
        <v>1090407</v>
      </c>
    </row>
    <row r="1407" spans="1:18" x14ac:dyDescent="0.25">
      <c r="A1407" s="170">
        <v>44077</v>
      </c>
      <c r="B1407" s="116">
        <v>103.005180597361</v>
      </c>
      <c r="C1407" s="116">
        <v>102.132666126418</v>
      </c>
      <c r="D1407" s="116">
        <v>100.63000231535101</v>
      </c>
      <c r="E1407" s="116">
        <v>100.63000231535101</v>
      </c>
      <c r="F1407" s="116">
        <v>105.35</v>
      </c>
      <c r="G1407">
        <v>202142</v>
      </c>
      <c r="H1407" s="116"/>
      <c r="I1407" s="116"/>
      <c r="L1407" s="170">
        <v>44077</v>
      </c>
      <c r="M1407" s="116">
        <v>105.05</v>
      </c>
      <c r="N1407" s="116">
        <v>106.3</v>
      </c>
      <c r="O1407" s="116">
        <v>104.15</v>
      </c>
      <c r="P1407" s="116">
        <v>104.4</v>
      </c>
      <c r="Q1407" s="116">
        <v>105.05</v>
      </c>
      <c r="R1407">
        <v>6573735</v>
      </c>
    </row>
    <row r="1408" spans="1:18" x14ac:dyDescent="0.25">
      <c r="A1408" s="170">
        <v>44078</v>
      </c>
      <c r="B1408" s="116">
        <v>103.344491780505</v>
      </c>
      <c r="C1408" s="116">
        <v>98.788027321139197</v>
      </c>
      <c r="D1408" s="116">
        <v>97.915512850196805</v>
      </c>
      <c r="E1408" s="116">
        <v>98.981919425792995</v>
      </c>
      <c r="F1408" s="116">
        <v>101.9</v>
      </c>
      <c r="G1408">
        <v>800300</v>
      </c>
      <c r="H1408" s="116"/>
      <c r="I1408" s="116"/>
      <c r="L1408" s="170">
        <v>44078</v>
      </c>
      <c r="M1408" s="116">
        <v>101.85</v>
      </c>
      <c r="N1408" s="116">
        <v>106.7</v>
      </c>
      <c r="O1408" s="116">
        <v>101</v>
      </c>
      <c r="P1408" s="116">
        <v>103</v>
      </c>
      <c r="Q1408" s="116">
        <v>101.85</v>
      </c>
      <c r="R1408">
        <v>5854951</v>
      </c>
    </row>
    <row r="1409" spans="1:18" x14ac:dyDescent="0.25">
      <c r="A1409" s="170">
        <v>44081</v>
      </c>
      <c r="B1409" s="116">
        <v>100.920840472332</v>
      </c>
      <c r="C1409" s="116">
        <v>100.096799027553</v>
      </c>
      <c r="D1409" s="116">
        <v>96.9460523269275</v>
      </c>
      <c r="E1409" s="116">
        <v>98.497189164158399</v>
      </c>
      <c r="F1409" s="116">
        <v>103.25</v>
      </c>
      <c r="G1409">
        <v>263958</v>
      </c>
      <c r="H1409" s="116"/>
      <c r="I1409" s="116"/>
      <c r="L1409" s="170">
        <v>44081</v>
      </c>
      <c r="M1409" s="116">
        <v>103.25</v>
      </c>
      <c r="N1409" s="116">
        <v>104.25</v>
      </c>
      <c r="O1409" s="116">
        <v>100.1</v>
      </c>
      <c r="P1409" s="116">
        <v>101.85</v>
      </c>
      <c r="Q1409" s="116">
        <v>103.25</v>
      </c>
      <c r="R1409">
        <v>1868318</v>
      </c>
    </row>
    <row r="1410" spans="1:18" x14ac:dyDescent="0.25">
      <c r="A1410" s="170">
        <v>44082</v>
      </c>
      <c r="B1410" s="116">
        <v>100.53305626302399</v>
      </c>
      <c r="C1410" s="116">
        <v>94.522401018754394</v>
      </c>
      <c r="D1410" s="116">
        <v>93.407521416994697</v>
      </c>
      <c r="E1410" s="116">
        <v>100.290691132207</v>
      </c>
      <c r="F1410" s="116">
        <v>97.5</v>
      </c>
      <c r="G1410">
        <v>236397</v>
      </c>
      <c r="H1410" s="116"/>
      <c r="I1410" s="116"/>
      <c r="L1410" s="170">
        <v>44082</v>
      </c>
      <c r="M1410" s="116">
        <v>97.7</v>
      </c>
      <c r="N1410" s="116">
        <v>104</v>
      </c>
      <c r="O1410" s="116">
        <v>96.3</v>
      </c>
      <c r="P1410" s="116">
        <v>104</v>
      </c>
      <c r="Q1410" s="116">
        <v>97.7</v>
      </c>
      <c r="R1410">
        <v>3093969</v>
      </c>
    </row>
    <row r="1411" spans="1:18" x14ac:dyDescent="0.25">
      <c r="A1411" s="170">
        <v>44083</v>
      </c>
      <c r="B1411" s="116">
        <v>96.170483908312093</v>
      </c>
      <c r="C1411" s="116">
        <v>95.879645751331296</v>
      </c>
      <c r="D1411" s="116">
        <v>90.159828664042607</v>
      </c>
      <c r="E1411" s="116">
        <v>95.007131280389004</v>
      </c>
      <c r="F1411" s="116">
        <v>98.9</v>
      </c>
      <c r="G1411">
        <v>137387</v>
      </c>
      <c r="H1411" s="116"/>
      <c r="I1411" s="116"/>
      <c r="L1411" s="170">
        <v>44083</v>
      </c>
      <c r="M1411" s="116">
        <v>98.85</v>
      </c>
      <c r="N1411" s="116">
        <v>99.35</v>
      </c>
      <c r="O1411" s="116">
        <v>93</v>
      </c>
      <c r="P1411" s="116">
        <v>96.35</v>
      </c>
      <c r="Q1411" s="116">
        <v>98.85</v>
      </c>
      <c r="R1411">
        <v>2779333</v>
      </c>
    </row>
    <row r="1412" spans="1:18" x14ac:dyDescent="0.25">
      <c r="A1412" s="170">
        <v>44084</v>
      </c>
      <c r="B1412" s="116">
        <v>97.915512850196805</v>
      </c>
      <c r="C1412" s="116">
        <v>96.315902986802499</v>
      </c>
      <c r="D1412" s="116">
        <v>95.201023385042802</v>
      </c>
      <c r="E1412" s="116">
        <v>95.201023385042802</v>
      </c>
      <c r="F1412" s="116">
        <v>99.35</v>
      </c>
      <c r="G1412">
        <v>140590</v>
      </c>
      <c r="H1412" s="116"/>
      <c r="I1412" s="116"/>
      <c r="L1412" s="170">
        <v>44084</v>
      </c>
      <c r="M1412" s="116">
        <v>99.35</v>
      </c>
      <c r="N1412" s="116">
        <v>101</v>
      </c>
      <c r="O1412" s="116">
        <v>98.15</v>
      </c>
      <c r="P1412" s="116">
        <v>99.65</v>
      </c>
      <c r="Q1412" s="116">
        <v>99.35</v>
      </c>
      <c r="R1412">
        <v>1376688</v>
      </c>
    </row>
    <row r="1413" spans="1:18" x14ac:dyDescent="0.25">
      <c r="A1413" s="170">
        <v>44085</v>
      </c>
      <c r="B1413" s="116">
        <v>96.849106274600601</v>
      </c>
      <c r="C1413" s="116">
        <v>96.073537855985194</v>
      </c>
      <c r="D1413" s="116">
        <v>95.007131280389004</v>
      </c>
      <c r="E1413" s="116">
        <v>96.315902986802499</v>
      </c>
      <c r="F1413" s="116">
        <v>99.1</v>
      </c>
      <c r="G1413">
        <v>85665</v>
      </c>
      <c r="H1413" s="116"/>
      <c r="I1413" s="116"/>
      <c r="L1413" s="170">
        <v>44085</v>
      </c>
      <c r="M1413" s="116">
        <v>99.15</v>
      </c>
      <c r="N1413" s="116">
        <v>100</v>
      </c>
      <c r="O1413" s="116">
        <v>97.25</v>
      </c>
      <c r="P1413" s="116">
        <v>98</v>
      </c>
      <c r="Q1413" s="116">
        <v>99.15</v>
      </c>
      <c r="R1413">
        <v>1152771</v>
      </c>
    </row>
    <row r="1414" spans="1:18" x14ac:dyDescent="0.25">
      <c r="A1414" s="170">
        <v>44088</v>
      </c>
      <c r="B1414" s="116">
        <v>99.902906922898794</v>
      </c>
      <c r="C1414" s="116">
        <v>99.563595739754604</v>
      </c>
      <c r="D1414" s="116">
        <v>96.461322065292904</v>
      </c>
      <c r="E1414" s="116">
        <v>96.461322065292904</v>
      </c>
      <c r="F1414" s="116">
        <v>102.7</v>
      </c>
      <c r="G1414">
        <v>82889</v>
      </c>
      <c r="H1414" s="116"/>
      <c r="I1414" s="116"/>
      <c r="L1414" s="170">
        <v>44088</v>
      </c>
      <c r="M1414" s="116">
        <v>102.7</v>
      </c>
      <c r="N1414" s="116">
        <v>103</v>
      </c>
      <c r="O1414" s="116">
        <v>99.95</v>
      </c>
      <c r="P1414" s="116">
        <v>100</v>
      </c>
      <c r="Q1414" s="116">
        <v>102.7</v>
      </c>
      <c r="R1414">
        <v>1709372</v>
      </c>
    </row>
    <row r="1415" spans="1:18" x14ac:dyDescent="0.25">
      <c r="A1415" s="170">
        <v>44089</v>
      </c>
      <c r="B1415" s="116">
        <v>100.823894420005</v>
      </c>
      <c r="C1415" s="116">
        <v>100.048326001389</v>
      </c>
      <c r="D1415" s="116">
        <v>96.655214169946802</v>
      </c>
      <c r="E1415" s="116">
        <v>100.823894420005</v>
      </c>
      <c r="F1415" s="116">
        <v>103.2</v>
      </c>
      <c r="G1415">
        <v>142809</v>
      </c>
      <c r="H1415" s="116"/>
      <c r="I1415" s="116"/>
      <c r="L1415" s="170">
        <v>44089</v>
      </c>
      <c r="M1415" s="116">
        <v>103.3</v>
      </c>
      <c r="N1415" s="116">
        <v>103.95</v>
      </c>
      <c r="O1415" s="116">
        <v>99.7</v>
      </c>
      <c r="P1415" s="116">
        <v>103.15</v>
      </c>
      <c r="Q1415" s="116">
        <v>103.3</v>
      </c>
      <c r="R1415">
        <v>8039874</v>
      </c>
    </row>
    <row r="1416" spans="1:18" x14ac:dyDescent="0.25">
      <c r="A1416" s="170">
        <v>44090</v>
      </c>
      <c r="B1416" s="116">
        <v>100.775421393841</v>
      </c>
      <c r="C1416" s="116">
        <v>98.691081268812198</v>
      </c>
      <c r="D1416" s="116">
        <v>98.351770085667994</v>
      </c>
      <c r="E1416" s="116">
        <v>100.775421393841</v>
      </c>
      <c r="F1416" s="116">
        <v>101.8</v>
      </c>
      <c r="G1416">
        <v>57040</v>
      </c>
      <c r="H1416" s="116"/>
      <c r="I1416" s="116"/>
      <c r="L1416" s="170">
        <v>44090</v>
      </c>
      <c r="M1416" s="116">
        <v>101.85</v>
      </c>
      <c r="N1416" s="116">
        <v>103.85</v>
      </c>
      <c r="O1416" s="116">
        <v>101.45</v>
      </c>
      <c r="P1416" s="116">
        <v>103.6</v>
      </c>
      <c r="Q1416" s="116">
        <v>101.85</v>
      </c>
      <c r="R1416">
        <v>5992215</v>
      </c>
    </row>
    <row r="1417" spans="1:18" x14ac:dyDescent="0.25">
      <c r="A1417" s="170">
        <v>44091</v>
      </c>
      <c r="B1417" s="116">
        <v>99.757487844408402</v>
      </c>
      <c r="C1417" s="116">
        <v>96.606741143783296</v>
      </c>
      <c r="D1417" s="116">
        <v>96.267429960639006</v>
      </c>
      <c r="E1417" s="116">
        <v>99.757487844408402</v>
      </c>
      <c r="F1417" s="116">
        <v>99.65</v>
      </c>
      <c r="G1417">
        <v>97411</v>
      </c>
      <c r="H1417" s="116"/>
      <c r="I1417" s="116"/>
      <c r="L1417" s="170">
        <v>44091</v>
      </c>
      <c r="M1417" s="116">
        <v>99.65</v>
      </c>
      <c r="N1417" s="116">
        <v>102.7</v>
      </c>
      <c r="O1417" s="116">
        <v>99.25</v>
      </c>
      <c r="P1417" s="116">
        <v>102.7</v>
      </c>
      <c r="Q1417" s="116">
        <v>99.65</v>
      </c>
      <c r="R1417">
        <v>1535314</v>
      </c>
    </row>
    <row r="1418" spans="1:18" x14ac:dyDescent="0.25">
      <c r="A1418" s="170">
        <v>44092</v>
      </c>
      <c r="B1418" s="116">
        <v>99.175811530446893</v>
      </c>
      <c r="C1418" s="116">
        <v>97.333836536235296</v>
      </c>
      <c r="D1418" s="116">
        <v>95.976591803658295</v>
      </c>
      <c r="E1418" s="116">
        <v>98.400243111831401</v>
      </c>
      <c r="F1418" s="116">
        <v>100.4</v>
      </c>
      <c r="G1418">
        <v>58737</v>
      </c>
      <c r="H1418" s="116"/>
      <c r="I1418" s="116"/>
      <c r="L1418" s="170">
        <v>44092</v>
      </c>
      <c r="M1418" s="116">
        <v>100.15</v>
      </c>
      <c r="N1418" s="116">
        <v>102.35</v>
      </c>
      <c r="O1418" s="116">
        <v>99</v>
      </c>
      <c r="P1418" s="116">
        <v>99.8</v>
      </c>
      <c r="Q1418" s="116">
        <v>100.15</v>
      </c>
      <c r="R1418">
        <v>1955516</v>
      </c>
    </row>
    <row r="1419" spans="1:18" x14ac:dyDescent="0.25">
      <c r="A1419" s="170">
        <v>44095</v>
      </c>
      <c r="B1419" s="116">
        <v>98.400243111831401</v>
      </c>
      <c r="C1419" s="116">
        <v>92.680426024542697</v>
      </c>
      <c r="D1419" s="116">
        <v>92.098749710581203</v>
      </c>
      <c r="E1419" s="116">
        <v>98.400243111831401</v>
      </c>
      <c r="F1419" s="116">
        <v>95.6</v>
      </c>
      <c r="G1419">
        <v>165980</v>
      </c>
      <c r="H1419" s="116"/>
      <c r="I1419" s="116"/>
      <c r="L1419" s="170">
        <v>44095</v>
      </c>
      <c r="M1419" s="116">
        <v>95.95</v>
      </c>
      <c r="N1419" s="116">
        <v>101.5</v>
      </c>
      <c r="O1419" s="116">
        <v>95</v>
      </c>
      <c r="P1419" s="116">
        <v>100.6</v>
      </c>
      <c r="Q1419" s="116">
        <v>95.95</v>
      </c>
      <c r="R1419">
        <v>1694524</v>
      </c>
    </row>
    <row r="1420" spans="1:18" x14ac:dyDescent="0.25">
      <c r="A1420" s="170">
        <v>44096</v>
      </c>
      <c r="B1420" s="116">
        <v>92.535006946052306</v>
      </c>
      <c r="C1420" s="116">
        <v>89.868990507061795</v>
      </c>
      <c r="D1420" s="116">
        <v>87.251447094234805</v>
      </c>
      <c r="E1420" s="116">
        <v>92.098749710581203</v>
      </c>
      <c r="F1420" s="116">
        <v>92.7</v>
      </c>
      <c r="G1420">
        <v>136218</v>
      </c>
      <c r="H1420" s="116"/>
      <c r="I1420" s="116"/>
      <c r="L1420" s="170">
        <v>44096</v>
      </c>
      <c r="M1420" s="116">
        <v>92.65</v>
      </c>
      <c r="N1420" s="116">
        <v>95.6</v>
      </c>
      <c r="O1420" s="116">
        <v>90</v>
      </c>
      <c r="P1420" s="116">
        <v>95</v>
      </c>
      <c r="Q1420" s="116">
        <v>92.65</v>
      </c>
      <c r="R1420">
        <v>2973137</v>
      </c>
    </row>
    <row r="1421" spans="1:18" x14ac:dyDescent="0.25">
      <c r="A1421" s="170">
        <v>44097</v>
      </c>
      <c r="B1421" s="116">
        <v>92.098749710581203</v>
      </c>
      <c r="C1421" s="116">
        <v>89.141895114609895</v>
      </c>
      <c r="D1421" s="116">
        <v>87.445339198888604</v>
      </c>
      <c r="E1421" s="116">
        <v>92.098749710581203</v>
      </c>
      <c r="F1421" s="116">
        <v>91.95</v>
      </c>
      <c r="G1421">
        <v>119938</v>
      </c>
      <c r="H1421" s="116"/>
      <c r="I1421" s="116"/>
      <c r="L1421" s="170">
        <v>44097</v>
      </c>
      <c r="M1421" s="116">
        <v>92</v>
      </c>
      <c r="N1421" s="116">
        <v>95.1</v>
      </c>
      <c r="O1421" s="116">
        <v>90</v>
      </c>
      <c r="P1421" s="116">
        <v>94.05</v>
      </c>
      <c r="Q1421" s="116">
        <v>92</v>
      </c>
      <c r="R1421">
        <v>1781836</v>
      </c>
    </row>
    <row r="1422" spans="1:18" x14ac:dyDescent="0.25">
      <c r="A1422" s="170">
        <v>44098</v>
      </c>
      <c r="B1422" s="116">
        <v>89.044949062282896</v>
      </c>
      <c r="C1422" s="116">
        <v>88.220907617504096</v>
      </c>
      <c r="D1422" s="116">
        <v>85.894202361657804</v>
      </c>
      <c r="E1422" s="116">
        <v>88.608691826811807</v>
      </c>
      <c r="F1422" s="116">
        <v>91</v>
      </c>
      <c r="G1422">
        <v>64345</v>
      </c>
      <c r="H1422" s="116"/>
      <c r="I1422" s="116"/>
      <c r="L1422" s="170">
        <v>44098</v>
      </c>
      <c r="M1422" s="116">
        <v>90.9</v>
      </c>
      <c r="N1422" s="116">
        <v>91.95</v>
      </c>
      <c r="O1422" s="116">
        <v>88.65</v>
      </c>
      <c r="P1422" s="116">
        <v>91</v>
      </c>
      <c r="Q1422" s="116">
        <v>90.9</v>
      </c>
      <c r="R1422">
        <v>1505959</v>
      </c>
    </row>
    <row r="1423" spans="1:18" x14ac:dyDescent="0.25">
      <c r="A1423" s="170">
        <v>44099</v>
      </c>
      <c r="B1423" s="116">
        <v>91.856384579763798</v>
      </c>
      <c r="C1423" s="116">
        <v>89.3842602454272</v>
      </c>
      <c r="D1423" s="116">
        <v>86.621297754109705</v>
      </c>
      <c r="E1423" s="116">
        <v>88.220907617504096</v>
      </c>
      <c r="F1423" s="116">
        <v>92.2</v>
      </c>
      <c r="G1423">
        <v>162576</v>
      </c>
      <c r="H1423" s="116"/>
      <c r="I1423" s="116"/>
      <c r="L1423" s="170">
        <v>44099</v>
      </c>
      <c r="M1423" s="116">
        <v>91.65</v>
      </c>
      <c r="N1423" s="116">
        <v>94.65</v>
      </c>
      <c r="O1423" s="116">
        <v>89.3</v>
      </c>
      <c r="P1423" s="116">
        <v>90.9</v>
      </c>
      <c r="Q1423" s="116">
        <v>91.65</v>
      </c>
      <c r="R1423">
        <v>2495682</v>
      </c>
    </row>
    <row r="1424" spans="1:18" x14ac:dyDescent="0.25">
      <c r="A1424" s="170">
        <v>44102</v>
      </c>
      <c r="B1424" s="116">
        <v>94.086143783283205</v>
      </c>
      <c r="C1424" s="116">
        <v>93.504467469321597</v>
      </c>
      <c r="D1424" s="116">
        <v>90.062882611715693</v>
      </c>
      <c r="E1424" s="116">
        <v>91.274708265802303</v>
      </c>
      <c r="F1424" s="116">
        <v>96.45</v>
      </c>
      <c r="G1424">
        <v>187599</v>
      </c>
      <c r="H1424" s="116"/>
      <c r="I1424" s="116"/>
      <c r="L1424" s="170">
        <v>44102</v>
      </c>
      <c r="M1424" s="116">
        <v>96.3</v>
      </c>
      <c r="N1424" s="116">
        <v>97.05</v>
      </c>
      <c r="O1424" s="116">
        <v>92.9</v>
      </c>
      <c r="P1424" s="116">
        <v>93.7</v>
      </c>
      <c r="Q1424" s="116">
        <v>96.3</v>
      </c>
      <c r="R1424">
        <v>2023538</v>
      </c>
    </row>
    <row r="1425" spans="1:18" x14ac:dyDescent="0.25">
      <c r="A1425" s="170">
        <v>44103</v>
      </c>
      <c r="B1425" s="116">
        <v>95.104077332715903</v>
      </c>
      <c r="C1425" s="116">
        <v>92.728899050706204</v>
      </c>
      <c r="D1425" s="116">
        <v>92.098749710581203</v>
      </c>
      <c r="E1425" s="116">
        <v>95.007131280389004</v>
      </c>
      <c r="F1425" s="116">
        <v>95.65</v>
      </c>
      <c r="G1425">
        <v>124722</v>
      </c>
      <c r="H1425" s="116"/>
      <c r="I1425" s="116"/>
      <c r="L1425" s="170">
        <v>44103</v>
      </c>
      <c r="M1425" s="116">
        <v>95.5</v>
      </c>
      <c r="N1425" s="116">
        <v>98</v>
      </c>
      <c r="O1425" s="116">
        <v>95</v>
      </c>
      <c r="P1425" s="116">
        <v>97.7</v>
      </c>
      <c r="Q1425" s="116">
        <v>95.5</v>
      </c>
      <c r="R1425">
        <v>1323578</v>
      </c>
    </row>
    <row r="1426" spans="1:18" x14ac:dyDescent="0.25">
      <c r="A1426" s="170">
        <v>44104</v>
      </c>
      <c r="B1426" s="116">
        <v>93.359048390831205</v>
      </c>
      <c r="C1426" s="116">
        <v>91.807911553600405</v>
      </c>
      <c r="D1426" s="116">
        <v>91.323181291965696</v>
      </c>
      <c r="E1426" s="116">
        <v>93.068210233850394</v>
      </c>
      <c r="F1426" s="116">
        <v>94.7</v>
      </c>
      <c r="G1426">
        <v>85766</v>
      </c>
      <c r="H1426" s="116"/>
      <c r="I1426" s="116"/>
      <c r="L1426" s="170">
        <v>44104</v>
      </c>
      <c r="M1426" s="116">
        <v>95</v>
      </c>
      <c r="N1426" s="116">
        <v>96.45</v>
      </c>
      <c r="O1426" s="116">
        <v>94.05</v>
      </c>
      <c r="P1426" s="116">
        <v>95.7</v>
      </c>
      <c r="Q1426" s="116">
        <v>95</v>
      </c>
      <c r="R1426">
        <v>1469831</v>
      </c>
    </row>
    <row r="1427" spans="1:18" x14ac:dyDescent="0.25">
      <c r="A1427" s="170">
        <v>44105</v>
      </c>
      <c r="B1427" s="116">
        <v>98.642608242648805</v>
      </c>
      <c r="C1427" s="116">
        <v>93.989197730956207</v>
      </c>
      <c r="D1427" s="116">
        <v>90.8384510303311</v>
      </c>
      <c r="E1427" s="116">
        <v>95.976591803658295</v>
      </c>
      <c r="F1427" s="116">
        <v>96.95</v>
      </c>
      <c r="G1427">
        <v>5377282</v>
      </c>
      <c r="H1427" s="116"/>
      <c r="I1427" s="116"/>
      <c r="L1427" s="170">
        <v>44105</v>
      </c>
      <c r="M1427" s="116">
        <v>97</v>
      </c>
      <c r="N1427" s="116">
        <v>101.7</v>
      </c>
      <c r="O1427" s="116">
        <v>93.5</v>
      </c>
      <c r="P1427" s="116">
        <v>99.2</v>
      </c>
      <c r="Q1427" s="116">
        <v>97</v>
      </c>
      <c r="R1427">
        <v>13320448</v>
      </c>
    </row>
    <row r="1428" spans="1:18" x14ac:dyDescent="0.25">
      <c r="A1428" s="170">
        <v>44109</v>
      </c>
      <c r="B1428" s="116">
        <v>98.836500347302604</v>
      </c>
      <c r="C1428" s="116">
        <v>97.915512850196805</v>
      </c>
      <c r="D1428" s="116">
        <v>93.649886547812002</v>
      </c>
      <c r="E1428" s="116">
        <v>94.134616809446598</v>
      </c>
      <c r="F1428" s="116">
        <v>101</v>
      </c>
      <c r="G1428">
        <v>179836</v>
      </c>
      <c r="H1428" s="116"/>
      <c r="I1428" s="116"/>
      <c r="L1428" s="170">
        <v>44109</v>
      </c>
      <c r="M1428" s="116">
        <v>101.2</v>
      </c>
      <c r="N1428" s="116">
        <v>101.9</v>
      </c>
      <c r="O1428" s="116">
        <v>96.45</v>
      </c>
      <c r="P1428" s="116">
        <v>97.85</v>
      </c>
      <c r="Q1428" s="116">
        <v>101.2</v>
      </c>
      <c r="R1428">
        <v>5944777</v>
      </c>
    </row>
    <row r="1429" spans="1:18" x14ac:dyDescent="0.25">
      <c r="A1429" s="170">
        <v>44110</v>
      </c>
      <c r="B1429" s="116">
        <v>99.563595739754604</v>
      </c>
      <c r="C1429" s="116">
        <v>97.770093771706399</v>
      </c>
      <c r="D1429" s="116">
        <v>96.606741143783296</v>
      </c>
      <c r="E1429" s="116">
        <v>99.369703635100706</v>
      </c>
      <c r="F1429" s="116">
        <v>100.85</v>
      </c>
      <c r="G1429">
        <v>198968</v>
      </c>
      <c r="H1429" s="116"/>
      <c r="I1429" s="116"/>
      <c r="L1429" s="170">
        <v>44110</v>
      </c>
      <c r="M1429" s="116">
        <v>101</v>
      </c>
      <c r="N1429" s="116">
        <v>102.8</v>
      </c>
      <c r="O1429" s="116">
        <v>99.65</v>
      </c>
      <c r="P1429" s="116">
        <v>101.7</v>
      </c>
      <c r="Q1429" s="116">
        <v>101</v>
      </c>
      <c r="R1429">
        <v>12723037</v>
      </c>
    </row>
    <row r="1430" spans="1:18" x14ac:dyDescent="0.25">
      <c r="A1430" s="170">
        <v>44111</v>
      </c>
      <c r="B1430" s="116">
        <v>99.612068765917996</v>
      </c>
      <c r="C1430" s="116">
        <v>96.752160222273702</v>
      </c>
      <c r="D1430" s="116">
        <v>95.685753646677497</v>
      </c>
      <c r="E1430" s="116">
        <v>99.612068765917996</v>
      </c>
      <c r="F1430" s="116">
        <v>99.8</v>
      </c>
      <c r="G1430">
        <v>43512</v>
      </c>
      <c r="H1430" s="116"/>
      <c r="I1430" s="116"/>
      <c r="L1430" s="170">
        <v>44111</v>
      </c>
      <c r="M1430" s="116">
        <v>99.8</v>
      </c>
      <c r="N1430" s="116">
        <v>101.35</v>
      </c>
      <c r="O1430" s="116">
        <v>98.55</v>
      </c>
      <c r="P1430" s="116">
        <v>101</v>
      </c>
      <c r="Q1430" s="116">
        <v>99.8</v>
      </c>
      <c r="R1430">
        <v>4048611</v>
      </c>
    </row>
    <row r="1431" spans="1:18" x14ac:dyDescent="0.25">
      <c r="A1431" s="170">
        <v>44112</v>
      </c>
      <c r="B1431" s="116">
        <v>97.915512850196805</v>
      </c>
      <c r="C1431" s="116">
        <v>94.813239175735106</v>
      </c>
      <c r="D1431" s="116">
        <v>93.698359573975495</v>
      </c>
      <c r="E1431" s="116">
        <v>97.915512850196805</v>
      </c>
      <c r="F1431" s="116">
        <v>97.8</v>
      </c>
      <c r="G1431">
        <v>135726</v>
      </c>
      <c r="H1431" s="116"/>
      <c r="I1431" s="116"/>
      <c r="L1431" s="170">
        <v>44112</v>
      </c>
      <c r="M1431" s="116">
        <v>97.7</v>
      </c>
      <c r="N1431" s="116">
        <v>100.55</v>
      </c>
      <c r="O1431" s="116">
        <v>95.9</v>
      </c>
      <c r="P1431" s="116">
        <v>100.1</v>
      </c>
      <c r="Q1431" s="116">
        <v>97.7</v>
      </c>
      <c r="R1431">
        <v>1207438</v>
      </c>
    </row>
    <row r="1432" spans="1:18" x14ac:dyDescent="0.25">
      <c r="A1432" s="170">
        <v>44113</v>
      </c>
      <c r="B1432" s="116">
        <v>95.685753646677497</v>
      </c>
      <c r="C1432" s="116">
        <v>93.262102338504306</v>
      </c>
      <c r="D1432" s="116">
        <v>93.068210233850394</v>
      </c>
      <c r="E1432" s="116">
        <v>94.183089835610105</v>
      </c>
      <c r="F1432" s="116">
        <v>96.2</v>
      </c>
      <c r="G1432">
        <v>103455</v>
      </c>
      <c r="H1432" s="116"/>
      <c r="I1432" s="116"/>
      <c r="L1432" s="170">
        <v>44113</v>
      </c>
      <c r="M1432" s="116">
        <v>96.25</v>
      </c>
      <c r="N1432" s="116">
        <v>98.7</v>
      </c>
      <c r="O1432" s="116">
        <v>96.05</v>
      </c>
      <c r="P1432" s="116">
        <v>97.45</v>
      </c>
      <c r="Q1432" s="116">
        <v>96.25</v>
      </c>
      <c r="R1432">
        <v>1061272</v>
      </c>
    </row>
    <row r="1433" spans="1:18" x14ac:dyDescent="0.25">
      <c r="A1433" s="170">
        <v>44116</v>
      </c>
      <c r="B1433" s="116">
        <v>95.007131280389004</v>
      </c>
      <c r="C1433" s="116">
        <v>92.244168789071594</v>
      </c>
      <c r="D1433" s="116">
        <v>91.614019448946493</v>
      </c>
      <c r="E1433" s="116">
        <v>95.007131280389004</v>
      </c>
      <c r="F1433" s="116">
        <v>95.15</v>
      </c>
      <c r="G1433">
        <v>61802</v>
      </c>
      <c r="H1433" s="116"/>
      <c r="I1433" s="116"/>
      <c r="L1433" s="170">
        <v>44116</v>
      </c>
      <c r="M1433" s="116">
        <v>95.05</v>
      </c>
      <c r="N1433" s="116">
        <v>97.9</v>
      </c>
      <c r="O1433" s="116">
        <v>94</v>
      </c>
      <c r="P1433" s="116">
        <v>96.8</v>
      </c>
      <c r="Q1433" s="116">
        <v>95.05</v>
      </c>
      <c r="R1433">
        <v>1396604</v>
      </c>
    </row>
    <row r="1434" spans="1:18" x14ac:dyDescent="0.25">
      <c r="A1434" s="170">
        <v>44117</v>
      </c>
      <c r="B1434" s="116">
        <v>92.922791155360002</v>
      </c>
      <c r="C1434" s="116">
        <v>91.5655464227831</v>
      </c>
      <c r="D1434" s="116">
        <v>91.032343134984998</v>
      </c>
      <c r="E1434" s="116">
        <v>92.001803658254204</v>
      </c>
      <c r="F1434" s="116">
        <v>94.45</v>
      </c>
      <c r="G1434">
        <v>92974</v>
      </c>
      <c r="H1434" s="116"/>
      <c r="I1434" s="116"/>
      <c r="L1434" s="170">
        <v>44117</v>
      </c>
      <c r="M1434" s="116">
        <v>94.4</v>
      </c>
      <c r="N1434" s="116">
        <v>95.75</v>
      </c>
      <c r="O1434" s="116">
        <v>94</v>
      </c>
      <c r="P1434" s="116">
        <v>94.65</v>
      </c>
      <c r="Q1434" s="116">
        <v>94.4</v>
      </c>
      <c r="R1434">
        <v>807258</v>
      </c>
    </row>
    <row r="1435" spans="1:18" x14ac:dyDescent="0.25">
      <c r="A1435" s="170">
        <v>44118</v>
      </c>
      <c r="B1435" s="116">
        <v>93.649886547812002</v>
      </c>
      <c r="C1435" s="116">
        <v>93.068210233850394</v>
      </c>
      <c r="D1435" s="116">
        <v>90.693031951840695</v>
      </c>
      <c r="E1435" s="116">
        <v>91.420127344292695</v>
      </c>
      <c r="F1435" s="116">
        <v>96</v>
      </c>
      <c r="G1435">
        <v>81000</v>
      </c>
      <c r="H1435" s="116"/>
      <c r="I1435" s="116"/>
      <c r="L1435" s="170">
        <v>44118</v>
      </c>
      <c r="M1435" s="116">
        <v>96</v>
      </c>
      <c r="N1435" s="116">
        <v>96.95</v>
      </c>
      <c r="O1435" s="116">
        <v>93.5</v>
      </c>
      <c r="P1435" s="116">
        <v>94</v>
      </c>
      <c r="Q1435" s="116">
        <v>96</v>
      </c>
      <c r="R1435">
        <v>2390013</v>
      </c>
    </row>
    <row r="1436" spans="1:18" x14ac:dyDescent="0.25">
      <c r="A1436" s="170">
        <v>44119</v>
      </c>
      <c r="B1436" s="116">
        <v>93.504467469321597</v>
      </c>
      <c r="C1436" s="116">
        <v>90.644558925677202</v>
      </c>
      <c r="D1436" s="116">
        <v>90.159828664042607</v>
      </c>
      <c r="E1436" s="116">
        <v>93.068210233850394</v>
      </c>
      <c r="F1436" s="116">
        <v>93.5</v>
      </c>
      <c r="G1436">
        <v>91481</v>
      </c>
      <c r="H1436" s="116"/>
      <c r="I1436" s="116"/>
      <c r="L1436" s="170">
        <v>44119</v>
      </c>
      <c r="M1436" s="116">
        <v>93.4</v>
      </c>
      <c r="N1436" s="116">
        <v>96.7</v>
      </c>
      <c r="O1436" s="116">
        <v>93</v>
      </c>
      <c r="P1436" s="116">
        <v>96.15</v>
      </c>
      <c r="Q1436" s="116">
        <v>93.4</v>
      </c>
      <c r="R1436">
        <v>768753</v>
      </c>
    </row>
    <row r="1437" spans="1:18" x14ac:dyDescent="0.25">
      <c r="A1437" s="170">
        <v>44120</v>
      </c>
      <c r="B1437" s="116">
        <v>94.6678200972447</v>
      </c>
      <c r="C1437" s="116">
        <v>93.989197730956207</v>
      </c>
      <c r="D1437" s="116">
        <v>91.080816161148405</v>
      </c>
      <c r="E1437" s="116">
        <v>91.614019448946493</v>
      </c>
      <c r="F1437" s="116">
        <v>96.95</v>
      </c>
      <c r="G1437">
        <v>143538</v>
      </c>
      <c r="H1437" s="116"/>
      <c r="I1437" s="116"/>
      <c r="L1437" s="170">
        <v>44120</v>
      </c>
      <c r="M1437" s="116">
        <v>97.15</v>
      </c>
      <c r="N1437" s="116">
        <v>98.5</v>
      </c>
      <c r="O1437" s="116">
        <v>93.4</v>
      </c>
      <c r="P1437" s="116">
        <v>93.4</v>
      </c>
      <c r="Q1437" s="116">
        <v>97.15</v>
      </c>
      <c r="R1437">
        <v>1390411</v>
      </c>
    </row>
    <row r="1438" spans="1:18" x14ac:dyDescent="0.25">
      <c r="A1438" s="170">
        <v>44123</v>
      </c>
      <c r="B1438" s="116">
        <v>95.637280620514005</v>
      </c>
      <c r="C1438" s="116">
        <v>93.989197730956207</v>
      </c>
      <c r="D1438" s="116">
        <v>93.2136293123408</v>
      </c>
      <c r="E1438" s="116">
        <v>95.637280620514005</v>
      </c>
      <c r="F1438" s="116">
        <v>96.95</v>
      </c>
      <c r="G1438">
        <v>67267</v>
      </c>
      <c r="H1438" s="116"/>
      <c r="I1438" s="116"/>
      <c r="L1438" s="170">
        <v>44123</v>
      </c>
      <c r="M1438" s="116">
        <v>97.1</v>
      </c>
      <c r="N1438" s="116">
        <v>97.85</v>
      </c>
      <c r="O1438" s="116">
        <v>96.2</v>
      </c>
      <c r="P1438" s="116">
        <v>97.85</v>
      </c>
      <c r="Q1438" s="116">
        <v>97.1</v>
      </c>
      <c r="R1438">
        <v>3905940</v>
      </c>
    </row>
    <row r="1439" spans="1:18" x14ac:dyDescent="0.25">
      <c r="A1439" s="170">
        <v>44124</v>
      </c>
      <c r="B1439" s="116">
        <v>96.315902986802499</v>
      </c>
      <c r="C1439" s="116">
        <v>95.104077332715903</v>
      </c>
      <c r="D1439" s="116">
        <v>92.777372076869696</v>
      </c>
      <c r="E1439" s="116">
        <v>92.777372076869696</v>
      </c>
      <c r="F1439" s="116">
        <v>98.1</v>
      </c>
      <c r="G1439">
        <v>44527</v>
      </c>
      <c r="H1439" s="116"/>
      <c r="I1439" s="116"/>
      <c r="L1439" s="170">
        <v>44124</v>
      </c>
      <c r="M1439" s="116">
        <v>98.15</v>
      </c>
      <c r="N1439" s="116">
        <v>99.65</v>
      </c>
      <c r="O1439" s="116">
        <v>95.75</v>
      </c>
      <c r="P1439" s="116">
        <v>96.2</v>
      </c>
      <c r="Q1439" s="116">
        <v>98.15</v>
      </c>
      <c r="R1439">
        <v>1072998</v>
      </c>
    </row>
    <row r="1440" spans="1:18" x14ac:dyDescent="0.25">
      <c r="A1440" s="170">
        <v>44125</v>
      </c>
      <c r="B1440" s="116">
        <v>97.818566797869906</v>
      </c>
      <c r="C1440" s="116">
        <v>97.382309562398703</v>
      </c>
      <c r="D1440" s="116">
        <v>95.249496411206295</v>
      </c>
      <c r="E1440" s="116">
        <v>95.976591803658295</v>
      </c>
      <c r="F1440" s="116">
        <v>100.45</v>
      </c>
      <c r="G1440">
        <v>80765</v>
      </c>
      <c r="H1440" s="116"/>
      <c r="I1440" s="116"/>
      <c r="L1440" s="170">
        <v>44125</v>
      </c>
      <c r="M1440" s="116">
        <v>100.4</v>
      </c>
      <c r="N1440" s="116">
        <v>101</v>
      </c>
      <c r="O1440" s="116">
        <v>98.15</v>
      </c>
      <c r="P1440" s="116">
        <v>98.65</v>
      </c>
      <c r="Q1440" s="116">
        <v>100.4</v>
      </c>
      <c r="R1440">
        <v>1662757</v>
      </c>
    </row>
    <row r="1441" spans="1:18" x14ac:dyDescent="0.25">
      <c r="A1441" s="170">
        <v>44126</v>
      </c>
      <c r="B1441" s="116">
        <v>97.6731477193795</v>
      </c>
      <c r="C1441" s="116">
        <v>97.333836536235296</v>
      </c>
      <c r="D1441" s="116">
        <v>95.685753646677497</v>
      </c>
      <c r="E1441" s="116">
        <v>97.430782588562195</v>
      </c>
      <c r="F1441" s="116">
        <v>100.4</v>
      </c>
      <c r="G1441">
        <v>125501</v>
      </c>
      <c r="H1441" s="116"/>
      <c r="I1441" s="116"/>
      <c r="L1441" s="170">
        <v>44126</v>
      </c>
      <c r="M1441" s="116">
        <v>100.4</v>
      </c>
      <c r="N1441" s="116">
        <v>100.85</v>
      </c>
      <c r="O1441" s="116">
        <v>98.6</v>
      </c>
      <c r="P1441" s="116">
        <v>99.7</v>
      </c>
      <c r="Q1441" s="116">
        <v>100.4</v>
      </c>
      <c r="R1441">
        <v>1950845</v>
      </c>
    </row>
    <row r="1442" spans="1:18" x14ac:dyDescent="0.25">
      <c r="A1442" s="170">
        <v>44127</v>
      </c>
      <c r="B1442" s="116">
        <v>99.466649687427605</v>
      </c>
      <c r="C1442" s="116">
        <v>97.333836536235296</v>
      </c>
      <c r="D1442" s="116">
        <v>96.655214169946802</v>
      </c>
      <c r="E1442" s="116">
        <v>98.691081268812198</v>
      </c>
      <c r="F1442" s="116">
        <v>100.4</v>
      </c>
      <c r="G1442">
        <v>116406</v>
      </c>
      <c r="H1442" s="116"/>
      <c r="I1442" s="116"/>
      <c r="L1442" s="170">
        <v>44127</v>
      </c>
      <c r="M1442" s="116">
        <v>100.55</v>
      </c>
      <c r="N1442" s="116">
        <v>102.9</v>
      </c>
      <c r="O1442" s="116">
        <v>99.65</v>
      </c>
      <c r="P1442" s="116">
        <v>101.45</v>
      </c>
      <c r="Q1442" s="116">
        <v>100.55</v>
      </c>
      <c r="R1442">
        <v>2473809</v>
      </c>
    </row>
    <row r="1443" spans="1:18" x14ac:dyDescent="0.25">
      <c r="A1443" s="170">
        <v>44130</v>
      </c>
      <c r="B1443" s="116">
        <v>98.594135216485299</v>
      </c>
      <c r="C1443" s="116">
        <v>94.619347071081293</v>
      </c>
      <c r="D1443" s="116">
        <v>94.280035887937004</v>
      </c>
      <c r="E1443" s="116">
        <v>98.351770085667994</v>
      </c>
      <c r="F1443" s="116">
        <v>97.6</v>
      </c>
      <c r="G1443">
        <v>77427</v>
      </c>
      <c r="H1443" s="116"/>
      <c r="I1443" s="116"/>
      <c r="L1443" s="170">
        <v>44130</v>
      </c>
      <c r="M1443" s="116">
        <v>97.6</v>
      </c>
      <c r="N1443" s="116">
        <v>101.7</v>
      </c>
      <c r="O1443" s="116">
        <v>97</v>
      </c>
      <c r="P1443" s="116">
        <v>101</v>
      </c>
      <c r="Q1443" s="116">
        <v>97.6</v>
      </c>
      <c r="R1443">
        <v>5998328</v>
      </c>
    </row>
    <row r="1444" spans="1:18" x14ac:dyDescent="0.25">
      <c r="A1444" s="170">
        <v>44131</v>
      </c>
      <c r="B1444" s="116">
        <v>94.910185228062105</v>
      </c>
      <c r="C1444" s="116">
        <v>94.376981940263903</v>
      </c>
      <c r="D1444" s="116">
        <v>90.886924056494607</v>
      </c>
      <c r="E1444" s="116">
        <v>94.037670757119699</v>
      </c>
      <c r="F1444" s="116">
        <v>97.35</v>
      </c>
      <c r="G1444">
        <v>2838327</v>
      </c>
      <c r="H1444" s="116"/>
      <c r="I1444" s="116"/>
      <c r="L1444" s="170">
        <v>44131</v>
      </c>
      <c r="M1444" s="116">
        <v>97.4</v>
      </c>
      <c r="N1444" s="116">
        <v>97.85</v>
      </c>
      <c r="O1444" s="116">
        <v>95.7</v>
      </c>
      <c r="P1444" s="116">
        <v>97.75</v>
      </c>
      <c r="Q1444" s="116">
        <v>97.4</v>
      </c>
      <c r="R1444">
        <v>7995208</v>
      </c>
    </row>
    <row r="1445" spans="1:18" x14ac:dyDescent="0.25">
      <c r="A1445" s="170">
        <v>44132</v>
      </c>
      <c r="B1445" s="116">
        <v>96.267429960639006</v>
      </c>
      <c r="C1445" s="116">
        <v>94.522401018754394</v>
      </c>
      <c r="D1445" s="116">
        <v>94.037670757119699</v>
      </c>
      <c r="E1445" s="116">
        <v>94.183089835610105</v>
      </c>
      <c r="F1445" s="116">
        <v>97.5</v>
      </c>
      <c r="G1445">
        <v>41585</v>
      </c>
      <c r="H1445" s="116"/>
      <c r="I1445" s="116"/>
      <c r="L1445" s="170">
        <v>44132</v>
      </c>
      <c r="M1445" s="116">
        <v>97.55</v>
      </c>
      <c r="N1445" s="116">
        <v>99.4</v>
      </c>
      <c r="O1445" s="116">
        <v>96.4</v>
      </c>
      <c r="P1445" s="116">
        <v>97.8</v>
      </c>
      <c r="Q1445" s="116">
        <v>97.55</v>
      </c>
      <c r="R1445">
        <v>743702</v>
      </c>
    </row>
    <row r="1446" spans="1:18" x14ac:dyDescent="0.25">
      <c r="A1446" s="170">
        <v>44133</v>
      </c>
      <c r="B1446" s="116">
        <v>95.007131280389004</v>
      </c>
      <c r="C1446" s="116">
        <v>93.892251678629293</v>
      </c>
      <c r="D1446" s="116">
        <v>93.068210233850394</v>
      </c>
      <c r="E1446" s="116">
        <v>95.007131280389004</v>
      </c>
      <c r="F1446" s="116">
        <v>96.85</v>
      </c>
      <c r="G1446">
        <v>528678</v>
      </c>
      <c r="H1446" s="116"/>
      <c r="I1446" s="116"/>
      <c r="L1446" s="170">
        <v>44133</v>
      </c>
      <c r="M1446" s="116">
        <v>96.9</v>
      </c>
      <c r="N1446" s="116">
        <v>97.45</v>
      </c>
      <c r="O1446" s="116">
        <v>96</v>
      </c>
      <c r="P1446" s="116">
        <v>96.05</v>
      </c>
      <c r="Q1446" s="116">
        <v>96.9</v>
      </c>
      <c r="R1446">
        <v>540430</v>
      </c>
    </row>
    <row r="1447" spans="1:18" x14ac:dyDescent="0.25">
      <c r="A1447" s="170">
        <v>44134</v>
      </c>
      <c r="B1447" s="116">
        <v>94.570874044917801</v>
      </c>
      <c r="C1447" s="116">
        <v>92.486533919888899</v>
      </c>
      <c r="D1447" s="116">
        <v>92.195695762908102</v>
      </c>
      <c r="E1447" s="116">
        <v>94.280035887937004</v>
      </c>
      <c r="F1447" s="116">
        <v>95.4</v>
      </c>
      <c r="G1447">
        <v>60761</v>
      </c>
      <c r="H1447" s="116"/>
      <c r="I1447" s="116"/>
      <c r="L1447" s="170">
        <v>44134</v>
      </c>
      <c r="M1447" s="116">
        <v>95.4</v>
      </c>
      <c r="N1447" s="116">
        <v>97.5</v>
      </c>
      <c r="O1447" s="116">
        <v>95</v>
      </c>
      <c r="P1447" s="116">
        <v>97.2</v>
      </c>
      <c r="Q1447" s="116">
        <v>95.4</v>
      </c>
      <c r="R1447">
        <v>614790</v>
      </c>
    </row>
    <row r="1448" spans="1:18" x14ac:dyDescent="0.25">
      <c r="A1448" s="170">
        <v>44137</v>
      </c>
      <c r="B1448" s="116">
        <v>93.019737207687001</v>
      </c>
      <c r="C1448" s="116">
        <v>89.481206297754099</v>
      </c>
      <c r="D1448" s="116">
        <v>89.190368140773302</v>
      </c>
      <c r="E1448" s="116">
        <v>93.019737207687001</v>
      </c>
      <c r="F1448" s="116">
        <v>92.3</v>
      </c>
      <c r="G1448">
        <v>1110220</v>
      </c>
      <c r="H1448" s="116"/>
      <c r="I1448" s="116"/>
      <c r="L1448" s="170">
        <v>44137</v>
      </c>
      <c r="M1448" s="116">
        <v>92.2</v>
      </c>
      <c r="N1448" s="116">
        <v>95.95</v>
      </c>
      <c r="O1448" s="116">
        <v>91.5</v>
      </c>
      <c r="P1448" s="116">
        <v>95.4</v>
      </c>
      <c r="Q1448" s="116">
        <v>92.2</v>
      </c>
      <c r="R1448">
        <v>4644104</v>
      </c>
    </row>
    <row r="1449" spans="1:18" x14ac:dyDescent="0.25">
      <c r="A1449" s="170">
        <v>44138</v>
      </c>
      <c r="B1449" s="116">
        <v>93.601413521648496</v>
      </c>
      <c r="C1449" s="116">
        <v>93.359048390831205</v>
      </c>
      <c r="D1449" s="116">
        <v>90.208301690206099</v>
      </c>
      <c r="E1449" s="116">
        <v>91.614019448946493</v>
      </c>
      <c r="F1449" s="116">
        <v>96.3</v>
      </c>
      <c r="G1449">
        <v>135943</v>
      </c>
      <c r="H1449" s="116"/>
      <c r="I1449" s="116"/>
      <c r="L1449" s="170">
        <v>44138</v>
      </c>
      <c r="M1449" s="116">
        <v>96.3</v>
      </c>
      <c r="N1449" s="116">
        <v>96.7</v>
      </c>
      <c r="O1449" s="116">
        <v>93</v>
      </c>
      <c r="P1449" s="116">
        <v>93</v>
      </c>
      <c r="Q1449" s="116">
        <v>96.3</v>
      </c>
      <c r="R1449">
        <v>1481057</v>
      </c>
    </row>
    <row r="1450" spans="1:18" x14ac:dyDescent="0.25">
      <c r="A1450" s="170">
        <v>44139</v>
      </c>
      <c r="B1450" s="116">
        <v>94.522401018754394</v>
      </c>
      <c r="C1450" s="116">
        <v>93.552940495485103</v>
      </c>
      <c r="D1450" s="116">
        <v>92.341114841398493</v>
      </c>
      <c r="E1450" s="116">
        <v>93.068210233850394</v>
      </c>
      <c r="F1450" s="116">
        <v>96.5</v>
      </c>
      <c r="G1450">
        <v>93648</v>
      </c>
      <c r="H1450" s="116"/>
      <c r="I1450" s="116"/>
      <c r="L1450" s="170">
        <v>44139</v>
      </c>
      <c r="M1450" s="116">
        <v>96.6</v>
      </c>
      <c r="N1450" s="116">
        <v>97.6</v>
      </c>
      <c r="O1450" s="116">
        <v>95.1</v>
      </c>
      <c r="P1450" s="116">
        <v>95.55</v>
      </c>
      <c r="Q1450" s="116">
        <v>96.6</v>
      </c>
      <c r="R1450">
        <v>686035</v>
      </c>
    </row>
    <row r="1451" spans="1:18" x14ac:dyDescent="0.25">
      <c r="A1451" s="170">
        <v>44140</v>
      </c>
      <c r="B1451" s="116">
        <v>96.315902986802499</v>
      </c>
      <c r="C1451" s="116">
        <v>95.637280620514005</v>
      </c>
      <c r="D1451" s="116">
        <v>92.292641815235001</v>
      </c>
      <c r="E1451" s="116">
        <v>93.989197730956207</v>
      </c>
      <c r="F1451" s="116">
        <v>98.65</v>
      </c>
      <c r="G1451">
        <v>91931</v>
      </c>
      <c r="H1451" s="116"/>
      <c r="I1451" s="116"/>
      <c r="L1451" s="170">
        <v>44140</v>
      </c>
      <c r="M1451" s="116">
        <v>98.9</v>
      </c>
      <c r="N1451" s="116">
        <v>99.45</v>
      </c>
      <c r="O1451" s="116">
        <v>95</v>
      </c>
      <c r="P1451" s="116">
        <v>96.35</v>
      </c>
      <c r="Q1451" s="116">
        <v>98.9</v>
      </c>
      <c r="R1451">
        <v>1783211</v>
      </c>
    </row>
    <row r="1452" spans="1:18" x14ac:dyDescent="0.25">
      <c r="A1452" s="170">
        <v>44141</v>
      </c>
      <c r="B1452" s="116">
        <v>96.9460523269275</v>
      </c>
      <c r="C1452" s="116">
        <v>95.588807594350499</v>
      </c>
      <c r="D1452" s="116">
        <v>95.104077332715903</v>
      </c>
      <c r="E1452" s="116">
        <v>96.9460523269275</v>
      </c>
      <c r="F1452" s="116">
        <v>98.6</v>
      </c>
      <c r="G1452">
        <v>43123</v>
      </c>
      <c r="H1452" s="116"/>
      <c r="I1452" s="116"/>
      <c r="L1452" s="170">
        <v>44141</v>
      </c>
      <c r="M1452" s="116">
        <v>98.55</v>
      </c>
      <c r="N1452" s="116">
        <v>100.4</v>
      </c>
      <c r="O1452" s="116">
        <v>98</v>
      </c>
      <c r="P1452" s="116">
        <v>99.95</v>
      </c>
      <c r="Q1452" s="116">
        <v>98.55</v>
      </c>
      <c r="R1452">
        <v>1212531</v>
      </c>
    </row>
    <row r="1453" spans="1:18" x14ac:dyDescent="0.25">
      <c r="A1453" s="170">
        <v>44144</v>
      </c>
      <c r="B1453" s="116">
        <v>96.9460523269275</v>
      </c>
      <c r="C1453" s="116">
        <v>96.267429960639006</v>
      </c>
      <c r="D1453" s="116">
        <v>94.958658254225497</v>
      </c>
      <c r="E1453" s="116">
        <v>96.267429960639006</v>
      </c>
      <c r="F1453" s="116">
        <v>99.3</v>
      </c>
      <c r="G1453">
        <v>113116</v>
      </c>
      <c r="H1453" s="116"/>
      <c r="I1453" s="116"/>
      <c r="L1453" s="170">
        <v>44144</v>
      </c>
      <c r="M1453" s="116">
        <v>99.45</v>
      </c>
      <c r="N1453" s="116">
        <v>100</v>
      </c>
      <c r="O1453" s="116">
        <v>96.7</v>
      </c>
      <c r="P1453" s="116">
        <v>99.8</v>
      </c>
      <c r="Q1453" s="116">
        <v>99.45</v>
      </c>
      <c r="R1453">
        <v>1149443</v>
      </c>
    </row>
    <row r="1454" spans="1:18" x14ac:dyDescent="0.25">
      <c r="A1454" s="170">
        <v>44145</v>
      </c>
      <c r="B1454" s="116">
        <v>112.84520490854401</v>
      </c>
      <c r="C1454" s="116">
        <v>110.37308057420699</v>
      </c>
      <c r="D1454" s="116">
        <v>101.793354943274</v>
      </c>
      <c r="E1454" s="116">
        <v>104.02311414679301</v>
      </c>
      <c r="F1454" s="116">
        <v>113.85</v>
      </c>
      <c r="G1454">
        <v>985732</v>
      </c>
      <c r="H1454" s="116"/>
      <c r="I1454" s="116"/>
      <c r="L1454" s="170">
        <v>44145</v>
      </c>
      <c r="M1454" s="116">
        <v>113.7</v>
      </c>
      <c r="N1454" s="116">
        <v>116.4</v>
      </c>
      <c r="O1454" s="116">
        <v>105</v>
      </c>
      <c r="P1454" s="116">
        <v>108.5</v>
      </c>
      <c r="Q1454" s="116">
        <v>113.7</v>
      </c>
      <c r="R1454">
        <v>18666049</v>
      </c>
    </row>
    <row r="1455" spans="1:18" x14ac:dyDescent="0.25">
      <c r="A1455" s="170">
        <v>44146</v>
      </c>
      <c r="B1455" s="116">
        <v>110.227661495717</v>
      </c>
      <c r="C1455" s="116">
        <v>105.28341282704299</v>
      </c>
      <c r="D1455" s="116">
        <v>103.780749015976</v>
      </c>
      <c r="E1455" s="116">
        <v>110.227661495717</v>
      </c>
      <c r="F1455" s="116">
        <v>108.6</v>
      </c>
      <c r="G1455">
        <v>316255</v>
      </c>
      <c r="H1455" s="116"/>
      <c r="I1455" s="116"/>
      <c r="L1455" s="170">
        <v>44146</v>
      </c>
      <c r="M1455" s="116">
        <v>108.5</v>
      </c>
      <c r="N1455" s="116">
        <v>113.5</v>
      </c>
      <c r="O1455" s="116">
        <v>107</v>
      </c>
      <c r="P1455" s="116">
        <v>113.5</v>
      </c>
      <c r="Q1455" s="116">
        <v>108.5</v>
      </c>
      <c r="R1455">
        <v>3366186</v>
      </c>
    </row>
    <row r="1456" spans="1:18" x14ac:dyDescent="0.25">
      <c r="A1456" s="170">
        <v>44147</v>
      </c>
      <c r="B1456" s="116">
        <v>110.47002662653399</v>
      </c>
      <c r="C1456" s="116">
        <v>108.579578606159</v>
      </c>
      <c r="D1456" s="116">
        <v>106.252873350313</v>
      </c>
      <c r="E1456" s="116">
        <v>106.252873350313</v>
      </c>
      <c r="F1456" s="116">
        <v>112</v>
      </c>
      <c r="G1456">
        <v>290832</v>
      </c>
      <c r="H1456" s="116"/>
      <c r="I1456" s="116"/>
      <c r="L1456" s="170">
        <v>44147</v>
      </c>
      <c r="M1456" s="116">
        <v>111.95</v>
      </c>
      <c r="N1456" s="116">
        <v>113.9</v>
      </c>
      <c r="O1456" s="116">
        <v>109.05</v>
      </c>
      <c r="P1456" s="116">
        <v>110.15</v>
      </c>
      <c r="Q1456" s="116">
        <v>111.95</v>
      </c>
      <c r="R1456">
        <v>3104999</v>
      </c>
    </row>
    <row r="1457" spans="1:18" x14ac:dyDescent="0.25">
      <c r="A1457" s="170">
        <v>44148</v>
      </c>
      <c r="B1457" s="116">
        <v>108.579578606159</v>
      </c>
      <c r="C1457" s="116">
        <v>107.852483213707</v>
      </c>
      <c r="D1457" s="116">
        <v>104.701736513082</v>
      </c>
      <c r="E1457" s="116">
        <v>108.094848344524</v>
      </c>
      <c r="F1457" s="116">
        <v>111.25</v>
      </c>
      <c r="G1457">
        <v>113733</v>
      </c>
      <c r="H1457" s="116"/>
      <c r="I1457" s="116"/>
      <c r="L1457" s="170">
        <v>44148</v>
      </c>
      <c r="M1457" s="116">
        <v>111.2</v>
      </c>
      <c r="N1457" s="116">
        <v>112.9</v>
      </c>
      <c r="O1457" s="116">
        <v>110</v>
      </c>
      <c r="P1457" s="116">
        <v>112.4</v>
      </c>
      <c r="Q1457" s="116">
        <v>111.2</v>
      </c>
      <c r="R1457">
        <v>735733</v>
      </c>
    </row>
    <row r="1458" spans="1:18" x14ac:dyDescent="0.25">
      <c r="A1458" s="170">
        <v>44149</v>
      </c>
      <c r="B1458" s="116">
        <v>109.936823338736</v>
      </c>
      <c r="C1458" s="116">
        <v>108.579578606159</v>
      </c>
      <c r="D1458" s="116">
        <v>106.058981245659</v>
      </c>
      <c r="E1458" s="116">
        <v>108.579578606159</v>
      </c>
      <c r="F1458" s="116">
        <v>112</v>
      </c>
      <c r="G1458">
        <v>69511</v>
      </c>
      <c r="H1458" s="116"/>
      <c r="I1458" s="116"/>
      <c r="L1458" s="170">
        <v>44149</v>
      </c>
      <c r="M1458" s="116">
        <v>111.8</v>
      </c>
      <c r="N1458" s="116">
        <v>113.5</v>
      </c>
      <c r="O1458" s="116">
        <v>109</v>
      </c>
      <c r="P1458" s="116">
        <v>112</v>
      </c>
      <c r="Q1458" s="116">
        <v>111.8</v>
      </c>
      <c r="R1458">
        <v>463678</v>
      </c>
    </row>
    <row r="1459" spans="1:18" x14ac:dyDescent="0.25">
      <c r="A1459" s="170">
        <v>44152</v>
      </c>
      <c r="B1459" s="116">
        <v>118.904333178977</v>
      </c>
      <c r="C1459" s="116">
        <v>116.38373581847701</v>
      </c>
      <c r="D1459" s="116">
        <v>110.518499652697</v>
      </c>
      <c r="E1459" s="116">
        <v>111.10017596665899</v>
      </c>
      <c r="F1459" s="116">
        <v>120.05</v>
      </c>
      <c r="G1459">
        <v>867127</v>
      </c>
      <c r="H1459" s="116"/>
      <c r="I1459" s="116"/>
      <c r="L1459" s="170">
        <v>44152</v>
      </c>
      <c r="M1459" s="116">
        <v>120.15</v>
      </c>
      <c r="N1459" s="116">
        <v>122.75</v>
      </c>
      <c r="O1459" s="116">
        <v>114</v>
      </c>
      <c r="P1459" s="116">
        <v>115.9</v>
      </c>
      <c r="Q1459" s="116">
        <v>120.15</v>
      </c>
      <c r="R1459">
        <v>12079563</v>
      </c>
    </row>
    <row r="1460" spans="1:18" x14ac:dyDescent="0.25">
      <c r="A1460" s="170">
        <v>44153</v>
      </c>
      <c r="B1460" s="116">
        <v>115.94747858300499</v>
      </c>
      <c r="C1460" s="116">
        <v>114.978018059736</v>
      </c>
      <c r="D1460" s="116">
        <v>113.669246353323</v>
      </c>
      <c r="E1460" s="116">
        <v>114.541760824265</v>
      </c>
      <c r="F1460" s="116">
        <v>118.6</v>
      </c>
      <c r="G1460">
        <v>96173</v>
      </c>
      <c r="H1460" s="116"/>
      <c r="I1460" s="116"/>
      <c r="L1460" s="170">
        <v>44153</v>
      </c>
      <c r="M1460" s="116">
        <v>118.45</v>
      </c>
      <c r="N1460" s="116">
        <v>119.75</v>
      </c>
      <c r="O1460" s="116">
        <v>117.2</v>
      </c>
      <c r="P1460" s="116">
        <v>118.8</v>
      </c>
      <c r="Q1460" s="116">
        <v>118.45</v>
      </c>
      <c r="R1460">
        <v>1767316</v>
      </c>
    </row>
    <row r="1461" spans="1:18" x14ac:dyDescent="0.25">
      <c r="A1461" s="170">
        <v>44154</v>
      </c>
      <c r="B1461" s="116">
        <v>115.365802269044</v>
      </c>
      <c r="C1461" s="116">
        <v>111.19712201898599</v>
      </c>
      <c r="D1461" s="116">
        <v>110.27613452188</v>
      </c>
      <c r="E1461" s="116">
        <v>115.365802269044</v>
      </c>
      <c r="F1461" s="116">
        <v>114.7</v>
      </c>
      <c r="G1461">
        <v>294391</v>
      </c>
      <c r="H1461" s="116"/>
      <c r="I1461" s="116"/>
      <c r="L1461" s="170">
        <v>44154</v>
      </c>
      <c r="M1461" s="116">
        <v>114.7</v>
      </c>
      <c r="N1461" s="116">
        <v>118.9</v>
      </c>
      <c r="O1461" s="116">
        <v>114</v>
      </c>
      <c r="P1461" s="116">
        <v>118.4</v>
      </c>
      <c r="Q1461" s="116">
        <v>114.7</v>
      </c>
      <c r="R1461">
        <v>3351177</v>
      </c>
    </row>
    <row r="1462" spans="1:18" x14ac:dyDescent="0.25">
      <c r="A1462" s="170">
        <v>44155</v>
      </c>
      <c r="B1462" s="116">
        <v>113.91161148414</v>
      </c>
      <c r="C1462" s="116">
        <v>110.227661495717</v>
      </c>
      <c r="D1462" s="116">
        <v>109.791404260245</v>
      </c>
      <c r="E1462" s="116">
        <v>112.457420699236</v>
      </c>
      <c r="F1462" s="116">
        <v>113.7</v>
      </c>
      <c r="G1462">
        <v>139084</v>
      </c>
      <c r="H1462" s="116"/>
      <c r="I1462" s="116"/>
      <c r="L1462" s="170">
        <v>44155</v>
      </c>
      <c r="M1462" s="116">
        <v>113.6</v>
      </c>
      <c r="N1462" s="116">
        <v>117.5</v>
      </c>
      <c r="O1462" s="116">
        <v>113.05</v>
      </c>
      <c r="P1462" s="116">
        <v>116.35</v>
      </c>
      <c r="Q1462" s="116">
        <v>113.6</v>
      </c>
      <c r="R1462">
        <v>1387623</v>
      </c>
    </row>
    <row r="1463" spans="1:18" x14ac:dyDescent="0.25">
      <c r="A1463" s="170">
        <v>44158</v>
      </c>
      <c r="B1463" s="116">
        <v>111.875744385274</v>
      </c>
      <c r="C1463" s="116">
        <v>109.791404260245</v>
      </c>
      <c r="D1463" s="116">
        <v>107.513172030563</v>
      </c>
      <c r="E1463" s="116">
        <v>109.985296364899</v>
      </c>
      <c r="F1463" s="116">
        <v>113.25</v>
      </c>
      <c r="G1463">
        <v>247909</v>
      </c>
      <c r="H1463" s="116"/>
      <c r="I1463" s="116"/>
      <c r="L1463" s="170">
        <v>44158</v>
      </c>
      <c r="M1463" s="116">
        <v>113.2</v>
      </c>
      <c r="N1463" s="116">
        <v>115.5</v>
      </c>
      <c r="O1463" s="116">
        <v>111.05</v>
      </c>
      <c r="P1463" s="116">
        <v>113</v>
      </c>
      <c r="Q1463" s="116">
        <v>113.2</v>
      </c>
      <c r="R1463">
        <v>2857862</v>
      </c>
    </row>
    <row r="1464" spans="1:18" x14ac:dyDescent="0.25">
      <c r="A1464" s="170">
        <v>44159</v>
      </c>
      <c r="B1464" s="116">
        <v>112.312001620746</v>
      </c>
      <c r="C1464" s="116">
        <v>111.245595045149</v>
      </c>
      <c r="D1464" s="116">
        <v>109.791404260245</v>
      </c>
      <c r="E1464" s="116">
        <v>109.791404260245</v>
      </c>
      <c r="F1464" s="116">
        <v>114.75</v>
      </c>
      <c r="G1464">
        <v>131957</v>
      </c>
      <c r="H1464" s="116"/>
      <c r="I1464" s="116"/>
      <c r="L1464" s="170">
        <v>44159</v>
      </c>
      <c r="M1464" s="116">
        <v>114.8</v>
      </c>
      <c r="N1464" s="116">
        <v>115.8</v>
      </c>
      <c r="O1464" s="116">
        <v>113.2</v>
      </c>
      <c r="P1464" s="116">
        <v>113.4</v>
      </c>
      <c r="Q1464" s="116">
        <v>114.8</v>
      </c>
      <c r="R1464">
        <v>1195612</v>
      </c>
    </row>
    <row r="1465" spans="1:18" x14ac:dyDescent="0.25">
      <c r="A1465" s="170">
        <v>44160</v>
      </c>
      <c r="B1465" s="116">
        <v>112.50589372539901</v>
      </c>
      <c r="C1465" s="116">
        <v>107.319279925909</v>
      </c>
      <c r="D1465" s="116">
        <v>106.446765454966</v>
      </c>
      <c r="E1465" s="116">
        <v>112.457420699236</v>
      </c>
      <c r="F1465" s="116">
        <v>110.7</v>
      </c>
      <c r="G1465">
        <v>214446</v>
      </c>
      <c r="H1465" s="116"/>
      <c r="I1465" s="116"/>
      <c r="L1465" s="170">
        <v>44160</v>
      </c>
      <c r="M1465" s="116">
        <v>110.7</v>
      </c>
      <c r="N1465" s="116">
        <v>116.1</v>
      </c>
      <c r="O1465" s="116">
        <v>109.6</v>
      </c>
      <c r="P1465" s="116">
        <v>115.3</v>
      </c>
      <c r="Q1465" s="116">
        <v>110.7</v>
      </c>
      <c r="R1465">
        <v>3237331</v>
      </c>
    </row>
    <row r="1466" spans="1:18" x14ac:dyDescent="0.25">
      <c r="A1466" s="170">
        <v>44161</v>
      </c>
      <c r="B1466" s="116">
        <v>110.954756888169</v>
      </c>
      <c r="C1466" s="116">
        <v>109.306673998611</v>
      </c>
      <c r="D1466" s="116">
        <v>107.222333873582</v>
      </c>
      <c r="E1466" s="116">
        <v>109.01583584162999</v>
      </c>
      <c r="F1466" s="116">
        <v>112.75</v>
      </c>
      <c r="G1466">
        <v>209367</v>
      </c>
      <c r="H1466" s="116"/>
      <c r="I1466" s="116"/>
      <c r="L1466" s="170">
        <v>44161</v>
      </c>
      <c r="M1466" s="116">
        <v>112.75</v>
      </c>
      <c r="N1466" s="116">
        <v>114.5</v>
      </c>
      <c r="O1466" s="116">
        <v>110.5</v>
      </c>
      <c r="P1466" s="116">
        <v>112.9</v>
      </c>
      <c r="Q1466" s="116">
        <v>112.75</v>
      </c>
      <c r="R1466">
        <v>1870872</v>
      </c>
    </row>
    <row r="1467" spans="1:18" x14ac:dyDescent="0.25">
      <c r="A1467" s="170">
        <v>44162</v>
      </c>
      <c r="B1467" s="116">
        <v>115.850532530678</v>
      </c>
      <c r="C1467" s="116">
        <v>114.396341745774</v>
      </c>
      <c r="D1467" s="116">
        <v>108.579578606159</v>
      </c>
      <c r="E1467" s="116">
        <v>109.11278189395701</v>
      </c>
      <c r="F1467" s="116">
        <v>118</v>
      </c>
      <c r="G1467">
        <v>396265</v>
      </c>
      <c r="H1467" s="116"/>
      <c r="I1467" s="116"/>
      <c r="L1467" s="170">
        <v>44162</v>
      </c>
      <c r="M1467" s="116">
        <v>118.2</v>
      </c>
      <c r="N1467" s="116">
        <v>119.65</v>
      </c>
      <c r="O1467" s="116">
        <v>112</v>
      </c>
      <c r="P1467" s="116">
        <v>113</v>
      </c>
      <c r="Q1467" s="116">
        <v>118.2</v>
      </c>
      <c r="R1467">
        <v>4539604</v>
      </c>
    </row>
    <row r="1468" spans="1:18" x14ac:dyDescent="0.25">
      <c r="A1468" s="170">
        <v>44166</v>
      </c>
      <c r="B1468" s="116">
        <v>118.031818708034</v>
      </c>
      <c r="C1468" s="116">
        <v>116.38373581847701</v>
      </c>
      <c r="D1468" s="116">
        <v>115.41427529520701</v>
      </c>
      <c r="E1468" s="116">
        <v>116.67457397545699</v>
      </c>
      <c r="F1468" s="116">
        <v>120.05</v>
      </c>
      <c r="G1468">
        <v>86208</v>
      </c>
      <c r="H1468" s="116"/>
      <c r="I1468" s="116"/>
      <c r="L1468" s="170">
        <v>44166</v>
      </c>
      <c r="M1468" s="116">
        <v>120.1</v>
      </c>
      <c r="N1468" s="116">
        <v>121.95</v>
      </c>
      <c r="O1468" s="116">
        <v>118.6</v>
      </c>
      <c r="P1468" s="116">
        <v>120</v>
      </c>
      <c r="Q1468" s="116">
        <v>120.1</v>
      </c>
      <c r="R1468">
        <v>2550130</v>
      </c>
    </row>
    <row r="1469" spans="1:18" x14ac:dyDescent="0.25">
      <c r="A1469" s="170">
        <v>44167</v>
      </c>
      <c r="B1469" s="116">
        <v>125.88444894651499</v>
      </c>
      <c r="C1469" s="116">
        <v>125.1088805279</v>
      </c>
      <c r="D1469" s="116">
        <v>117.304723315582</v>
      </c>
      <c r="E1469" s="116">
        <v>117.304723315582</v>
      </c>
      <c r="F1469" s="116">
        <v>129.05000000000001</v>
      </c>
      <c r="G1469">
        <v>328772</v>
      </c>
      <c r="H1469" s="116"/>
      <c r="I1469" s="116"/>
      <c r="L1469" s="170">
        <v>44167</v>
      </c>
      <c r="M1469" s="116">
        <v>129</v>
      </c>
      <c r="N1469" s="116">
        <v>130</v>
      </c>
      <c r="O1469" s="116">
        <v>121</v>
      </c>
      <c r="P1469" s="116">
        <v>121</v>
      </c>
      <c r="Q1469" s="116">
        <v>129</v>
      </c>
      <c r="R1469">
        <v>12923048</v>
      </c>
    </row>
    <row r="1470" spans="1:18" x14ac:dyDescent="0.25">
      <c r="A1470" s="170">
        <v>44168</v>
      </c>
      <c r="B1470" s="116">
        <v>127.96878907154399</v>
      </c>
      <c r="C1470" s="116">
        <v>123.84858184765</v>
      </c>
      <c r="D1470" s="116">
        <v>123.21843250752499</v>
      </c>
      <c r="E1470" s="116">
        <v>127.96878907154399</v>
      </c>
      <c r="F1470" s="116">
        <v>127.75</v>
      </c>
      <c r="G1470">
        <v>271367</v>
      </c>
      <c r="H1470" s="116"/>
      <c r="I1470" s="116"/>
      <c r="L1470" s="170">
        <v>44168</v>
      </c>
      <c r="M1470" s="116">
        <v>127.8</v>
      </c>
      <c r="N1470" s="116">
        <v>132</v>
      </c>
      <c r="O1470" s="116">
        <v>127</v>
      </c>
      <c r="P1470" s="116">
        <v>131.6</v>
      </c>
      <c r="Q1470" s="116">
        <v>127.8</v>
      </c>
      <c r="R1470">
        <v>3918023</v>
      </c>
    </row>
    <row r="1471" spans="1:18" x14ac:dyDescent="0.25">
      <c r="A1471" s="170">
        <v>44169</v>
      </c>
      <c r="B1471" s="116">
        <v>125.932921972679</v>
      </c>
      <c r="C1471" s="116">
        <v>124.090946978467</v>
      </c>
      <c r="D1471" s="116">
        <v>122.73370224589</v>
      </c>
      <c r="E1471" s="116">
        <v>125.351245658717</v>
      </c>
      <c r="F1471" s="116">
        <v>128</v>
      </c>
      <c r="G1471">
        <v>80391</v>
      </c>
      <c r="H1471" s="116"/>
      <c r="I1471" s="116"/>
      <c r="L1471" s="170">
        <v>44169</v>
      </c>
      <c r="M1471" s="116">
        <v>128</v>
      </c>
      <c r="N1471" s="116">
        <v>129.94999999999999</v>
      </c>
      <c r="O1471" s="116">
        <v>126.5</v>
      </c>
      <c r="P1471" s="116">
        <v>129</v>
      </c>
      <c r="Q1471" s="116">
        <v>128</v>
      </c>
      <c r="R1471">
        <v>2445423</v>
      </c>
    </row>
    <row r="1472" spans="1:18" x14ac:dyDescent="0.25">
      <c r="A1472" s="170">
        <v>44172</v>
      </c>
      <c r="B1472" s="116">
        <v>134.75501273442899</v>
      </c>
      <c r="C1472" s="116">
        <v>128.598938411669</v>
      </c>
      <c r="D1472" s="116">
        <v>124.284839083121</v>
      </c>
      <c r="E1472" s="116">
        <v>124.284839083121</v>
      </c>
      <c r="F1472" s="116">
        <v>132.65</v>
      </c>
      <c r="G1472">
        <v>455327</v>
      </c>
      <c r="H1472" s="116"/>
      <c r="I1472" s="116"/>
      <c r="L1472" s="170">
        <v>44172</v>
      </c>
      <c r="M1472" s="116">
        <v>132.69999999999999</v>
      </c>
      <c r="N1472" s="116">
        <v>139.25</v>
      </c>
      <c r="O1472" s="116">
        <v>128.55000000000001</v>
      </c>
      <c r="P1472" s="116">
        <v>128.9</v>
      </c>
      <c r="Q1472" s="116">
        <v>132.69999999999999</v>
      </c>
      <c r="R1472">
        <v>7846688</v>
      </c>
    </row>
    <row r="1473" spans="1:18" x14ac:dyDescent="0.25">
      <c r="A1473" s="170">
        <v>44173</v>
      </c>
      <c r="B1473" s="116">
        <v>132.37983445242</v>
      </c>
      <c r="C1473" s="116">
        <v>126.12681407733299</v>
      </c>
      <c r="D1473" s="116">
        <v>125.739029868025</v>
      </c>
      <c r="E1473" s="116">
        <v>129.81076406575599</v>
      </c>
      <c r="F1473" s="116">
        <v>130.1</v>
      </c>
      <c r="G1473">
        <v>207673</v>
      </c>
      <c r="H1473" s="116"/>
      <c r="I1473" s="116"/>
      <c r="L1473" s="170">
        <v>44173</v>
      </c>
      <c r="M1473" s="116">
        <v>130.19999999999999</v>
      </c>
      <c r="N1473" s="116">
        <v>136.69999999999999</v>
      </c>
      <c r="O1473" s="116">
        <v>130</v>
      </c>
      <c r="P1473" s="116">
        <v>133.85</v>
      </c>
      <c r="Q1473" s="116">
        <v>130.19999999999999</v>
      </c>
      <c r="R1473">
        <v>3230253</v>
      </c>
    </row>
    <row r="1474" spans="1:18" x14ac:dyDescent="0.25">
      <c r="A1474" s="170">
        <v>44174</v>
      </c>
      <c r="B1474" s="116">
        <v>128.647411437833</v>
      </c>
      <c r="C1474" s="116">
        <v>127.920316045381</v>
      </c>
      <c r="D1474" s="116">
        <v>126.12681407733299</v>
      </c>
      <c r="E1474" s="116">
        <v>126.12681407733299</v>
      </c>
      <c r="F1474" s="116">
        <v>131.94999999999999</v>
      </c>
      <c r="G1474">
        <v>68565</v>
      </c>
      <c r="H1474" s="116"/>
      <c r="I1474" s="116"/>
      <c r="L1474" s="170">
        <v>44174</v>
      </c>
      <c r="M1474" s="116">
        <v>131.9</v>
      </c>
      <c r="N1474" s="116">
        <v>132.6</v>
      </c>
      <c r="O1474" s="116">
        <v>131.05000000000001</v>
      </c>
      <c r="P1474" s="116">
        <v>131.44999999999999</v>
      </c>
      <c r="Q1474" s="116">
        <v>131.9</v>
      </c>
      <c r="R1474">
        <v>1546586</v>
      </c>
    </row>
    <row r="1475" spans="1:18" x14ac:dyDescent="0.25">
      <c r="A1475" s="170">
        <v>44175</v>
      </c>
      <c r="B1475" s="116">
        <v>127.726423940727</v>
      </c>
      <c r="C1475" s="116">
        <v>124.13942000463101</v>
      </c>
      <c r="D1475" s="116">
        <v>123.751635795323</v>
      </c>
      <c r="E1475" s="116">
        <v>124.624150266265</v>
      </c>
      <c r="F1475" s="116">
        <v>128.05000000000001</v>
      </c>
      <c r="G1475">
        <v>177491</v>
      </c>
      <c r="H1475" s="116"/>
      <c r="I1475" s="116"/>
      <c r="L1475" s="170">
        <v>44175</v>
      </c>
      <c r="M1475" s="116">
        <v>128</v>
      </c>
      <c r="N1475" s="116">
        <v>131.80000000000001</v>
      </c>
      <c r="O1475" s="116">
        <v>127.75</v>
      </c>
      <c r="P1475" s="116">
        <v>131.80000000000001</v>
      </c>
      <c r="Q1475" s="116">
        <v>128</v>
      </c>
      <c r="R1475">
        <v>1681977</v>
      </c>
    </row>
    <row r="1476" spans="1:18" x14ac:dyDescent="0.25">
      <c r="A1476" s="170">
        <v>44176</v>
      </c>
      <c r="B1476" s="116">
        <v>127.58100486223699</v>
      </c>
      <c r="C1476" s="116">
        <v>123.84858184765</v>
      </c>
      <c r="D1476" s="116">
        <v>123.21843250752499</v>
      </c>
      <c r="E1476" s="116">
        <v>124.86651539708301</v>
      </c>
      <c r="F1476" s="116">
        <v>127.75</v>
      </c>
      <c r="G1476">
        <v>151599</v>
      </c>
      <c r="H1476" s="116"/>
      <c r="I1476" s="116"/>
      <c r="L1476" s="170">
        <v>44176</v>
      </c>
      <c r="M1476" s="116">
        <v>127.9</v>
      </c>
      <c r="N1476" s="116">
        <v>131.75</v>
      </c>
      <c r="O1476" s="116">
        <v>127.2</v>
      </c>
      <c r="P1476" s="116">
        <v>128</v>
      </c>
      <c r="Q1476" s="116">
        <v>127.9</v>
      </c>
      <c r="R1476">
        <v>1242121</v>
      </c>
    </row>
    <row r="1477" spans="1:18" x14ac:dyDescent="0.25">
      <c r="A1477" s="170">
        <v>44179</v>
      </c>
      <c r="B1477" s="116">
        <v>126.12681407733299</v>
      </c>
      <c r="C1477" s="116">
        <v>124.52720421393801</v>
      </c>
      <c r="D1477" s="116">
        <v>124.090946978467</v>
      </c>
      <c r="E1477" s="116">
        <v>124.96346144941</v>
      </c>
      <c r="F1477" s="116">
        <v>128.44999999999999</v>
      </c>
      <c r="G1477">
        <v>80314</v>
      </c>
      <c r="H1477" s="116"/>
      <c r="I1477" s="116"/>
      <c r="L1477" s="170">
        <v>44179</v>
      </c>
      <c r="M1477" s="116">
        <v>128.44999999999999</v>
      </c>
      <c r="N1477" s="116">
        <v>130.25</v>
      </c>
      <c r="O1477" s="116">
        <v>127.8</v>
      </c>
      <c r="P1477" s="116">
        <v>128.85</v>
      </c>
      <c r="Q1477" s="116">
        <v>128.44999999999999</v>
      </c>
      <c r="R1477">
        <v>1286919</v>
      </c>
    </row>
    <row r="1478" spans="1:18" x14ac:dyDescent="0.25">
      <c r="A1478" s="170">
        <v>44180</v>
      </c>
      <c r="B1478" s="116">
        <v>129.907710118083</v>
      </c>
      <c r="C1478" s="116">
        <v>125.1088805279</v>
      </c>
      <c r="D1478" s="116">
        <v>124.090946978467</v>
      </c>
      <c r="E1478" s="116">
        <v>125.1088805279</v>
      </c>
      <c r="F1478" s="116">
        <v>129.05000000000001</v>
      </c>
      <c r="G1478">
        <v>397366</v>
      </c>
      <c r="H1478" s="116"/>
      <c r="I1478" s="116"/>
      <c r="L1478" s="170">
        <v>44180</v>
      </c>
      <c r="M1478" s="116">
        <v>129.1</v>
      </c>
      <c r="N1478" s="116">
        <v>134</v>
      </c>
      <c r="O1478" s="116">
        <v>127.85</v>
      </c>
      <c r="P1478" s="116">
        <v>129.35</v>
      </c>
      <c r="Q1478" s="116">
        <v>129.1</v>
      </c>
      <c r="R1478">
        <v>4019214</v>
      </c>
    </row>
    <row r="1479" spans="1:18" x14ac:dyDescent="0.25">
      <c r="A1479" s="170">
        <v>44181</v>
      </c>
      <c r="B1479" s="116">
        <v>128.35657328085199</v>
      </c>
      <c r="C1479" s="116">
        <v>125.98139499884201</v>
      </c>
      <c r="D1479" s="116">
        <v>124.67262329242899</v>
      </c>
      <c r="E1479" s="116">
        <v>126.029868025006</v>
      </c>
      <c r="F1479" s="116">
        <v>129.94999999999999</v>
      </c>
      <c r="G1479">
        <v>190595</v>
      </c>
      <c r="H1479" s="116"/>
      <c r="I1479" s="116"/>
      <c r="L1479" s="170">
        <v>44181</v>
      </c>
      <c r="M1479" s="116">
        <v>130.05000000000001</v>
      </c>
      <c r="N1479" s="116">
        <v>132.35</v>
      </c>
      <c r="O1479" s="116">
        <v>128.55000000000001</v>
      </c>
      <c r="P1479" s="116">
        <v>130.1</v>
      </c>
      <c r="Q1479" s="116">
        <v>130.05000000000001</v>
      </c>
      <c r="R1479">
        <v>3573669</v>
      </c>
    </row>
    <row r="1480" spans="1:18" x14ac:dyDescent="0.25">
      <c r="A1480" s="170">
        <v>44182</v>
      </c>
      <c r="B1480" s="116">
        <v>127.53253183607301</v>
      </c>
      <c r="C1480" s="116">
        <v>126.175287103496</v>
      </c>
      <c r="D1480" s="116">
        <v>124.96346144941</v>
      </c>
      <c r="E1480" s="116">
        <v>127.53253183607301</v>
      </c>
      <c r="F1480" s="116">
        <v>130.15</v>
      </c>
      <c r="G1480">
        <v>100929</v>
      </c>
      <c r="H1480" s="116"/>
      <c r="I1480" s="116"/>
      <c r="L1480" s="170">
        <v>44182</v>
      </c>
      <c r="M1480" s="116">
        <v>130</v>
      </c>
      <c r="N1480" s="116">
        <v>131.5</v>
      </c>
      <c r="O1480" s="116">
        <v>128.80000000000001</v>
      </c>
      <c r="P1480" s="116">
        <v>131</v>
      </c>
      <c r="Q1480" s="116">
        <v>130</v>
      </c>
      <c r="R1480">
        <v>1579151</v>
      </c>
    </row>
    <row r="1481" spans="1:18" x14ac:dyDescent="0.25">
      <c r="A1481" s="170">
        <v>44183</v>
      </c>
      <c r="B1481" s="116">
        <v>125.98139499884201</v>
      </c>
      <c r="C1481" s="116">
        <v>123.94552789997699</v>
      </c>
      <c r="D1481" s="116">
        <v>122.976067376708</v>
      </c>
      <c r="E1481" s="116">
        <v>125.448191711044</v>
      </c>
      <c r="F1481" s="116">
        <v>127.85</v>
      </c>
      <c r="G1481">
        <v>122283</v>
      </c>
      <c r="H1481" s="116"/>
      <c r="I1481" s="116"/>
      <c r="L1481" s="170">
        <v>44183</v>
      </c>
      <c r="M1481" s="116">
        <v>127.8</v>
      </c>
      <c r="N1481" s="116">
        <v>129.9</v>
      </c>
      <c r="O1481" s="116">
        <v>127</v>
      </c>
      <c r="P1481" s="116">
        <v>129</v>
      </c>
      <c r="Q1481" s="116">
        <v>127.8</v>
      </c>
      <c r="R1481">
        <v>1482248</v>
      </c>
    </row>
    <row r="1482" spans="1:18" x14ac:dyDescent="0.25">
      <c r="A1482" s="170">
        <v>44186</v>
      </c>
      <c r="B1482" s="116">
        <v>124.914988423246</v>
      </c>
      <c r="C1482" s="116">
        <v>116.092897661496</v>
      </c>
      <c r="D1482" s="116">
        <v>113.426881222505</v>
      </c>
      <c r="E1482" s="116">
        <v>124.13942000463101</v>
      </c>
      <c r="F1482" s="116">
        <v>119.75</v>
      </c>
      <c r="G1482">
        <v>372873</v>
      </c>
      <c r="H1482" s="116"/>
      <c r="I1482" s="116"/>
      <c r="L1482" s="170">
        <v>44186</v>
      </c>
      <c r="M1482" s="116">
        <v>119.45</v>
      </c>
      <c r="N1482" s="116">
        <v>128.80000000000001</v>
      </c>
      <c r="O1482" s="116">
        <v>117</v>
      </c>
      <c r="P1482" s="116">
        <v>128.5</v>
      </c>
      <c r="Q1482" s="116">
        <v>119.45</v>
      </c>
      <c r="R1482">
        <v>2322522</v>
      </c>
    </row>
    <row r="1483" spans="1:18" x14ac:dyDescent="0.25">
      <c r="A1483" s="170">
        <v>44187</v>
      </c>
      <c r="B1483" s="116">
        <v>115.365802269044</v>
      </c>
      <c r="C1483" s="116">
        <v>113.426881222505</v>
      </c>
      <c r="D1483" s="116">
        <v>109.064308867793</v>
      </c>
      <c r="E1483" s="116">
        <v>109.064308867793</v>
      </c>
      <c r="F1483" s="116">
        <v>117</v>
      </c>
      <c r="G1483">
        <v>414521</v>
      </c>
      <c r="H1483" s="116"/>
      <c r="I1483" s="116"/>
      <c r="L1483" s="170">
        <v>44187</v>
      </c>
      <c r="M1483" s="116">
        <v>116.65</v>
      </c>
      <c r="N1483" s="116">
        <v>119</v>
      </c>
      <c r="O1483" s="116">
        <v>113.2</v>
      </c>
      <c r="P1483" s="116">
        <v>115.05</v>
      </c>
      <c r="Q1483" s="116">
        <v>116.65</v>
      </c>
      <c r="R1483">
        <v>2543950</v>
      </c>
    </row>
    <row r="1484" spans="1:18" x14ac:dyDescent="0.25">
      <c r="A1484" s="170">
        <v>44188</v>
      </c>
      <c r="B1484" s="116">
        <v>121.182565408659</v>
      </c>
      <c r="C1484" s="116">
        <v>120.940200277842</v>
      </c>
      <c r="D1484" s="116">
        <v>113.426881222505</v>
      </c>
      <c r="E1484" s="116">
        <v>115.802059504515</v>
      </c>
      <c r="F1484" s="116">
        <v>124.75</v>
      </c>
      <c r="G1484">
        <v>178358</v>
      </c>
      <c r="H1484" s="116"/>
      <c r="I1484" s="116"/>
      <c r="L1484" s="170">
        <v>44188</v>
      </c>
      <c r="M1484" s="116">
        <v>124.85</v>
      </c>
      <c r="N1484" s="116">
        <v>125.3</v>
      </c>
      <c r="O1484" s="116">
        <v>117.2</v>
      </c>
      <c r="P1484" s="116">
        <v>117.8</v>
      </c>
      <c r="Q1484" s="116">
        <v>124.85</v>
      </c>
      <c r="R1484">
        <v>2429394</v>
      </c>
    </row>
    <row r="1485" spans="1:18" x14ac:dyDescent="0.25">
      <c r="A1485" s="170">
        <v>44189</v>
      </c>
      <c r="B1485" s="116">
        <v>123.121486455198</v>
      </c>
      <c r="C1485" s="116">
        <v>117.69250752489</v>
      </c>
      <c r="D1485" s="116">
        <v>116.916939106275</v>
      </c>
      <c r="E1485" s="116">
        <v>123.121486455198</v>
      </c>
      <c r="F1485" s="116">
        <v>121.4</v>
      </c>
      <c r="G1485">
        <v>134137</v>
      </c>
      <c r="H1485" s="116"/>
      <c r="I1485" s="116"/>
      <c r="L1485" s="170">
        <v>44189</v>
      </c>
      <c r="M1485" s="116">
        <v>121.35</v>
      </c>
      <c r="N1485" s="116">
        <v>126.7</v>
      </c>
      <c r="O1485" s="116">
        <v>120.6</v>
      </c>
      <c r="P1485" s="116">
        <v>126.45</v>
      </c>
      <c r="Q1485" s="116">
        <v>121.35</v>
      </c>
      <c r="R1485">
        <v>1776314</v>
      </c>
    </row>
    <row r="1486" spans="1:18" x14ac:dyDescent="0.25">
      <c r="A1486" s="170">
        <v>44193</v>
      </c>
      <c r="B1486" s="116">
        <v>121.618822644131</v>
      </c>
      <c r="C1486" s="116">
        <v>119.146698309794</v>
      </c>
      <c r="D1486" s="116">
        <v>117.983345681871</v>
      </c>
      <c r="E1486" s="116">
        <v>117.983345681871</v>
      </c>
      <c r="F1486" s="116">
        <v>122.9</v>
      </c>
      <c r="G1486">
        <v>263298</v>
      </c>
      <c r="H1486" s="116"/>
      <c r="I1486" s="116"/>
      <c r="L1486" s="170">
        <v>44193</v>
      </c>
      <c r="M1486" s="116">
        <v>122.95</v>
      </c>
      <c r="N1486" s="116">
        <v>125.7</v>
      </c>
      <c r="O1486" s="116">
        <v>121.75</v>
      </c>
      <c r="P1486" s="116">
        <v>122.85</v>
      </c>
      <c r="Q1486" s="116">
        <v>122.95</v>
      </c>
      <c r="R1486">
        <v>2677711</v>
      </c>
    </row>
    <row r="1487" spans="1:18" x14ac:dyDescent="0.25">
      <c r="A1487" s="170">
        <v>44194</v>
      </c>
      <c r="B1487" s="116">
        <v>120.891727251679</v>
      </c>
      <c r="C1487" s="116">
        <v>118.758914100486</v>
      </c>
      <c r="D1487" s="116">
        <v>118.031818708034</v>
      </c>
      <c r="E1487" s="116">
        <v>119.340590414448</v>
      </c>
      <c r="F1487" s="116">
        <v>122.5</v>
      </c>
      <c r="G1487">
        <v>63095</v>
      </c>
      <c r="H1487" s="116"/>
      <c r="I1487" s="116"/>
      <c r="L1487" s="170">
        <v>44194</v>
      </c>
      <c r="M1487" s="116">
        <v>122.45</v>
      </c>
      <c r="N1487" s="116">
        <v>124.75</v>
      </c>
      <c r="O1487" s="116">
        <v>121.6</v>
      </c>
      <c r="P1487" s="116">
        <v>122.95</v>
      </c>
      <c r="Q1487" s="116">
        <v>122.45</v>
      </c>
      <c r="R1487">
        <v>2256713</v>
      </c>
    </row>
    <row r="1488" spans="1:18" x14ac:dyDescent="0.25">
      <c r="A1488" s="170">
        <v>44195</v>
      </c>
      <c r="B1488" s="116">
        <v>119.728374623756</v>
      </c>
      <c r="C1488" s="116">
        <v>118.22571081268801</v>
      </c>
      <c r="D1488" s="116">
        <v>116.626100949294</v>
      </c>
      <c r="E1488" s="116">
        <v>119.728374623756</v>
      </c>
      <c r="F1488" s="116">
        <v>121.95</v>
      </c>
      <c r="G1488">
        <v>108046</v>
      </c>
      <c r="H1488" s="116"/>
      <c r="I1488" s="116"/>
      <c r="L1488" s="170">
        <v>44195</v>
      </c>
      <c r="M1488" s="116">
        <v>121.85</v>
      </c>
      <c r="N1488" s="116">
        <v>123.35</v>
      </c>
      <c r="O1488" s="116">
        <v>120.35</v>
      </c>
      <c r="P1488" s="116">
        <v>123</v>
      </c>
      <c r="Q1488" s="116">
        <v>121.85</v>
      </c>
      <c r="R1488">
        <v>903525</v>
      </c>
    </row>
    <row r="1489" spans="1:18" x14ac:dyDescent="0.25">
      <c r="A1489" s="170">
        <v>44196</v>
      </c>
      <c r="B1489" s="116">
        <v>118.85586015281299</v>
      </c>
      <c r="C1489" s="116">
        <v>116.43220884464</v>
      </c>
      <c r="D1489" s="116">
        <v>115.31732924288001</v>
      </c>
      <c r="E1489" s="116">
        <v>118.661968048159</v>
      </c>
      <c r="F1489" s="116">
        <v>120.1</v>
      </c>
      <c r="G1489">
        <v>144972</v>
      </c>
      <c r="H1489" s="116"/>
      <c r="I1489" s="116"/>
      <c r="L1489" s="170">
        <v>44196</v>
      </c>
      <c r="M1489" s="116">
        <v>120.1</v>
      </c>
      <c r="N1489" s="116">
        <v>122.6</v>
      </c>
      <c r="O1489" s="116">
        <v>118.8</v>
      </c>
      <c r="P1489" s="116">
        <v>122</v>
      </c>
      <c r="Q1489" s="116">
        <v>120.1</v>
      </c>
      <c r="R1489">
        <v>861371</v>
      </c>
    </row>
    <row r="1490" spans="1:18" x14ac:dyDescent="0.25">
      <c r="A1490" s="170">
        <v>44197</v>
      </c>
      <c r="B1490" s="116">
        <v>122.58828316739999</v>
      </c>
      <c r="C1490" s="116">
        <v>120.0676858069</v>
      </c>
      <c r="D1490" s="116">
        <v>116.77152002778401</v>
      </c>
      <c r="E1490" s="116">
        <v>116.916939106275</v>
      </c>
      <c r="F1490" s="116">
        <v>123.85</v>
      </c>
      <c r="G1490">
        <v>381762</v>
      </c>
      <c r="H1490" s="116"/>
      <c r="I1490" s="116"/>
      <c r="L1490" s="170">
        <v>44197</v>
      </c>
      <c r="M1490" s="116">
        <v>123.95</v>
      </c>
      <c r="N1490" s="116">
        <v>126.8</v>
      </c>
      <c r="O1490" s="116">
        <v>120.1</v>
      </c>
      <c r="P1490" s="116">
        <v>120.1</v>
      </c>
      <c r="Q1490" s="116">
        <v>123.95</v>
      </c>
      <c r="R1490">
        <v>3212665</v>
      </c>
    </row>
    <row r="1491" spans="1:18" x14ac:dyDescent="0.25">
      <c r="A1491" s="170">
        <v>44200</v>
      </c>
      <c r="B1491" s="116">
        <v>123.606216716833</v>
      </c>
      <c r="C1491" s="116">
        <v>122.49133711507299</v>
      </c>
      <c r="D1491" s="116">
        <v>121.182565408659</v>
      </c>
      <c r="E1491" s="116">
        <v>121.182565408659</v>
      </c>
      <c r="F1491" s="116">
        <v>126.35</v>
      </c>
      <c r="G1491">
        <v>142455</v>
      </c>
      <c r="H1491" s="116"/>
      <c r="I1491" s="116"/>
      <c r="L1491" s="170">
        <v>44200</v>
      </c>
      <c r="M1491" s="116">
        <v>126.4</v>
      </c>
      <c r="N1491" s="116">
        <v>127.5</v>
      </c>
      <c r="O1491" s="116">
        <v>125.1</v>
      </c>
      <c r="P1491" s="116">
        <v>126</v>
      </c>
      <c r="Q1491" s="116">
        <v>126.4</v>
      </c>
      <c r="R1491">
        <v>2570150</v>
      </c>
    </row>
    <row r="1492" spans="1:18" x14ac:dyDescent="0.25">
      <c r="A1492" s="170">
        <v>44201</v>
      </c>
      <c r="B1492" s="116">
        <v>123.21843250752499</v>
      </c>
      <c r="C1492" s="116">
        <v>119.534482519102</v>
      </c>
      <c r="D1492" s="116">
        <v>119.09822528363</v>
      </c>
      <c r="E1492" s="116">
        <v>122.539810141236</v>
      </c>
      <c r="F1492" s="116">
        <v>123.3</v>
      </c>
      <c r="G1492">
        <v>121241</v>
      </c>
      <c r="H1492" s="116"/>
      <c r="I1492" s="116"/>
      <c r="L1492" s="170">
        <v>44201</v>
      </c>
      <c r="M1492" s="116">
        <v>123.15</v>
      </c>
      <c r="N1492" s="116">
        <v>127.2</v>
      </c>
      <c r="O1492" s="116">
        <v>122.9</v>
      </c>
      <c r="P1492" s="116">
        <v>126</v>
      </c>
      <c r="Q1492" s="116">
        <v>123.15</v>
      </c>
      <c r="R1492">
        <v>2727405</v>
      </c>
    </row>
    <row r="1493" spans="1:18" x14ac:dyDescent="0.25">
      <c r="A1493" s="170">
        <v>44202</v>
      </c>
      <c r="B1493" s="116">
        <v>121.376457513313</v>
      </c>
      <c r="C1493" s="116">
        <v>119.58295554526499</v>
      </c>
      <c r="D1493" s="116">
        <v>118.661968048159</v>
      </c>
      <c r="E1493" s="116">
        <v>120.21310488539</v>
      </c>
      <c r="F1493" s="116">
        <v>123.35</v>
      </c>
      <c r="G1493">
        <v>195909</v>
      </c>
      <c r="H1493" s="116"/>
      <c r="I1493" s="116"/>
      <c r="L1493" s="170">
        <v>44202</v>
      </c>
      <c r="M1493" s="116">
        <v>123.35</v>
      </c>
      <c r="N1493" s="116">
        <v>125.3</v>
      </c>
      <c r="O1493" s="116">
        <v>122.5</v>
      </c>
      <c r="P1493" s="116">
        <v>124.15</v>
      </c>
      <c r="Q1493" s="116">
        <v>123.35</v>
      </c>
      <c r="R1493">
        <v>1061107</v>
      </c>
    </row>
    <row r="1494" spans="1:18" x14ac:dyDescent="0.25">
      <c r="A1494" s="170">
        <v>44203</v>
      </c>
      <c r="B1494" s="116">
        <v>120.940200277842</v>
      </c>
      <c r="C1494" s="116">
        <v>120.21310488539</v>
      </c>
      <c r="D1494" s="116">
        <v>119.437536466775</v>
      </c>
      <c r="E1494" s="116">
        <v>120.697835147025</v>
      </c>
      <c r="F1494" s="116">
        <v>124</v>
      </c>
      <c r="G1494">
        <v>129623</v>
      </c>
      <c r="H1494" s="116"/>
      <c r="I1494" s="116"/>
      <c r="L1494" s="170">
        <v>44203</v>
      </c>
      <c r="M1494" s="116">
        <v>123.9</v>
      </c>
      <c r="N1494" s="116">
        <v>124.75</v>
      </c>
      <c r="O1494" s="116">
        <v>123.3</v>
      </c>
      <c r="P1494" s="116">
        <v>124.5</v>
      </c>
      <c r="Q1494" s="116">
        <v>123.9</v>
      </c>
      <c r="R1494">
        <v>2007149</v>
      </c>
    </row>
    <row r="1495" spans="1:18" x14ac:dyDescent="0.25">
      <c r="A1495" s="170">
        <v>44204</v>
      </c>
      <c r="B1495" s="116">
        <v>121.667295670294</v>
      </c>
      <c r="C1495" s="116">
        <v>119.631428571429</v>
      </c>
      <c r="D1495" s="116">
        <v>119.292117388284</v>
      </c>
      <c r="E1495" s="116">
        <v>121.667295670294</v>
      </c>
      <c r="F1495" s="116">
        <v>123.4</v>
      </c>
      <c r="G1495">
        <v>143591</v>
      </c>
      <c r="H1495" s="116"/>
      <c r="I1495" s="116"/>
      <c r="L1495" s="170">
        <v>44204</v>
      </c>
      <c r="M1495" s="116">
        <v>123.35</v>
      </c>
      <c r="N1495" s="116">
        <v>125.45</v>
      </c>
      <c r="O1495" s="116">
        <v>123</v>
      </c>
      <c r="P1495" s="116">
        <v>125.45</v>
      </c>
      <c r="Q1495" s="116">
        <v>123.35</v>
      </c>
      <c r="R1495">
        <v>1278121</v>
      </c>
    </row>
    <row r="1496" spans="1:18" x14ac:dyDescent="0.25">
      <c r="A1496" s="170">
        <v>44207</v>
      </c>
      <c r="B1496" s="116">
        <v>121.182565408659</v>
      </c>
      <c r="C1496" s="116">
        <v>120.649362120861</v>
      </c>
      <c r="D1496" s="116">
        <v>118.85586015281299</v>
      </c>
      <c r="E1496" s="116">
        <v>119.922266728409</v>
      </c>
      <c r="F1496" s="116">
        <v>124.45</v>
      </c>
      <c r="G1496">
        <v>168461</v>
      </c>
      <c r="H1496" s="116"/>
      <c r="I1496" s="116"/>
      <c r="L1496" s="170">
        <v>44207</v>
      </c>
      <c r="M1496" s="116">
        <v>124.5</v>
      </c>
      <c r="N1496" s="116">
        <v>125</v>
      </c>
      <c r="O1496" s="116">
        <v>122.65</v>
      </c>
      <c r="P1496" s="116">
        <v>124.35</v>
      </c>
      <c r="Q1496" s="116">
        <v>124.5</v>
      </c>
      <c r="R1496">
        <v>1581416</v>
      </c>
    </row>
    <row r="1497" spans="1:18" x14ac:dyDescent="0.25">
      <c r="A1497" s="170">
        <v>44208</v>
      </c>
      <c r="B1497" s="116">
        <v>121.32798448715</v>
      </c>
      <c r="C1497" s="116">
        <v>119.534482519102</v>
      </c>
      <c r="D1497" s="116">
        <v>119.001279231304</v>
      </c>
      <c r="E1497" s="116">
        <v>120.261577911554</v>
      </c>
      <c r="F1497" s="116">
        <v>123.3</v>
      </c>
      <c r="G1497">
        <v>90329</v>
      </c>
      <c r="H1497" s="116"/>
      <c r="I1497" s="116"/>
      <c r="L1497" s="170">
        <v>44208</v>
      </c>
      <c r="M1497" s="116">
        <v>123.25</v>
      </c>
      <c r="N1497" s="116">
        <v>125.3</v>
      </c>
      <c r="O1497" s="116">
        <v>122.8</v>
      </c>
      <c r="P1497" s="116">
        <v>124</v>
      </c>
      <c r="Q1497" s="116">
        <v>123.25</v>
      </c>
      <c r="R1497">
        <v>1022028</v>
      </c>
    </row>
    <row r="1498" spans="1:18" x14ac:dyDescent="0.25">
      <c r="A1498" s="170">
        <v>44209</v>
      </c>
      <c r="B1498" s="116">
        <v>125.835975920352</v>
      </c>
      <c r="C1498" s="116">
        <v>122.879121324381</v>
      </c>
      <c r="D1498" s="116">
        <v>119.67990159759201</v>
      </c>
      <c r="E1498" s="116">
        <v>120.697835147025</v>
      </c>
      <c r="F1498" s="116">
        <v>126.75</v>
      </c>
      <c r="G1498">
        <v>566920</v>
      </c>
      <c r="H1498" s="116"/>
      <c r="I1498" s="116"/>
      <c r="L1498" s="170">
        <v>44209</v>
      </c>
      <c r="M1498" s="116">
        <v>126.65</v>
      </c>
      <c r="N1498" s="116">
        <v>129.9</v>
      </c>
      <c r="O1498" s="116">
        <v>123.4</v>
      </c>
      <c r="P1498" s="116">
        <v>123.4</v>
      </c>
      <c r="Q1498" s="116">
        <v>126.65</v>
      </c>
      <c r="R1498">
        <v>4079928</v>
      </c>
    </row>
    <row r="1499" spans="1:18" x14ac:dyDescent="0.25">
      <c r="A1499" s="170">
        <v>44210</v>
      </c>
      <c r="B1499" s="116">
        <v>124.76956934475599</v>
      </c>
      <c r="C1499" s="116">
        <v>123.31537855985199</v>
      </c>
      <c r="D1499" s="116">
        <v>121.909660801111</v>
      </c>
      <c r="E1499" s="116">
        <v>123.606216716833</v>
      </c>
      <c r="F1499" s="116">
        <v>127.2</v>
      </c>
      <c r="G1499">
        <v>165068</v>
      </c>
      <c r="H1499" s="116"/>
      <c r="I1499" s="116"/>
      <c r="L1499" s="170">
        <v>44210</v>
      </c>
      <c r="M1499" s="116">
        <v>127.3</v>
      </c>
      <c r="N1499" s="116">
        <v>128.69999999999999</v>
      </c>
      <c r="O1499" s="116">
        <v>125.7</v>
      </c>
      <c r="P1499" s="116">
        <v>127.7</v>
      </c>
      <c r="Q1499" s="116">
        <v>127.3</v>
      </c>
      <c r="R1499">
        <v>1446613</v>
      </c>
    </row>
    <row r="1500" spans="1:18" x14ac:dyDescent="0.25">
      <c r="A1500" s="170">
        <v>44211</v>
      </c>
      <c r="B1500" s="116">
        <v>123.606216716833</v>
      </c>
      <c r="C1500" s="116">
        <v>122.830648298217</v>
      </c>
      <c r="D1500" s="116">
        <v>121.23103843482301</v>
      </c>
      <c r="E1500" s="116">
        <v>122.297445010419</v>
      </c>
      <c r="F1500" s="116">
        <v>126.7</v>
      </c>
      <c r="G1500">
        <v>89791</v>
      </c>
      <c r="H1500" s="116"/>
      <c r="I1500" s="116"/>
      <c r="L1500" s="170">
        <v>44211</v>
      </c>
      <c r="M1500" s="116">
        <v>126.95</v>
      </c>
      <c r="N1500" s="116">
        <v>127.75</v>
      </c>
      <c r="O1500" s="116">
        <v>125.05</v>
      </c>
      <c r="P1500" s="116">
        <v>127.75</v>
      </c>
      <c r="Q1500" s="116">
        <v>126.95</v>
      </c>
      <c r="R1500">
        <v>771545</v>
      </c>
    </row>
    <row r="1501" spans="1:18" x14ac:dyDescent="0.25">
      <c r="A1501" s="170">
        <v>44214</v>
      </c>
      <c r="B1501" s="116">
        <v>125.642083815698</v>
      </c>
      <c r="C1501" s="116">
        <v>122.58828316739999</v>
      </c>
      <c r="D1501" s="116">
        <v>116.916939106275</v>
      </c>
      <c r="E1501" s="116">
        <v>122.248971984256</v>
      </c>
      <c r="F1501" s="116">
        <v>126.45</v>
      </c>
      <c r="G1501">
        <v>260051</v>
      </c>
      <c r="H1501" s="116"/>
      <c r="I1501" s="116"/>
      <c r="L1501" s="170">
        <v>44214</v>
      </c>
      <c r="M1501" s="116">
        <v>126.3</v>
      </c>
      <c r="N1501" s="116">
        <v>129.55000000000001</v>
      </c>
      <c r="O1501" s="116">
        <v>120.5</v>
      </c>
      <c r="P1501" s="116">
        <v>127</v>
      </c>
      <c r="Q1501" s="116">
        <v>126.3</v>
      </c>
      <c r="R1501">
        <v>4624757</v>
      </c>
    </row>
    <row r="1502" spans="1:18" x14ac:dyDescent="0.25">
      <c r="A1502" s="170">
        <v>44215</v>
      </c>
      <c r="B1502" s="116">
        <v>124.52720421393801</v>
      </c>
      <c r="C1502" s="116">
        <v>120.40699699004399</v>
      </c>
      <c r="D1502" s="116">
        <v>119.486009492938</v>
      </c>
      <c r="E1502" s="116">
        <v>120.40699699004399</v>
      </c>
      <c r="F1502" s="116">
        <v>124.2</v>
      </c>
      <c r="G1502">
        <v>218800</v>
      </c>
      <c r="H1502" s="116"/>
      <c r="I1502" s="116"/>
      <c r="L1502" s="170">
        <v>44215</v>
      </c>
      <c r="M1502" s="116">
        <v>124.05</v>
      </c>
      <c r="N1502" s="116">
        <v>128.6</v>
      </c>
      <c r="O1502" s="116">
        <v>123</v>
      </c>
      <c r="P1502" s="116">
        <v>127</v>
      </c>
      <c r="Q1502" s="116">
        <v>124.05</v>
      </c>
      <c r="R1502">
        <v>1565671</v>
      </c>
    </row>
    <row r="1503" spans="1:18" x14ac:dyDescent="0.25">
      <c r="A1503" s="170">
        <v>44216</v>
      </c>
      <c r="B1503" s="116">
        <v>122.394391062746</v>
      </c>
      <c r="C1503" s="116">
        <v>120.552416068534</v>
      </c>
      <c r="D1503" s="116">
        <v>119.77684764991901</v>
      </c>
      <c r="E1503" s="116">
        <v>122.103552905765</v>
      </c>
      <c r="F1503" s="116">
        <v>124.35</v>
      </c>
      <c r="G1503">
        <v>192775</v>
      </c>
      <c r="H1503" s="116"/>
      <c r="I1503" s="116"/>
      <c r="L1503" s="170">
        <v>44216</v>
      </c>
      <c r="M1503" s="116">
        <v>124.45</v>
      </c>
      <c r="N1503" s="116">
        <v>126.3</v>
      </c>
      <c r="O1503" s="116">
        <v>123.65</v>
      </c>
      <c r="P1503" s="116">
        <v>124.95</v>
      </c>
      <c r="Q1503" s="116">
        <v>124.45</v>
      </c>
      <c r="R1503">
        <v>1188919</v>
      </c>
    </row>
    <row r="1504" spans="1:18" x14ac:dyDescent="0.25">
      <c r="A1504" s="170">
        <v>44217</v>
      </c>
      <c r="B1504" s="116">
        <v>123.21843250752499</v>
      </c>
      <c r="C1504" s="116">
        <v>117.886399629544</v>
      </c>
      <c r="D1504" s="116">
        <v>117.01388515860199</v>
      </c>
      <c r="E1504" s="116">
        <v>120.794781199352</v>
      </c>
      <c r="F1504" s="116">
        <v>121.6</v>
      </c>
      <c r="G1504">
        <v>122365</v>
      </c>
      <c r="H1504" s="116"/>
      <c r="I1504" s="116"/>
      <c r="L1504" s="170">
        <v>44217</v>
      </c>
      <c r="M1504" s="116">
        <v>121.45</v>
      </c>
      <c r="N1504" s="116">
        <v>127.15</v>
      </c>
      <c r="O1504" s="116">
        <v>120.5</v>
      </c>
      <c r="P1504" s="116">
        <v>125.45</v>
      </c>
      <c r="Q1504" s="116">
        <v>121.45</v>
      </c>
      <c r="R1504">
        <v>1814489</v>
      </c>
    </row>
    <row r="1505" spans="1:18" x14ac:dyDescent="0.25">
      <c r="A1505" s="170">
        <v>44218</v>
      </c>
      <c r="B1505" s="116">
        <v>120.988673304006</v>
      </c>
      <c r="C1505" s="116">
        <v>118.80738712665</v>
      </c>
      <c r="D1505" s="116">
        <v>116.916939106275</v>
      </c>
      <c r="E1505" s="116">
        <v>118.177237786525</v>
      </c>
      <c r="F1505" s="116">
        <v>122.55</v>
      </c>
      <c r="G1505">
        <v>281838</v>
      </c>
      <c r="H1505" s="116"/>
      <c r="I1505" s="116"/>
      <c r="L1505" s="170">
        <v>44218</v>
      </c>
      <c r="M1505" s="116">
        <v>122.55</v>
      </c>
      <c r="N1505" s="116">
        <v>125</v>
      </c>
      <c r="O1505" s="116">
        <v>120.65</v>
      </c>
      <c r="P1505" s="116">
        <v>121.45</v>
      </c>
      <c r="Q1505" s="116">
        <v>122.55</v>
      </c>
      <c r="R1505">
        <v>1879652</v>
      </c>
    </row>
    <row r="1506" spans="1:18" x14ac:dyDescent="0.25">
      <c r="A1506" s="170">
        <v>44221</v>
      </c>
      <c r="B1506" s="116">
        <v>121.182565408659</v>
      </c>
      <c r="C1506" s="116">
        <v>120.40699699004399</v>
      </c>
      <c r="D1506" s="116">
        <v>117.59556147256301</v>
      </c>
      <c r="E1506" s="116">
        <v>121.182565408659</v>
      </c>
      <c r="F1506" s="116">
        <v>124.2</v>
      </c>
      <c r="G1506">
        <v>142283</v>
      </c>
      <c r="H1506" s="116"/>
      <c r="I1506" s="116"/>
      <c r="L1506" s="170">
        <v>44221</v>
      </c>
      <c r="M1506" s="116">
        <v>124.2</v>
      </c>
      <c r="N1506" s="116">
        <v>124.95</v>
      </c>
      <c r="O1506" s="116">
        <v>121</v>
      </c>
      <c r="P1506" s="116">
        <v>123.35</v>
      </c>
      <c r="Q1506" s="116">
        <v>124.2</v>
      </c>
      <c r="R1506">
        <v>1413531</v>
      </c>
    </row>
    <row r="1507" spans="1:18" x14ac:dyDescent="0.25">
      <c r="A1507" s="170">
        <v>44223</v>
      </c>
      <c r="B1507" s="116">
        <v>121.570349617967</v>
      </c>
      <c r="C1507" s="116">
        <v>120.697835147025</v>
      </c>
      <c r="D1507" s="116">
        <v>119.728374623756</v>
      </c>
      <c r="E1507" s="116">
        <v>120.697835147025</v>
      </c>
      <c r="F1507" s="116">
        <v>124.5</v>
      </c>
      <c r="G1507">
        <v>81891</v>
      </c>
      <c r="H1507" s="116"/>
      <c r="I1507" s="116"/>
      <c r="L1507" s="170">
        <v>44223</v>
      </c>
      <c r="M1507" s="116">
        <v>124.55</v>
      </c>
      <c r="N1507" s="116">
        <v>125.75</v>
      </c>
      <c r="O1507" s="116">
        <v>122.65</v>
      </c>
      <c r="P1507" s="116">
        <v>124.2</v>
      </c>
      <c r="Q1507" s="116">
        <v>124.55</v>
      </c>
      <c r="R1507">
        <v>1924856</v>
      </c>
    </row>
    <row r="1508" spans="1:18" x14ac:dyDescent="0.25">
      <c r="A1508" s="170">
        <v>44224</v>
      </c>
      <c r="B1508" s="116">
        <v>120.0676858069</v>
      </c>
      <c r="C1508" s="116">
        <v>118.031818708034</v>
      </c>
      <c r="D1508" s="116">
        <v>114.784125955082</v>
      </c>
      <c r="E1508" s="116">
        <v>114.784125955082</v>
      </c>
      <c r="F1508" s="116">
        <v>121.75</v>
      </c>
      <c r="G1508">
        <v>79082</v>
      </c>
      <c r="H1508" s="116"/>
      <c r="I1508" s="116"/>
      <c r="L1508" s="170">
        <v>44224</v>
      </c>
      <c r="M1508" s="116">
        <v>121.5</v>
      </c>
      <c r="N1508" s="116">
        <v>123.9</v>
      </c>
      <c r="O1508" s="116">
        <v>120.5</v>
      </c>
      <c r="P1508" s="116">
        <v>122.3</v>
      </c>
      <c r="Q1508" s="116">
        <v>121.5</v>
      </c>
      <c r="R1508">
        <v>2853803</v>
      </c>
    </row>
    <row r="1509" spans="1:18" x14ac:dyDescent="0.25">
      <c r="A1509" s="170">
        <v>44225</v>
      </c>
      <c r="B1509" s="116">
        <v>121.182565408659</v>
      </c>
      <c r="C1509" s="116">
        <v>117.886399629544</v>
      </c>
      <c r="D1509" s="116">
        <v>117.40166936790899</v>
      </c>
      <c r="E1509" s="116">
        <v>121.182565408659</v>
      </c>
      <c r="F1509" s="116">
        <v>121.6</v>
      </c>
      <c r="G1509">
        <v>75090</v>
      </c>
      <c r="H1509" s="116"/>
      <c r="I1509" s="116"/>
      <c r="L1509" s="170">
        <v>44225</v>
      </c>
      <c r="M1509" s="116">
        <v>121.6</v>
      </c>
      <c r="N1509" s="116">
        <v>125.35</v>
      </c>
      <c r="O1509" s="116">
        <v>120.95</v>
      </c>
      <c r="P1509" s="116">
        <v>125.35</v>
      </c>
      <c r="Q1509" s="116">
        <v>121.6</v>
      </c>
      <c r="R1509">
        <v>898345</v>
      </c>
    </row>
    <row r="1510" spans="1:18" x14ac:dyDescent="0.25">
      <c r="A1510" s="170">
        <v>44228</v>
      </c>
      <c r="B1510" s="116">
        <v>119.825320676082</v>
      </c>
      <c r="C1510" s="116">
        <v>118.80738712665</v>
      </c>
      <c r="D1510" s="116">
        <v>117.934872655707</v>
      </c>
      <c r="E1510" s="116">
        <v>118.661968048159</v>
      </c>
      <c r="F1510" s="116">
        <v>122.55</v>
      </c>
      <c r="G1510">
        <v>274355</v>
      </c>
      <c r="H1510" s="116"/>
      <c r="I1510" s="116"/>
      <c r="L1510" s="170">
        <v>44228</v>
      </c>
      <c r="M1510" s="116">
        <v>122.65</v>
      </c>
      <c r="N1510" s="116">
        <v>124</v>
      </c>
      <c r="O1510" s="116">
        <v>121.6</v>
      </c>
      <c r="P1510" s="116">
        <v>122.35</v>
      </c>
      <c r="Q1510" s="116">
        <v>122.65</v>
      </c>
      <c r="R1510">
        <v>1593088</v>
      </c>
    </row>
    <row r="1511" spans="1:18" x14ac:dyDescent="0.25">
      <c r="A1511" s="170">
        <v>44229</v>
      </c>
      <c r="B1511" s="116">
        <v>120.988673304006</v>
      </c>
      <c r="C1511" s="116">
        <v>119.58295554526499</v>
      </c>
      <c r="D1511" s="116">
        <v>117.934872655707</v>
      </c>
      <c r="E1511" s="116">
        <v>120.988673304006</v>
      </c>
      <c r="F1511" s="116">
        <v>123.35</v>
      </c>
      <c r="G1511">
        <v>236455</v>
      </c>
      <c r="H1511" s="116"/>
      <c r="I1511" s="116"/>
      <c r="L1511" s="170">
        <v>44229</v>
      </c>
      <c r="M1511" s="116">
        <v>123.3</v>
      </c>
      <c r="N1511" s="116">
        <v>124.6</v>
      </c>
      <c r="O1511" s="116">
        <v>121.65</v>
      </c>
      <c r="P1511" s="116">
        <v>123.3</v>
      </c>
      <c r="Q1511" s="116">
        <v>123.3</v>
      </c>
      <c r="R1511">
        <v>1812841</v>
      </c>
    </row>
    <row r="1512" spans="1:18" x14ac:dyDescent="0.25">
      <c r="A1512" s="170">
        <v>44230</v>
      </c>
      <c r="B1512" s="116">
        <v>120.940200277842</v>
      </c>
      <c r="C1512" s="116">
        <v>119.09822528363</v>
      </c>
      <c r="D1512" s="116">
        <v>118.274183838852</v>
      </c>
      <c r="E1512" s="116">
        <v>119.292117388284</v>
      </c>
      <c r="F1512" s="116">
        <v>122.85</v>
      </c>
      <c r="G1512">
        <v>197911</v>
      </c>
      <c r="H1512" s="116"/>
      <c r="I1512" s="116"/>
      <c r="L1512" s="170">
        <v>44230</v>
      </c>
      <c r="M1512" s="116">
        <v>122.8</v>
      </c>
      <c r="N1512" s="116">
        <v>125</v>
      </c>
      <c r="O1512" s="116">
        <v>122.05</v>
      </c>
      <c r="P1512" s="116">
        <v>123.65</v>
      </c>
      <c r="Q1512" s="116">
        <v>122.8</v>
      </c>
      <c r="R1512">
        <v>1664618</v>
      </c>
    </row>
    <row r="1513" spans="1:18" x14ac:dyDescent="0.25">
      <c r="A1513" s="170">
        <v>44231</v>
      </c>
      <c r="B1513" s="116">
        <v>119.195171335957</v>
      </c>
      <c r="C1513" s="116">
        <v>116.335262792313</v>
      </c>
      <c r="D1513" s="116">
        <v>115.511221347534</v>
      </c>
      <c r="E1513" s="116">
        <v>118.177237786525</v>
      </c>
      <c r="F1513" s="116">
        <v>120</v>
      </c>
      <c r="G1513">
        <v>313332</v>
      </c>
      <c r="H1513" s="116"/>
      <c r="I1513" s="116"/>
      <c r="L1513" s="170">
        <v>44231</v>
      </c>
      <c r="M1513" s="116">
        <v>119.95</v>
      </c>
      <c r="N1513" s="116">
        <v>123.5</v>
      </c>
      <c r="O1513" s="116">
        <v>119.55</v>
      </c>
      <c r="P1513" s="116">
        <v>121.25</v>
      </c>
      <c r="Q1513" s="116">
        <v>119.95</v>
      </c>
      <c r="R1513">
        <v>3472812</v>
      </c>
    </row>
    <row r="1514" spans="1:18" x14ac:dyDescent="0.25">
      <c r="A1514" s="170">
        <v>44232</v>
      </c>
      <c r="B1514" s="116">
        <v>118.080291734198</v>
      </c>
      <c r="C1514" s="116">
        <v>115.705113452188</v>
      </c>
      <c r="D1514" s="116">
        <v>115.02649108590001</v>
      </c>
      <c r="E1514" s="116">
        <v>118.080291734198</v>
      </c>
      <c r="F1514" s="116">
        <v>119.35</v>
      </c>
      <c r="G1514">
        <v>208237</v>
      </c>
      <c r="H1514" s="116"/>
      <c r="I1514" s="116"/>
      <c r="L1514" s="170">
        <v>44232</v>
      </c>
      <c r="M1514" s="116">
        <v>119.3</v>
      </c>
      <c r="N1514" s="116">
        <v>121.4</v>
      </c>
      <c r="O1514" s="116">
        <v>118.7</v>
      </c>
      <c r="P1514" s="116">
        <v>120.6</v>
      </c>
      <c r="Q1514" s="116">
        <v>119.3</v>
      </c>
      <c r="R1514">
        <v>1436539</v>
      </c>
    </row>
    <row r="1515" spans="1:18" x14ac:dyDescent="0.25">
      <c r="A1515" s="170">
        <v>44235</v>
      </c>
      <c r="B1515" s="116">
        <v>119.243644362121</v>
      </c>
      <c r="C1515" s="116">
        <v>118.85586015281299</v>
      </c>
      <c r="D1515" s="116">
        <v>115.753586478351</v>
      </c>
      <c r="E1515" s="116">
        <v>115.753586478351</v>
      </c>
      <c r="F1515" s="116">
        <v>122.6</v>
      </c>
      <c r="G1515">
        <v>336705</v>
      </c>
      <c r="H1515" s="116"/>
      <c r="I1515" s="116"/>
      <c r="L1515" s="170">
        <v>44235</v>
      </c>
      <c r="M1515" s="116">
        <v>122.7</v>
      </c>
      <c r="N1515" s="116">
        <v>123</v>
      </c>
      <c r="O1515" s="116">
        <v>119.5</v>
      </c>
      <c r="P1515" s="116">
        <v>120</v>
      </c>
      <c r="Q1515" s="116">
        <v>122.7</v>
      </c>
      <c r="R1515">
        <v>4293128</v>
      </c>
    </row>
    <row r="1516" spans="1:18" x14ac:dyDescent="0.25">
      <c r="A1516" s="170">
        <v>44236</v>
      </c>
      <c r="B1516" s="116">
        <v>123.70316276916</v>
      </c>
      <c r="C1516" s="116">
        <v>120.649362120861</v>
      </c>
      <c r="D1516" s="116">
        <v>119.195171335957</v>
      </c>
      <c r="E1516" s="116">
        <v>119.970739754573</v>
      </c>
      <c r="F1516" s="116">
        <v>124.45</v>
      </c>
      <c r="G1516">
        <v>194905</v>
      </c>
      <c r="H1516" s="116"/>
      <c r="I1516" s="116"/>
      <c r="L1516" s="170">
        <v>44236</v>
      </c>
      <c r="M1516" s="116">
        <v>124.35</v>
      </c>
      <c r="N1516" s="116">
        <v>127.7</v>
      </c>
      <c r="O1516" s="116">
        <v>122.85</v>
      </c>
      <c r="P1516" s="116">
        <v>123.7</v>
      </c>
      <c r="Q1516" s="116">
        <v>124.35</v>
      </c>
      <c r="R1516">
        <v>4104399</v>
      </c>
    </row>
    <row r="1517" spans="1:18" x14ac:dyDescent="0.25">
      <c r="A1517" s="170">
        <v>44237</v>
      </c>
      <c r="B1517" s="116">
        <v>123.606216716833</v>
      </c>
      <c r="C1517" s="116">
        <v>122.927594350544</v>
      </c>
      <c r="D1517" s="116">
        <v>119.292117388284</v>
      </c>
      <c r="E1517" s="116">
        <v>121.182565408659</v>
      </c>
      <c r="F1517" s="116">
        <v>126.8</v>
      </c>
      <c r="G1517">
        <v>250379</v>
      </c>
      <c r="H1517" s="116"/>
      <c r="I1517" s="116"/>
      <c r="L1517" s="170">
        <v>44237</v>
      </c>
      <c r="M1517" s="116">
        <v>126.85</v>
      </c>
      <c r="N1517" s="116">
        <v>127.55</v>
      </c>
      <c r="O1517" s="116">
        <v>123.1</v>
      </c>
      <c r="P1517" s="116">
        <v>124.95</v>
      </c>
      <c r="Q1517" s="116">
        <v>126.85</v>
      </c>
      <c r="R1517">
        <v>2060042</v>
      </c>
    </row>
    <row r="1518" spans="1:18" x14ac:dyDescent="0.25">
      <c r="A1518" s="170">
        <v>44238</v>
      </c>
      <c r="B1518" s="116">
        <v>124.76956934475599</v>
      </c>
      <c r="C1518" s="116">
        <v>123.460797638342</v>
      </c>
      <c r="D1518" s="116">
        <v>121.812714748784</v>
      </c>
      <c r="E1518" s="116">
        <v>123.80010882148601</v>
      </c>
      <c r="F1518" s="116">
        <v>127.35</v>
      </c>
      <c r="G1518">
        <v>93383</v>
      </c>
      <c r="H1518" s="116"/>
      <c r="I1518" s="116"/>
      <c r="L1518" s="170">
        <v>44238</v>
      </c>
      <c r="M1518" s="116">
        <v>127.4</v>
      </c>
      <c r="N1518" s="116">
        <v>128.75</v>
      </c>
      <c r="O1518" s="116">
        <v>125.6</v>
      </c>
      <c r="P1518" s="116">
        <v>127.5</v>
      </c>
      <c r="Q1518" s="116">
        <v>127.4</v>
      </c>
      <c r="R1518">
        <v>2092571</v>
      </c>
    </row>
    <row r="1519" spans="1:18" x14ac:dyDescent="0.25">
      <c r="A1519" s="170">
        <v>44239</v>
      </c>
      <c r="B1519" s="116">
        <v>126.70849039129401</v>
      </c>
      <c r="C1519" s="116">
        <v>125.205826580227</v>
      </c>
      <c r="D1519" s="116">
        <v>123.509270664506</v>
      </c>
      <c r="E1519" s="116">
        <v>123.509270664506</v>
      </c>
      <c r="F1519" s="116">
        <v>129.15</v>
      </c>
      <c r="G1519">
        <v>258035</v>
      </c>
      <c r="H1519" s="116"/>
      <c r="I1519" s="116"/>
      <c r="L1519" s="170">
        <v>44239</v>
      </c>
      <c r="M1519" s="116">
        <v>129.15</v>
      </c>
      <c r="N1519" s="116">
        <v>130.65</v>
      </c>
      <c r="O1519" s="116">
        <v>128</v>
      </c>
      <c r="P1519" s="116">
        <v>128</v>
      </c>
      <c r="Q1519" s="116">
        <v>129.15</v>
      </c>
      <c r="R1519">
        <v>3844106</v>
      </c>
    </row>
    <row r="1520" spans="1:18" x14ac:dyDescent="0.25">
      <c r="A1520" s="170">
        <v>44242</v>
      </c>
      <c r="B1520" s="116">
        <v>128.93824959481401</v>
      </c>
      <c r="C1520" s="116">
        <v>127.823369993054</v>
      </c>
      <c r="D1520" s="116">
        <v>125.59361078953501</v>
      </c>
      <c r="E1520" s="116">
        <v>126.466125260477</v>
      </c>
      <c r="F1520" s="116">
        <v>131.85</v>
      </c>
      <c r="G1520">
        <v>238939</v>
      </c>
      <c r="H1520" s="116"/>
      <c r="I1520" s="116"/>
      <c r="L1520" s="170">
        <v>44242</v>
      </c>
      <c r="M1520" s="116">
        <v>131.94999999999999</v>
      </c>
      <c r="N1520" s="116">
        <v>133</v>
      </c>
      <c r="O1520" s="116">
        <v>129.5</v>
      </c>
      <c r="P1520" s="116">
        <v>130</v>
      </c>
      <c r="Q1520" s="116">
        <v>131.94999999999999</v>
      </c>
      <c r="R1520">
        <v>4509551</v>
      </c>
    </row>
    <row r="1521" spans="1:18" x14ac:dyDescent="0.25">
      <c r="A1521" s="170">
        <v>44243</v>
      </c>
      <c r="B1521" s="116">
        <v>128.69588446399601</v>
      </c>
      <c r="C1521" s="116">
        <v>122.879121324381</v>
      </c>
      <c r="D1521" s="116">
        <v>122.248971984256</v>
      </c>
      <c r="E1521" s="116">
        <v>128.35657328085199</v>
      </c>
      <c r="F1521" s="116">
        <v>126.75</v>
      </c>
      <c r="G1521">
        <v>284520</v>
      </c>
      <c r="H1521" s="116"/>
      <c r="I1521" s="116"/>
      <c r="L1521" s="170">
        <v>44243</v>
      </c>
      <c r="M1521" s="116">
        <v>126.8</v>
      </c>
      <c r="N1521" s="116">
        <v>132.6</v>
      </c>
      <c r="O1521" s="116">
        <v>126</v>
      </c>
      <c r="P1521" s="116">
        <v>132</v>
      </c>
      <c r="Q1521" s="116">
        <v>126.8</v>
      </c>
      <c r="R1521">
        <v>5226027</v>
      </c>
    </row>
    <row r="1522" spans="1:18" x14ac:dyDescent="0.25">
      <c r="A1522" s="170">
        <v>44244</v>
      </c>
      <c r="B1522" s="116">
        <v>125.302772632554</v>
      </c>
      <c r="C1522" s="116">
        <v>121.86118777494799</v>
      </c>
      <c r="D1522" s="116">
        <v>120.50394304237101</v>
      </c>
      <c r="E1522" s="116">
        <v>123.84858184765</v>
      </c>
      <c r="F1522" s="116">
        <v>125.7</v>
      </c>
      <c r="G1522">
        <v>186335</v>
      </c>
      <c r="H1522" s="116"/>
      <c r="I1522" s="116"/>
      <c r="L1522" s="170">
        <v>44244</v>
      </c>
      <c r="M1522" s="116">
        <v>125.5</v>
      </c>
      <c r="N1522" s="116">
        <v>129.19999999999999</v>
      </c>
      <c r="O1522" s="116">
        <v>124</v>
      </c>
      <c r="P1522" s="116">
        <v>127.4</v>
      </c>
      <c r="Q1522" s="116">
        <v>125.5</v>
      </c>
      <c r="R1522">
        <v>2049549</v>
      </c>
    </row>
    <row r="1523" spans="1:18" x14ac:dyDescent="0.25">
      <c r="A1523" s="170">
        <v>44245</v>
      </c>
      <c r="B1523" s="116">
        <v>122.927594350544</v>
      </c>
      <c r="C1523" s="116">
        <v>121.909660801111</v>
      </c>
      <c r="D1523" s="116">
        <v>119.970739754573</v>
      </c>
      <c r="E1523" s="116">
        <v>122.58828316739999</v>
      </c>
      <c r="F1523" s="116">
        <v>125.75</v>
      </c>
      <c r="G1523">
        <v>217576</v>
      </c>
      <c r="H1523" s="116"/>
      <c r="I1523" s="116"/>
      <c r="L1523" s="170">
        <v>44245</v>
      </c>
      <c r="M1523" s="116">
        <v>125.8</v>
      </c>
      <c r="N1523" s="116">
        <v>126.8</v>
      </c>
      <c r="O1523" s="116">
        <v>123.7</v>
      </c>
      <c r="P1523" s="116">
        <v>126.45</v>
      </c>
      <c r="Q1523" s="116">
        <v>125.8</v>
      </c>
      <c r="R1523">
        <v>1884241</v>
      </c>
    </row>
    <row r="1524" spans="1:18" x14ac:dyDescent="0.25">
      <c r="A1524" s="170">
        <v>44246</v>
      </c>
      <c r="B1524" s="116">
        <v>123.31537855985199</v>
      </c>
      <c r="C1524" s="116">
        <v>120.116158833063</v>
      </c>
      <c r="D1524" s="116">
        <v>119.631428571429</v>
      </c>
      <c r="E1524" s="116">
        <v>123.31537855985199</v>
      </c>
      <c r="F1524" s="116">
        <v>123.9</v>
      </c>
      <c r="G1524">
        <v>161032</v>
      </c>
      <c r="H1524" s="116"/>
      <c r="I1524" s="116"/>
      <c r="L1524" s="170">
        <v>44246</v>
      </c>
      <c r="M1524" s="116">
        <v>123.8</v>
      </c>
      <c r="N1524" s="116">
        <v>126.2</v>
      </c>
      <c r="O1524" s="116">
        <v>123.35</v>
      </c>
      <c r="P1524" s="116">
        <v>125.6</v>
      </c>
      <c r="Q1524" s="116">
        <v>123.8</v>
      </c>
      <c r="R1524">
        <v>4335165</v>
      </c>
    </row>
    <row r="1525" spans="1:18" x14ac:dyDescent="0.25">
      <c r="A1525" s="170">
        <v>44249</v>
      </c>
      <c r="B1525" s="116">
        <v>119.922266728409</v>
      </c>
      <c r="C1525" s="116">
        <v>116.14137068765901</v>
      </c>
      <c r="D1525" s="116">
        <v>115.608167399861</v>
      </c>
      <c r="E1525" s="116">
        <v>119.825320676082</v>
      </c>
      <c r="F1525" s="116">
        <v>119.8</v>
      </c>
      <c r="G1525">
        <v>227489</v>
      </c>
      <c r="H1525" s="116"/>
      <c r="I1525" s="116"/>
      <c r="L1525" s="170">
        <v>44249</v>
      </c>
      <c r="M1525" s="116">
        <v>119.85</v>
      </c>
      <c r="N1525" s="116">
        <v>123.8</v>
      </c>
      <c r="O1525" s="116">
        <v>119.35</v>
      </c>
      <c r="P1525" s="116">
        <v>122.9</v>
      </c>
      <c r="Q1525" s="116">
        <v>119.85</v>
      </c>
      <c r="R1525">
        <v>3233245</v>
      </c>
    </row>
    <row r="1526" spans="1:18" x14ac:dyDescent="0.25">
      <c r="A1526" s="170">
        <v>44250</v>
      </c>
      <c r="B1526" s="116">
        <v>117.934872655707</v>
      </c>
      <c r="C1526" s="116">
        <v>114.68717990275501</v>
      </c>
      <c r="D1526" s="116">
        <v>114.396341745774</v>
      </c>
      <c r="E1526" s="116">
        <v>116.14137068765901</v>
      </c>
      <c r="F1526" s="116">
        <v>118.3</v>
      </c>
      <c r="G1526">
        <v>102630</v>
      </c>
      <c r="H1526" s="116"/>
      <c r="I1526" s="116"/>
      <c r="L1526" s="170">
        <v>44250</v>
      </c>
      <c r="M1526" s="116">
        <v>118.15</v>
      </c>
      <c r="N1526" s="116">
        <v>121.85</v>
      </c>
      <c r="O1526" s="116">
        <v>118</v>
      </c>
      <c r="P1526" s="116">
        <v>120</v>
      </c>
      <c r="Q1526" s="116">
        <v>118.15</v>
      </c>
      <c r="R1526">
        <v>2219766</v>
      </c>
    </row>
    <row r="1527" spans="1:18" x14ac:dyDescent="0.25">
      <c r="A1527" s="170">
        <v>44251</v>
      </c>
      <c r="B1527" s="116">
        <v>117.789453577217</v>
      </c>
      <c r="C1527" s="116">
        <v>116.335262792313</v>
      </c>
      <c r="D1527" s="116">
        <v>114.396341745774</v>
      </c>
      <c r="E1527" s="116">
        <v>116.189843713823</v>
      </c>
      <c r="F1527" s="116">
        <v>120</v>
      </c>
      <c r="G1527">
        <v>265946</v>
      </c>
      <c r="H1527" s="116"/>
      <c r="I1527" s="116"/>
      <c r="L1527" s="170">
        <v>44251</v>
      </c>
      <c r="M1527" s="116">
        <v>119.65</v>
      </c>
      <c r="N1527" s="116">
        <v>121.45</v>
      </c>
      <c r="O1527" s="116">
        <v>118.75</v>
      </c>
      <c r="P1527" s="116">
        <v>118.75</v>
      </c>
      <c r="Q1527" s="116">
        <v>119.65</v>
      </c>
      <c r="R1527">
        <v>1343215</v>
      </c>
    </row>
    <row r="1528" spans="1:18" x14ac:dyDescent="0.25">
      <c r="A1528" s="170">
        <v>44252</v>
      </c>
      <c r="B1528" s="116">
        <v>118.516548969669</v>
      </c>
      <c r="C1528" s="116">
        <v>115.705113452188</v>
      </c>
      <c r="D1528" s="116">
        <v>115.31732924288001</v>
      </c>
      <c r="E1528" s="116">
        <v>117.789453577217</v>
      </c>
      <c r="F1528" s="116">
        <v>119.35</v>
      </c>
      <c r="G1528">
        <v>334784</v>
      </c>
      <c r="H1528" s="116"/>
      <c r="I1528" s="116"/>
      <c r="L1528" s="170">
        <v>44252</v>
      </c>
      <c r="M1528" s="116">
        <v>119.3</v>
      </c>
      <c r="N1528" s="116">
        <v>122.2</v>
      </c>
      <c r="O1528" s="116">
        <v>119</v>
      </c>
      <c r="P1528" s="116">
        <v>121</v>
      </c>
      <c r="Q1528" s="116">
        <v>119.3</v>
      </c>
      <c r="R1528">
        <v>3459619</v>
      </c>
    </row>
    <row r="1529" spans="1:18" x14ac:dyDescent="0.25">
      <c r="A1529" s="170">
        <v>44253</v>
      </c>
      <c r="B1529" s="116">
        <v>120.21310488539</v>
      </c>
      <c r="C1529" s="116">
        <v>119.09822528363</v>
      </c>
      <c r="D1529" s="116">
        <v>113.91161148414</v>
      </c>
      <c r="E1529" s="116">
        <v>114.444814771938</v>
      </c>
      <c r="F1529" s="116">
        <v>122.85</v>
      </c>
      <c r="G1529">
        <v>385414</v>
      </c>
      <c r="H1529" s="116"/>
      <c r="I1529" s="116"/>
      <c r="L1529" s="170">
        <v>44253</v>
      </c>
      <c r="M1529" s="116">
        <v>122.85</v>
      </c>
      <c r="N1529" s="116">
        <v>124.15</v>
      </c>
      <c r="O1529" s="116">
        <v>118</v>
      </c>
      <c r="P1529" s="116">
        <v>118.9</v>
      </c>
      <c r="Q1529" s="116">
        <v>122.85</v>
      </c>
      <c r="R1529">
        <v>2966450</v>
      </c>
    </row>
    <row r="1530" spans="1:18" x14ac:dyDescent="0.25">
      <c r="A1530" s="170">
        <v>44256</v>
      </c>
      <c r="B1530" s="116">
        <v>120.21310488539</v>
      </c>
      <c r="C1530" s="116">
        <v>117.789453577217</v>
      </c>
      <c r="D1530" s="116">
        <v>116.67457397545699</v>
      </c>
      <c r="E1530" s="116">
        <v>120.019212780736</v>
      </c>
      <c r="F1530" s="116">
        <v>121.5</v>
      </c>
      <c r="G1530">
        <v>139618</v>
      </c>
      <c r="H1530" s="116"/>
      <c r="I1530" s="116"/>
      <c r="L1530" s="170">
        <v>44256</v>
      </c>
      <c r="M1530" s="116">
        <v>121.55</v>
      </c>
      <c r="N1530" s="116">
        <v>124.05</v>
      </c>
      <c r="O1530" s="116">
        <v>120.35</v>
      </c>
      <c r="P1530" s="116">
        <v>124</v>
      </c>
      <c r="Q1530" s="116">
        <v>121.55</v>
      </c>
      <c r="R1530">
        <v>1631914</v>
      </c>
    </row>
    <row r="1531" spans="1:18" x14ac:dyDescent="0.25">
      <c r="A1531" s="170">
        <v>44257</v>
      </c>
      <c r="B1531" s="116">
        <v>119.243644362121</v>
      </c>
      <c r="C1531" s="116">
        <v>116.965412132438</v>
      </c>
      <c r="D1531" s="116">
        <v>116.57762792313</v>
      </c>
      <c r="E1531" s="116">
        <v>119.04975225746701</v>
      </c>
      <c r="F1531" s="116">
        <v>120.65</v>
      </c>
      <c r="G1531">
        <v>175252</v>
      </c>
      <c r="H1531" s="116"/>
      <c r="I1531" s="116"/>
      <c r="L1531" s="170">
        <v>44257</v>
      </c>
      <c r="M1531" s="116">
        <v>120.75</v>
      </c>
      <c r="N1531" s="116">
        <v>123.1</v>
      </c>
      <c r="O1531" s="116">
        <v>120</v>
      </c>
      <c r="P1531" s="116">
        <v>121.6</v>
      </c>
      <c r="Q1531" s="116">
        <v>120.75</v>
      </c>
      <c r="R1531">
        <v>3107195</v>
      </c>
    </row>
    <row r="1532" spans="1:18" x14ac:dyDescent="0.25">
      <c r="A1532" s="170">
        <v>44258</v>
      </c>
      <c r="B1532" s="116">
        <v>121.76424172262099</v>
      </c>
      <c r="C1532" s="116">
        <v>121.279511460986</v>
      </c>
      <c r="D1532" s="116">
        <v>117.69250752489</v>
      </c>
      <c r="E1532" s="116">
        <v>118.031818708034</v>
      </c>
      <c r="F1532" s="116">
        <v>125.1</v>
      </c>
      <c r="G1532">
        <v>138633</v>
      </c>
      <c r="H1532" s="116"/>
      <c r="I1532" s="116"/>
      <c r="L1532" s="170">
        <v>44258</v>
      </c>
      <c r="M1532" s="116">
        <v>125.05</v>
      </c>
      <c r="N1532" s="116">
        <v>125.7</v>
      </c>
      <c r="O1532" s="116">
        <v>121</v>
      </c>
      <c r="P1532" s="116">
        <v>121</v>
      </c>
      <c r="Q1532" s="116">
        <v>125.05</v>
      </c>
      <c r="R1532">
        <v>3519064</v>
      </c>
    </row>
    <row r="1533" spans="1:18" x14ac:dyDescent="0.25">
      <c r="A1533" s="170">
        <v>44259</v>
      </c>
      <c r="B1533" s="116">
        <v>125.78750289418799</v>
      </c>
      <c r="C1533" s="116">
        <v>124.76956934475599</v>
      </c>
      <c r="D1533" s="116">
        <v>120.116158833063</v>
      </c>
      <c r="E1533" s="116">
        <v>121.182565408659</v>
      </c>
      <c r="F1533" s="116">
        <v>128.69999999999999</v>
      </c>
      <c r="G1533">
        <v>2457212</v>
      </c>
      <c r="H1533" s="116"/>
      <c r="I1533" s="116"/>
      <c r="L1533" s="170">
        <v>44259</v>
      </c>
      <c r="M1533" s="116">
        <v>128.85</v>
      </c>
      <c r="N1533" s="116">
        <v>129.80000000000001</v>
      </c>
      <c r="O1533" s="116">
        <v>124</v>
      </c>
      <c r="P1533" s="116">
        <v>125.05</v>
      </c>
      <c r="Q1533" s="116">
        <v>128.85</v>
      </c>
      <c r="R1533">
        <v>4997276</v>
      </c>
    </row>
    <row r="1534" spans="1:18" x14ac:dyDescent="0.25">
      <c r="A1534" s="170">
        <v>44260</v>
      </c>
      <c r="B1534" s="116">
        <v>126.417652234314</v>
      </c>
      <c r="C1534" s="116">
        <v>121.667295670294</v>
      </c>
      <c r="D1534" s="116">
        <v>121.03714633016899</v>
      </c>
      <c r="E1534" s="116">
        <v>123.509270664506</v>
      </c>
      <c r="F1534" s="116">
        <v>125.5</v>
      </c>
      <c r="G1534">
        <v>94038</v>
      </c>
      <c r="H1534" s="116"/>
      <c r="I1534" s="116"/>
      <c r="L1534" s="170">
        <v>44260</v>
      </c>
      <c r="M1534" s="116">
        <v>125.4</v>
      </c>
      <c r="N1534" s="116">
        <v>130.6</v>
      </c>
      <c r="O1534" s="116">
        <v>124.55</v>
      </c>
      <c r="P1534" s="116">
        <v>128</v>
      </c>
      <c r="Q1534" s="116">
        <v>125.4</v>
      </c>
      <c r="R1534">
        <v>1699645</v>
      </c>
    </row>
    <row r="1535" spans="1:18" x14ac:dyDescent="0.25">
      <c r="A1535" s="170">
        <v>44263</v>
      </c>
      <c r="B1535" s="116">
        <v>125.25429960639001</v>
      </c>
      <c r="C1535" s="116">
        <v>123.266905533688</v>
      </c>
      <c r="D1535" s="116">
        <v>121.424930539477</v>
      </c>
      <c r="E1535" s="116">
        <v>121.424930539477</v>
      </c>
      <c r="F1535" s="116">
        <v>127.15</v>
      </c>
      <c r="G1535">
        <v>139983</v>
      </c>
      <c r="H1535" s="116"/>
      <c r="I1535" s="116"/>
      <c r="L1535" s="170">
        <v>44263</v>
      </c>
      <c r="M1535" s="116">
        <v>127.05</v>
      </c>
      <c r="N1535" s="116">
        <v>129.30000000000001</v>
      </c>
      <c r="O1535" s="116">
        <v>126.25</v>
      </c>
      <c r="P1535" s="116">
        <v>126.9</v>
      </c>
      <c r="Q1535" s="116">
        <v>127.05</v>
      </c>
      <c r="R1535">
        <v>1122119</v>
      </c>
    </row>
    <row r="1536" spans="1:18" x14ac:dyDescent="0.25">
      <c r="A1536" s="170">
        <v>44264</v>
      </c>
      <c r="B1536" s="116">
        <v>124.478731187775</v>
      </c>
      <c r="C1536" s="116">
        <v>120.019212780736</v>
      </c>
      <c r="D1536" s="116">
        <v>119.389063440611</v>
      </c>
      <c r="E1536" s="116">
        <v>124.478731187775</v>
      </c>
      <c r="F1536" s="116">
        <v>123.8</v>
      </c>
      <c r="G1536">
        <v>172394</v>
      </c>
      <c r="H1536" s="116"/>
      <c r="I1536" s="116"/>
      <c r="L1536" s="170">
        <v>44264</v>
      </c>
      <c r="M1536" s="116">
        <v>123.85</v>
      </c>
      <c r="N1536" s="116">
        <v>127.95</v>
      </c>
      <c r="O1536" s="116">
        <v>123</v>
      </c>
      <c r="P1536" s="116">
        <v>127</v>
      </c>
      <c r="Q1536" s="116">
        <v>123.85</v>
      </c>
      <c r="R1536">
        <v>2205348</v>
      </c>
    </row>
    <row r="1537" spans="1:18" x14ac:dyDescent="0.25">
      <c r="A1537" s="170">
        <v>44265</v>
      </c>
      <c r="B1537" s="116">
        <v>123.84858184765</v>
      </c>
      <c r="C1537" s="116">
        <v>122.006606853438</v>
      </c>
      <c r="D1537" s="116">
        <v>120.891727251679</v>
      </c>
      <c r="E1537" s="116">
        <v>123.41232461217901</v>
      </c>
      <c r="F1537" s="116">
        <v>125.85</v>
      </c>
      <c r="G1537">
        <v>58710</v>
      </c>
      <c r="H1537" s="116"/>
      <c r="I1537" s="116"/>
      <c r="L1537" s="170">
        <v>44265</v>
      </c>
      <c r="M1537" s="116">
        <v>125.9</v>
      </c>
      <c r="N1537" s="116">
        <v>127.95</v>
      </c>
      <c r="O1537" s="116">
        <v>124.8</v>
      </c>
      <c r="P1537" s="116">
        <v>127.95</v>
      </c>
      <c r="Q1537" s="116">
        <v>125.9</v>
      </c>
      <c r="R1537">
        <v>950440</v>
      </c>
    </row>
    <row r="1538" spans="1:18" x14ac:dyDescent="0.25">
      <c r="A1538" s="170">
        <v>44267</v>
      </c>
      <c r="B1538" s="116">
        <v>124.52720421393801</v>
      </c>
      <c r="C1538" s="116">
        <v>121.570349617967</v>
      </c>
      <c r="D1538" s="116">
        <v>120.0676858069</v>
      </c>
      <c r="E1538" s="116">
        <v>124.52720421393801</v>
      </c>
      <c r="F1538" s="116">
        <v>125.4</v>
      </c>
      <c r="G1538">
        <v>189955</v>
      </c>
      <c r="H1538" s="116"/>
      <c r="I1538" s="116"/>
      <c r="L1538" s="170">
        <v>44267</v>
      </c>
      <c r="M1538" s="116">
        <v>125.1</v>
      </c>
      <c r="N1538" s="116">
        <v>127.5</v>
      </c>
      <c r="O1538" s="116">
        <v>123.75</v>
      </c>
      <c r="P1538" s="116">
        <v>127.5</v>
      </c>
      <c r="Q1538" s="116">
        <v>125.1</v>
      </c>
      <c r="R1538">
        <v>1371994</v>
      </c>
    </row>
    <row r="1539" spans="1:18" x14ac:dyDescent="0.25">
      <c r="A1539" s="170">
        <v>44270</v>
      </c>
      <c r="B1539" s="116">
        <v>121.279511460986</v>
      </c>
      <c r="C1539" s="116">
        <v>119.389063440611</v>
      </c>
      <c r="D1539" s="116">
        <v>116.335262792313</v>
      </c>
      <c r="E1539" s="116">
        <v>120.261577911554</v>
      </c>
      <c r="F1539" s="116">
        <v>123.15</v>
      </c>
      <c r="G1539">
        <v>189745</v>
      </c>
      <c r="H1539" s="116"/>
      <c r="I1539" s="116"/>
      <c r="L1539" s="170">
        <v>44270</v>
      </c>
      <c r="M1539" s="116">
        <v>122.95</v>
      </c>
      <c r="N1539" s="116">
        <v>125.3</v>
      </c>
      <c r="O1539" s="116">
        <v>120.45</v>
      </c>
      <c r="P1539" s="116">
        <v>125.1</v>
      </c>
      <c r="Q1539" s="116">
        <v>122.95</v>
      </c>
      <c r="R1539">
        <v>1057819</v>
      </c>
    </row>
    <row r="1540" spans="1:18" x14ac:dyDescent="0.25">
      <c r="A1540" s="170">
        <v>44271</v>
      </c>
      <c r="B1540" s="116">
        <v>120.552416068534</v>
      </c>
      <c r="C1540" s="116">
        <v>116.723047001621</v>
      </c>
      <c r="D1540" s="116">
        <v>116.238316739986</v>
      </c>
      <c r="E1540" s="116">
        <v>119.195171335957</v>
      </c>
      <c r="F1540" s="116">
        <v>120.4</v>
      </c>
      <c r="G1540">
        <v>131234</v>
      </c>
      <c r="H1540" s="116"/>
      <c r="I1540" s="116"/>
      <c r="L1540" s="170">
        <v>44271</v>
      </c>
      <c r="M1540" s="116">
        <v>120.45</v>
      </c>
      <c r="N1540" s="116">
        <v>124.4</v>
      </c>
      <c r="O1540" s="116">
        <v>119.6</v>
      </c>
      <c r="P1540" s="116">
        <v>122.1</v>
      </c>
      <c r="Q1540" s="116">
        <v>120.45</v>
      </c>
      <c r="R1540">
        <v>1878117</v>
      </c>
    </row>
    <row r="1541" spans="1:18" x14ac:dyDescent="0.25">
      <c r="A1541" s="170">
        <v>44272</v>
      </c>
      <c r="B1541" s="116">
        <v>117.5470884464</v>
      </c>
      <c r="C1541" s="116">
        <v>115.94747858300499</v>
      </c>
      <c r="D1541" s="116">
        <v>115.65664042602501</v>
      </c>
      <c r="E1541" s="116">
        <v>116.335262792313</v>
      </c>
      <c r="F1541" s="116">
        <v>119.6</v>
      </c>
      <c r="G1541">
        <v>93240</v>
      </c>
      <c r="H1541" s="116"/>
      <c r="I1541" s="116"/>
      <c r="L1541" s="170">
        <v>44272</v>
      </c>
      <c r="M1541" s="116">
        <v>119.75</v>
      </c>
      <c r="N1541" s="116">
        <v>121.35</v>
      </c>
      <c r="O1541" s="116">
        <v>119</v>
      </c>
      <c r="P1541" s="116">
        <v>120</v>
      </c>
      <c r="Q1541" s="116">
        <v>119.75</v>
      </c>
      <c r="R1541">
        <v>790863</v>
      </c>
    </row>
    <row r="1542" spans="1:18" x14ac:dyDescent="0.25">
      <c r="A1542" s="170">
        <v>44273</v>
      </c>
      <c r="B1542" s="116">
        <v>119.09822528363</v>
      </c>
      <c r="C1542" s="116">
        <v>112.893677934707</v>
      </c>
      <c r="D1542" s="116">
        <v>112.457420699236</v>
      </c>
      <c r="E1542" s="116">
        <v>119.09822528363</v>
      </c>
      <c r="F1542" s="116">
        <v>116.45</v>
      </c>
      <c r="G1542">
        <v>170566</v>
      </c>
      <c r="H1542" s="116"/>
      <c r="I1542" s="116"/>
      <c r="L1542" s="170">
        <v>44273</v>
      </c>
      <c r="M1542" s="116">
        <v>116.35</v>
      </c>
      <c r="N1542" s="116">
        <v>121.5</v>
      </c>
      <c r="O1542" s="116">
        <v>116</v>
      </c>
      <c r="P1542" s="116">
        <v>119.75</v>
      </c>
      <c r="Q1542" s="116">
        <v>116.35</v>
      </c>
      <c r="R1542">
        <v>1584146</v>
      </c>
    </row>
    <row r="1543" spans="1:18" x14ac:dyDescent="0.25">
      <c r="A1543" s="170">
        <v>44274</v>
      </c>
      <c r="B1543" s="116">
        <v>113.23298911785101</v>
      </c>
      <c r="C1543" s="116">
        <v>110.615445705024</v>
      </c>
      <c r="D1543" s="116">
        <v>107.90095623987</v>
      </c>
      <c r="E1543" s="116">
        <v>111.972690437601</v>
      </c>
      <c r="F1543" s="116">
        <v>114.1</v>
      </c>
      <c r="G1543">
        <v>228107</v>
      </c>
      <c r="H1543" s="116"/>
      <c r="I1543" s="116"/>
      <c r="L1543" s="170">
        <v>44274</v>
      </c>
      <c r="M1543" s="116">
        <v>114</v>
      </c>
      <c r="N1543" s="116">
        <v>116.7</v>
      </c>
      <c r="O1543" s="116">
        <v>111.3</v>
      </c>
      <c r="P1543" s="116">
        <v>115</v>
      </c>
      <c r="Q1543" s="116">
        <v>114</v>
      </c>
      <c r="R1543">
        <v>1860659</v>
      </c>
    </row>
    <row r="1544" spans="1:18" x14ac:dyDescent="0.25">
      <c r="A1544" s="170">
        <v>44277</v>
      </c>
      <c r="B1544" s="116">
        <v>113.37840819634199</v>
      </c>
      <c r="C1544" s="116">
        <v>111.342541097476</v>
      </c>
      <c r="D1544" s="116">
        <v>109.500566103265</v>
      </c>
      <c r="E1544" s="116">
        <v>111.342541097476</v>
      </c>
      <c r="F1544" s="116">
        <v>114.85</v>
      </c>
      <c r="G1544">
        <v>104612</v>
      </c>
      <c r="H1544" s="116"/>
      <c r="I1544" s="116"/>
      <c r="L1544" s="170">
        <v>44277</v>
      </c>
      <c r="M1544" s="116">
        <v>114.9</v>
      </c>
      <c r="N1544" s="116">
        <v>116.95</v>
      </c>
      <c r="O1544" s="116">
        <v>113.1</v>
      </c>
      <c r="P1544" s="116">
        <v>114.2</v>
      </c>
      <c r="Q1544" s="116">
        <v>114.9</v>
      </c>
      <c r="R1544">
        <v>1105525</v>
      </c>
    </row>
    <row r="1545" spans="1:18" x14ac:dyDescent="0.25">
      <c r="A1545" s="170">
        <v>44278</v>
      </c>
      <c r="B1545" s="116">
        <v>113.329935170178</v>
      </c>
      <c r="C1545" s="116">
        <v>109.549039129428</v>
      </c>
      <c r="D1545" s="116">
        <v>108.724997684649</v>
      </c>
      <c r="E1545" s="116">
        <v>112.457420699236</v>
      </c>
      <c r="F1545" s="116">
        <v>113</v>
      </c>
      <c r="G1545">
        <v>172447</v>
      </c>
      <c r="H1545" s="116"/>
      <c r="I1545" s="116"/>
      <c r="L1545" s="170">
        <v>44278</v>
      </c>
      <c r="M1545" s="116">
        <v>113.15</v>
      </c>
      <c r="N1545" s="116">
        <v>117</v>
      </c>
      <c r="O1545" s="116">
        <v>112.05</v>
      </c>
      <c r="P1545" s="116">
        <v>115</v>
      </c>
      <c r="Q1545" s="116">
        <v>113.15</v>
      </c>
      <c r="R1545">
        <v>1174180</v>
      </c>
    </row>
    <row r="1546" spans="1:18" x14ac:dyDescent="0.25">
      <c r="A1546" s="170">
        <v>44279</v>
      </c>
      <c r="B1546" s="116">
        <v>109.83987728640901</v>
      </c>
      <c r="C1546" s="116">
        <v>104.847155591572</v>
      </c>
      <c r="D1546" s="116">
        <v>104.16853322528399</v>
      </c>
      <c r="E1546" s="116">
        <v>109.500566103265</v>
      </c>
      <c r="F1546" s="116">
        <v>108.15</v>
      </c>
      <c r="G1546">
        <v>188324</v>
      </c>
      <c r="H1546" s="116"/>
      <c r="I1546" s="116"/>
      <c r="L1546" s="170">
        <v>44279</v>
      </c>
      <c r="M1546" s="116">
        <v>108.45</v>
      </c>
      <c r="N1546" s="116">
        <v>113.15</v>
      </c>
      <c r="O1546" s="116">
        <v>107.2</v>
      </c>
      <c r="P1546" s="116">
        <v>112.25</v>
      </c>
      <c r="Q1546" s="116">
        <v>108.45</v>
      </c>
      <c r="R1546">
        <v>3882094</v>
      </c>
    </row>
    <row r="1547" spans="1:18" x14ac:dyDescent="0.25">
      <c r="A1547" s="170">
        <v>44280</v>
      </c>
      <c r="B1547" s="116">
        <v>105.38035887936999</v>
      </c>
      <c r="C1547" s="116">
        <v>99.854433896735401</v>
      </c>
      <c r="D1547" s="116">
        <v>99.612068765917996</v>
      </c>
      <c r="E1547" s="116">
        <v>105.38035887936999</v>
      </c>
      <c r="F1547" s="116">
        <v>103</v>
      </c>
      <c r="G1547">
        <v>188576</v>
      </c>
      <c r="H1547" s="116"/>
      <c r="I1547" s="116"/>
      <c r="L1547" s="170">
        <v>44280</v>
      </c>
      <c r="M1547" s="116">
        <v>102.95</v>
      </c>
      <c r="N1547" s="116">
        <v>108.8</v>
      </c>
      <c r="O1547" s="116">
        <v>102.7</v>
      </c>
      <c r="P1547" s="116">
        <v>108.2</v>
      </c>
      <c r="Q1547" s="116">
        <v>102.95</v>
      </c>
      <c r="R1547">
        <v>5550177</v>
      </c>
    </row>
    <row r="1548" spans="1:18" x14ac:dyDescent="0.25">
      <c r="A1548" s="170">
        <v>44281</v>
      </c>
      <c r="B1548" s="116">
        <v>105.719670062514</v>
      </c>
      <c r="C1548" s="116">
        <v>104.99257467006299</v>
      </c>
      <c r="D1548" s="116">
        <v>100.145272053716</v>
      </c>
      <c r="E1548" s="116">
        <v>100.19374507988</v>
      </c>
      <c r="F1548" s="116">
        <v>108.3</v>
      </c>
      <c r="G1548">
        <v>279613</v>
      </c>
      <c r="H1548" s="116"/>
      <c r="I1548" s="116"/>
      <c r="L1548" s="170">
        <v>44281</v>
      </c>
      <c r="M1548" s="116">
        <v>108.4</v>
      </c>
      <c r="N1548" s="116">
        <v>109</v>
      </c>
      <c r="O1548" s="116">
        <v>103.4</v>
      </c>
      <c r="P1548" s="116">
        <v>103.4</v>
      </c>
      <c r="Q1548" s="116">
        <v>108.4</v>
      </c>
      <c r="R1548">
        <v>2217362</v>
      </c>
    </row>
    <row r="1549" spans="1:18" x14ac:dyDescent="0.25">
      <c r="A1549" s="170">
        <v>44285</v>
      </c>
      <c r="B1549" s="116">
        <v>106.64065755962</v>
      </c>
      <c r="C1549" s="116">
        <v>102.47197730956201</v>
      </c>
      <c r="D1549" s="116">
        <v>101.938774021764</v>
      </c>
      <c r="E1549" s="116">
        <v>106.543711507293</v>
      </c>
      <c r="F1549" s="116">
        <v>105.7</v>
      </c>
      <c r="G1549">
        <v>93536</v>
      </c>
      <c r="H1549" s="116"/>
      <c r="I1549" s="116"/>
      <c r="L1549" s="170">
        <v>44285</v>
      </c>
      <c r="M1549" s="116">
        <v>105.7</v>
      </c>
      <c r="N1549" s="116">
        <v>110</v>
      </c>
      <c r="O1549" s="116">
        <v>105</v>
      </c>
      <c r="P1549" s="116">
        <v>110</v>
      </c>
      <c r="Q1549" s="116">
        <v>105.7</v>
      </c>
      <c r="R1549">
        <v>1660627</v>
      </c>
    </row>
    <row r="1550" spans="1:18" x14ac:dyDescent="0.25">
      <c r="A1550" s="170">
        <v>44286</v>
      </c>
      <c r="B1550" s="116">
        <v>111.439487149803</v>
      </c>
      <c r="C1550" s="116">
        <v>107.513172030563</v>
      </c>
      <c r="D1550" s="116">
        <v>101.550989812457</v>
      </c>
      <c r="E1550" s="116">
        <v>104.362425329937</v>
      </c>
      <c r="F1550" s="116">
        <v>110.9</v>
      </c>
      <c r="G1550">
        <v>257354</v>
      </c>
      <c r="H1550" s="116"/>
      <c r="I1550" s="116"/>
      <c r="L1550" s="170">
        <v>44286</v>
      </c>
      <c r="M1550" s="116">
        <v>107.487944728286</v>
      </c>
      <c r="N1550" s="116">
        <v>111.415109150023</v>
      </c>
      <c r="O1550" s="116">
        <v>101.57295633999099</v>
      </c>
      <c r="P1550" s="116">
        <v>102.494143056201</v>
      </c>
      <c r="Q1550" s="116">
        <v>110.85</v>
      </c>
      <c r="R1550">
        <v>4241819</v>
      </c>
    </row>
    <row r="1551" spans="1:18" x14ac:dyDescent="0.25">
      <c r="A1551" s="170">
        <v>44287</v>
      </c>
      <c r="B1551" s="116">
        <v>109.74293123408199</v>
      </c>
      <c r="C1551" s="116">
        <v>108.676524658486</v>
      </c>
      <c r="D1551" s="116">
        <v>106.10745427182199</v>
      </c>
      <c r="E1551" s="116">
        <v>108.482632553832</v>
      </c>
      <c r="F1551" s="116">
        <v>112.1</v>
      </c>
      <c r="G1551">
        <v>166631</v>
      </c>
      <c r="H1551" s="116"/>
      <c r="I1551" s="116"/>
      <c r="L1551" s="170">
        <v>44287</v>
      </c>
      <c r="M1551" s="116">
        <v>108.893966558291</v>
      </c>
      <c r="N1551" s="116">
        <v>110.00908732001901</v>
      </c>
      <c r="O1551" s="116">
        <v>105.936472364143</v>
      </c>
      <c r="P1551" s="116">
        <v>107.633395262425</v>
      </c>
      <c r="Q1551" s="116">
        <v>112.3</v>
      </c>
      <c r="R1551">
        <v>2194893</v>
      </c>
    </row>
    <row r="1552" spans="1:18" x14ac:dyDescent="0.25">
      <c r="A1552" s="170">
        <v>44291</v>
      </c>
      <c r="B1552" s="116">
        <v>108.38568650150501</v>
      </c>
      <c r="C1552" s="116">
        <v>104.798682565409</v>
      </c>
      <c r="D1552" s="116">
        <v>103.29601875434101</v>
      </c>
      <c r="E1552" s="116">
        <v>108.38568650150501</v>
      </c>
      <c r="F1552" s="116">
        <v>108.1</v>
      </c>
      <c r="G1552">
        <v>222472</v>
      </c>
      <c r="H1552" s="116"/>
      <c r="I1552" s="116"/>
      <c r="L1552" s="170">
        <v>44291</v>
      </c>
      <c r="M1552" s="116">
        <v>104.675901068277</v>
      </c>
      <c r="N1552" s="116">
        <v>106.469790989317</v>
      </c>
      <c r="O1552" s="116">
        <v>103.269879238272</v>
      </c>
      <c r="P1552" s="116">
        <v>106.17888992104</v>
      </c>
      <c r="Q1552" s="116">
        <v>107.95</v>
      </c>
      <c r="R1552">
        <v>2154197</v>
      </c>
    </row>
    <row r="1553" spans="1:18" x14ac:dyDescent="0.25">
      <c r="A1553" s="170">
        <v>44292</v>
      </c>
      <c r="B1553" s="116">
        <v>106.10745427182199</v>
      </c>
      <c r="C1553" s="116">
        <v>105.719670062514</v>
      </c>
      <c r="D1553" s="116">
        <v>103.344491780505</v>
      </c>
      <c r="E1553" s="116">
        <v>103.97464112063</v>
      </c>
      <c r="F1553" s="116">
        <v>109.05</v>
      </c>
      <c r="G1553">
        <v>159156</v>
      </c>
      <c r="H1553" s="116"/>
      <c r="I1553" s="116"/>
      <c r="L1553" s="170">
        <v>44292</v>
      </c>
      <c r="M1553" s="116">
        <v>105.79102183000499</v>
      </c>
      <c r="N1553" s="116">
        <v>106.372823966558</v>
      </c>
      <c r="O1553" s="116">
        <v>103.269879238272</v>
      </c>
      <c r="P1553" s="116">
        <v>104.918318625174</v>
      </c>
      <c r="Q1553" s="116">
        <v>109.1</v>
      </c>
      <c r="R1553">
        <v>1425078</v>
      </c>
    </row>
    <row r="1554" spans="1:18" x14ac:dyDescent="0.25">
      <c r="A1554" s="170">
        <v>44293</v>
      </c>
      <c r="B1554" s="116">
        <v>108.676524658486</v>
      </c>
      <c r="C1554" s="116">
        <v>107.804010187543</v>
      </c>
      <c r="D1554" s="116">
        <v>106.34981940263999</v>
      </c>
      <c r="E1554" s="116">
        <v>106.64065755962</v>
      </c>
      <c r="F1554" s="116">
        <v>111.2</v>
      </c>
      <c r="G1554">
        <v>187956</v>
      </c>
      <c r="H1554" s="116"/>
      <c r="I1554" s="116"/>
      <c r="L1554" s="170">
        <v>44293</v>
      </c>
      <c r="M1554" s="116">
        <v>107.681878773804</v>
      </c>
      <c r="N1554" s="116">
        <v>109.087900603809</v>
      </c>
      <c r="O1554" s="116">
        <v>106.13040640966101</v>
      </c>
      <c r="P1554" s="116">
        <v>106.663725034835</v>
      </c>
      <c r="Q1554" s="116">
        <v>111.05</v>
      </c>
      <c r="R1554">
        <v>1666445</v>
      </c>
    </row>
    <row r="1555" spans="1:18" x14ac:dyDescent="0.25">
      <c r="A1555" s="170">
        <v>44294</v>
      </c>
      <c r="B1555" s="116">
        <v>109.74293123408199</v>
      </c>
      <c r="C1555" s="116">
        <v>105.574250984024</v>
      </c>
      <c r="D1555" s="116">
        <v>104.944101643899</v>
      </c>
      <c r="E1555" s="116">
        <v>109.258200972447</v>
      </c>
      <c r="F1555" s="116">
        <v>108.9</v>
      </c>
      <c r="G1555">
        <v>277306</v>
      </c>
      <c r="H1555" s="116"/>
      <c r="I1555" s="116"/>
      <c r="L1555" s="170">
        <v>44294</v>
      </c>
      <c r="M1555" s="116">
        <v>105.548604273107</v>
      </c>
      <c r="N1555" s="116">
        <v>110.00908732001901</v>
      </c>
      <c r="O1555" s="116">
        <v>104.724384579656</v>
      </c>
      <c r="P1555" s="116">
        <v>108.506098467255</v>
      </c>
      <c r="Q1555" s="116">
        <v>108.85</v>
      </c>
      <c r="R1555">
        <v>1875779</v>
      </c>
    </row>
    <row r="1556" spans="1:18" x14ac:dyDescent="0.25">
      <c r="A1556" s="170">
        <v>44295</v>
      </c>
      <c r="B1556" s="116">
        <v>109.64598518175499</v>
      </c>
      <c r="C1556" s="116">
        <v>107.270806899745</v>
      </c>
      <c r="D1556" s="116">
        <v>104.847155591572</v>
      </c>
      <c r="E1556" s="116">
        <v>104.847155591572</v>
      </c>
      <c r="F1556" s="116">
        <v>110.65</v>
      </c>
      <c r="G1556">
        <v>251497</v>
      </c>
      <c r="H1556" s="116"/>
      <c r="I1556" s="116"/>
      <c r="L1556" s="170">
        <v>44295</v>
      </c>
      <c r="M1556" s="116">
        <v>107.294010682768</v>
      </c>
      <c r="N1556" s="116">
        <v>109.815153274501</v>
      </c>
      <c r="O1556" s="116">
        <v>105.015285647933</v>
      </c>
      <c r="P1556" s="116">
        <v>105.548604273107</v>
      </c>
      <c r="Q1556" s="116">
        <v>110.65</v>
      </c>
      <c r="R1556">
        <v>1847187</v>
      </c>
    </row>
    <row r="1557" spans="1:18" x14ac:dyDescent="0.25">
      <c r="A1557" s="170">
        <v>44298</v>
      </c>
      <c r="B1557" s="116">
        <v>104.507844408428</v>
      </c>
      <c r="C1557" s="116">
        <v>101.502516786293</v>
      </c>
      <c r="D1557" s="116">
        <v>100.823894420005</v>
      </c>
      <c r="E1557" s="116">
        <v>102.85976151887</v>
      </c>
      <c r="F1557" s="116">
        <v>104.7</v>
      </c>
      <c r="G1557">
        <v>351197</v>
      </c>
      <c r="H1557" s="116"/>
      <c r="I1557" s="116"/>
      <c r="L1557" s="170">
        <v>44298</v>
      </c>
      <c r="M1557" s="116">
        <v>101.42750580585199</v>
      </c>
      <c r="N1557" s="116">
        <v>104.675901068277</v>
      </c>
      <c r="O1557" s="116">
        <v>100.845703669299</v>
      </c>
      <c r="P1557" s="116">
        <v>103.027461681375</v>
      </c>
      <c r="Q1557" s="116">
        <v>104.6</v>
      </c>
      <c r="R1557">
        <v>1936521</v>
      </c>
    </row>
    <row r="1558" spans="1:18" x14ac:dyDescent="0.25">
      <c r="A1558" s="170">
        <v>44299</v>
      </c>
      <c r="B1558" s="116">
        <v>107.61011808289</v>
      </c>
      <c r="C1558" s="116">
        <v>101.696408890947</v>
      </c>
      <c r="D1558" s="116">
        <v>101.11473257698501</v>
      </c>
      <c r="E1558" s="116">
        <v>103.82922204213899</v>
      </c>
      <c r="F1558" s="116">
        <v>104.9</v>
      </c>
      <c r="G1558">
        <v>269941</v>
      </c>
      <c r="H1558" s="116"/>
      <c r="I1558" s="116"/>
      <c r="L1558" s="170">
        <v>44299</v>
      </c>
      <c r="M1558" s="116">
        <v>101.66992336275</v>
      </c>
      <c r="N1558" s="116">
        <v>106.518274500697</v>
      </c>
      <c r="O1558" s="116">
        <v>100.99115420343701</v>
      </c>
      <c r="P1558" s="116">
        <v>105.015285647933</v>
      </c>
      <c r="Q1558" s="116">
        <v>104.85</v>
      </c>
      <c r="R1558">
        <v>2451694</v>
      </c>
    </row>
    <row r="1559" spans="1:18" x14ac:dyDescent="0.25">
      <c r="A1559" s="170">
        <v>44301</v>
      </c>
      <c r="B1559" s="116">
        <v>101.308624681639</v>
      </c>
      <c r="C1559" s="116">
        <v>96.9460523269275</v>
      </c>
      <c r="D1559" s="116">
        <v>96.509795091456397</v>
      </c>
      <c r="E1559" s="116">
        <v>100.145272053716</v>
      </c>
      <c r="F1559" s="116">
        <v>100</v>
      </c>
      <c r="G1559">
        <v>336336</v>
      </c>
      <c r="H1559" s="116"/>
      <c r="I1559" s="116"/>
      <c r="L1559" s="170">
        <v>44301</v>
      </c>
      <c r="M1559" s="116">
        <v>96.918539247561498</v>
      </c>
      <c r="N1559" s="116">
        <v>101.66992336275</v>
      </c>
      <c r="O1559" s="116">
        <v>96.482187645146297</v>
      </c>
      <c r="P1559" s="116">
        <v>101.136604737575</v>
      </c>
      <c r="Q1559" s="116">
        <v>99.95</v>
      </c>
      <c r="R1559">
        <v>4922755</v>
      </c>
    </row>
    <row r="1560" spans="1:18" x14ac:dyDescent="0.25">
      <c r="A1560" s="170">
        <v>44302</v>
      </c>
      <c r="B1560" s="116">
        <v>98.545662190321806</v>
      </c>
      <c r="C1560" s="116">
        <v>95.976591803658295</v>
      </c>
      <c r="D1560" s="116">
        <v>95.685753646677497</v>
      </c>
      <c r="E1560" s="116">
        <v>96.9460523269275</v>
      </c>
      <c r="F1560" s="116">
        <v>99</v>
      </c>
      <c r="G1560">
        <v>222054</v>
      </c>
      <c r="H1560" s="116"/>
      <c r="I1560" s="116"/>
      <c r="L1560" s="170">
        <v>44302</v>
      </c>
      <c r="M1560" s="116">
        <v>95.948869019972093</v>
      </c>
      <c r="N1560" s="116">
        <v>98.566978634463496</v>
      </c>
      <c r="O1560" s="116">
        <v>95.706451463074799</v>
      </c>
      <c r="P1560" s="116">
        <v>96.967022758940999</v>
      </c>
      <c r="Q1560" s="116">
        <v>98.95</v>
      </c>
      <c r="R1560">
        <v>3287148</v>
      </c>
    </row>
    <row r="1561" spans="1:18" x14ac:dyDescent="0.25">
      <c r="A1561" s="170">
        <v>44305</v>
      </c>
      <c r="B1561" s="116">
        <v>95.734226672840904</v>
      </c>
      <c r="C1561" s="116">
        <v>91.807911553600405</v>
      </c>
      <c r="D1561" s="116">
        <v>91.129289187311898</v>
      </c>
      <c r="E1561" s="116">
        <v>95.007131280389004</v>
      </c>
      <c r="F1561" s="116">
        <v>94.7</v>
      </c>
      <c r="G1561">
        <v>573786</v>
      </c>
      <c r="H1561" s="116"/>
      <c r="I1561" s="116"/>
      <c r="L1561" s="170">
        <v>44305</v>
      </c>
      <c r="M1561" s="116">
        <v>91.827770552717098</v>
      </c>
      <c r="N1561" s="116">
        <v>95.754934974454201</v>
      </c>
      <c r="O1561" s="116">
        <v>91.633836507199206</v>
      </c>
      <c r="P1561" s="116">
        <v>94.785264746864797</v>
      </c>
      <c r="Q1561" s="116">
        <v>94.7</v>
      </c>
      <c r="R1561">
        <v>4256594</v>
      </c>
    </row>
    <row r="1562" spans="1:18" x14ac:dyDescent="0.25">
      <c r="A1562" s="170">
        <v>44306</v>
      </c>
      <c r="B1562" s="116">
        <v>99.030392451956502</v>
      </c>
      <c r="C1562" s="116">
        <v>93.262102338504306</v>
      </c>
      <c r="D1562" s="116">
        <v>92.001803658254204</v>
      </c>
      <c r="E1562" s="116">
        <v>92.825845103033103</v>
      </c>
      <c r="F1562" s="116">
        <v>96.2</v>
      </c>
      <c r="G1562">
        <v>359432</v>
      </c>
      <c r="H1562" s="116"/>
      <c r="I1562" s="116"/>
      <c r="L1562" s="170">
        <v>44306</v>
      </c>
      <c r="M1562" s="116">
        <v>93.039858337203896</v>
      </c>
      <c r="N1562" s="116">
        <v>99.148780771017201</v>
      </c>
      <c r="O1562" s="116">
        <v>91.876254064096599</v>
      </c>
      <c r="P1562" s="116">
        <v>94.058012076172801</v>
      </c>
      <c r="Q1562" s="116">
        <v>95.95</v>
      </c>
      <c r="R1562">
        <v>9428938</v>
      </c>
    </row>
    <row r="1563" spans="1:18" x14ac:dyDescent="0.25">
      <c r="A1563" s="170">
        <v>44308</v>
      </c>
      <c r="B1563" s="116">
        <v>97.430782588562195</v>
      </c>
      <c r="C1563" s="116">
        <v>96.412849039129398</v>
      </c>
      <c r="D1563" s="116">
        <v>90.935397082658</v>
      </c>
      <c r="E1563" s="116">
        <v>91.614019448946493</v>
      </c>
      <c r="F1563" s="116">
        <v>99.45</v>
      </c>
      <c r="G1563">
        <v>418241</v>
      </c>
      <c r="H1563" s="116"/>
      <c r="I1563" s="116"/>
      <c r="L1563" s="170">
        <v>44308</v>
      </c>
      <c r="M1563" s="116">
        <v>96.385220622387394</v>
      </c>
      <c r="N1563" s="116">
        <v>97.451857872735701</v>
      </c>
      <c r="O1563" s="116">
        <v>90.906583836507195</v>
      </c>
      <c r="P1563" s="116">
        <v>92.021704598235004</v>
      </c>
      <c r="Q1563" s="116">
        <v>99.4</v>
      </c>
      <c r="R1563">
        <v>5177540</v>
      </c>
    </row>
    <row r="1564" spans="1:18" x14ac:dyDescent="0.25">
      <c r="A1564" s="170">
        <v>44309</v>
      </c>
      <c r="B1564" s="116">
        <v>102.617396388053</v>
      </c>
      <c r="C1564" s="116">
        <v>101.066259550822</v>
      </c>
      <c r="D1564" s="116">
        <v>95.491861542023599</v>
      </c>
      <c r="E1564" s="116">
        <v>95.976591803658295</v>
      </c>
      <c r="F1564" s="116">
        <v>104.25</v>
      </c>
      <c r="G1564">
        <v>401359</v>
      </c>
      <c r="H1564" s="116"/>
      <c r="I1564" s="116"/>
      <c r="L1564" s="170">
        <v>44309</v>
      </c>
      <c r="M1564" s="116">
        <v>101.185088248955</v>
      </c>
      <c r="N1564" s="116">
        <v>102.494143056201</v>
      </c>
      <c r="O1564" s="116">
        <v>95.124649326521094</v>
      </c>
      <c r="P1564" s="116">
        <v>96.045836042731096</v>
      </c>
      <c r="Q1564" s="116">
        <v>104.35</v>
      </c>
      <c r="R1564">
        <v>3494617</v>
      </c>
    </row>
    <row r="1565" spans="1:18" x14ac:dyDescent="0.25">
      <c r="A1565" s="170">
        <v>44312</v>
      </c>
      <c r="B1565" s="116">
        <v>109.597512155592</v>
      </c>
      <c r="C1565" s="116">
        <v>107.997902292197</v>
      </c>
      <c r="D1565" s="116">
        <v>101.405570733966</v>
      </c>
      <c r="E1565" s="116">
        <v>103.586856911322</v>
      </c>
      <c r="F1565" s="116">
        <v>111.4</v>
      </c>
      <c r="G1565">
        <v>339844</v>
      </c>
      <c r="H1565" s="116"/>
      <c r="I1565" s="116"/>
      <c r="L1565" s="170">
        <v>44312</v>
      </c>
      <c r="M1565" s="116">
        <v>108.06974686484</v>
      </c>
      <c r="N1565" s="116">
        <v>109.669702740362</v>
      </c>
      <c r="O1565" s="116">
        <v>101.330538783093</v>
      </c>
      <c r="P1565" s="116">
        <v>102.785044124477</v>
      </c>
      <c r="Q1565" s="116">
        <v>111.45</v>
      </c>
      <c r="R1565">
        <v>6167878</v>
      </c>
    </row>
    <row r="1566" spans="1:18" x14ac:dyDescent="0.25">
      <c r="A1566" s="170">
        <v>44313</v>
      </c>
      <c r="B1566" s="116">
        <v>110.033769391063</v>
      </c>
      <c r="C1566" s="116">
        <v>109.403620050938</v>
      </c>
      <c r="D1566" s="116">
        <v>107.076914795091</v>
      </c>
      <c r="E1566" s="116">
        <v>108.579578606159</v>
      </c>
      <c r="F1566" s="116">
        <v>112.85</v>
      </c>
      <c r="G1566">
        <v>185444</v>
      </c>
      <c r="H1566" s="116"/>
      <c r="I1566" s="116"/>
      <c r="L1566" s="170">
        <v>44313</v>
      </c>
      <c r="M1566" s="116">
        <v>109.52425220622401</v>
      </c>
      <c r="N1566" s="116">
        <v>110.251504876916</v>
      </c>
      <c r="O1566" s="116">
        <v>107.14856014863</v>
      </c>
      <c r="P1566" s="116">
        <v>108.118230376219</v>
      </c>
      <c r="Q1566" s="116">
        <v>112.95</v>
      </c>
      <c r="R1566">
        <v>3017469</v>
      </c>
    </row>
    <row r="1567" spans="1:18" x14ac:dyDescent="0.25">
      <c r="A1567" s="170">
        <v>44314</v>
      </c>
      <c r="B1567" s="116">
        <v>111.875744385274</v>
      </c>
      <c r="C1567" s="116">
        <v>110.42155360037</v>
      </c>
      <c r="D1567" s="116">
        <v>109.355147024774</v>
      </c>
      <c r="E1567" s="116">
        <v>109.403620050938</v>
      </c>
      <c r="F1567" s="116">
        <v>113.9</v>
      </c>
      <c r="G1567">
        <v>247989</v>
      </c>
      <c r="H1567" s="116"/>
      <c r="I1567" s="116"/>
      <c r="L1567" s="170">
        <v>44314</v>
      </c>
      <c r="M1567" s="116">
        <v>110.203021365536</v>
      </c>
      <c r="N1567" s="116">
        <v>111.899944263818</v>
      </c>
      <c r="O1567" s="116">
        <v>109.378801672085</v>
      </c>
      <c r="P1567" s="116">
        <v>110.83330701347001</v>
      </c>
      <c r="Q1567" s="116">
        <v>113.65</v>
      </c>
      <c r="R1567">
        <v>2050705</v>
      </c>
    </row>
    <row r="1568" spans="1:18" x14ac:dyDescent="0.25">
      <c r="A1568" s="170">
        <v>44315</v>
      </c>
      <c r="B1568" s="116">
        <v>111.487960175967</v>
      </c>
      <c r="C1568" s="116">
        <v>107.173860847418</v>
      </c>
      <c r="D1568" s="116">
        <v>105.719670062514</v>
      </c>
      <c r="E1568" s="116">
        <v>110.712391757351</v>
      </c>
      <c r="F1568" s="116">
        <v>110.55</v>
      </c>
      <c r="G1568">
        <v>233418</v>
      </c>
      <c r="H1568" s="116"/>
      <c r="I1568" s="116"/>
      <c r="L1568" s="170">
        <v>44315</v>
      </c>
      <c r="M1568" s="116">
        <v>107.197043660009</v>
      </c>
      <c r="N1568" s="116">
        <v>111.463592661403</v>
      </c>
      <c r="O1568" s="116">
        <v>105.694054807246</v>
      </c>
      <c r="P1568" s="116">
        <v>110.542405945193</v>
      </c>
      <c r="Q1568" s="116">
        <v>110.55</v>
      </c>
      <c r="R1568">
        <v>2954517</v>
      </c>
    </row>
    <row r="1569" spans="1:18" x14ac:dyDescent="0.25">
      <c r="A1569" s="170">
        <v>44316</v>
      </c>
      <c r="B1569" s="116">
        <v>111.19712201898599</v>
      </c>
      <c r="C1569" s="116">
        <v>108.046375318361</v>
      </c>
      <c r="D1569" s="116">
        <v>104.26547927761101</v>
      </c>
      <c r="E1569" s="116">
        <v>107.61011808289</v>
      </c>
      <c r="F1569" s="116">
        <v>111.45</v>
      </c>
      <c r="G1569">
        <v>282455</v>
      </c>
      <c r="H1569" s="116"/>
      <c r="I1569" s="116"/>
      <c r="L1569" s="170">
        <v>44316</v>
      </c>
      <c r="M1569" s="116">
        <v>108.118230376219</v>
      </c>
      <c r="N1569" s="116">
        <v>111.027241058987</v>
      </c>
      <c r="O1569" s="116">
        <v>103.948648397585</v>
      </c>
      <c r="P1569" s="116">
        <v>106.663725034835</v>
      </c>
      <c r="Q1569" s="116">
        <v>111.5</v>
      </c>
      <c r="R1569">
        <v>3370405</v>
      </c>
    </row>
    <row r="1570" spans="1:18" x14ac:dyDescent="0.25">
      <c r="A1570" s="170">
        <v>44319</v>
      </c>
      <c r="B1570" s="116">
        <v>109.791404260245</v>
      </c>
      <c r="C1570" s="116">
        <v>108.094848344524</v>
      </c>
      <c r="D1570" s="116">
        <v>103.82922204213899</v>
      </c>
      <c r="E1570" s="116">
        <v>106.155927297986</v>
      </c>
      <c r="F1570" s="116">
        <v>111.5</v>
      </c>
      <c r="G1570">
        <v>390934</v>
      </c>
      <c r="H1570" s="116"/>
      <c r="I1570" s="116"/>
      <c r="L1570" s="170">
        <v>44319</v>
      </c>
      <c r="M1570" s="116">
        <v>107.73036228518301</v>
      </c>
      <c r="N1570" s="116">
        <v>109.669702740362</v>
      </c>
      <c r="O1570" s="116">
        <v>103.754714352067</v>
      </c>
      <c r="P1570" s="116">
        <v>106.663725034835</v>
      </c>
      <c r="Q1570" s="116">
        <v>111.1</v>
      </c>
      <c r="R1570">
        <v>3716188</v>
      </c>
    </row>
    <row r="1571" spans="1:18" x14ac:dyDescent="0.25">
      <c r="A1571" s="170">
        <v>44320</v>
      </c>
      <c r="B1571" s="116">
        <v>110.712391757351</v>
      </c>
      <c r="C1571" s="116">
        <v>105.671197036351</v>
      </c>
      <c r="D1571" s="116">
        <v>105.186466774716</v>
      </c>
      <c r="E1571" s="116">
        <v>108.094848344524</v>
      </c>
      <c r="F1571" s="116">
        <v>109</v>
      </c>
      <c r="G1571">
        <v>226679</v>
      </c>
      <c r="H1571" s="116"/>
      <c r="I1571" s="116"/>
      <c r="L1571" s="170">
        <v>44320</v>
      </c>
      <c r="M1571" s="116">
        <v>105.597087784487</v>
      </c>
      <c r="N1571" s="116">
        <v>110.736339990711</v>
      </c>
      <c r="O1571" s="116">
        <v>105.209219693451</v>
      </c>
      <c r="P1571" s="116">
        <v>108.65154900139299</v>
      </c>
      <c r="Q1571" s="116">
        <v>108.9</v>
      </c>
      <c r="R1571">
        <v>1808218</v>
      </c>
    </row>
    <row r="1572" spans="1:18" x14ac:dyDescent="0.25">
      <c r="A1572" s="170">
        <v>44321</v>
      </c>
      <c r="B1572" s="116">
        <v>109.549039129428</v>
      </c>
      <c r="C1572" s="116">
        <v>108.337213475342</v>
      </c>
      <c r="D1572" s="116">
        <v>106.398292428803</v>
      </c>
      <c r="E1572" s="116">
        <v>109.064308867793</v>
      </c>
      <c r="F1572" s="116">
        <v>111.75</v>
      </c>
      <c r="G1572">
        <v>260510</v>
      </c>
      <c r="H1572" s="116"/>
      <c r="I1572" s="116"/>
      <c r="L1572" s="170">
        <v>44321</v>
      </c>
      <c r="M1572" s="116">
        <v>108.36064793311699</v>
      </c>
      <c r="N1572" s="116">
        <v>109.572735717603</v>
      </c>
      <c r="O1572" s="116">
        <v>106.17888992104</v>
      </c>
      <c r="P1572" s="116">
        <v>109.572735717603</v>
      </c>
      <c r="Q1572" s="116">
        <v>111.75</v>
      </c>
      <c r="R1572">
        <v>1369097</v>
      </c>
    </row>
    <row r="1573" spans="1:18" x14ac:dyDescent="0.25">
      <c r="A1573" s="170">
        <v>44322</v>
      </c>
      <c r="B1573" s="116">
        <v>109.985296364899</v>
      </c>
      <c r="C1573" s="116">
        <v>109.11278189395701</v>
      </c>
      <c r="D1573" s="116">
        <v>108.19179439685099</v>
      </c>
      <c r="E1573" s="116">
        <v>109.452093077101</v>
      </c>
      <c r="F1573" s="116">
        <v>112.55</v>
      </c>
      <c r="G1573">
        <v>244280</v>
      </c>
      <c r="H1573" s="116"/>
      <c r="I1573" s="116"/>
      <c r="L1573" s="170">
        <v>44322</v>
      </c>
      <c r="M1573" s="116">
        <v>109.18486762656801</v>
      </c>
      <c r="N1573" s="116">
        <v>110.057570831398</v>
      </c>
      <c r="O1573" s="116">
        <v>107.924296330701</v>
      </c>
      <c r="P1573" s="116">
        <v>109.52425220622401</v>
      </c>
      <c r="Q1573" s="116">
        <v>112.6</v>
      </c>
      <c r="R1573">
        <v>1085803</v>
      </c>
    </row>
    <row r="1574" spans="1:18" x14ac:dyDescent="0.25">
      <c r="A1574" s="170">
        <v>44323</v>
      </c>
      <c r="B1574" s="116">
        <v>109.694458207919</v>
      </c>
      <c r="C1574" s="116">
        <v>109.11278189395701</v>
      </c>
      <c r="D1574" s="116">
        <v>107.46469900439899</v>
      </c>
      <c r="E1574" s="116">
        <v>109.500566103265</v>
      </c>
      <c r="F1574" s="116">
        <v>112.55</v>
      </c>
      <c r="G1574">
        <v>116634</v>
      </c>
      <c r="H1574" s="116"/>
      <c r="I1574" s="116"/>
      <c r="L1574" s="170">
        <v>44323</v>
      </c>
      <c r="M1574" s="116">
        <v>108.99093358105</v>
      </c>
      <c r="N1574" s="116">
        <v>110.00908732001901</v>
      </c>
      <c r="O1574" s="116">
        <v>107.487944728286</v>
      </c>
      <c r="P1574" s="116">
        <v>110.00908732001901</v>
      </c>
      <c r="Q1574" s="116">
        <v>112.4</v>
      </c>
      <c r="R1574">
        <v>1218697</v>
      </c>
    </row>
    <row r="1575" spans="1:18" x14ac:dyDescent="0.25">
      <c r="A1575" s="170">
        <v>44326</v>
      </c>
      <c r="B1575" s="116">
        <v>110.615445705024</v>
      </c>
      <c r="C1575" s="116">
        <v>109.452093077101</v>
      </c>
      <c r="D1575" s="116">
        <v>108.046375318361</v>
      </c>
      <c r="E1575" s="116">
        <v>108.046375318361</v>
      </c>
      <c r="F1575" s="116">
        <v>112.9</v>
      </c>
      <c r="G1575">
        <v>374804</v>
      </c>
      <c r="H1575" s="116"/>
      <c r="I1575" s="116"/>
      <c r="L1575" s="170">
        <v>44326</v>
      </c>
      <c r="M1575" s="116">
        <v>109.669702740362</v>
      </c>
      <c r="N1575" s="116">
        <v>110.736339990711</v>
      </c>
      <c r="O1575" s="116">
        <v>108.409131444496</v>
      </c>
      <c r="P1575" s="116">
        <v>108.99093358105</v>
      </c>
      <c r="Q1575" s="116">
        <v>113.1</v>
      </c>
      <c r="R1575">
        <v>2445219</v>
      </c>
    </row>
    <row r="1576" spans="1:18" x14ac:dyDescent="0.25">
      <c r="A1576" s="170">
        <v>44327</v>
      </c>
      <c r="B1576" s="116">
        <v>115.753586478351</v>
      </c>
      <c r="C1576" s="116">
        <v>114.05703056263</v>
      </c>
      <c r="D1576" s="116">
        <v>108.821943736976</v>
      </c>
      <c r="E1576" s="116">
        <v>109.549039129428</v>
      </c>
      <c r="F1576" s="116">
        <v>117.65</v>
      </c>
      <c r="G1576">
        <v>300658</v>
      </c>
      <c r="H1576" s="116"/>
      <c r="I1576" s="116"/>
      <c r="L1576" s="170">
        <v>44327</v>
      </c>
      <c r="M1576" s="116">
        <v>114.227152810032</v>
      </c>
      <c r="N1576" s="116">
        <v>115.827108685555</v>
      </c>
      <c r="O1576" s="116">
        <v>108.603065490014</v>
      </c>
      <c r="P1576" s="116">
        <v>108.603065490014</v>
      </c>
      <c r="Q1576" s="116">
        <v>117.8</v>
      </c>
      <c r="R1576">
        <v>4135636</v>
      </c>
    </row>
    <row r="1577" spans="1:18" x14ac:dyDescent="0.25">
      <c r="A1577" s="170">
        <v>44328</v>
      </c>
      <c r="B1577" s="116">
        <v>115.365802269044</v>
      </c>
      <c r="C1577" s="116">
        <v>112.55436675156299</v>
      </c>
      <c r="D1577" s="116">
        <v>111.730325306784</v>
      </c>
      <c r="E1577" s="116">
        <v>115.365802269044</v>
      </c>
      <c r="F1577" s="116">
        <v>116.1</v>
      </c>
      <c r="G1577">
        <v>148934</v>
      </c>
      <c r="H1577" s="116"/>
      <c r="I1577" s="116"/>
      <c r="L1577" s="170">
        <v>44328</v>
      </c>
      <c r="M1577" s="116">
        <v>112.675680445889</v>
      </c>
      <c r="N1577" s="116">
        <v>115.196823037622</v>
      </c>
      <c r="O1577" s="116">
        <v>111.512076172782</v>
      </c>
      <c r="P1577" s="116">
        <v>114.227152810032</v>
      </c>
      <c r="Q1577" s="116">
        <v>116.2</v>
      </c>
      <c r="R1577">
        <v>4453433</v>
      </c>
    </row>
    <row r="1578" spans="1:18" x14ac:dyDescent="0.25">
      <c r="A1578" s="170">
        <v>44330</v>
      </c>
      <c r="B1578" s="116">
        <v>114.396341745774</v>
      </c>
      <c r="C1578" s="116">
        <v>109.452093077101</v>
      </c>
      <c r="D1578" s="116">
        <v>108.87041676314</v>
      </c>
      <c r="E1578" s="116">
        <v>113.717719379486</v>
      </c>
      <c r="F1578" s="116">
        <v>112.9</v>
      </c>
      <c r="G1578">
        <v>209024</v>
      </c>
      <c r="H1578" s="116"/>
      <c r="I1578" s="116"/>
      <c r="L1578" s="170">
        <v>44330</v>
      </c>
      <c r="M1578" s="116">
        <v>109.427285183465</v>
      </c>
      <c r="N1578" s="116">
        <v>114.17866929865301</v>
      </c>
      <c r="O1578" s="116">
        <v>108.65154900139299</v>
      </c>
      <c r="P1578" s="116">
        <v>113.49990013934</v>
      </c>
      <c r="Q1578" s="116">
        <v>112.85</v>
      </c>
      <c r="R1578">
        <v>1463008</v>
      </c>
    </row>
    <row r="1579" spans="1:18" x14ac:dyDescent="0.25">
      <c r="A1579" s="170">
        <v>44333</v>
      </c>
      <c r="B1579" s="116">
        <v>114.638706876592</v>
      </c>
      <c r="C1579" s="116">
        <v>111.681852280621</v>
      </c>
      <c r="D1579" s="116">
        <v>110.227661495717</v>
      </c>
      <c r="E1579" s="116">
        <v>110.227661495717</v>
      </c>
      <c r="F1579" s="116">
        <v>115.2</v>
      </c>
      <c r="G1579">
        <v>269728</v>
      </c>
      <c r="H1579" s="116"/>
      <c r="I1579" s="116"/>
      <c r="L1579" s="170">
        <v>44333</v>
      </c>
      <c r="M1579" s="116">
        <v>111.60904319554101</v>
      </c>
      <c r="N1579" s="116">
        <v>114.711987923827</v>
      </c>
      <c r="O1579" s="116">
        <v>110.736339990711</v>
      </c>
      <c r="P1579" s="116">
        <v>110.736339990711</v>
      </c>
      <c r="Q1579" s="116">
        <v>115.1</v>
      </c>
      <c r="R1579">
        <v>2358317</v>
      </c>
    </row>
    <row r="1580" spans="1:18" x14ac:dyDescent="0.25">
      <c r="A1580" s="170">
        <v>44334</v>
      </c>
      <c r="B1580" s="116">
        <v>119.534482519102</v>
      </c>
      <c r="C1580" s="116">
        <v>118.031818708034</v>
      </c>
      <c r="D1580" s="116">
        <v>112.74825885621701</v>
      </c>
      <c r="E1580" s="116">
        <v>113.426881222505</v>
      </c>
      <c r="F1580" s="116">
        <v>121.75</v>
      </c>
      <c r="G1580">
        <v>447858</v>
      </c>
      <c r="H1580" s="116"/>
      <c r="I1580" s="116"/>
      <c r="L1580" s="170">
        <v>44334</v>
      </c>
      <c r="M1580" s="116">
        <v>118.202800743149</v>
      </c>
      <c r="N1580" s="116">
        <v>119.560339061774</v>
      </c>
      <c r="O1580" s="116">
        <v>112.86961449140701</v>
      </c>
      <c r="P1580" s="116">
        <v>114.324119832791</v>
      </c>
      <c r="Q1580" s="116">
        <v>121.9</v>
      </c>
      <c r="R1580">
        <v>5156814</v>
      </c>
    </row>
    <row r="1581" spans="1:18" x14ac:dyDescent="0.25">
      <c r="A1581" s="170">
        <v>44335</v>
      </c>
      <c r="B1581" s="116">
        <v>125.835975920352</v>
      </c>
      <c r="C1581" s="116">
        <v>125.060407501737</v>
      </c>
      <c r="D1581" s="116">
        <v>117.207777263255</v>
      </c>
      <c r="E1581" s="116">
        <v>118.031818708034</v>
      </c>
      <c r="F1581" s="116">
        <v>129</v>
      </c>
      <c r="G1581">
        <v>423096</v>
      </c>
      <c r="H1581" s="116"/>
      <c r="I1581" s="116"/>
      <c r="L1581" s="170">
        <v>44335</v>
      </c>
      <c r="M1581" s="116">
        <v>125.087459359034</v>
      </c>
      <c r="N1581" s="116">
        <v>126.05712958662301</v>
      </c>
      <c r="O1581" s="116">
        <v>117.087679981421</v>
      </c>
      <c r="P1581" s="116">
        <v>117.717965629354</v>
      </c>
      <c r="Q1581" s="116">
        <v>129</v>
      </c>
      <c r="R1581">
        <v>8286085</v>
      </c>
    </row>
    <row r="1582" spans="1:18" x14ac:dyDescent="0.25">
      <c r="A1582" s="170">
        <v>44336</v>
      </c>
      <c r="B1582" s="116">
        <v>125.060407501737</v>
      </c>
      <c r="C1582" s="116">
        <v>124.43025816161099</v>
      </c>
      <c r="D1582" s="116">
        <v>121.376457513313</v>
      </c>
      <c r="E1582" s="116">
        <v>125.060407501737</v>
      </c>
      <c r="F1582" s="116">
        <v>128.35</v>
      </c>
      <c r="G1582">
        <v>240901</v>
      </c>
      <c r="H1582" s="116"/>
      <c r="I1582" s="116"/>
      <c r="L1582" s="170">
        <v>44336</v>
      </c>
      <c r="M1582" s="116">
        <v>124.45717371110101</v>
      </c>
      <c r="N1582" s="116">
        <v>125.087459359034</v>
      </c>
      <c r="O1582" s="116">
        <v>121.208778448676</v>
      </c>
      <c r="P1582" s="116">
        <v>125.087459359034</v>
      </c>
      <c r="Q1582" s="116">
        <v>128.35</v>
      </c>
      <c r="R1582">
        <v>3270440</v>
      </c>
    </row>
    <row r="1583" spans="1:18" x14ac:dyDescent="0.25">
      <c r="A1583" s="170">
        <v>44337</v>
      </c>
      <c r="B1583" s="116">
        <v>126.95085552211199</v>
      </c>
      <c r="C1583" s="116">
        <v>126.272233155823</v>
      </c>
      <c r="D1583" s="116">
        <v>123.509270664506</v>
      </c>
      <c r="E1583" s="116">
        <v>125.011934475573</v>
      </c>
      <c r="F1583" s="116">
        <v>130.25</v>
      </c>
      <c r="G1583">
        <v>186043</v>
      </c>
      <c r="H1583" s="116"/>
      <c r="I1583" s="116"/>
      <c r="L1583" s="170">
        <v>44337</v>
      </c>
      <c r="M1583" s="116">
        <v>126.299547143521</v>
      </c>
      <c r="N1583" s="116">
        <v>127.02679981421301</v>
      </c>
      <c r="O1583" s="116">
        <v>123.439019972132</v>
      </c>
      <c r="P1583" s="116">
        <v>124.55414073386</v>
      </c>
      <c r="Q1583" s="116">
        <v>130.25</v>
      </c>
      <c r="R1583">
        <v>3119080</v>
      </c>
    </row>
    <row r="1584" spans="1:18" x14ac:dyDescent="0.25">
      <c r="A1584" s="170">
        <v>44340</v>
      </c>
      <c r="B1584" s="116">
        <v>128.841303542487</v>
      </c>
      <c r="C1584" s="116">
        <v>125.39971868488099</v>
      </c>
      <c r="D1584" s="116">
        <v>124.090946978467</v>
      </c>
      <c r="E1584" s="116">
        <v>126.999328548275</v>
      </c>
      <c r="F1584" s="116">
        <v>129.35</v>
      </c>
      <c r="G1584">
        <v>200464</v>
      </c>
      <c r="H1584" s="116"/>
      <c r="I1584" s="116"/>
      <c r="L1584" s="170">
        <v>44340</v>
      </c>
      <c r="M1584" s="116">
        <v>125.669261495588</v>
      </c>
      <c r="N1584" s="116">
        <v>128.96614026939201</v>
      </c>
      <c r="O1584" s="116">
        <v>124.651107756619</v>
      </c>
      <c r="P1584" s="116">
        <v>127.02679981421301</v>
      </c>
      <c r="Q1584" s="116">
        <v>129.6</v>
      </c>
      <c r="R1584">
        <v>3784076</v>
      </c>
    </row>
    <row r="1585" spans="1:18" x14ac:dyDescent="0.25">
      <c r="A1585" s="170">
        <v>44341</v>
      </c>
      <c r="B1585" s="116">
        <v>132.573726557073</v>
      </c>
      <c r="C1585" s="116">
        <v>130.97411669367901</v>
      </c>
      <c r="D1585" s="116">
        <v>125.205826580227</v>
      </c>
      <c r="E1585" s="116">
        <v>127.48405880991</v>
      </c>
      <c r="F1585" s="116">
        <v>135.1</v>
      </c>
      <c r="G1585">
        <v>581430</v>
      </c>
      <c r="H1585" s="116"/>
      <c r="I1585" s="116"/>
      <c r="L1585" s="170">
        <v>44341</v>
      </c>
      <c r="M1585" s="116">
        <v>131.050931258709</v>
      </c>
      <c r="N1585" s="116">
        <v>132.650887134231</v>
      </c>
      <c r="O1585" s="116">
        <v>125.28139340455201</v>
      </c>
      <c r="P1585" s="116">
        <v>126.05712958662301</v>
      </c>
      <c r="Q1585" s="116">
        <v>135.15</v>
      </c>
      <c r="R1585">
        <v>10713494</v>
      </c>
    </row>
    <row r="1586" spans="1:18" x14ac:dyDescent="0.25">
      <c r="A1586" s="170">
        <v>44342</v>
      </c>
      <c r="B1586" s="116">
        <v>134.60959365593899</v>
      </c>
      <c r="C1586" s="116">
        <v>127.290166705256</v>
      </c>
      <c r="D1586" s="116">
        <v>126.12681407733299</v>
      </c>
      <c r="E1586" s="116">
        <v>131.749685112295</v>
      </c>
      <c r="F1586" s="116">
        <v>131.30000000000001</v>
      </c>
      <c r="G1586">
        <v>370890</v>
      </c>
      <c r="H1586" s="116"/>
      <c r="I1586" s="116"/>
      <c r="L1586" s="170">
        <v>44342</v>
      </c>
      <c r="M1586" s="116">
        <v>127.220733859731</v>
      </c>
      <c r="N1586" s="116">
        <v>134.63871110079</v>
      </c>
      <c r="O1586" s="116">
        <v>126.05712958662301</v>
      </c>
      <c r="P1586" s="116">
        <v>131.778183929401</v>
      </c>
      <c r="Q1586" s="116">
        <v>131.19999999999999</v>
      </c>
      <c r="R1586">
        <v>5012018</v>
      </c>
    </row>
    <row r="1587" spans="1:18" x14ac:dyDescent="0.25">
      <c r="A1587" s="170">
        <v>44343</v>
      </c>
      <c r="B1587" s="116">
        <v>132.37983445242</v>
      </c>
      <c r="C1587" s="116">
        <v>128.211154202362</v>
      </c>
      <c r="D1587" s="116">
        <v>126.660017365131</v>
      </c>
      <c r="E1587" s="116">
        <v>128.40504630701599</v>
      </c>
      <c r="F1587" s="116">
        <v>132.25</v>
      </c>
      <c r="G1587">
        <v>429114</v>
      </c>
      <c r="H1587" s="116"/>
      <c r="I1587" s="116"/>
      <c r="L1587" s="170">
        <v>44343</v>
      </c>
      <c r="M1587" s="116">
        <v>128.28737111007899</v>
      </c>
      <c r="N1587" s="116">
        <v>132.50543660009299</v>
      </c>
      <c r="O1587" s="116">
        <v>126.784382257315</v>
      </c>
      <c r="P1587" s="116">
        <v>128.19040408731999</v>
      </c>
      <c r="Q1587" s="116">
        <v>132.30000000000001</v>
      </c>
      <c r="R1587">
        <v>4688854</v>
      </c>
    </row>
    <row r="1588" spans="1:18" x14ac:dyDescent="0.25">
      <c r="A1588" s="170">
        <v>44344</v>
      </c>
      <c r="B1588" s="116">
        <v>131.361900902987</v>
      </c>
      <c r="C1588" s="116">
        <v>129.083668673304</v>
      </c>
      <c r="D1588" s="116">
        <v>127.67795091456399</v>
      </c>
      <c r="E1588" s="116">
        <v>129.51992590877501</v>
      </c>
      <c r="F1588" s="116">
        <v>133.15</v>
      </c>
      <c r="G1588">
        <v>152419</v>
      </c>
      <c r="H1588" s="116"/>
      <c r="I1588" s="116"/>
      <c r="L1588" s="170">
        <v>44344</v>
      </c>
      <c r="M1588" s="116">
        <v>129.160074314909</v>
      </c>
      <c r="N1588" s="116">
        <v>131.43879934974501</v>
      </c>
      <c r="O1588" s="116">
        <v>127.511634928007</v>
      </c>
      <c r="P1588" s="116">
        <v>129.257041337668</v>
      </c>
      <c r="Q1588" s="116">
        <v>133.19999999999999</v>
      </c>
      <c r="R1588">
        <v>2621752</v>
      </c>
    </row>
    <row r="1589" spans="1:18" x14ac:dyDescent="0.25">
      <c r="A1589" s="170">
        <v>44347</v>
      </c>
      <c r="B1589" s="116">
        <v>136.20920351933299</v>
      </c>
      <c r="C1589" s="116">
        <v>135.04585089141</v>
      </c>
      <c r="D1589" s="116">
        <v>128.06573512387101</v>
      </c>
      <c r="E1589" s="116">
        <v>129.32603380412101</v>
      </c>
      <c r="F1589" s="116">
        <v>139.30000000000001</v>
      </c>
      <c r="G1589">
        <v>523655</v>
      </c>
      <c r="H1589" s="116"/>
      <c r="I1589" s="116"/>
      <c r="L1589" s="170">
        <v>44347</v>
      </c>
      <c r="M1589" s="116">
        <v>135.07506270320499</v>
      </c>
      <c r="N1589" s="116">
        <v>136.238666976312</v>
      </c>
      <c r="O1589" s="116">
        <v>127.996470041802</v>
      </c>
      <c r="P1589" s="116">
        <v>129.54794240594501</v>
      </c>
      <c r="Q1589" s="116">
        <v>139.30000000000001</v>
      </c>
      <c r="R1589">
        <v>9934150</v>
      </c>
    </row>
    <row r="1590" spans="1:18" x14ac:dyDescent="0.25">
      <c r="A1590" s="170">
        <v>44348</v>
      </c>
      <c r="B1590" s="116">
        <v>139.844680481593</v>
      </c>
      <c r="C1590" s="116">
        <v>131.79815813845801</v>
      </c>
      <c r="D1590" s="116">
        <v>131.119535772169</v>
      </c>
      <c r="E1590" s="116">
        <v>136.693933780968</v>
      </c>
      <c r="F1590" s="116">
        <v>135.94999999999999</v>
      </c>
      <c r="G1590">
        <v>504281</v>
      </c>
      <c r="H1590" s="116"/>
      <c r="I1590" s="116"/>
      <c r="L1590" s="170">
        <v>44348</v>
      </c>
      <c r="M1590" s="116">
        <v>131.82666744078</v>
      </c>
      <c r="N1590" s="116">
        <v>139.92341384115201</v>
      </c>
      <c r="O1590" s="116">
        <v>131.099414770088</v>
      </c>
      <c r="P1590" s="116">
        <v>136.52956804458901</v>
      </c>
      <c r="Q1590" s="116">
        <v>135.94999999999999</v>
      </c>
      <c r="R1590">
        <v>8103937</v>
      </c>
    </row>
    <row r="1591" spans="1:18" x14ac:dyDescent="0.25">
      <c r="A1591" s="170">
        <v>44349</v>
      </c>
      <c r="B1591" s="116">
        <v>135.288216022227</v>
      </c>
      <c r="C1591" s="116">
        <v>130.78022458902501</v>
      </c>
      <c r="D1591" s="116">
        <v>129.42297985644799</v>
      </c>
      <c r="E1591" s="116">
        <v>132.573726557073</v>
      </c>
      <c r="F1591" s="116">
        <v>134.9</v>
      </c>
      <c r="G1591">
        <v>318471</v>
      </c>
      <c r="H1591" s="116"/>
      <c r="I1591" s="116"/>
      <c r="L1591" s="170">
        <v>44349</v>
      </c>
      <c r="M1591" s="116">
        <v>130.76003019043199</v>
      </c>
      <c r="N1591" s="116">
        <v>135.414447282861</v>
      </c>
      <c r="O1591" s="116">
        <v>129.354008360427</v>
      </c>
      <c r="P1591" s="116">
        <v>131.87515095216</v>
      </c>
      <c r="Q1591" s="116">
        <v>134.85</v>
      </c>
      <c r="R1591">
        <v>4146211</v>
      </c>
    </row>
    <row r="1592" spans="1:18" x14ac:dyDescent="0.25">
      <c r="A1592" s="170">
        <v>44350</v>
      </c>
      <c r="B1592" s="116">
        <v>135.19126996989999</v>
      </c>
      <c r="C1592" s="116">
        <v>131.26495485065999</v>
      </c>
      <c r="D1592" s="116">
        <v>127.96878907154399</v>
      </c>
      <c r="E1592" s="116">
        <v>132.52525353090999</v>
      </c>
      <c r="F1592" s="116">
        <v>135.4</v>
      </c>
      <c r="G1592">
        <v>423127</v>
      </c>
      <c r="H1592" s="116"/>
      <c r="I1592" s="116"/>
      <c r="L1592" s="170">
        <v>44350</v>
      </c>
      <c r="M1592" s="116">
        <v>131.29334881560601</v>
      </c>
      <c r="N1592" s="116">
        <v>135.220513237343</v>
      </c>
      <c r="O1592" s="116">
        <v>129.83884347422199</v>
      </c>
      <c r="P1592" s="116">
        <v>131.87515095216</v>
      </c>
      <c r="Q1592" s="116">
        <v>135.4</v>
      </c>
      <c r="R1592">
        <v>5425154</v>
      </c>
    </row>
    <row r="1593" spans="1:18" x14ac:dyDescent="0.25">
      <c r="A1593" s="170">
        <v>44351</v>
      </c>
      <c r="B1593" s="116">
        <v>139.602315350776</v>
      </c>
      <c r="C1593" s="116">
        <v>132.67067260939999</v>
      </c>
      <c r="D1593" s="116">
        <v>131.119535772169</v>
      </c>
      <c r="E1593" s="116">
        <v>134.75501273442899</v>
      </c>
      <c r="F1593" s="116">
        <v>136.85</v>
      </c>
      <c r="G1593">
        <v>1297752</v>
      </c>
      <c r="H1593" s="116"/>
      <c r="I1593" s="116"/>
      <c r="L1593" s="170">
        <v>44351</v>
      </c>
      <c r="M1593" s="116">
        <v>132.650887134231</v>
      </c>
      <c r="N1593" s="116">
        <v>139.632512772875</v>
      </c>
      <c r="O1593" s="116">
        <v>131.147898281468</v>
      </c>
      <c r="P1593" s="116">
        <v>134.78416163492801</v>
      </c>
      <c r="Q1593" s="116">
        <v>136.80000000000001</v>
      </c>
      <c r="R1593">
        <v>19930452</v>
      </c>
    </row>
    <row r="1594" spans="1:18" x14ac:dyDescent="0.25">
      <c r="A1594" s="170">
        <v>44354</v>
      </c>
      <c r="B1594" s="116">
        <v>136.83935285945799</v>
      </c>
      <c r="C1594" s="116">
        <v>131.84663116462099</v>
      </c>
      <c r="D1594" s="116">
        <v>131.555793007641</v>
      </c>
      <c r="E1594" s="116">
        <v>135.53058115304501</v>
      </c>
      <c r="F1594" s="116">
        <v>136</v>
      </c>
      <c r="G1594">
        <v>755430</v>
      </c>
      <c r="H1594" s="116"/>
      <c r="I1594" s="116"/>
      <c r="L1594" s="170">
        <v>44354</v>
      </c>
      <c r="M1594" s="116">
        <v>131.82666744078</v>
      </c>
      <c r="N1594" s="116">
        <v>136.917436135625</v>
      </c>
      <c r="O1594" s="116">
        <v>131.63273339526199</v>
      </c>
      <c r="P1594" s="116">
        <v>134.78416163492801</v>
      </c>
      <c r="Q1594" s="116">
        <v>135.94999999999999</v>
      </c>
      <c r="R1594">
        <v>8250618</v>
      </c>
    </row>
    <row r="1595" spans="1:18" x14ac:dyDescent="0.25">
      <c r="A1595" s="170">
        <v>44355</v>
      </c>
      <c r="B1595" s="116">
        <v>133.591660106506</v>
      </c>
      <c r="C1595" s="116">
        <v>131.26495485065999</v>
      </c>
      <c r="D1595" s="116">
        <v>130.39244037971801</v>
      </c>
      <c r="E1595" s="116">
        <v>133.30082194952499</v>
      </c>
      <c r="F1595" s="116">
        <v>135.4</v>
      </c>
      <c r="G1595">
        <v>443250</v>
      </c>
      <c r="H1595" s="116"/>
      <c r="I1595" s="116"/>
      <c r="L1595" s="170">
        <v>44355</v>
      </c>
      <c r="M1595" s="116">
        <v>131.29334881560601</v>
      </c>
      <c r="N1595" s="116">
        <v>133.572073850441</v>
      </c>
      <c r="O1595" s="116">
        <v>130.42064561077601</v>
      </c>
      <c r="P1595" s="116">
        <v>132.553920111472</v>
      </c>
      <c r="Q1595" s="116">
        <v>135.4</v>
      </c>
      <c r="R1595">
        <v>3396546</v>
      </c>
    </row>
    <row r="1596" spans="1:18" x14ac:dyDescent="0.25">
      <c r="A1596" s="170">
        <v>44356</v>
      </c>
      <c r="B1596" s="116">
        <v>135.14279694373701</v>
      </c>
      <c r="C1596" s="116">
        <v>131.26495485065999</v>
      </c>
      <c r="D1596" s="116">
        <v>130.24702130122699</v>
      </c>
      <c r="E1596" s="116">
        <v>132.62219958323701</v>
      </c>
      <c r="F1596" s="116">
        <v>135.4</v>
      </c>
      <c r="G1596">
        <v>614922</v>
      </c>
      <c r="H1596" s="116"/>
      <c r="I1596" s="116"/>
      <c r="L1596" s="170">
        <v>44356</v>
      </c>
      <c r="M1596" s="116">
        <v>131.24486530422701</v>
      </c>
      <c r="N1596" s="116">
        <v>135.17202972596399</v>
      </c>
      <c r="O1596" s="116">
        <v>130.275195076637</v>
      </c>
      <c r="P1596" s="116">
        <v>132.650887134231</v>
      </c>
      <c r="Q1596" s="116">
        <v>135.35</v>
      </c>
      <c r="R1596">
        <v>5358071</v>
      </c>
    </row>
    <row r="1597" spans="1:18" x14ac:dyDescent="0.25">
      <c r="A1597" s="170">
        <v>44357</v>
      </c>
      <c r="B1597" s="116">
        <v>133.591660106506</v>
      </c>
      <c r="C1597" s="116">
        <v>132.62219958323701</v>
      </c>
      <c r="D1597" s="116">
        <v>131.45884695531399</v>
      </c>
      <c r="E1597" s="116">
        <v>131.84663116462099</v>
      </c>
      <c r="F1597" s="116">
        <v>136.80000000000001</v>
      </c>
      <c r="G1597">
        <v>380081</v>
      </c>
      <c r="H1597" s="116"/>
      <c r="I1597" s="116"/>
      <c r="L1597" s="170">
        <v>44357</v>
      </c>
      <c r="M1597" s="116">
        <v>132.699370645611</v>
      </c>
      <c r="N1597" s="116">
        <v>133.81449140733901</v>
      </c>
      <c r="O1597" s="116">
        <v>131.43879934974501</v>
      </c>
      <c r="P1597" s="116">
        <v>132.650887134231</v>
      </c>
      <c r="Q1597" s="116">
        <v>136.85</v>
      </c>
      <c r="R1597">
        <v>3127943</v>
      </c>
    </row>
    <row r="1598" spans="1:18" x14ac:dyDescent="0.25">
      <c r="A1598" s="170">
        <v>44358</v>
      </c>
      <c r="B1598" s="116">
        <v>133.834025237323</v>
      </c>
      <c r="C1598" s="116">
        <v>131.41037392915001</v>
      </c>
      <c r="D1598" s="116">
        <v>130.39244037971801</v>
      </c>
      <c r="E1598" s="116">
        <v>132.961510766381</v>
      </c>
      <c r="F1598" s="116">
        <v>135.55000000000001</v>
      </c>
      <c r="G1598">
        <v>202482</v>
      </c>
      <c r="H1598" s="116"/>
      <c r="I1598" s="116"/>
      <c r="L1598" s="170">
        <v>44358</v>
      </c>
      <c r="M1598" s="116">
        <v>131.34183232698601</v>
      </c>
      <c r="N1598" s="116">
        <v>133.95994194147701</v>
      </c>
      <c r="O1598" s="116">
        <v>130.323678588017</v>
      </c>
      <c r="P1598" s="116">
        <v>133.76600789595901</v>
      </c>
      <c r="Q1598" s="116">
        <v>135.44999999999999</v>
      </c>
      <c r="R1598">
        <v>2567640</v>
      </c>
    </row>
    <row r="1599" spans="1:18" x14ac:dyDescent="0.25">
      <c r="A1599" s="170">
        <v>44361</v>
      </c>
      <c r="B1599" s="116">
        <v>131.84663116462099</v>
      </c>
      <c r="C1599" s="116">
        <v>129.95618314424601</v>
      </c>
      <c r="D1599" s="116">
        <v>127.58100486223699</v>
      </c>
      <c r="E1599" s="116">
        <v>131.555793007641</v>
      </c>
      <c r="F1599" s="116">
        <v>134.05000000000001</v>
      </c>
      <c r="G1599">
        <v>522690</v>
      </c>
      <c r="H1599" s="116"/>
      <c r="I1599" s="116"/>
      <c r="L1599" s="170">
        <v>44361</v>
      </c>
      <c r="M1599" s="116">
        <v>129.98429400836</v>
      </c>
      <c r="N1599" s="116">
        <v>132.11756850905701</v>
      </c>
      <c r="O1599" s="116">
        <v>127.560118439387</v>
      </c>
      <c r="P1599" s="116">
        <v>132.069084997678</v>
      </c>
      <c r="Q1599" s="116">
        <v>134.05000000000001</v>
      </c>
      <c r="R1599">
        <v>3438764</v>
      </c>
    </row>
    <row r="1600" spans="1:18" x14ac:dyDescent="0.25">
      <c r="A1600" s="170">
        <v>44362</v>
      </c>
      <c r="B1600" s="116">
        <v>133.203875897198</v>
      </c>
      <c r="C1600" s="116">
        <v>132.23441537392901</v>
      </c>
      <c r="D1600" s="116">
        <v>130.00465617040999</v>
      </c>
      <c r="E1600" s="116">
        <v>130.58633248437101</v>
      </c>
      <c r="F1600" s="116">
        <v>136.4</v>
      </c>
      <c r="G1600">
        <v>326343</v>
      </c>
      <c r="H1600" s="116"/>
      <c r="I1600" s="116"/>
      <c r="L1600" s="170">
        <v>44362</v>
      </c>
      <c r="M1600" s="116">
        <v>132.31150255457499</v>
      </c>
      <c r="N1600" s="116">
        <v>133.28117278216399</v>
      </c>
      <c r="O1600" s="116">
        <v>129.98429400836</v>
      </c>
      <c r="P1600" s="116">
        <v>129.98429400836</v>
      </c>
      <c r="Q1600" s="116">
        <v>136.44999999999999</v>
      </c>
      <c r="R1600">
        <v>3017530</v>
      </c>
    </row>
    <row r="1601" spans="1:18" x14ac:dyDescent="0.25">
      <c r="A1601" s="170">
        <v>44363</v>
      </c>
      <c r="B1601" s="116">
        <v>133.15540287103499</v>
      </c>
      <c r="C1601" s="116">
        <v>131.26495485065999</v>
      </c>
      <c r="D1601" s="116">
        <v>130.537859458208</v>
      </c>
      <c r="E1601" s="116">
        <v>132.767618661727</v>
      </c>
      <c r="F1601" s="116">
        <v>135.4</v>
      </c>
      <c r="G1601">
        <v>115194</v>
      </c>
      <c r="H1601" s="116"/>
      <c r="I1601" s="116"/>
      <c r="L1601" s="170">
        <v>44363</v>
      </c>
      <c r="M1601" s="116">
        <v>131.050931258709</v>
      </c>
      <c r="N1601" s="116">
        <v>133.18420575940499</v>
      </c>
      <c r="O1601" s="116">
        <v>130.42064561077601</v>
      </c>
      <c r="P1601" s="116">
        <v>132.31150255457499</v>
      </c>
      <c r="Q1601" s="116">
        <v>135.15</v>
      </c>
      <c r="R1601">
        <v>1579350</v>
      </c>
    </row>
    <row r="1602" spans="1:18" x14ac:dyDescent="0.25">
      <c r="A1602" s="170">
        <v>44364</v>
      </c>
      <c r="B1602" s="116">
        <v>131.361900902987</v>
      </c>
      <c r="C1602" s="116">
        <v>125.98139499884201</v>
      </c>
      <c r="D1602" s="116">
        <v>125.302772632554</v>
      </c>
      <c r="E1602" s="116">
        <v>129.03519564714099</v>
      </c>
      <c r="F1602" s="116">
        <v>129.94999999999999</v>
      </c>
      <c r="G1602">
        <v>362816</v>
      </c>
      <c r="H1602" s="116"/>
      <c r="I1602" s="116"/>
      <c r="L1602" s="170">
        <v>44364</v>
      </c>
      <c r="M1602" s="116">
        <v>125.863195541105</v>
      </c>
      <c r="N1602" s="116">
        <v>131.39031583836501</v>
      </c>
      <c r="O1602" s="116">
        <v>125.28139340455201</v>
      </c>
      <c r="P1602" s="116">
        <v>129.257041337668</v>
      </c>
      <c r="Q1602" s="116">
        <v>129.80000000000001</v>
      </c>
      <c r="R1602">
        <v>3020804</v>
      </c>
    </row>
    <row r="1603" spans="1:18" x14ac:dyDescent="0.25">
      <c r="A1603" s="170">
        <v>44365</v>
      </c>
      <c r="B1603" s="116">
        <v>132.91303774021799</v>
      </c>
      <c r="C1603" s="116">
        <v>131.313427876823</v>
      </c>
      <c r="D1603" s="116">
        <v>117.644034498727</v>
      </c>
      <c r="E1603" s="116">
        <v>126.07834105116901</v>
      </c>
      <c r="F1603" s="116">
        <v>135.44999999999999</v>
      </c>
      <c r="G1603">
        <v>971639</v>
      </c>
      <c r="H1603" s="116"/>
      <c r="I1603" s="116"/>
      <c r="L1603" s="170">
        <v>44365</v>
      </c>
      <c r="M1603" s="116">
        <v>131.147898281468</v>
      </c>
      <c r="N1603" s="116">
        <v>133.08723873664701</v>
      </c>
      <c r="O1603" s="116">
        <v>121.208778448676</v>
      </c>
      <c r="P1603" s="116">
        <v>126.444997677659</v>
      </c>
      <c r="Q1603" s="116">
        <v>135.25</v>
      </c>
      <c r="R1603">
        <v>7008318</v>
      </c>
    </row>
    <row r="1604" spans="1:18" x14ac:dyDescent="0.25">
      <c r="A1604" s="170">
        <v>44368</v>
      </c>
      <c r="B1604" s="116">
        <v>130.39244037971801</v>
      </c>
      <c r="C1604" s="116">
        <v>129.61687196110199</v>
      </c>
      <c r="D1604" s="116">
        <v>127.33863973141899</v>
      </c>
      <c r="E1604" s="116">
        <v>129.13214169946701</v>
      </c>
      <c r="F1604" s="116">
        <v>133.69999999999999</v>
      </c>
      <c r="G1604">
        <v>386069</v>
      </c>
      <c r="H1604" s="116"/>
      <c r="I1604" s="116"/>
      <c r="L1604" s="170">
        <v>44368</v>
      </c>
      <c r="M1604" s="116">
        <v>129.69339294008401</v>
      </c>
      <c r="N1604" s="116">
        <v>130.56609614491401</v>
      </c>
      <c r="O1604" s="116">
        <v>127.36618439386901</v>
      </c>
      <c r="P1604" s="116">
        <v>128.96614026939201</v>
      </c>
      <c r="Q1604" s="116">
        <v>133.75</v>
      </c>
      <c r="R1604">
        <v>1817586</v>
      </c>
    </row>
    <row r="1605" spans="1:18" x14ac:dyDescent="0.25">
      <c r="A1605" s="170">
        <v>44369</v>
      </c>
      <c r="B1605" s="116">
        <v>136.500041676314</v>
      </c>
      <c r="C1605" s="116">
        <v>135.676000231535</v>
      </c>
      <c r="D1605" s="116">
        <v>129.907710118083</v>
      </c>
      <c r="E1605" s="116">
        <v>129.907710118083</v>
      </c>
      <c r="F1605" s="116">
        <v>139.94999999999999</v>
      </c>
      <c r="G1605">
        <v>488132</v>
      </c>
      <c r="H1605" s="116"/>
      <c r="I1605" s="116"/>
      <c r="L1605" s="170">
        <v>44369</v>
      </c>
      <c r="M1605" s="116">
        <v>135.80231537389699</v>
      </c>
      <c r="N1605" s="116">
        <v>136.57805155596799</v>
      </c>
      <c r="O1605" s="116">
        <v>130.42064561077601</v>
      </c>
      <c r="P1605" s="116">
        <v>131.39031583836501</v>
      </c>
      <c r="Q1605" s="116">
        <v>140.05000000000001</v>
      </c>
      <c r="R1605">
        <v>7508845</v>
      </c>
    </row>
    <row r="1606" spans="1:18" x14ac:dyDescent="0.25">
      <c r="A1606" s="170">
        <v>44370</v>
      </c>
      <c r="B1606" s="116">
        <v>141.54123639731401</v>
      </c>
      <c r="C1606" s="116">
        <v>138.34201667052599</v>
      </c>
      <c r="D1606" s="116">
        <v>136.354622597824</v>
      </c>
      <c r="E1606" s="116">
        <v>141.444290344987</v>
      </c>
      <c r="F1606" s="116">
        <v>142.69999999999999</v>
      </c>
      <c r="G1606">
        <v>599021</v>
      </c>
      <c r="H1606" s="116"/>
      <c r="I1606" s="116"/>
      <c r="L1606" s="170">
        <v>44370</v>
      </c>
      <c r="M1606" s="116">
        <v>138.42042498838799</v>
      </c>
      <c r="N1606" s="116">
        <v>141.52336971667401</v>
      </c>
      <c r="O1606" s="116">
        <v>136.33563399907101</v>
      </c>
      <c r="P1606" s="116">
        <v>139.584029261496</v>
      </c>
      <c r="Q1606" s="116">
        <v>142.75</v>
      </c>
      <c r="R1606">
        <v>11319951</v>
      </c>
    </row>
    <row r="1607" spans="1:18" x14ac:dyDescent="0.25">
      <c r="A1607" s="170">
        <v>44371</v>
      </c>
      <c r="B1607" s="116">
        <v>142.80153507756401</v>
      </c>
      <c r="C1607" s="116">
        <v>141.34734429266001</v>
      </c>
      <c r="D1607" s="116">
        <v>137.66339430423699</v>
      </c>
      <c r="E1607" s="116">
        <v>140.038572586247</v>
      </c>
      <c r="F1607" s="116">
        <v>145.80000000000001</v>
      </c>
      <c r="G1607">
        <v>271107</v>
      </c>
      <c r="H1607" s="116"/>
      <c r="I1607" s="116"/>
      <c r="L1607" s="170">
        <v>44371</v>
      </c>
      <c r="M1607" s="116">
        <v>141.32943567115601</v>
      </c>
      <c r="N1607" s="116">
        <v>143.026358569438</v>
      </c>
      <c r="O1607" s="116">
        <v>137.693172317696</v>
      </c>
      <c r="P1607" s="116">
        <v>139.584029261496</v>
      </c>
      <c r="Q1607" s="116">
        <v>145.75</v>
      </c>
      <c r="R1607">
        <v>4478624</v>
      </c>
    </row>
    <row r="1608" spans="1:18" x14ac:dyDescent="0.25">
      <c r="A1608" s="170">
        <v>44372</v>
      </c>
      <c r="B1608" s="116">
        <v>146.00075480435299</v>
      </c>
      <c r="C1608" s="116">
        <v>142.898481129891</v>
      </c>
      <c r="D1608" s="116">
        <v>140.52330284788101</v>
      </c>
      <c r="E1608" s="116">
        <v>142.02596665894899</v>
      </c>
      <c r="F1608" s="116">
        <v>147.4</v>
      </c>
      <c r="G1608">
        <v>1062595</v>
      </c>
      <c r="H1608" s="116"/>
      <c r="I1608" s="116"/>
      <c r="L1608" s="170">
        <v>44372</v>
      </c>
      <c r="M1608" s="116">
        <v>142.977875058058</v>
      </c>
      <c r="N1608" s="116">
        <v>146.12930329772399</v>
      </c>
      <c r="O1608" s="116">
        <v>140.65066651184401</v>
      </c>
      <c r="P1608" s="116">
        <v>142.29910589874601</v>
      </c>
      <c r="Q1608" s="116">
        <v>147.44999999999999</v>
      </c>
      <c r="R1608">
        <v>10382312</v>
      </c>
    </row>
    <row r="1609" spans="1:18" x14ac:dyDescent="0.25">
      <c r="A1609" s="170">
        <v>44375</v>
      </c>
      <c r="B1609" s="116">
        <v>143.81946862699701</v>
      </c>
      <c r="C1609" s="116">
        <v>140.91108705718901</v>
      </c>
      <c r="D1609" s="116">
        <v>138.584381801343</v>
      </c>
      <c r="E1609" s="116">
        <v>143.81946862699701</v>
      </c>
      <c r="F1609" s="116">
        <v>145.35</v>
      </c>
      <c r="G1609">
        <v>420683</v>
      </c>
      <c r="H1609" s="116"/>
      <c r="I1609" s="116"/>
      <c r="L1609" s="170">
        <v>44375</v>
      </c>
      <c r="M1609" s="116">
        <v>141.183985137018</v>
      </c>
      <c r="N1609" s="116">
        <v>143.89906177426801</v>
      </c>
      <c r="O1609" s="116">
        <v>138.56587552252699</v>
      </c>
      <c r="P1609" s="116">
        <v>143.51119368323299</v>
      </c>
      <c r="Q1609" s="116">
        <v>145.6</v>
      </c>
      <c r="R1609">
        <v>4193740</v>
      </c>
    </row>
    <row r="1610" spans="1:18" x14ac:dyDescent="0.25">
      <c r="A1610" s="170">
        <v>44376</v>
      </c>
      <c r="B1610" s="116">
        <v>142.898481129891</v>
      </c>
      <c r="C1610" s="116">
        <v>138.05117851354501</v>
      </c>
      <c r="D1610" s="116">
        <v>137.61492127807401</v>
      </c>
      <c r="E1610" s="116">
        <v>142.898481129891</v>
      </c>
      <c r="F1610" s="116">
        <v>142.4</v>
      </c>
      <c r="G1610">
        <v>282364</v>
      </c>
      <c r="H1610" s="116"/>
      <c r="I1610" s="116"/>
      <c r="L1610" s="170">
        <v>44376</v>
      </c>
      <c r="M1610" s="116">
        <v>138.12952392011101</v>
      </c>
      <c r="N1610" s="116">
        <v>143.07484208081701</v>
      </c>
      <c r="O1610" s="116">
        <v>137.693172317696</v>
      </c>
      <c r="P1610" s="116">
        <v>143.026358569438</v>
      </c>
      <c r="Q1610" s="116">
        <v>142.44999999999999</v>
      </c>
      <c r="R1610">
        <v>3409231</v>
      </c>
    </row>
    <row r="1611" spans="1:18" x14ac:dyDescent="0.25">
      <c r="A1611" s="170">
        <v>44377</v>
      </c>
      <c r="B1611" s="116">
        <v>140.76566797869901</v>
      </c>
      <c r="C1611" s="116">
        <v>136.98477193794901</v>
      </c>
      <c r="D1611" s="116">
        <v>136.59698772864101</v>
      </c>
      <c r="E1611" s="116">
        <v>139.990099560083</v>
      </c>
      <c r="F1611" s="116">
        <v>141.30000000000001</v>
      </c>
      <c r="G1611">
        <v>285927</v>
      </c>
      <c r="H1611" s="116"/>
      <c r="I1611" s="116"/>
      <c r="L1611" s="170">
        <v>44377</v>
      </c>
      <c r="M1611" s="116">
        <v>137.15985369252201</v>
      </c>
      <c r="N1611" s="116">
        <v>140.79611704598199</v>
      </c>
      <c r="O1611" s="116">
        <v>136.62653506734799</v>
      </c>
      <c r="P1611" s="116">
        <v>138.662842545286</v>
      </c>
      <c r="Q1611" s="116">
        <v>141.44999999999999</v>
      </c>
      <c r="R1611">
        <v>2872284</v>
      </c>
    </row>
    <row r="1612" spans="1:18" x14ac:dyDescent="0.25">
      <c r="A1612" s="170">
        <v>44378</v>
      </c>
      <c r="B1612" s="116">
        <v>138.390489696689</v>
      </c>
      <c r="C1612" s="116">
        <v>136.88782588562199</v>
      </c>
      <c r="D1612" s="116">
        <v>136.112257467006</v>
      </c>
      <c r="E1612" s="116">
        <v>138.09965153970799</v>
      </c>
      <c r="F1612" s="116">
        <v>141.19999999999999</v>
      </c>
      <c r="G1612">
        <v>181784</v>
      </c>
      <c r="H1612" s="116"/>
      <c r="I1612" s="116"/>
      <c r="L1612" s="170">
        <v>44378</v>
      </c>
      <c r="M1612" s="116">
        <v>136.965919647004</v>
      </c>
      <c r="N1612" s="116">
        <v>138.37194147700899</v>
      </c>
      <c r="O1612" s="116">
        <v>136.238666976312</v>
      </c>
      <c r="P1612" s="116">
        <v>137.20833720390101</v>
      </c>
      <c r="Q1612" s="116">
        <v>141.25</v>
      </c>
      <c r="R1612">
        <v>1353086</v>
      </c>
    </row>
    <row r="1613" spans="1:18" x14ac:dyDescent="0.25">
      <c r="A1613" s="170">
        <v>44379</v>
      </c>
      <c r="B1613" s="116">
        <v>139.45689627228501</v>
      </c>
      <c r="C1613" s="116">
        <v>138.48743574901599</v>
      </c>
      <c r="D1613" s="116">
        <v>136.06378444084299</v>
      </c>
      <c r="E1613" s="116">
        <v>136.98477193794901</v>
      </c>
      <c r="F1613" s="116">
        <v>142.85</v>
      </c>
      <c r="G1613">
        <v>96937</v>
      </c>
      <c r="H1613" s="116"/>
      <c r="I1613" s="116"/>
      <c r="L1613" s="170">
        <v>44379</v>
      </c>
      <c r="M1613" s="116">
        <v>138.614359033906</v>
      </c>
      <c r="N1613" s="116">
        <v>139.584029261496</v>
      </c>
      <c r="O1613" s="116">
        <v>135.99624941941499</v>
      </c>
      <c r="P1613" s="116">
        <v>136.965919647004</v>
      </c>
      <c r="Q1613" s="116">
        <v>142.94999999999999</v>
      </c>
      <c r="R1613">
        <v>1899121</v>
      </c>
    </row>
    <row r="1614" spans="1:18" x14ac:dyDescent="0.25">
      <c r="A1614" s="170">
        <v>44382</v>
      </c>
      <c r="B1614" s="116">
        <v>142.80153507756401</v>
      </c>
      <c r="C1614" s="116">
        <v>142.21985876360301</v>
      </c>
      <c r="D1614" s="116">
        <v>138.92369298448699</v>
      </c>
      <c r="E1614" s="116">
        <v>140.28093771706401</v>
      </c>
      <c r="F1614" s="116">
        <v>146.69999999999999</v>
      </c>
      <c r="G1614">
        <v>175357</v>
      </c>
      <c r="H1614" s="116"/>
      <c r="I1614" s="116"/>
      <c r="L1614" s="170">
        <v>44382</v>
      </c>
      <c r="M1614" s="116">
        <v>142.29910589874601</v>
      </c>
      <c r="N1614" s="116">
        <v>142.83242452392</v>
      </c>
      <c r="O1614" s="116">
        <v>138.95374361356201</v>
      </c>
      <c r="P1614" s="116">
        <v>139.632512772875</v>
      </c>
      <c r="Q1614" s="116">
        <v>146.75</v>
      </c>
      <c r="R1614">
        <v>3431552</v>
      </c>
    </row>
    <row r="1615" spans="1:18" x14ac:dyDescent="0.25">
      <c r="A1615" s="170">
        <v>44383</v>
      </c>
      <c r="B1615" s="116">
        <v>146.00075480435299</v>
      </c>
      <c r="C1615" s="116">
        <v>143.383211391526</v>
      </c>
      <c r="D1615" s="116">
        <v>141.298871266497</v>
      </c>
      <c r="E1615" s="116">
        <v>142.31680481593</v>
      </c>
      <c r="F1615" s="116">
        <v>147.9</v>
      </c>
      <c r="G1615">
        <v>359781</v>
      </c>
      <c r="H1615" s="116"/>
      <c r="I1615" s="116"/>
      <c r="L1615" s="170">
        <v>44383</v>
      </c>
      <c r="M1615" s="116">
        <v>142.8809080353</v>
      </c>
      <c r="N1615" s="116">
        <v>146.08081978634499</v>
      </c>
      <c r="O1615" s="116">
        <v>141.183985137018</v>
      </c>
      <c r="P1615" s="116">
        <v>141.377919182536</v>
      </c>
      <c r="Q1615" s="116">
        <v>147.35</v>
      </c>
      <c r="R1615">
        <v>5207348</v>
      </c>
    </row>
    <row r="1616" spans="1:18" x14ac:dyDescent="0.25">
      <c r="A1616" s="170">
        <v>44384</v>
      </c>
      <c r="B1616" s="116">
        <v>152.447667284094</v>
      </c>
      <c r="C1616" s="116">
        <v>147.79425677240101</v>
      </c>
      <c r="D1616" s="116">
        <v>141.39581731882399</v>
      </c>
      <c r="E1616" s="116">
        <v>143.28626533919899</v>
      </c>
      <c r="F1616" s="116">
        <v>152.44999999999999</v>
      </c>
      <c r="G1616">
        <v>1169580</v>
      </c>
      <c r="H1616" s="116"/>
      <c r="I1616" s="116"/>
      <c r="L1616" s="170">
        <v>44384</v>
      </c>
      <c r="M1616" s="116">
        <v>147.72925917324699</v>
      </c>
      <c r="N1616" s="116">
        <v>152.52912679981401</v>
      </c>
      <c r="O1616" s="116">
        <v>141.32943567115601</v>
      </c>
      <c r="P1616" s="116">
        <v>142.929391546679</v>
      </c>
      <c r="Q1616" s="116">
        <v>152.35</v>
      </c>
      <c r="R1616">
        <v>17604371</v>
      </c>
    </row>
    <row r="1617" spans="1:18" x14ac:dyDescent="0.25">
      <c r="A1617" s="170">
        <v>44385</v>
      </c>
      <c r="B1617" s="116">
        <v>150.169435054411</v>
      </c>
      <c r="C1617" s="116">
        <v>145.85533572586201</v>
      </c>
      <c r="D1617" s="116">
        <v>144.44961796712201</v>
      </c>
      <c r="E1617" s="116">
        <v>150.169435054411</v>
      </c>
      <c r="F1617" s="116">
        <v>150.44999999999999</v>
      </c>
      <c r="G1617">
        <v>511873</v>
      </c>
      <c r="H1617" s="116"/>
      <c r="I1617" s="116"/>
      <c r="L1617" s="170">
        <v>44385</v>
      </c>
      <c r="M1617" s="116">
        <v>145.93536925220599</v>
      </c>
      <c r="N1617" s="116">
        <v>150.29888527635899</v>
      </c>
      <c r="O1617" s="116">
        <v>144.43238039944299</v>
      </c>
      <c r="P1617" s="116">
        <v>150.25040176497899</v>
      </c>
      <c r="Q1617" s="116">
        <v>150.5</v>
      </c>
      <c r="R1617">
        <v>6229561</v>
      </c>
    </row>
    <row r="1618" spans="1:18" x14ac:dyDescent="0.25">
      <c r="A1618" s="170">
        <v>44386</v>
      </c>
      <c r="B1618" s="116">
        <v>148.327460060199</v>
      </c>
      <c r="C1618" s="116">
        <v>143.383211391526</v>
      </c>
      <c r="D1618" s="116">
        <v>142.85000810372799</v>
      </c>
      <c r="E1618" s="116">
        <v>148.327460060199</v>
      </c>
      <c r="F1618" s="116">
        <v>147.9</v>
      </c>
      <c r="G1618">
        <v>293123</v>
      </c>
      <c r="H1618" s="116"/>
      <c r="I1618" s="116"/>
      <c r="L1618" s="170">
        <v>44386</v>
      </c>
      <c r="M1618" s="116">
        <v>143.51119368323299</v>
      </c>
      <c r="N1618" s="116">
        <v>147.87470970738499</v>
      </c>
      <c r="O1618" s="116">
        <v>142.73545750116099</v>
      </c>
      <c r="P1618" s="116">
        <v>145.25660009289399</v>
      </c>
      <c r="Q1618" s="116">
        <v>148</v>
      </c>
      <c r="R1618">
        <v>3987607</v>
      </c>
    </row>
    <row r="1619" spans="1:18" x14ac:dyDescent="0.25">
      <c r="A1619" s="170">
        <v>44389</v>
      </c>
      <c r="B1619" s="116">
        <v>146.97021532762199</v>
      </c>
      <c r="C1619" s="116">
        <v>143.67404954850701</v>
      </c>
      <c r="D1619" s="116">
        <v>141.686655475805</v>
      </c>
      <c r="E1619" s="116">
        <v>144.595037045612</v>
      </c>
      <c r="F1619" s="116">
        <v>148.19999999999999</v>
      </c>
      <c r="G1619">
        <v>202633</v>
      </c>
      <c r="H1619" s="116"/>
      <c r="I1619" s="116"/>
      <c r="L1619" s="170">
        <v>44389</v>
      </c>
      <c r="M1619" s="116">
        <v>143.46271017185299</v>
      </c>
      <c r="N1619" s="116">
        <v>147.00200650255499</v>
      </c>
      <c r="O1619" s="116">
        <v>141.66882025081301</v>
      </c>
      <c r="P1619" s="116">
        <v>145.15963307013499</v>
      </c>
      <c r="Q1619" s="116">
        <v>147.94999999999999</v>
      </c>
      <c r="R1619">
        <v>3457439</v>
      </c>
    </row>
    <row r="1620" spans="1:18" x14ac:dyDescent="0.25">
      <c r="A1620" s="170">
        <v>44390</v>
      </c>
      <c r="B1620" s="116">
        <v>147.35799953693001</v>
      </c>
      <c r="C1620" s="116">
        <v>146.14617388284299</v>
      </c>
      <c r="D1620" s="116">
        <v>143.48015744385299</v>
      </c>
      <c r="E1620" s="116">
        <v>145.225186385737</v>
      </c>
      <c r="F1620" s="116">
        <v>150.75</v>
      </c>
      <c r="G1620">
        <v>464809</v>
      </c>
      <c r="H1620" s="116"/>
      <c r="I1620" s="116"/>
      <c r="L1620" s="170">
        <v>44390</v>
      </c>
      <c r="M1620" s="116">
        <v>146.12930329772399</v>
      </c>
      <c r="N1620" s="116">
        <v>147.43835810497001</v>
      </c>
      <c r="O1620" s="116">
        <v>143.36574314909399</v>
      </c>
      <c r="P1620" s="116">
        <v>144.91721551323701</v>
      </c>
      <c r="Q1620" s="116">
        <v>150.69999999999999</v>
      </c>
      <c r="R1620">
        <v>6409556</v>
      </c>
    </row>
    <row r="1621" spans="1:18" x14ac:dyDescent="0.25">
      <c r="A1621" s="170">
        <v>44391</v>
      </c>
      <c r="B1621" s="116">
        <v>147.30952651076601</v>
      </c>
      <c r="C1621" s="116">
        <v>144.207252836305</v>
      </c>
      <c r="D1621" s="116">
        <v>143.43168441768901</v>
      </c>
      <c r="E1621" s="116">
        <v>146.38853901366099</v>
      </c>
      <c r="F1621" s="116">
        <v>148.75</v>
      </c>
      <c r="G1621">
        <v>235525</v>
      </c>
      <c r="H1621" s="116"/>
      <c r="I1621" s="116"/>
      <c r="L1621" s="170">
        <v>44391</v>
      </c>
      <c r="M1621" s="116">
        <v>144.28692986530399</v>
      </c>
      <c r="N1621" s="116">
        <v>147.341391082211</v>
      </c>
      <c r="O1621" s="116">
        <v>143.46271017185299</v>
      </c>
      <c r="P1621" s="116">
        <v>146.12930329772399</v>
      </c>
      <c r="Q1621" s="116">
        <v>148.80000000000001</v>
      </c>
      <c r="R1621">
        <v>2396343</v>
      </c>
    </row>
    <row r="1622" spans="1:18" x14ac:dyDescent="0.25">
      <c r="A1622" s="170">
        <v>44392</v>
      </c>
      <c r="B1622" s="116">
        <v>146.77632322296799</v>
      </c>
      <c r="C1622" s="116">
        <v>145.32213243806399</v>
      </c>
      <c r="D1622" s="116">
        <v>144.64351007177601</v>
      </c>
      <c r="E1622" s="116">
        <v>146.48548506598701</v>
      </c>
      <c r="F1622" s="116">
        <v>149.9</v>
      </c>
      <c r="G1622">
        <v>105385</v>
      </c>
      <c r="H1622" s="116"/>
      <c r="I1622" s="116"/>
      <c r="L1622" s="170">
        <v>44392</v>
      </c>
      <c r="M1622" s="116">
        <v>145.35356711565299</v>
      </c>
      <c r="N1622" s="116">
        <v>146.85655596841599</v>
      </c>
      <c r="O1622" s="116">
        <v>144.48086391082199</v>
      </c>
      <c r="P1622" s="116">
        <v>145.30508360427299</v>
      </c>
      <c r="Q1622" s="116">
        <v>149.9</v>
      </c>
      <c r="R1622">
        <v>2374009</v>
      </c>
    </row>
    <row r="1623" spans="1:18" x14ac:dyDescent="0.25">
      <c r="A1623" s="170">
        <v>44393</v>
      </c>
      <c r="B1623" s="116">
        <v>150.12096202824699</v>
      </c>
      <c r="C1623" s="116">
        <v>148.18204098170901</v>
      </c>
      <c r="D1623" s="116">
        <v>144.74045612410299</v>
      </c>
      <c r="E1623" s="116">
        <v>145.85533572586201</v>
      </c>
      <c r="F1623" s="116">
        <v>152.85</v>
      </c>
      <c r="G1623">
        <v>190696</v>
      </c>
      <c r="H1623" s="116"/>
      <c r="I1623" s="116"/>
      <c r="L1623" s="170">
        <v>44393</v>
      </c>
      <c r="M1623" s="116">
        <v>148.21409428704101</v>
      </c>
      <c r="N1623" s="116">
        <v>150.20191825360001</v>
      </c>
      <c r="O1623" s="116">
        <v>144.577830933581</v>
      </c>
      <c r="P1623" s="116">
        <v>145.35356711565299</v>
      </c>
      <c r="Q1623" s="116">
        <v>152.85</v>
      </c>
      <c r="R1623">
        <v>4146959</v>
      </c>
    </row>
    <row r="1624" spans="1:18" x14ac:dyDescent="0.25">
      <c r="A1624" s="170">
        <v>44396</v>
      </c>
      <c r="B1624" s="116">
        <v>147.01868835378599</v>
      </c>
      <c r="C1624" s="116">
        <v>145.51602454271799</v>
      </c>
      <c r="D1624" s="116">
        <v>143.770995600834</v>
      </c>
      <c r="E1624" s="116">
        <v>146.873269275295</v>
      </c>
      <c r="F1624" s="116">
        <v>150.1</v>
      </c>
      <c r="G1624">
        <v>136227</v>
      </c>
      <c r="H1624" s="116"/>
      <c r="I1624" s="116"/>
      <c r="L1624" s="170">
        <v>44396</v>
      </c>
      <c r="M1624" s="116">
        <v>145.64446818392901</v>
      </c>
      <c r="N1624" s="116">
        <v>146.95352299117499</v>
      </c>
      <c r="O1624" s="116">
        <v>143.656644217371</v>
      </c>
      <c r="P1624" s="116">
        <v>146.420204366001</v>
      </c>
      <c r="Q1624" s="116">
        <v>150.19999999999999</v>
      </c>
      <c r="R1624">
        <v>1995715</v>
      </c>
    </row>
    <row r="1625" spans="1:18" x14ac:dyDescent="0.25">
      <c r="A1625" s="170">
        <v>44397</v>
      </c>
      <c r="B1625" s="116">
        <v>145.51602454271799</v>
      </c>
      <c r="C1625" s="116">
        <v>138.68132785367001</v>
      </c>
      <c r="D1625" s="116">
        <v>137.954232461218</v>
      </c>
      <c r="E1625" s="116">
        <v>145.51602454271799</v>
      </c>
      <c r="F1625" s="116">
        <v>143.05000000000001</v>
      </c>
      <c r="G1625">
        <v>319570</v>
      </c>
      <c r="H1625" s="116"/>
      <c r="I1625" s="116"/>
      <c r="L1625" s="170">
        <v>44397</v>
      </c>
      <c r="M1625" s="116">
        <v>138.662842545286</v>
      </c>
      <c r="N1625" s="116">
        <v>145.06266604737601</v>
      </c>
      <c r="O1625" s="116">
        <v>137.693172317696</v>
      </c>
      <c r="P1625" s="116">
        <v>144.96569902461701</v>
      </c>
      <c r="Q1625" s="116">
        <v>143</v>
      </c>
      <c r="R1625">
        <v>5423772</v>
      </c>
    </row>
    <row r="1626" spans="1:18" x14ac:dyDescent="0.25">
      <c r="A1626" s="170">
        <v>44399</v>
      </c>
      <c r="B1626" s="116">
        <v>142.753062051401</v>
      </c>
      <c r="C1626" s="116">
        <v>141.444290344987</v>
      </c>
      <c r="D1626" s="116">
        <v>139.796207455429</v>
      </c>
      <c r="E1626" s="116">
        <v>140.57177587404499</v>
      </c>
      <c r="F1626" s="116">
        <v>145.9</v>
      </c>
      <c r="G1626">
        <v>216541</v>
      </c>
      <c r="H1626" s="116"/>
      <c r="I1626" s="116"/>
      <c r="L1626" s="170">
        <v>44399</v>
      </c>
      <c r="M1626" s="116">
        <v>141.47488620529501</v>
      </c>
      <c r="N1626" s="116">
        <v>142.977875058058</v>
      </c>
      <c r="O1626" s="116">
        <v>139.14767765907999</v>
      </c>
      <c r="P1626" s="116">
        <v>140.65066651184401</v>
      </c>
      <c r="Q1626" s="116">
        <v>145.9</v>
      </c>
      <c r="R1626">
        <v>2878011</v>
      </c>
    </row>
    <row r="1627" spans="1:18" x14ac:dyDescent="0.25">
      <c r="A1627" s="170">
        <v>44400</v>
      </c>
      <c r="B1627" s="116">
        <v>142.753062051401</v>
      </c>
      <c r="C1627" s="116">
        <v>142.26833178976599</v>
      </c>
      <c r="D1627" s="116">
        <v>140.862614031026</v>
      </c>
      <c r="E1627" s="116">
        <v>141.54123639731401</v>
      </c>
      <c r="F1627" s="116">
        <v>146.75</v>
      </c>
      <c r="G1627">
        <v>79147</v>
      </c>
      <c r="H1627" s="116"/>
      <c r="I1627" s="116"/>
      <c r="L1627" s="170">
        <v>44400</v>
      </c>
      <c r="M1627" s="116">
        <v>142.34758941012501</v>
      </c>
      <c r="N1627" s="116">
        <v>142.929391546679</v>
      </c>
      <c r="O1627" s="116">
        <v>140.89308406874099</v>
      </c>
      <c r="P1627" s="116">
        <v>141.57185322805401</v>
      </c>
      <c r="Q1627" s="116">
        <v>146.80000000000001</v>
      </c>
      <c r="R1627">
        <v>1976521</v>
      </c>
    </row>
    <row r="1628" spans="1:18" x14ac:dyDescent="0.25">
      <c r="A1628" s="170">
        <v>44403</v>
      </c>
      <c r="B1628" s="116">
        <v>144.158779810141</v>
      </c>
      <c r="C1628" s="116">
        <v>141.880547580458</v>
      </c>
      <c r="D1628" s="116">
        <v>140.668721926372</v>
      </c>
      <c r="E1628" s="116">
        <v>144.158779810141</v>
      </c>
      <c r="F1628" s="116">
        <v>146.35</v>
      </c>
      <c r="G1628">
        <v>406015</v>
      </c>
      <c r="H1628" s="116"/>
      <c r="I1628" s="116"/>
      <c r="L1628" s="170">
        <v>44403</v>
      </c>
      <c r="M1628" s="116">
        <v>141.91123780770999</v>
      </c>
      <c r="N1628" s="116">
        <v>143.41422666047399</v>
      </c>
      <c r="O1628" s="116">
        <v>140.60218300046401</v>
      </c>
      <c r="P1628" s="116">
        <v>143.41422666047399</v>
      </c>
      <c r="Q1628" s="116">
        <v>146.35</v>
      </c>
      <c r="R1628">
        <v>1759557</v>
      </c>
    </row>
    <row r="1629" spans="1:18" x14ac:dyDescent="0.25">
      <c r="A1629" s="170">
        <v>44404</v>
      </c>
      <c r="B1629" s="116">
        <v>144.69198309793899</v>
      </c>
      <c r="C1629" s="116">
        <v>143.91641467932399</v>
      </c>
      <c r="D1629" s="116">
        <v>141.880547580458</v>
      </c>
      <c r="E1629" s="116">
        <v>142.510696920583</v>
      </c>
      <c r="F1629" s="116">
        <v>148.44999999999999</v>
      </c>
      <c r="G1629">
        <v>101715</v>
      </c>
      <c r="H1629" s="116"/>
      <c r="I1629" s="116"/>
      <c r="L1629" s="170">
        <v>44404</v>
      </c>
      <c r="M1629" s="116">
        <v>143.89906177426801</v>
      </c>
      <c r="N1629" s="116">
        <v>144.86873200185801</v>
      </c>
      <c r="O1629" s="116">
        <v>141.57185322805401</v>
      </c>
      <c r="P1629" s="116">
        <v>141.57185322805401</v>
      </c>
      <c r="Q1629" s="116">
        <v>148.4</v>
      </c>
      <c r="R1629">
        <v>2407593</v>
      </c>
    </row>
    <row r="1630" spans="1:18" x14ac:dyDescent="0.25">
      <c r="A1630" s="170">
        <v>44405</v>
      </c>
      <c r="B1630" s="116">
        <v>143.48015744385299</v>
      </c>
      <c r="C1630" s="116">
        <v>141.83207455429499</v>
      </c>
      <c r="D1630" s="116">
        <v>138.87521995832401</v>
      </c>
      <c r="E1630" s="116">
        <v>143.09237323454499</v>
      </c>
      <c r="F1630" s="116">
        <v>146.30000000000001</v>
      </c>
      <c r="G1630">
        <v>398399</v>
      </c>
      <c r="H1630" s="116"/>
      <c r="I1630" s="116"/>
      <c r="L1630" s="170">
        <v>44405</v>
      </c>
      <c r="M1630" s="116">
        <v>141.86275429633099</v>
      </c>
      <c r="N1630" s="116">
        <v>144.23844635392501</v>
      </c>
      <c r="O1630" s="116">
        <v>138.85677659080301</v>
      </c>
      <c r="P1630" s="116">
        <v>143.89906177426801</v>
      </c>
      <c r="Q1630" s="116">
        <v>146.30000000000001</v>
      </c>
      <c r="R1630">
        <v>2407657</v>
      </c>
    </row>
    <row r="1631" spans="1:18" x14ac:dyDescent="0.25">
      <c r="A1631" s="170">
        <v>44406</v>
      </c>
      <c r="B1631" s="116">
        <v>144.44961796712201</v>
      </c>
      <c r="C1631" s="116">
        <v>143.48015744385299</v>
      </c>
      <c r="D1631" s="116">
        <v>142.26833178976599</v>
      </c>
      <c r="E1631" s="116">
        <v>143.28626533919899</v>
      </c>
      <c r="F1631" s="116">
        <v>148</v>
      </c>
      <c r="G1631">
        <v>80494</v>
      </c>
      <c r="H1631" s="116"/>
      <c r="I1631" s="116"/>
      <c r="L1631" s="170">
        <v>44406</v>
      </c>
      <c r="M1631" s="116">
        <v>143.51119368323299</v>
      </c>
      <c r="N1631" s="116">
        <v>144.38389688806299</v>
      </c>
      <c r="O1631" s="116">
        <v>142.008204830469</v>
      </c>
      <c r="P1631" s="116">
        <v>142.34758941012501</v>
      </c>
      <c r="Q1631" s="116">
        <v>148</v>
      </c>
      <c r="R1631">
        <v>1817073</v>
      </c>
    </row>
    <row r="1632" spans="1:18" x14ac:dyDescent="0.25">
      <c r="A1632" s="170">
        <v>44407</v>
      </c>
      <c r="B1632" s="116">
        <v>146.14617388284299</v>
      </c>
      <c r="C1632" s="116">
        <v>141.298871266497</v>
      </c>
      <c r="D1632" s="116">
        <v>139.35995021995799</v>
      </c>
      <c r="E1632" s="116">
        <v>143.48015744385299</v>
      </c>
      <c r="F1632" s="116">
        <v>145.75</v>
      </c>
      <c r="G1632">
        <v>156430</v>
      </c>
      <c r="H1632" s="116"/>
      <c r="I1632" s="116"/>
      <c r="L1632" s="170">
        <v>44407</v>
      </c>
      <c r="M1632" s="116">
        <v>140.69915002322301</v>
      </c>
      <c r="N1632" s="116">
        <v>146.226270320483</v>
      </c>
      <c r="O1632" s="116">
        <v>139.34161170459799</v>
      </c>
      <c r="P1632" s="116">
        <v>143.51119368323299</v>
      </c>
      <c r="Q1632" s="116">
        <v>145.1</v>
      </c>
      <c r="R1632">
        <v>5272697</v>
      </c>
    </row>
    <row r="1633" spans="1:18" x14ac:dyDescent="0.25">
      <c r="A1633" s="170">
        <v>44410</v>
      </c>
      <c r="B1633" s="116">
        <v>143.770995600834</v>
      </c>
      <c r="C1633" s="116">
        <v>142.898481129891</v>
      </c>
      <c r="D1633" s="116">
        <v>140.32941074322801</v>
      </c>
      <c r="E1633" s="116">
        <v>140.57177587404499</v>
      </c>
      <c r="F1633" s="116">
        <v>147.4</v>
      </c>
      <c r="G1633">
        <v>209899</v>
      </c>
      <c r="H1633" s="116"/>
      <c r="I1633" s="116"/>
      <c r="L1633" s="170">
        <v>44410</v>
      </c>
      <c r="M1633" s="116">
        <v>142.977875058058</v>
      </c>
      <c r="N1633" s="116">
        <v>143.850578262889</v>
      </c>
      <c r="O1633" s="116">
        <v>140.359765443567</v>
      </c>
      <c r="P1633" s="116">
        <v>140.65066651184401</v>
      </c>
      <c r="Q1633" s="116">
        <v>147.44999999999999</v>
      </c>
      <c r="R1633">
        <v>2326677</v>
      </c>
    </row>
    <row r="1634" spans="1:18" x14ac:dyDescent="0.25">
      <c r="A1634" s="170">
        <v>44411</v>
      </c>
      <c r="B1634" s="116">
        <v>144.30419888863199</v>
      </c>
      <c r="C1634" s="116">
        <v>143.62557652234301</v>
      </c>
      <c r="D1634" s="116">
        <v>141.78360152813201</v>
      </c>
      <c r="E1634" s="116">
        <v>143.72252257466999</v>
      </c>
      <c r="F1634" s="116">
        <v>148.15</v>
      </c>
      <c r="G1634">
        <v>78220</v>
      </c>
      <c r="H1634" s="116"/>
      <c r="I1634" s="116"/>
      <c r="L1634" s="170">
        <v>44411</v>
      </c>
      <c r="M1634" s="116">
        <v>143.70512772875099</v>
      </c>
      <c r="N1634" s="116">
        <v>144.38389688806299</v>
      </c>
      <c r="O1634" s="116">
        <v>141.71730376219199</v>
      </c>
      <c r="P1634" s="116">
        <v>142.73545750116099</v>
      </c>
      <c r="Q1634" s="116">
        <v>148.19999999999999</v>
      </c>
      <c r="R1634">
        <v>3014573</v>
      </c>
    </row>
    <row r="1635" spans="1:18" x14ac:dyDescent="0.25">
      <c r="A1635" s="170">
        <v>44412</v>
      </c>
      <c r="B1635" s="116">
        <v>144.54656401944899</v>
      </c>
      <c r="C1635" s="116">
        <v>141.15345218800601</v>
      </c>
      <c r="D1635" s="116">
        <v>140.668721926372</v>
      </c>
      <c r="E1635" s="116">
        <v>144.352671914795</v>
      </c>
      <c r="F1635" s="116">
        <v>145.6</v>
      </c>
      <c r="G1635">
        <v>175592</v>
      </c>
      <c r="H1635" s="116"/>
      <c r="I1635" s="116"/>
      <c r="L1635" s="170">
        <v>44412</v>
      </c>
      <c r="M1635" s="116">
        <v>141.183985137018</v>
      </c>
      <c r="N1635" s="116">
        <v>144.67479795634</v>
      </c>
      <c r="O1635" s="116">
        <v>140.60218300046401</v>
      </c>
      <c r="P1635" s="116">
        <v>144.18996284254499</v>
      </c>
      <c r="Q1635" s="116">
        <v>145.6</v>
      </c>
      <c r="R1635">
        <v>2566412</v>
      </c>
    </row>
    <row r="1636" spans="1:18" x14ac:dyDescent="0.25">
      <c r="A1636" s="170">
        <v>44413</v>
      </c>
      <c r="B1636" s="116">
        <v>141.63818244964099</v>
      </c>
      <c r="C1636" s="116">
        <v>140.37788376939099</v>
      </c>
      <c r="D1636" s="116">
        <v>138.390489696689</v>
      </c>
      <c r="E1636" s="116">
        <v>140.18399166473699</v>
      </c>
      <c r="F1636" s="116">
        <v>144.80000000000001</v>
      </c>
      <c r="G1636">
        <v>178589</v>
      </c>
      <c r="H1636" s="116"/>
      <c r="I1636" s="116"/>
      <c r="L1636" s="170">
        <v>44413</v>
      </c>
      <c r="M1636" s="116">
        <v>140.359765443567</v>
      </c>
      <c r="N1636" s="116">
        <v>141.71730376219199</v>
      </c>
      <c r="O1636" s="116">
        <v>138.32345796562899</v>
      </c>
      <c r="P1636" s="116">
        <v>141.183985137018</v>
      </c>
      <c r="Q1636" s="116">
        <v>144.75</v>
      </c>
      <c r="R1636">
        <v>1313833</v>
      </c>
    </row>
    <row r="1637" spans="1:18" x14ac:dyDescent="0.25">
      <c r="A1637" s="170">
        <v>44414</v>
      </c>
      <c r="B1637" s="116">
        <v>142.074439685112</v>
      </c>
      <c r="C1637" s="116">
        <v>140.37788376939099</v>
      </c>
      <c r="D1637" s="116">
        <v>140.08704561241001</v>
      </c>
      <c r="E1637" s="116">
        <v>140.37788376939099</v>
      </c>
      <c r="F1637" s="116">
        <v>144.80000000000001</v>
      </c>
      <c r="G1637">
        <v>101148</v>
      </c>
      <c r="H1637" s="116"/>
      <c r="I1637" s="116"/>
      <c r="L1637" s="170">
        <v>44414</v>
      </c>
      <c r="M1637" s="116">
        <v>140.50521597770501</v>
      </c>
      <c r="N1637" s="116">
        <v>142.056688341849</v>
      </c>
      <c r="O1637" s="116">
        <v>140.02038086391099</v>
      </c>
      <c r="P1637" s="116">
        <v>140.60218300046401</v>
      </c>
      <c r="Q1637" s="116">
        <v>144.9</v>
      </c>
      <c r="R1637">
        <v>893228</v>
      </c>
    </row>
    <row r="1638" spans="1:18" x14ac:dyDescent="0.25">
      <c r="A1638" s="170">
        <v>44417</v>
      </c>
      <c r="B1638" s="116">
        <v>141.15345218800601</v>
      </c>
      <c r="C1638" s="116">
        <v>139.020639036814</v>
      </c>
      <c r="D1638" s="116">
        <v>137.71186733040099</v>
      </c>
      <c r="E1638" s="116">
        <v>140.57177587404499</v>
      </c>
      <c r="F1638" s="116">
        <v>143.4</v>
      </c>
      <c r="G1638">
        <v>170654</v>
      </c>
      <c r="H1638" s="116"/>
      <c r="I1638" s="116"/>
      <c r="L1638" s="170">
        <v>44417</v>
      </c>
      <c r="M1638" s="116">
        <v>139.00222712494201</v>
      </c>
      <c r="N1638" s="116">
        <v>141.232468648398</v>
      </c>
      <c r="O1638" s="116">
        <v>137.838622851835</v>
      </c>
      <c r="P1638" s="116">
        <v>140.60218300046401</v>
      </c>
      <c r="Q1638" s="116">
        <v>143.35</v>
      </c>
      <c r="R1638">
        <v>1418087</v>
      </c>
    </row>
    <row r="1639" spans="1:18" x14ac:dyDescent="0.25">
      <c r="A1639" s="170">
        <v>44418</v>
      </c>
      <c r="B1639" s="116">
        <v>142.85000810372799</v>
      </c>
      <c r="C1639" s="116">
        <v>138.24507061819901</v>
      </c>
      <c r="D1639" s="116">
        <v>136.01531141467899</v>
      </c>
      <c r="E1639" s="116">
        <v>136.936298911785</v>
      </c>
      <c r="F1639" s="116">
        <v>142.6</v>
      </c>
      <c r="G1639">
        <v>453122</v>
      </c>
      <c r="H1639" s="116"/>
      <c r="I1639" s="116"/>
      <c r="L1639" s="170">
        <v>44418</v>
      </c>
      <c r="M1639" s="116">
        <v>138.37194147700899</v>
      </c>
      <c r="N1639" s="116">
        <v>142.929391546679</v>
      </c>
      <c r="O1639" s="116">
        <v>135.99624941941499</v>
      </c>
      <c r="P1639" s="116">
        <v>137.20833720390101</v>
      </c>
      <c r="Q1639" s="116">
        <v>142.69999999999999</v>
      </c>
      <c r="R1639">
        <v>7235995</v>
      </c>
    </row>
    <row r="1640" spans="1:18" x14ac:dyDescent="0.25">
      <c r="A1640" s="170">
        <v>44419</v>
      </c>
      <c r="B1640" s="116">
        <v>139.89315350775601</v>
      </c>
      <c r="C1640" s="116">
        <v>136.64546075480399</v>
      </c>
      <c r="D1640" s="116">
        <v>132.331361426256</v>
      </c>
      <c r="E1640" s="116">
        <v>138.43896272285301</v>
      </c>
      <c r="F1640" s="116">
        <v>140.94999999999999</v>
      </c>
      <c r="G1640">
        <v>186999</v>
      </c>
      <c r="H1640" s="116"/>
      <c r="I1640" s="116"/>
      <c r="L1640" s="170">
        <v>44419</v>
      </c>
      <c r="M1640" s="116">
        <v>136.82046911286599</v>
      </c>
      <c r="N1640" s="116">
        <v>140.06886437528999</v>
      </c>
      <c r="O1640" s="116">
        <v>132.35998606595399</v>
      </c>
      <c r="P1640" s="116">
        <v>138.517392011147</v>
      </c>
      <c r="Q1640" s="116">
        <v>141.1</v>
      </c>
      <c r="R1640">
        <v>3760487</v>
      </c>
    </row>
    <row r="1641" spans="1:18" x14ac:dyDescent="0.25">
      <c r="A1641" s="170">
        <v>44420</v>
      </c>
      <c r="B1641" s="116">
        <v>140.95956008335301</v>
      </c>
      <c r="C1641" s="116">
        <v>139.020639036814</v>
      </c>
      <c r="D1641" s="116">
        <v>137.17866404260201</v>
      </c>
      <c r="E1641" s="116">
        <v>137.17866404260201</v>
      </c>
      <c r="F1641" s="116">
        <v>143.4</v>
      </c>
      <c r="G1641">
        <v>194714</v>
      </c>
      <c r="H1641" s="116"/>
      <c r="I1641" s="116"/>
      <c r="L1641" s="170">
        <v>44420</v>
      </c>
      <c r="M1641" s="116">
        <v>138.808293079424</v>
      </c>
      <c r="N1641" s="116">
        <v>141.03853460287999</v>
      </c>
      <c r="O1641" s="116">
        <v>137.40227124941899</v>
      </c>
      <c r="P1641" s="116">
        <v>137.790139340455</v>
      </c>
      <c r="Q1641" s="116">
        <v>143.15</v>
      </c>
      <c r="R1641">
        <v>3405381</v>
      </c>
    </row>
    <row r="1642" spans="1:18" x14ac:dyDescent="0.25">
      <c r="A1642" s="170">
        <v>44421</v>
      </c>
      <c r="B1642" s="116">
        <v>139.650788376939</v>
      </c>
      <c r="C1642" s="116">
        <v>138.00270548738101</v>
      </c>
      <c r="D1642" s="116">
        <v>137.61492127807401</v>
      </c>
      <c r="E1642" s="116">
        <v>139.602315350776</v>
      </c>
      <c r="F1642" s="116">
        <v>142.35</v>
      </c>
      <c r="G1642">
        <v>124206</v>
      </c>
      <c r="H1642" s="116"/>
      <c r="I1642" s="116"/>
      <c r="L1642" s="170">
        <v>44421</v>
      </c>
      <c r="M1642" s="116">
        <v>137.935589874594</v>
      </c>
      <c r="N1642" s="116">
        <v>139.72947979563401</v>
      </c>
      <c r="O1642" s="116">
        <v>137.59620529493699</v>
      </c>
      <c r="P1642" s="116">
        <v>139.72947979563401</v>
      </c>
      <c r="Q1642" s="116">
        <v>142.25</v>
      </c>
      <c r="R1642">
        <v>741910</v>
      </c>
    </row>
    <row r="1643" spans="1:18" x14ac:dyDescent="0.25">
      <c r="A1643" s="170">
        <v>44424</v>
      </c>
      <c r="B1643" s="116">
        <v>138.778273905997</v>
      </c>
      <c r="C1643" s="116">
        <v>136.25767654549699</v>
      </c>
      <c r="D1643" s="116">
        <v>135.869892336189</v>
      </c>
      <c r="E1643" s="116">
        <v>137.80881338272701</v>
      </c>
      <c r="F1643" s="116">
        <v>140.55000000000001</v>
      </c>
      <c r="G1643">
        <v>105473</v>
      </c>
      <c r="H1643" s="116"/>
      <c r="I1643" s="116"/>
      <c r="L1643" s="170">
        <v>44424</v>
      </c>
      <c r="M1643" s="116">
        <v>136.093216442174</v>
      </c>
      <c r="N1643" s="116">
        <v>138.808293079424</v>
      </c>
      <c r="O1643" s="116">
        <v>135.70534835113801</v>
      </c>
      <c r="P1643" s="116">
        <v>137.693172317696</v>
      </c>
      <c r="Q1643" s="116">
        <v>140.35</v>
      </c>
      <c r="R1643">
        <v>846177</v>
      </c>
    </row>
    <row r="1644" spans="1:18" x14ac:dyDescent="0.25">
      <c r="A1644" s="170">
        <v>44425</v>
      </c>
      <c r="B1644" s="116">
        <v>137.80881338272701</v>
      </c>
      <c r="C1644" s="116">
        <v>136.64546075480399</v>
      </c>
      <c r="D1644" s="116">
        <v>134.56112062977499</v>
      </c>
      <c r="E1644" s="116">
        <v>135.77294628386201</v>
      </c>
      <c r="F1644" s="116">
        <v>140.94999999999999</v>
      </c>
      <c r="G1644">
        <v>107966</v>
      </c>
      <c r="H1644" s="116"/>
      <c r="I1644" s="116"/>
      <c r="L1644" s="170">
        <v>44425</v>
      </c>
      <c r="M1644" s="116">
        <v>136.868952624245</v>
      </c>
      <c r="N1644" s="116">
        <v>137.790139340455</v>
      </c>
      <c r="O1644" s="116">
        <v>134.59022758941001</v>
      </c>
      <c r="P1644" s="116">
        <v>136.238666976312</v>
      </c>
      <c r="Q1644" s="116">
        <v>141.15</v>
      </c>
      <c r="R1644">
        <v>1166541</v>
      </c>
    </row>
    <row r="1645" spans="1:18" x14ac:dyDescent="0.25">
      <c r="A1645" s="170">
        <v>44426</v>
      </c>
      <c r="B1645" s="116">
        <v>137.46950219958299</v>
      </c>
      <c r="C1645" s="116">
        <v>136.20920351933299</v>
      </c>
      <c r="D1645" s="116">
        <v>135.724473257699</v>
      </c>
      <c r="E1645" s="116">
        <v>136.693933780968</v>
      </c>
      <c r="F1645" s="116">
        <v>140.5</v>
      </c>
      <c r="G1645">
        <v>50183</v>
      </c>
      <c r="H1645" s="116"/>
      <c r="I1645" s="116"/>
      <c r="L1645" s="170">
        <v>44426</v>
      </c>
      <c r="M1645" s="116">
        <v>136.287150487692</v>
      </c>
      <c r="N1645" s="116">
        <v>137.59620529493699</v>
      </c>
      <c r="O1645" s="116">
        <v>135.75383186251699</v>
      </c>
      <c r="P1645" s="116">
        <v>137.014403158384</v>
      </c>
      <c r="Q1645" s="116">
        <v>140.55000000000001</v>
      </c>
      <c r="R1645">
        <v>762032</v>
      </c>
    </row>
    <row r="1646" spans="1:18" x14ac:dyDescent="0.25">
      <c r="A1646" s="170">
        <v>44428</v>
      </c>
      <c r="B1646" s="116">
        <v>135.77294628386201</v>
      </c>
      <c r="C1646" s="116">
        <v>134.31875549895801</v>
      </c>
      <c r="D1646" s="116">
        <v>133.34929497568899</v>
      </c>
      <c r="E1646" s="116">
        <v>135.724473257699</v>
      </c>
      <c r="F1646" s="116">
        <v>138.55000000000001</v>
      </c>
      <c r="G1646">
        <v>61632</v>
      </c>
      <c r="H1646" s="116"/>
      <c r="I1646" s="116"/>
      <c r="L1646" s="170">
        <v>44428</v>
      </c>
      <c r="M1646" s="116">
        <v>134.347810032513</v>
      </c>
      <c r="N1646" s="116">
        <v>135.75383186251699</v>
      </c>
      <c r="O1646" s="116">
        <v>133.28117278216399</v>
      </c>
      <c r="P1646" s="116">
        <v>135.268996748723</v>
      </c>
      <c r="Q1646" s="116">
        <v>138.55000000000001</v>
      </c>
      <c r="R1646">
        <v>1032422</v>
      </c>
    </row>
    <row r="1647" spans="1:18" x14ac:dyDescent="0.25">
      <c r="A1647" s="170">
        <v>44431</v>
      </c>
      <c r="B1647" s="116">
        <v>136.354622597824</v>
      </c>
      <c r="C1647" s="116">
        <v>133.64013313267</v>
      </c>
      <c r="D1647" s="116">
        <v>128.98672262097699</v>
      </c>
      <c r="E1647" s="116">
        <v>134.94890483908301</v>
      </c>
      <c r="F1647" s="116">
        <v>137.85</v>
      </c>
      <c r="G1647">
        <v>188576</v>
      </c>
      <c r="H1647" s="116"/>
      <c r="I1647" s="116"/>
      <c r="L1647" s="170">
        <v>44431</v>
      </c>
      <c r="M1647" s="116">
        <v>133.76600789595901</v>
      </c>
      <c r="N1647" s="116">
        <v>136.52956804458901</v>
      </c>
      <c r="O1647" s="116">
        <v>129.01462378077099</v>
      </c>
      <c r="P1647" s="116">
        <v>135.75383186251699</v>
      </c>
      <c r="Q1647" s="116">
        <v>137.94999999999999</v>
      </c>
      <c r="R1647">
        <v>1657393</v>
      </c>
    </row>
    <row r="1648" spans="1:18" x14ac:dyDescent="0.25">
      <c r="A1648" s="170">
        <v>44432</v>
      </c>
      <c r="B1648" s="116">
        <v>136.54851470247701</v>
      </c>
      <c r="C1648" s="116">
        <v>135.288216022227</v>
      </c>
      <c r="D1648" s="116">
        <v>129.471452882612</v>
      </c>
      <c r="E1648" s="116">
        <v>136.20920351933299</v>
      </c>
      <c r="F1648" s="116">
        <v>139.55000000000001</v>
      </c>
      <c r="G1648">
        <v>144029</v>
      </c>
      <c r="H1648" s="116"/>
      <c r="I1648" s="116"/>
      <c r="L1648" s="170">
        <v>44432</v>
      </c>
      <c r="M1648" s="116">
        <v>135.365963771482</v>
      </c>
      <c r="N1648" s="116">
        <v>136.48108453320901</v>
      </c>
      <c r="O1648" s="116">
        <v>129.45097538318601</v>
      </c>
      <c r="P1648" s="116">
        <v>135.75383186251699</v>
      </c>
      <c r="Q1648" s="116">
        <v>139.6</v>
      </c>
      <c r="R1648">
        <v>3134897</v>
      </c>
    </row>
    <row r="1649" spans="1:18" x14ac:dyDescent="0.25">
      <c r="A1649" s="170">
        <v>44433</v>
      </c>
      <c r="B1649" s="116">
        <v>136.88782588562199</v>
      </c>
      <c r="C1649" s="116">
        <v>134.46417457744801</v>
      </c>
      <c r="D1649" s="116">
        <v>134.12486339430399</v>
      </c>
      <c r="E1649" s="116">
        <v>135.724473257699</v>
      </c>
      <c r="F1649" s="116">
        <v>138.69999999999999</v>
      </c>
      <c r="G1649">
        <v>77676</v>
      </c>
      <c r="H1649" s="116"/>
      <c r="I1649" s="116"/>
      <c r="L1649" s="170">
        <v>44433</v>
      </c>
      <c r="M1649" s="116">
        <v>134.63871110079</v>
      </c>
      <c r="N1649" s="116">
        <v>137.111370181143</v>
      </c>
      <c r="O1649" s="116">
        <v>134.05690896423599</v>
      </c>
      <c r="P1649" s="116">
        <v>135.70534835113801</v>
      </c>
      <c r="Q1649" s="116">
        <v>138.85</v>
      </c>
      <c r="R1649">
        <v>1568149</v>
      </c>
    </row>
    <row r="1650" spans="1:18" x14ac:dyDescent="0.25">
      <c r="A1650" s="170">
        <v>44434</v>
      </c>
      <c r="B1650" s="116">
        <v>135.482108126881</v>
      </c>
      <c r="C1650" s="116">
        <v>133.591660106506</v>
      </c>
      <c r="D1650" s="116">
        <v>132.816091687891</v>
      </c>
      <c r="E1650" s="116">
        <v>134.75501273442899</v>
      </c>
      <c r="F1650" s="116">
        <v>137.80000000000001</v>
      </c>
      <c r="G1650">
        <v>73067</v>
      </c>
      <c r="H1650" s="116"/>
      <c r="I1650" s="116"/>
      <c r="L1650" s="170">
        <v>44434</v>
      </c>
      <c r="M1650" s="116">
        <v>133.475106827682</v>
      </c>
      <c r="N1650" s="116">
        <v>135.317480260102</v>
      </c>
      <c r="O1650" s="116">
        <v>132.844821179749</v>
      </c>
      <c r="P1650" s="116">
        <v>134.78416163492801</v>
      </c>
      <c r="Q1650" s="116">
        <v>137.65</v>
      </c>
      <c r="R1650">
        <v>1013630</v>
      </c>
    </row>
    <row r="1651" spans="1:18" x14ac:dyDescent="0.25">
      <c r="A1651" s="170">
        <v>44435</v>
      </c>
      <c r="B1651" s="116">
        <v>136.64546075480399</v>
      </c>
      <c r="C1651" s="116">
        <v>135.82141931002499</v>
      </c>
      <c r="D1651" s="116">
        <v>132.67067260939999</v>
      </c>
      <c r="E1651" s="116">
        <v>133.68860615883301</v>
      </c>
      <c r="F1651" s="116">
        <v>140.1</v>
      </c>
      <c r="G1651">
        <v>147415</v>
      </c>
      <c r="H1651" s="116"/>
      <c r="I1651" s="116"/>
      <c r="L1651" s="170">
        <v>44435</v>
      </c>
      <c r="M1651" s="116">
        <v>135.89928239665599</v>
      </c>
      <c r="N1651" s="116">
        <v>137.59620529493699</v>
      </c>
      <c r="O1651" s="116">
        <v>132.553920111472</v>
      </c>
      <c r="P1651" s="116">
        <v>137.59620529493699</v>
      </c>
      <c r="Q1651" s="116">
        <v>140.15</v>
      </c>
      <c r="R1651">
        <v>2732212</v>
      </c>
    </row>
    <row r="1652" spans="1:18" x14ac:dyDescent="0.25">
      <c r="A1652" s="170">
        <v>44438</v>
      </c>
      <c r="B1652" s="116">
        <v>137.42102917342001</v>
      </c>
      <c r="C1652" s="116">
        <v>136.500041676314</v>
      </c>
      <c r="D1652" s="116">
        <v>135.33668904839101</v>
      </c>
      <c r="E1652" s="116">
        <v>137.42102917342001</v>
      </c>
      <c r="F1652" s="116">
        <v>140.80000000000001</v>
      </c>
      <c r="G1652">
        <v>79571</v>
      </c>
      <c r="H1652" s="116"/>
      <c r="I1652" s="116"/>
      <c r="L1652" s="170">
        <v>44438</v>
      </c>
      <c r="M1652" s="116">
        <v>136.62653506734799</v>
      </c>
      <c r="N1652" s="116">
        <v>137.59620529493699</v>
      </c>
      <c r="O1652" s="116">
        <v>135.317480260102</v>
      </c>
      <c r="P1652" s="116">
        <v>136.48108453320901</v>
      </c>
      <c r="Q1652" s="116">
        <v>140.9</v>
      </c>
      <c r="R1652">
        <v>1442938</v>
      </c>
    </row>
    <row r="1653" spans="1:18" x14ac:dyDescent="0.25">
      <c r="A1653" s="170">
        <v>44439</v>
      </c>
      <c r="B1653" s="116">
        <v>137.61492127807401</v>
      </c>
      <c r="C1653" s="116">
        <v>136.16073049317001</v>
      </c>
      <c r="D1653" s="116">
        <v>135.482108126881</v>
      </c>
      <c r="E1653" s="116">
        <v>136.500041676314</v>
      </c>
      <c r="F1653" s="116">
        <v>140.44999999999999</v>
      </c>
      <c r="G1653">
        <v>46319</v>
      </c>
      <c r="H1653" s="116"/>
      <c r="I1653" s="116"/>
      <c r="L1653" s="170">
        <v>44439</v>
      </c>
      <c r="M1653" s="116">
        <v>136.141699953553</v>
      </c>
      <c r="N1653" s="116">
        <v>137.693172317696</v>
      </c>
      <c r="O1653" s="116">
        <v>135.462930794241</v>
      </c>
      <c r="P1653" s="116">
        <v>136.57805155596799</v>
      </c>
      <c r="Q1653" s="116">
        <v>140.4</v>
      </c>
      <c r="R1653">
        <v>829920</v>
      </c>
    </row>
    <row r="1654" spans="1:18" x14ac:dyDescent="0.25">
      <c r="A1654" s="170">
        <v>44440</v>
      </c>
      <c r="B1654" s="116">
        <v>143.62557652234301</v>
      </c>
      <c r="C1654" s="116">
        <v>142.60764297291001</v>
      </c>
      <c r="D1654" s="116">
        <v>135.288216022227</v>
      </c>
      <c r="E1654" s="116">
        <v>135.288216022227</v>
      </c>
      <c r="F1654" s="116">
        <v>147.1</v>
      </c>
      <c r="G1654">
        <v>431216</v>
      </c>
      <c r="H1654" s="116"/>
      <c r="I1654" s="116"/>
      <c r="L1654" s="170">
        <v>44440</v>
      </c>
      <c r="M1654" s="116">
        <v>142.54152345564299</v>
      </c>
      <c r="N1654" s="116">
        <v>143.802094751509</v>
      </c>
      <c r="O1654" s="116">
        <v>135.317480260102</v>
      </c>
      <c r="P1654" s="116">
        <v>135.317480260102</v>
      </c>
      <c r="Q1654" s="116">
        <v>147</v>
      </c>
      <c r="R1654">
        <v>5019814</v>
      </c>
    </row>
    <row r="1655" spans="1:18" x14ac:dyDescent="0.25">
      <c r="A1655" s="170">
        <v>44441</v>
      </c>
      <c r="B1655" s="116">
        <v>146.77632322296799</v>
      </c>
      <c r="C1655" s="116">
        <v>144.83740217643</v>
      </c>
      <c r="D1655" s="116">
        <v>142.510696920583</v>
      </c>
      <c r="E1655" s="116">
        <v>142.510696920583</v>
      </c>
      <c r="F1655" s="116">
        <v>149.4</v>
      </c>
      <c r="G1655">
        <v>587131</v>
      </c>
      <c r="H1655" s="116"/>
      <c r="I1655" s="116"/>
      <c r="L1655" s="170">
        <v>44441</v>
      </c>
      <c r="M1655" s="116">
        <v>144.96569902461701</v>
      </c>
      <c r="N1655" s="116">
        <v>146.80807245703701</v>
      </c>
      <c r="O1655" s="116">
        <v>142.63849047840199</v>
      </c>
      <c r="P1655" s="116">
        <v>143.12332559219701</v>
      </c>
      <c r="Q1655" s="116">
        <v>149.5</v>
      </c>
      <c r="R1655">
        <v>7142019</v>
      </c>
    </row>
    <row r="1656" spans="1:18" x14ac:dyDescent="0.25">
      <c r="A1656" s="170">
        <v>44442</v>
      </c>
      <c r="B1656" s="116">
        <v>146.873269275295</v>
      </c>
      <c r="C1656" s="116">
        <v>142.46222389441999</v>
      </c>
      <c r="D1656" s="116">
        <v>141.63818244964099</v>
      </c>
      <c r="E1656" s="116">
        <v>146.437012039824</v>
      </c>
      <c r="F1656" s="116">
        <v>146.94999999999999</v>
      </c>
      <c r="G1656">
        <v>197434</v>
      </c>
      <c r="H1656" s="116"/>
      <c r="I1656" s="116"/>
      <c r="L1656" s="170">
        <v>44442</v>
      </c>
      <c r="M1656" s="116">
        <v>142.54152345564299</v>
      </c>
      <c r="N1656" s="116">
        <v>146.85655596841599</v>
      </c>
      <c r="O1656" s="116">
        <v>141.57185322805401</v>
      </c>
      <c r="P1656" s="116">
        <v>145.450534138411</v>
      </c>
      <c r="Q1656" s="116">
        <v>147</v>
      </c>
      <c r="R1656">
        <v>3086174</v>
      </c>
    </row>
    <row r="1657" spans="1:18" x14ac:dyDescent="0.25">
      <c r="A1657" s="170">
        <v>44445</v>
      </c>
      <c r="B1657" s="116">
        <v>143.91641467932399</v>
      </c>
      <c r="C1657" s="116">
        <v>141.63818244964099</v>
      </c>
      <c r="D1657" s="116">
        <v>140.862614031026</v>
      </c>
      <c r="E1657" s="116">
        <v>143.91641467932399</v>
      </c>
      <c r="F1657" s="116">
        <v>146.1</v>
      </c>
      <c r="G1657">
        <v>444689</v>
      </c>
      <c r="H1657" s="116"/>
      <c r="I1657" s="116"/>
      <c r="L1657" s="170">
        <v>44445</v>
      </c>
      <c r="M1657" s="116">
        <v>141.52336971667401</v>
      </c>
      <c r="N1657" s="116">
        <v>143.51119368323299</v>
      </c>
      <c r="O1657" s="116">
        <v>140.79611704598199</v>
      </c>
      <c r="P1657" s="116">
        <v>143.51119368323299</v>
      </c>
      <c r="Q1657" s="116">
        <v>145.94999999999999</v>
      </c>
      <c r="R1657">
        <v>1600198</v>
      </c>
    </row>
    <row r="1658" spans="1:18" x14ac:dyDescent="0.25">
      <c r="A1658" s="170">
        <v>44446</v>
      </c>
      <c r="B1658" s="116">
        <v>142.074439685112</v>
      </c>
      <c r="C1658" s="116">
        <v>139.602315350776</v>
      </c>
      <c r="D1658" s="116">
        <v>138.148124565872</v>
      </c>
      <c r="E1658" s="116">
        <v>140.57177587404499</v>
      </c>
      <c r="F1658" s="116">
        <v>144</v>
      </c>
      <c r="G1658">
        <v>547769</v>
      </c>
      <c r="H1658" s="116"/>
      <c r="I1658" s="116"/>
      <c r="L1658" s="170">
        <v>44446</v>
      </c>
      <c r="M1658" s="116">
        <v>139.487062238737</v>
      </c>
      <c r="N1658" s="116">
        <v>142.49303994426401</v>
      </c>
      <c r="O1658" s="116">
        <v>138.12952392011101</v>
      </c>
      <c r="P1658" s="116">
        <v>141.52336971667401</v>
      </c>
      <c r="Q1658" s="116">
        <v>143.85</v>
      </c>
      <c r="R1658">
        <v>2379012</v>
      </c>
    </row>
    <row r="1659" spans="1:18" x14ac:dyDescent="0.25">
      <c r="A1659" s="170">
        <v>44447</v>
      </c>
      <c r="B1659" s="116">
        <v>143.86794165315999</v>
      </c>
      <c r="C1659" s="116">
        <v>142.26833178976599</v>
      </c>
      <c r="D1659" s="116">
        <v>138.43896272285301</v>
      </c>
      <c r="E1659" s="116">
        <v>139.602315350776</v>
      </c>
      <c r="F1659" s="116">
        <v>146.75</v>
      </c>
      <c r="G1659">
        <v>161001</v>
      </c>
      <c r="H1659" s="116"/>
      <c r="I1659" s="116"/>
      <c r="L1659" s="170">
        <v>44447</v>
      </c>
      <c r="M1659" s="116">
        <v>142.202138875987</v>
      </c>
      <c r="N1659" s="116">
        <v>143.947545285648</v>
      </c>
      <c r="O1659" s="116">
        <v>138.662842545286</v>
      </c>
      <c r="P1659" s="116">
        <v>139.14767765907999</v>
      </c>
      <c r="Q1659" s="116">
        <v>146.65</v>
      </c>
      <c r="R1659">
        <v>2239625</v>
      </c>
    </row>
    <row r="1660" spans="1:18" x14ac:dyDescent="0.25">
      <c r="A1660" s="170">
        <v>44448</v>
      </c>
      <c r="B1660" s="116">
        <v>148.61829821718001</v>
      </c>
      <c r="C1660" s="116">
        <v>146.19464690900699</v>
      </c>
      <c r="D1660" s="116">
        <v>141.63818244964099</v>
      </c>
      <c r="E1660" s="116">
        <v>142.26833178976599</v>
      </c>
      <c r="F1660" s="116">
        <v>150.80000000000001</v>
      </c>
      <c r="G1660">
        <v>1674665</v>
      </c>
      <c r="H1660" s="116"/>
      <c r="I1660" s="116"/>
      <c r="L1660" s="170">
        <v>44448</v>
      </c>
      <c r="M1660" s="116">
        <v>146.226270320483</v>
      </c>
      <c r="N1660" s="116">
        <v>148.69892940083599</v>
      </c>
      <c r="O1660" s="116">
        <v>141.57185322805401</v>
      </c>
      <c r="P1660" s="116">
        <v>142.8809080353</v>
      </c>
      <c r="Q1660" s="116">
        <v>150.80000000000001</v>
      </c>
      <c r="R1660">
        <v>9813885</v>
      </c>
    </row>
    <row r="1661" spans="1:18" x14ac:dyDescent="0.25">
      <c r="A1661" s="170">
        <v>44452</v>
      </c>
      <c r="B1661" s="116">
        <v>151.52667978698801</v>
      </c>
      <c r="C1661" s="116">
        <v>149.345393609632</v>
      </c>
      <c r="D1661" s="116">
        <v>144.69198309793899</v>
      </c>
      <c r="E1661" s="116">
        <v>146.38853901366099</v>
      </c>
      <c r="F1661" s="116">
        <v>154.05000000000001</v>
      </c>
      <c r="G1661">
        <v>562571</v>
      </c>
      <c r="H1661" s="116"/>
      <c r="I1661" s="116"/>
      <c r="L1661" s="170">
        <v>44452</v>
      </c>
      <c r="M1661" s="116">
        <v>149.42618207152799</v>
      </c>
      <c r="N1661" s="116">
        <v>151.65642359498401</v>
      </c>
      <c r="O1661" s="116">
        <v>144.67479795634</v>
      </c>
      <c r="P1661" s="116">
        <v>147.147457036693</v>
      </c>
      <c r="Q1661" s="116">
        <v>154.1</v>
      </c>
      <c r="R1661">
        <v>7033620</v>
      </c>
    </row>
    <row r="1662" spans="1:18" x14ac:dyDescent="0.25">
      <c r="A1662" s="170">
        <v>44453</v>
      </c>
      <c r="B1662" s="116">
        <v>150.70263834220901</v>
      </c>
      <c r="C1662" s="116">
        <v>149.24844755730501</v>
      </c>
      <c r="D1662" s="116">
        <v>147.79425677240101</v>
      </c>
      <c r="E1662" s="116">
        <v>150.65416531604501</v>
      </c>
      <c r="F1662" s="116">
        <v>153.94999999999999</v>
      </c>
      <c r="G1662">
        <v>169965</v>
      </c>
      <c r="H1662" s="116"/>
      <c r="I1662" s="116"/>
      <c r="L1662" s="170">
        <v>44453</v>
      </c>
      <c r="M1662" s="116">
        <v>149.23224802601001</v>
      </c>
      <c r="N1662" s="116">
        <v>150.78372039015301</v>
      </c>
      <c r="O1662" s="116">
        <v>147.77774268462599</v>
      </c>
      <c r="P1662" s="116">
        <v>150.25040176497899</v>
      </c>
      <c r="Q1662" s="116">
        <v>153.9</v>
      </c>
      <c r="R1662">
        <v>2832309</v>
      </c>
    </row>
    <row r="1663" spans="1:18" x14ac:dyDescent="0.25">
      <c r="A1663" s="170">
        <v>44454</v>
      </c>
      <c r="B1663" s="116">
        <v>151.47820676082401</v>
      </c>
      <c r="C1663" s="116">
        <v>149.975542949757</v>
      </c>
      <c r="D1663" s="116">
        <v>147.84272979856399</v>
      </c>
      <c r="E1663" s="116">
        <v>149.00608242648801</v>
      </c>
      <c r="F1663" s="116">
        <v>154.69999999999999</v>
      </c>
      <c r="G1663">
        <v>241879</v>
      </c>
      <c r="H1663" s="116"/>
      <c r="I1663" s="116"/>
      <c r="L1663" s="170">
        <v>44454</v>
      </c>
      <c r="M1663" s="116">
        <v>150.05646771946101</v>
      </c>
      <c r="N1663" s="116">
        <v>151.510973060845</v>
      </c>
      <c r="O1663" s="116">
        <v>147.971676730144</v>
      </c>
      <c r="P1663" s="116">
        <v>148.65044588945699</v>
      </c>
      <c r="Q1663" s="116">
        <v>154.75</v>
      </c>
      <c r="R1663">
        <v>2214355</v>
      </c>
    </row>
    <row r="1664" spans="1:18" x14ac:dyDescent="0.25">
      <c r="A1664" s="170">
        <v>44455</v>
      </c>
      <c r="B1664" s="116">
        <v>153.077816624219</v>
      </c>
      <c r="C1664" s="116">
        <v>150.411800185228</v>
      </c>
      <c r="D1664" s="116">
        <v>149.539285714286</v>
      </c>
      <c r="E1664" s="116">
        <v>150.02401597592001</v>
      </c>
      <c r="F1664" s="116">
        <v>155.15</v>
      </c>
      <c r="G1664">
        <v>183443</v>
      </c>
      <c r="H1664" s="116"/>
      <c r="I1664" s="116"/>
      <c r="L1664" s="170">
        <v>44455</v>
      </c>
      <c r="M1664" s="116">
        <v>150.34736878773799</v>
      </c>
      <c r="N1664" s="116">
        <v>153.207895959127</v>
      </c>
      <c r="O1664" s="116">
        <v>149.37769856014901</v>
      </c>
      <c r="P1664" s="116">
        <v>150.686753367394</v>
      </c>
      <c r="Q1664" s="116">
        <v>155.05000000000001</v>
      </c>
      <c r="R1664">
        <v>3107736</v>
      </c>
    </row>
    <row r="1665" spans="1:18" x14ac:dyDescent="0.25">
      <c r="A1665" s="170">
        <v>44456</v>
      </c>
      <c r="B1665" s="116">
        <v>151.13889557767999</v>
      </c>
      <c r="C1665" s="116">
        <v>144.49809099328601</v>
      </c>
      <c r="D1665" s="116">
        <v>143.72252257466999</v>
      </c>
      <c r="E1665" s="116">
        <v>151.13889557767999</v>
      </c>
      <c r="F1665" s="116">
        <v>149.05000000000001</v>
      </c>
      <c r="G1665">
        <v>324425</v>
      </c>
      <c r="H1665" s="116"/>
      <c r="I1665" s="116"/>
      <c r="L1665" s="170">
        <v>44456</v>
      </c>
      <c r="M1665" s="116">
        <v>144.52934742220199</v>
      </c>
      <c r="N1665" s="116">
        <v>151.26855550394799</v>
      </c>
      <c r="O1665" s="116">
        <v>143.802094751509</v>
      </c>
      <c r="P1665" s="116">
        <v>151.26855550394799</v>
      </c>
      <c r="Q1665" s="116">
        <v>149.05000000000001</v>
      </c>
      <c r="R1665">
        <v>3971900</v>
      </c>
    </row>
    <row r="1666" spans="1:18" x14ac:dyDescent="0.25">
      <c r="A1666" s="170">
        <v>44459</v>
      </c>
      <c r="B1666" s="116">
        <v>164.032720537161</v>
      </c>
      <c r="C1666" s="116">
        <v>156.27703635100701</v>
      </c>
      <c r="D1666" s="116">
        <v>143.48015744385299</v>
      </c>
      <c r="E1666" s="116">
        <v>144.93434822875699</v>
      </c>
      <c r="F1666" s="116">
        <v>161.19999999999999</v>
      </c>
      <c r="G1666">
        <v>2247946</v>
      </c>
      <c r="H1666" s="116"/>
      <c r="I1666" s="116"/>
      <c r="L1666" s="170">
        <v>44459</v>
      </c>
      <c r="M1666" s="116">
        <v>156.16539015327399</v>
      </c>
      <c r="N1666" s="116">
        <v>164.40758708778401</v>
      </c>
      <c r="O1666" s="116">
        <v>143.31725963771501</v>
      </c>
      <c r="P1666" s="116">
        <v>144.67479795634</v>
      </c>
      <c r="Q1666" s="116">
        <v>161.05000000000001</v>
      </c>
      <c r="R1666">
        <v>46373514</v>
      </c>
    </row>
    <row r="1667" spans="1:18" x14ac:dyDescent="0.25">
      <c r="A1667" s="170">
        <v>44460</v>
      </c>
      <c r="B1667" s="116">
        <v>162.09379949062301</v>
      </c>
      <c r="C1667" s="116">
        <v>159.33083699930501</v>
      </c>
      <c r="D1667" s="116">
        <v>150.50874623755499</v>
      </c>
      <c r="E1667" s="116">
        <v>156.08314424635299</v>
      </c>
      <c r="F1667" s="116">
        <v>164.35</v>
      </c>
      <c r="G1667">
        <v>2101077</v>
      </c>
      <c r="H1667" s="116"/>
      <c r="I1667" s="116"/>
      <c r="L1667" s="170">
        <v>44460</v>
      </c>
      <c r="M1667" s="116">
        <v>159.41378541569901</v>
      </c>
      <c r="N1667" s="116">
        <v>162.22582907570799</v>
      </c>
      <c r="O1667" s="116">
        <v>150.589786344635</v>
      </c>
      <c r="P1667" s="116">
        <v>156.16539015327399</v>
      </c>
      <c r="Q1667" s="116">
        <v>164.4</v>
      </c>
      <c r="R1667">
        <v>21720031</v>
      </c>
    </row>
    <row r="1668" spans="1:18" x14ac:dyDescent="0.25">
      <c r="A1668" s="170">
        <v>44461</v>
      </c>
      <c r="B1668" s="116">
        <v>171.44909354017099</v>
      </c>
      <c r="C1668" s="116">
        <v>167.813616577912</v>
      </c>
      <c r="D1668" s="116">
        <v>158.506795554527</v>
      </c>
      <c r="E1668" s="116">
        <v>160.44571660106499</v>
      </c>
      <c r="F1668" s="116">
        <v>173.1</v>
      </c>
      <c r="G1668">
        <v>996697</v>
      </c>
      <c r="H1668" s="116"/>
      <c r="I1668" s="116"/>
      <c r="L1668" s="170">
        <v>44461</v>
      </c>
      <c r="M1668" s="116">
        <v>167.84991639572701</v>
      </c>
      <c r="N1668" s="116">
        <v>171.58314677194599</v>
      </c>
      <c r="O1668" s="116">
        <v>158.347148165351</v>
      </c>
      <c r="P1668" s="116">
        <v>159.995587552253</v>
      </c>
      <c r="Q1668" s="116">
        <v>173.1</v>
      </c>
      <c r="R1668">
        <v>24926771</v>
      </c>
    </row>
    <row r="1669" spans="1:18" x14ac:dyDescent="0.25">
      <c r="A1669" s="170">
        <v>44462</v>
      </c>
      <c r="B1669" s="116">
        <v>179.44714285714301</v>
      </c>
      <c r="C1669" s="116">
        <v>178.186844176893</v>
      </c>
      <c r="D1669" s="116">
        <v>168.68613104885401</v>
      </c>
      <c r="E1669" s="116">
        <v>169.461699467469</v>
      </c>
      <c r="F1669" s="116">
        <v>183.8</v>
      </c>
      <c r="G1669">
        <v>2175474</v>
      </c>
      <c r="H1669" s="116"/>
      <c r="I1669" s="116"/>
      <c r="L1669" s="170">
        <v>44462</v>
      </c>
      <c r="M1669" s="116">
        <v>178.37083836507199</v>
      </c>
      <c r="N1669" s="116">
        <v>179.72837668369701</v>
      </c>
      <c r="O1669" s="116">
        <v>168.383235020901</v>
      </c>
      <c r="P1669" s="116">
        <v>169.207454714352</v>
      </c>
      <c r="Q1669" s="116">
        <v>183.95</v>
      </c>
      <c r="R1669">
        <v>24600021</v>
      </c>
    </row>
    <row r="1670" spans="1:18" x14ac:dyDescent="0.25">
      <c r="A1670" s="170">
        <v>44463</v>
      </c>
      <c r="B1670" s="116">
        <v>181.77384811298899</v>
      </c>
      <c r="C1670" s="116">
        <v>173.43648761287301</v>
      </c>
      <c r="D1670" s="116">
        <v>169.31628038897901</v>
      </c>
      <c r="E1670" s="116">
        <v>181.240644825191</v>
      </c>
      <c r="F1670" s="116">
        <v>178.9</v>
      </c>
      <c r="G1670">
        <v>567303</v>
      </c>
      <c r="H1670" s="116"/>
      <c r="I1670" s="116"/>
      <c r="L1670" s="170">
        <v>44463</v>
      </c>
      <c r="M1670" s="116">
        <v>173.37703669298699</v>
      </c>
      <c r="N1670" s="116">
        <v>181.231365536461</v>
      </c>
      <c r="O1670" s="116">
        <v>169.40138875987</v>
      </c>
      <c r="P1670" s="116">
        <v>180.98894797956299</v>
      </c>
      <c r="Q1670" s="116">
        <v>178.8</v>
      </c>
      <c r="R1670">
        <v>10933180</v>
      </c>
    </row>
    <row r="1671" spans="1:18" x14ac:dyDescent="0.25">
      <c r="A1671" s="170">
        <v>44466</v>
      </c>
      <c r="B1671" s="116">
        <v>194.76461912479701</v>
      </c>
      <c r="C1671" s="116">
        <v>183.32498495022</v>
      </c>
      <c r="D1671" s="116">
        <v>172.61244616809401</v>
      </c>
      <c r="E1671" s="116">
        <v>175.13304352859501</v>
      </c>
      <c r="F1671" s="116">
        <v>189.1</v>
      </c>
      <c r="G1671">
        <v>2585860</v>
      </c>
      <c r="H1671" s="116"/>
      <c r="I1671" s="116"/>
      <c r="L1671" s="170">
        <v>44466</v>
      </c>
      <c r="M1671" s="116">
        <v>183.60705759405499</v>
      </c>
      <c r="N1671" s="116">
        <v>194.41888063167701</v>
      </c>
      <c r="O1671" s="116">
        <v>172.698267533674</v>
      </c>
      <c r="P1671" s="116">
        <v>176.47998142127301</v>
      </c>
      <c r="Q1671" s="116">
        <v>189.35</v>
      </c>
      <c r="R1671">
        <v>42179916</v>
      </c>
    </row>
    <row r="1672" spans="1:18" x14ac:dyDescent="0.25">
      <c r="A1672" s="170">
        <v>44467</v>
      </c>
      <c r="B1672" s="116">
        <v>188.947855985182</v>
      </c>
      <c r="C1672" s="116">
        <v>181.57995600833499</v>
      </c>
      <c r="D1672" s="116">
        <v>177.89600601991199</v>
      </c>
      <c r="E1672" s="116">
        <v>184.53681060430699</v>
      </c>
      <c r="F1672" s="116">
        <v>187.3</v>
      </c>
      <c r="G1672">
        <v>885818</v>
      </c>
      <c r="H1672" s="116"/>
      <c r="I1672" s="116"/>
      <c r="L1672" s="170">
        <v>44467</v>
      </c>
      <c r="M1672" s="116">
        <v>181.66771713887599</v>
      </c>
      <c r="N1672" s="116">
        <v>188.891760334417</v>
      </c>
      <c r="O1672" s="116">
        <v>177.837519739898</v>
      </c>
      <c r="P1672" s="116">
        <v>185.01307942405899</v>
      </c>
      <c r="Q1672" s="116">
        <v>187.35</v>
      </c>
      <c r="R1672">
        <v>19088264</v>
      </c>
    </row>
    <row r="1673" spans="1:18" x14ac:dyDescent="0.25">
      <c r="A1673" s="170">
        <v>44468</v>
      </c>
      <c r="B1673" s="116">
        <v>184.87612178745101</v>
      </c>
      <c r="C1673" s="116">
        <v>179.641034961797</v>
      </c>
      <c r="D1673" s="116">
        <v>178.380736281547</v>
      </c>
      <c r="E1673" s="116">
        <v>180.610495485066</v>
      </c>
      <c r="F1673" s="116">
        <v>185.3</v>
      </c>
      <c r="G1673">
        <v>1740365</v>
      </c>
      <c r="H1673" s="116"/>
      <c r="I1673" s="116"/>
      <c r="L1673" s="170">
        <v>44468</v>
      </c>
      <c r="M1673" s="116">
        <v>179.679893172318</v>
      </c>
      <c r="N1673" s="116">
        <v>184.86762888992101</v>
      </c>
      <c r="O1673" s="116">
        <v>178.41932187645099</v>
      </c>
      <c r="P1673" s="116">
        <v>179.38899210404099</v>
      </c>
      <c r="Q1673" s="116">
        <v>185.3</v>
      </c>
      <c r="R1673">
        <v>9496831</v>
      </c>
    </row>
    <row r="1674" spans="1:18" x14ac:dyDescent="0.25">
      <c r="A1674" s="170">
        <v>44469</v>
      </c>
      <c r="B1674" s="116">
        <v>182.98567376707601</v>
      </c>
      <c r="C1674" s="116">
        <v>175.76319286872001</v>
      </c>
      <c r="D1674" s="116">
        <v>173.92121787450799</v>
      </c>
      <c r="E1674" s="116">
        <v>178.91393956934499</v>
      </c>
      <c r="F1674" s="116">
        <v>181.3</v>
      </c>
      <c r="G1674">
        <v>725534</v>
      </c>
      <c r="H1674" s="116"/>
      <c r="I1674" s="116"/>
      <c r="L1674" s="170">
        <v>44469</v>
      </c>
      <c r="M1674" s="116">
        <v>175.89817928471899</v>
      </c>
      <c r="N1674" s="116">
        <v>183.073738968881</v>
      </c>
      <c r="O1674" s="116">
        <v>173.86187180678101</v>
      </c>
      <c r="P1674" s="116">
        <v>178.90415699024601</v>
      </c>
      <c r="Q1674" s="116">
        <v>181.4</v>
      </c>
      <c r="R1674">
        <v>9154987</v>
      </c>
    </row>
    <row r="1675" spans="1:18" x14ac:dyDescent="0.25">
      <c r="A1675" s="170">
        <v>44470</v>
      </c>
      <c r="B1675" s="116">
        <v>180.94980666820999</v>
      </c>
      <c r="C1675" s="116">
        <v>178.47768233387399</v>
      </c>
      <c r="D1675" s="116">
        <v>173.14564945589299</v>
      </c>
      <c r="E1675" s="116">
        <v>174.79373234545</v>
      </c>
      <c r="F1675" s="116">
        <v>184.1</v>
      </c>
      <c r="G1675">
        <v>423129</v>
      </c>
      <c r="H1675" s="116"/>
      <c r="I1675" s="116"/>
      <c r="L1675" s="170">
        <v>44470</v>
      </c>
      <c r="M1675" s="116">
        <v>178.51628889921</v>
      </c>
      <c r="N1675" s="116">
        <v>181.03743149094299</v>
      </c>
      <c r="O1675" s="116">
        <v>172.94068509057101</v>
      </c>
      <c r="P1675" s="116">
        <v>174.443673943335</v>
      </c>
      <c r="Q1675" s="116">
        <v>184.1</v>
      </c>
      <c r="R1675">
        <v>6462916</v>
      </c>
    </row>
    <row r="1676" spans="1:18" x14ac:dyDescent="0.25">
      <c r="A1676" s="170">
        <v>44473</v>
      </c>
      <c r="B1676" s="116">
        <v>186.37878559851799</v>
      </c>
      <c r="C1676" s="116">
        <v>181.96774021764301</v>
      </c>
      <c r="D1676" s="116">
        <v>178.67157443852699</v>
      </c>
      <c r="E1676" s="116">
        <v>180.31965732808499</v>
      </c>
      <c r="F1676" s="116">
        <v>187.7</v>
      </c>
      <c r="G1676">
        <v>587587</v>
      </c>
      <c r="H1676" s="116"/>
      <c r="I1676" s="116"/>
      <c r="L1676" s="170">
        <v>44473</v>
      </c>
      <c r="M1676" s="116">
        <v>182.104068741291</v>
      </c>
      <c r="N1676" s="116">
        <v>186.370617742685</v>
      </c>
      <c r="O1676" s="116">
        <v>178.613255921969</v>
      </c>
      <c r="P1676" s="116">
        <v>179.82534370645601</v>
      </c>
      <c r="Q1676" s="116">
        <v>187.8</v>
      </c>
      <c r="R1676">
        <v>9806329</v>
      </c>
    </row>
    <row r="1677" spans="1:18" x14ac:dyDescent="0.25">
      <c r="A1677" s="170">
        <v>44474</v>
      </c>
      <c r="B1677" s="116">
        <v>189.529532299143</v>
      </c>
      <c r="C1677" s="116">
        <v>187.73603033109501</v>
      </c>
      <c r="D1677" s="116">
        <v>180.80438758971999</v>
      </c>
      <c r="E1677" s="116">
        <v>181.91926719148</v>
      </c>
      <c r="F1677" s="116">
        <v>193.65</v>
      </c>
      <c r="G1677">
        <v>501016</v>
      </c>
      <c r="H1677" s="116"/>
      <c r="I1677" s="116"/>
      <c r="L1677" s="170">
        <v>44474</v>
      </c>
      <c r="M1677" s="116">
        <v>187.72815606130999</v>
      </c>
      <c r="N1677" s="116">
        <v>189.52204598234999</v>
      </c>
      <c r="O1677" s="116">
        <v>180.69804691128701</v>
      </c>
      <c r="P1677" s="116">
        <v>181.95861820715299</v>
      </c>
      <c r="Q1677" s="116">
        <v>193.6</v>
      </c>
      <c r="R1677">
        <v>11041670</v>
      </c>
    </row>
    <row r="1678" spans="1:18" x14ac:dyDescent="0.25">
      <c r="A1678" s="170">
        <v>44475</v>
      </c>
      <c r="B1678" s="116">
        <v>194.42530794165299</v>
      </c>
      <c r="C1678" s="116">
        <v>179.592561935633</v>
      </c>
      <c r="D1678" s="116">
        <v>178.47768233387399</v>
      </c>
      <c r="E1678" s="116">
        <v>186.76656980782599</v>
      </c>
      <c r="F1678" s="116">
        <v>185.25</v>
      </c>
      <c r="G1678">
        <v>1554813</v>
      </c>
      <c r="H1678" s="116"/>
      <c r="I1678" s="116"/>
      <c r="L1678" s="170">
        <v>44475</v>
      </c>
      <c r="M1678" s="116">
        <v>179.582926149559</v>
      </c>
      <c r="N1678" s="116">
        <v>194.56433116581499</v>
      </c>
      <c r="O1678" s="116">
        <v>178.41932187645099</v>
      </c>
      <c r="P1678" s="116">
        <v>188.019057129587</v>
      </c>
      <c r="Q1678" s="116">
        <v>185.2</v>
      </c>
      <c r="R1678">
        <v>19883989</v>
      </c>
    </row>
    <row r="1679" spans="1:18" x14ac:dyDescent="0.25">
      <c r="A1679" s="170">
        <v>44476</v>
      </c>
      <c r="B1679" s="116">
        <v>192.437913868951</v>
      </c>
      <c r="C1679" s="116">
        <v>190.159681639268</v>
      </c>
      <c r="D1679" s="116">
        <v>181.38606390368099</v>
      </c>
      <c r="E1679" s="116">
        <v>182.25857837462399</v>
      </c>
      <c r="F1679" s="116">
        <v>196.15</v>
      </c>
      <c r="G1679">
        <v>1134109</v>
      </c>
      <c r="H1679" s="116"/>
      <c r="I1679" s="116"/>
      <c r="L1679" s="170">
        <v>44476</v>
      </c>
      <c r="M1679" s="116">
        <v>190.20081514166301</v>
      </c>
      <c r="N1679" s="116">
        <v>192.67347422201601</v>
      </c>
      <c r="O1679" s="116">
        <v>181.52226660473801</v>
      </c>
      <c r="P1679" s="116">
        <v>181.52226660473801</v>
      </c>
      <c r="Q1679" s="116">
        <v>196.15</v>
      </c>
      <c r="R1679">
        <v>15735451</v>
      </c>
    </row>
    <row r="1680" spans="1:18" x14ac:dyDescent="0.25">
      <c r="A1680" s="170">
        <v>44477</v>
      </c>
      <c r="B1680" s="116">
        <v>205.04090067145199</v>
      </c>
      <c r="C1680" s="116">
        <v>196.41270201435501</v>
      </c>
      <c r="D1680" s="116">
        <v>192.14707571196999</v>
      </c>
      <c r="E1680" s="116">
        <v>192.92264413058601</v>
      </c>
      <c r="F1680" s="116">
        <v>202.6</v>
      </c>
      <c r="G1680">
        <v>2426331</v>
      </c>
      <c r="H1680" s="116"/>
      <c r="I1680" s="116"/>
      <c r="L1680" s="170">
        <v>44477</v>
      </c>
      <c r="M1680" s="116">
        <v>196.503671620994</v>
      </c>
      <c r="N1680" s="116">
        <v>205.27918718067801</v>
      </c>
      <c r="O1680" s="116">
        <v>192.334089642359</v>
      </c>
      <c r="P1680" s="116">
        <v>192.334089642359</v>
      </c>
      <c r="Q1680" s="116">
        <v>202.65</v>
      </c>
      <c r="R1680">
        <v>34186886</v>
      </c>
    </row>
    <row r="1681" spans="1:18" x14ac:dyDescent="0.25">
      <c r="A1681" s="170">
        <v>44480</v>
      </c>
      <c r="B1681" s="116">
        <v>205.089373697615</v>
      </c>
      <c r="C1681" s="116">
        <v>200.484436212086</v>
      </c>
      <c r="D1681" s="116">
        <v>194.81309215096101</v>
      </c>
      <c r="E1681" s="116">
        <v>198.98177240101899</v>
      </c>
      <c r="F1681" s="116">
        <v>206.8</v>
      </c>
      <c r="G1681">
        <v>1063855</v>
      </c>
      <c r="H1681" s="116"/>
      <c r="I1681" s="116"/>
      <c r="L1681" s="170">
        <v>44480</v>
      </c>
      <c r="M1681" s="116">
        <v>200.52780306548999</v>
      </c>
      <c r="N1681" s="116">
        <v>205.08525313516</v>
      </c>
      <c r="O1681" s="116">
        <v>194.903715745471</v>
      </c>
      <c r="P1681" s="116">
        <v>198.00666047375699</v>
      </c>
      <c r="Q1681" s="116">
        <v>206.8</v>
      </c>
      <c r="R1681">
        <v>13499862</v>
      </c>
    </row>
    <row r="1682" spans="1:18" x14ac:dyDescent="0.25">
      <c r="A1682" s="170">
        <v>44481</v>
      </c>
      <c r="B1682" s="116">
        <v>212.21490854364399</v>
      </c>
      <c r="C1682" s="116">
        <v>207.367605927298</v>
      </c>
      <c r="D1682" s="116">
        <v>201.163058578375</v>
      </c>
      <c r="E1682" s="116">
        <v>201.64778884000901</v>
      </c>
      <c r="F1682" s="116">
        <v>213.9</v>
      </c>
      <c r="G1682">
        <v>1580374</v>
      </c>
      <c r="H1682" s="116"/>
      <c r="I1682" s="116"/>
      <c r="L1682" s="170">
        <v>44481</v>
      </c>
      <c r="M1682" s="116">
        <v>207.26701114723599</v>
      </c>
      <c r="N1682" s="116">
        <v>212.30929633070099</v>
      </c>
      <c r="O1682" s="116">
        <v>200.818704133767</v>
      </c>
      <c r="P1682" s="116">
        <v>201.93382489549501</v>
      </c>
      <c r="Q1682" s="116">
        <v>213.75</v>
      </c>
      <c r="R1682">
        <v>22065528</v>
      </c>
    </row>
    <row r="1683" spans="1:18" x14ac:dyDescent="0.25">
      <c r="A1683" s="170">
        <v>44482</v>
      </c>
      <c r="B1683" s="116">
        <v>228.065588099097</v>
      </c>
      <c r="C1683" s="116">
        <v>224.23621903218299</v>
      </c>
      <c r="D1683" s="116">
        <v>208.04622829358601</v>
      </c>
      <c r="E1683" s="116">
        <v>209.403473026163</v>
      </c>
      <c r="F1683" s="116">
        <v>231.3</v>
      </c>
      <c r="G1683">
        <v>1939304</v>
      </c>
      <c r="H1683" s="116"/>
      <c r="I1683" s="116"/>
      <c r="L1683" s="170">
        <v>44482</v>
      </c>
      <c r="M1683" s="116">
        <v>223.848372039015</v>
      </c>
      <c r="N1683" s="116">
        <v>227.96947050627</v>
      </c>
      <c r="O1683" s="116">
        <v>208.09123084068699</v>
      </c>
      <c r="P1683" s="116">
        <v>208.86696702275901</v>
      </c>
      <c r="Q1683" s="116">
        <v>230.85</v>
      </c>
      <c r="R1683">
        <v>29860918</v>
      </c>
    </row>
    <row r="1684" spans="1:18" x14ac:dyDescent="0.25">
      <c r="A1684" s="170">
        <v>44483</v>
      </c>
      <c r="B1684" s="116">
        <v>230.24687427645301</v>
      </c>
      <c r="C1684" s="116">
        <v>222.442717064135</v>
      </c>
      <c r="D1684" s="116">
        <v>214.73550590414399</v>
      </c>
      <c r="E1684" s="116">
        <v>225.30262560777999</v>
      </c>
      <c r="F1684" s="116">
        <v>229.45</v>
      </c>
      <c r="G1684">
        <v>1564524</v>
      </c>
      <c r="H1684" s="116"/>
      <c r="I1684" s="116"/>
      <c r="L1684" s="170">
        <v>44483</v>
      </c>
      <c r="M1684" s="116">
        <v>222.58780074314899</v>
      </c>
      <c r="N1684" s="116">
        <v>230.19971202972599</v>
      </c>
      <c r="O1684" s="116">
        <v>214.87892243381299</v>
      </c>
      <c r="P1684" s="116">
        <v>226.321031119368</v>
      </c>
      <c r="Q1684" s="116">
        <v>229.55</v>
      </c>
      <c r="R1684">
        <v>19655318</v>
      </c>
    </row>
    <row r="1685" spans="1:18" x14ac:dyDescent="0.25">
      <c r="A1685" s="170">
        <v>44487</v>
      </c>
      <c r="B1685" s="116">
        <v>227.82322296827999</v>
      </c>
      <c r="C1685" s="116">
        <v>218.758767075712</v>
      </c>
      <c r="D1685" s="116">
        <v>215.36565524426999</v>
      </c>
      <c r="E1685" s="116">
        <v>225.69040981708699</v>
      </c>
      <c r="F1685" s="116">
        <v>225.65</v>
      </c>
      <c r="G1685">
        <v>630539</v>
      </c>
      <c r="H1685" s="116"/>
      <c r="I1685" s="116"/>
      <c r="L1685" s="170">
        <v>44487</v>
      </c>
      <c r="M1685" s="116">
        <v>218.612152810032</v>
      </c>
      <c r="N1685" s="116">
        <v>227.872503483511</v>
      </c>
      <c r="O1685" s="116">
        <v>215.41224105898701</v>
      </c>
      <c r="P1685" s="116">
        <v>224.624108221087</v>
      </c>
      <c r="Q1685" s="116">
        <v>225.45</v>
      </c>
      <c r="R1685">
        <v>12208890</v>
      </c>
    </row>
    <row r="1686" spans="1:18" x14ac:dyDescent="0.25">
      <c r="A1686" s="170">
        <v>44488</v>
      </c>
      <c r="B1686" s="116">
        <v>223.65454271822199</v>
      </c>
      <c r="C1686" s="116">
        <v>208.53095855522099</v>
      </c>
      <c r="D1686" s="116">
        <v>204.99242764528799</v>
      </c>
      <c r="E1686" s="116">
        <v>220.26143088677901</v>
      </c>
      <c r="F1686" s="116">
        <v>215.1</v>
      </c>
      <c r="G1686">
        <v>1111964</v>
      </c>
      <c r="H1686" s="116"/>
      <c r="I1686" s="116"/>
      <c r="L1686" s="170">
        <v>44488</v>
      </c>
      <c r="M1686" s="116">
        <v>208.33364839758499</v>
      </c>
      <c r="N1686" s="116">
        <v>223.799888527636</v>
      </c>
      <c r="O1686" s="116">
        <v>205.08525313516</v>
      </c>
      <c r="P1686" s="116">
        <v>220.84239433348799</v>
      </c>
      <c r="Q1686" s="116">
        <v>214.85</v>
      </c>
      <c r="R1686">
        <v>12540061</v>
      </c>
    </row>
    <row r="1687" spans="1:18" x14ac:dyDescent="0.25">
      <c r="A1687" s="170">
        <v>44489</v>
      </c>
      <c r="B1687" s="116">
        <v>217.64388747395199</v>
      </c>
      <c r="C1687" s="116">
        <v>212.45727367446199</v>
      </c>
      <c r="D1687" s="116">
        <v>206.44661843019199</v>
      </c>
      <c r="E1687" s="116">
        <v>210.37293354943299</v>
      </c>
      <c r="F1687" s="116">
        <v>219.15</v>
      </c>
      <c r="G1687">
        <v>1057851</v>
      </c>
      <c r="H1687" s="116"/>
      <c r="I1687" s="116"/>
      <c r="L1687" s="170">
        <v>44489</v>
      </c>
      <c r="M1687" s="116">
        <v>212.745647933117</v>
      </c>
      <c r="N1687" s="116">
        <v>217.836416627961</v>
      </c>
      <c r="O1687" s="116">
        <v>206.53975847654399</v>
      </c>
      <c r="P1687" s="116">
        <v>211.38810961449099</v>
      </c>
      <c r="Q1687" s="116">
        <v>219.4</v>
      </c>
      <c r="R1687">
        <v>14827814</v>
      </c>
    </row>
    <row r="1688" spans="1:18" x14ac:dyDescent="0.25">
      <c r="A1688" s="170">
        <v>44490</v>
      </c>
      <c r="B1688" s="116">
        <v>221.036999305395</v>
      </c>
      <c r="C1688" s="116">
        <v>207.367605927298</v>
      </c>
      <c r="D1688" s="116">
        <v>203.005033572586</v>
      </c>
      <c r="E1688" s="116">
        <v>219.09807825885599</v>
      </c>
      <c r="F1688" s="116">
        <v>213.9</v>
      </c>
      <c r="G1688">
        <v>671491</v>
      </c>
      <c r="H1688" s="116"/>
      <c r="I1688" s="116"/>
      <c r="L1688" s="170">
        <v>44490</v>
      </c>
      <c r="M1688" s="116">
        <v>207.460945192754</v>
      </c>
      <c r="N1688" s="116">
        <v>221.084811890385</v>
      </c>
      <c r="O1688" s="116">
        <v>203.09742916860199</v>
      </c>
      <c r="P1688" s="116">
        <v>218.17580120761701</v>
      </c>
      <c r="Q1688" s="116">
        <v>213.95</v>
      </c>
      <c r="R1688">
        <v>14286402</v>
      </c>
    </row>
    <row r="1689" spans="1:18" x14ac:dyDescent="0.25">
      <c r="A1689" s="170">
        <v>44491</v>
      </c>
      <c r="B1689" s="116">
        <v>217.78930655244301</v>
      </c>
      <c r="C1689" s="116">
        <v>198.642461217875</v>
      </c>
      <c r="D1689" s="116">
        <v>196.752013197499</v>
      </c>
      <c r="E1689" s="116">
        <v>211.24544802037499</v>
      </c>
      <c r="F1689" s="116">
        <v>204.9</v>
      </c>
      <c r="G1689">
        <v>764515</v>
      </c>
      <c r="H1689" s="116"/>
      <c r="I1689" s="116"/>
      <c r="L1689" s="170">
        <v>44491</v>
      </c>
      <c r="M1689" s="116">
        <v>198.44301207617301</v>
      </c>
      <c r="N1689" s="116">
        <v>218.07883418485801</v>
      </c>
      <c r="O1689" s="116">
        <v>196.697605666512</v>
      </c>
      <c r="P1689" s="116">
        <v>211.38810961449099</v>
      </c>
      <c r="Q1689" s="116">
        <v>204.65</v>
      </c>
      <c r="R1689">
        <v>13270594</v>
      </c>
    </row>
    <row r="1690" spans="1:18" x14ac:dyDescent="0.25">
      <c r="A1690" s="170">
        <v>44494</v>
      </c>
      <c r="B1690" s="116">
        <v>206.97982171799001</v>
      </c>
      <c r="C1690" s="116">
        <v>199.514975688817</v>
      </c>
      <c r="D1690" s="116">
        <v>194.910038203288</v>
      </c>
      <c r="E1690" s="116">
        <v>203.58670988654799</v>
      </c>
      <c r="F1690" s="116">
        <v>205.8</v>
      </c>
      <c r="G1690">
        <v>896310</v>
      </c>
      <c r="H1690" s="116"/>
      <c r="I1690" s="116"/>
      <c r="L1690" s="170">
        <v>44494</v>
      </c>
      <c r="M1690" s="116">
        <v>199.60661634927999</v>
      </c>
      <c r="N1690" s="116">
        <v>207.21852763585699</v>
      </c>
      <c r="O1690" s="116">
        <v>195.00068276823001</v>
      </c>
      <c r="P1690" s="116">
        <v>202.564110543428</v>
      </c>
      <c r="Q1690" s="116">
        <v>205.85</v>
      </c>
      <c r="R1690">
        <v>9385218</v>
      </c>
    </row>
    <row r="1691" spans="1:18" x14ac:dyDescent="0.25">
      <c r="A1691" s="170">
        <v>44495</v>
      </c>
      <c r="B1691" s="116">
        <v>206.01036119472101</v>
      </c>
      <c r="C1691" s="116">
        <v>201.26000463070201</v>
      </c>
      <c r="D1691" s="116">
        <v>198.73940727020101</v>
      </c>
      <c r="E1691" s="116">
        <v>200.24207108126899</v>
      </c>
      <c r="F1691" s="116">
        <v>207.6</v>
      </c>
      <c r="G1691">
        <v>303893</v>
      </c>
      <c r="H1691" s="116"/>
      <c r="I1691" s="116"/>
      <c r="L1691" s="170">
        <v>44495</v>
      </c>
      <c r="M1691" s="116">
        <v>201.15808871342301</v>
      </c>
      <c r="N1691" s="116">
        <v>206.05492336275</v>
      </c>
      <c r="O1691" s="116">
        <v>198.68542963306999</v>
      </c>
      <c r="P1691" s="116">
        <v>201.545956804459</v>
      </c>
      <c r="Q1691" s="116">
        <v>207.45</v>
      </c>
      <c r="R1691">
        <v>6010714</v>
      </c>
    </row>
    <row r="1692" spans="1:18" x14ac:dyDescent="0.25">
      <c r="A1692" s="170">
        <v>44496</v>
      </c>
      <c r="B1692" s="116">
        <v>203.92602106969201</v>
      </c>
      <c r="C1692" s="116">
        <v>197.47910858995101</v>
      </c>
      <c r="D1692" s="116">
        <v>196.84895924982601</v>
      </c>
      <c r="E1692" s="116">
        <v>201.84168094466301</v>
      </c>
      <c r="F1692" s="116">
        <v>203.7</v>
      </c>
      <c r="G1692">
        <v>388302</v>
      </c>
      <c r="H1692" s="116"/>
      <c r="I1692" s="116"/>
      <c r="L1692" s="170">
        <v>44496</v>
      </c>
      <c r="M1692" s="116">
        <v>197.66727589410101</v>
      </c>
      <c r="N1692" s="116">
        <v>203.92164886205299</v>
      </c>
      <c r="O1692" s="116">
        <v>196.94002322340901</v>
      </c>
      <c r="P1692" s="116">
        <v>202.661077566187</v>
      </c>
      <c r="Q1692" s="116">
        <v>203.85</v>
      </c>
      <c r="R1692">
        <v>4463895</v>
      </c>
    </row>
    <row r="1693" spans="1:18" x14ac:dyDescent="0.25">
      <c r="A1693" s="170">
        <v>44497</v>
      </c>
      <c r="B1693" s="116">
        <v>197.72147372076901</v>
      </c>
      <c r="C1693" s="116">
        <v>193.11653623524001</v>
      </c>
      <c r="D1693" s="116">
        <v>191.226088214865</v>
      </c>
      <c r="E1693" s="116">
        <v>197.47910858995101</v>
      </c>
      <c r="F1693" s="116">
        <v>199.2</v>
      </c>
      <c r="G1693">
        <v>283174</v>
      </c>
      <c r="H1693" s="116"/>
      <c r="I1693" s="116"/>
      <c r="L1693" s="170">
        <v>44497</v>
      </c>
      <c r="M1693" s="116">
        <v>193.25527635856901</v>
      </c>
      <c r="N1693" s="116">
        <v>197.86120993961899</v>
      </c>
      <c r="O1693" s="116">
        <v>191.26745239201099</v>
      </c>
      <c r="P1693" s="116">
        <v>197.327891314445</v>
      </c>
      <c r="Q1693" s="116">
        <v>199.3</v>
      </c>
      <c r="R1693">
        <v>8268891</v>
      </c>
    </row>
    <row r="1694" spans="1:18" x14ac:dyDescent="0.25">
      <c r="A1694" s="170">
        <v>44498</v>
      </c>
      <c r="B1694" s="116">
        <v>198.012311877749</v>
      </c>
      <c r="C1694" s="116">
        <v>190.59593887474</v>
      </c>
      <c r="D1694" s="116">
        <v>186.863515860153</v>
      </c>
      <c r="E1694" s="116">
        <v>195.540187543413</v>
      </c>
      <c r="F1694" s="116">
        <v>196.6</v>
      </c>
      <c r="G1694">
        <v>409831</v>
      </c>
      <c r="H1694" s="116"/>
      <c r="I1694" s="116"/>
      <c r="L1694" s="170">
        <v>44498</v>
      </c>
      <c r="M1694" s="116">
        <v>190.68565025545701</v>
      </c>
      <c r="N1694" s="116">
        <v>198.152111007896</v>
      </c>
      <c r="O1694" s="116">
        <v>186.61303529958201</v>
      </c>
      <c r="P1694" s="116">
        <v>194.17646307477901</v>
      </c>
      <c r="Q1694" s="116">
        <v>196.65</v>
      </c>
      <c r="R1694">
        <v>6358995</v>
      </c>
    </row>
    <row r="1695" spans="1:18" x14ac:dyDescent="0.25">
      <c r="A1695" s="170">
        <v>44501</v>
      </c>
      <c r="B1695" s="116">
        <v>201.40542370919201</v>
      </c>
      <c r="C1695" s="116">
        <v>200.145125028942</v>
      </c>
      <c r="D1695" s="116">
        <v>186.13642046770099</v>
      </c>
      <c r="E1695" s="116">
        <v>186.13642046770099</v>
      </c>
      <c r="F1695" s="116">
        <v>206.45</v>
      </c>
      <c r="G1695">
        <v>1013416</v>
      </c>
      <c r="H1695" s="116"/>
      <c r="I1695" s="116"/>
      <c r="L1695" s="170">
        <v>44501</v>
      </c>
      <c r="M1695" s="116">
        <v>200.23690199721301</v>
      </c>
      <c r="N1695" s="116">
        <v>201.44898978169999</v>
      </c>
      <c r="O1695" s="116">
        <v>186.85545285647899</v>
      </c>
      <c r="P1695" s="116">
        <v>187.63118903855101</v>
      </c>
      <c r="Q1695" s="116">
        <v>206.5</v>
      </c>
      <c r="R1695">
        <v>10167774</v>
      </c>
    </row>
    <row r="1696" spans="1:18" x14ac:dyDescent="0.25">
      <c r="A1696" s="170">
        <v>44502</v>
      </c>
      <c r="B1696" s="116">
        <v>201.744734892336</v>
      </c>
      <c r="C1696" s="116">
        <v>197.09132438064401</v>
      </c>
      <c r="D1696" s="116">
        <v>196.46117504051901</v>
      </c>
      <c r="E1696" s="116">
        <v>201.64778884000901</v>
      </c>
      <c r="F1696" s="116">
        <v>203.3</v>
      </c>
      <c r="G1696">
        <v>255163</v>
      </c>
      <c r="H1696" s="116"/>
      <c r="I1696" s="116"/>
      <c r="L1696" s="170">
        <v>44502</v>
      </c>
      <c r="M1696" s="116">
        <v>197.08547375754799</v>
      </c>
      <c r="N1696" s="116">
        <v>201.497473293079</v>
      </c>
      <c r="O1696" s="116">
        <v>196.406704598235</v>
      </c>
      <c r="P1696" s="116">
        <v>201.15808871342301</v>
      </c>
      <c r="Q1696" s="116">
        <v>203.25</v>
      </c>
      <c r="R1696">
        <v>4446372</v>
      </c>
    </row>
    <row r="1697" spans="1:18" x14ac:dyDescent="0.25">
      <c r="A1697" s="170">
        <v>44503</v>
      </c>
      <c r="B1697" s="116">
        <v>200.339017133596</v>
      </c>
      <c r="C1697" s="116">
        <v>197.624527668442</v>
      </c>
      <c r="D1697" s="116">
        <v>195.49171451724899</v>
      </c>
      <c r="E1697" s="116">
        <v>198.060784903913</v>
      </c>
      <c r="F1697" s="116">
        <v>203.85</v>
      </c>
      <c r="G1697">
        <v>252694</v>
      </c>
      <c r="H1697" s="116"/>
      <c r="I1697" s="116"/>
      <c r="L1697" s="170">
        <v>44503</v>
      </c>
      <c r="M1697" s="116">
        <v>197.18244078030699</v>
      </c>
      <c r="N1697" s="116">
        <v>200.43083604273099</v>
      </c>
      <c r="O1697" s="116">
        <v>195.43703437064599</v>
      </c>
      <c r="P1697" s="116">
        <v>198.53997909893201</v>
      </c>
      <c r="Q1697" s="116">
        <v>203.35</v>
      </c>
      <c r="R1697">
        <v>5258071</v>
      </c>
    </row>
    <row r="1698" spans="1:18" x14ac:dyDescent="0.25">
      <c r="A1698" s="170">
        <v>44504</v>
      </c>
      <c r="B1698" s="116">
        <v>210.03362236628899</v>
      </c>
      <c r="C1698" s="116">
        <v>208.821796712202</v>
      </c>
      <c r="D1698" s="116">
        <v>197.96383885158599</v>
      </c>
      <c r="E1698" s="116">
        <v>200.096652002778</v>
      </c>
      <c r="F1698" s="116">
        <v>215.4</v>
      </c>
      <c r="G1698">
        <v>620126</v>
      </c>
      <c r="H1698" s="116"/>
      <c r="I1698" s="116"/>
      <c r="L1698" s="170">
        <v>44504</v>
      </c>
      <c r="M1698" s="116">
        <v>208.86696702275901</v>
      </c>
      <c r="N1698" s="116">
        <v>210.176021830005</v>
      </c>
      <c r="O1698" s="116">
        <v>198.152111007896</v>
      </c>
      <c r="P1698" s="116">
        <v>198.73391314445001</v>
      </c>
      <c r="Q1698" s="116">
        <v>215.4</v>
      </c>
      <c r="R1698">
        <v>8400777</v>
      </c>
    </row>
    <row r="1699" spans="1:18" x14ac:dyDescent="0.25">
      <c r="A1699" s="170">
        <v>44508</v>
      </c>
      <c r="B1699" s="116">
        <v>209.88820328779801</v>
      </c>
      <c r="C1699" s="116">
        <v>206.688983561009</v>
      </c>
      <c r="D1699" s="116">
        <v>204.21685922667299</v>
      </c>
      <c r="E1699" s="116">
        <v>209.50041907849001</v>
      </c>
      <c r="F1699" s="116">
        <v>213.2</v>
      </c>
      <c r="G1699">
        <v>509157</v>
      </c>
      <c r="H1699" s="116"/>
      <c r="I1699" s="116"/>
      <c r="L1699" s="170">
        <v>44508</v>
      </c>
      <c r="M1699" s="116">
        <v>206.733692522062</v>
      </c>
      <c r="N1699" s="116">
        <v>210.41843938690201</v>
      </c>
      <c r="O1699" s="116">
        <v>204.60041802136601</v>
      </c>
      <c r="P1699" s="116">
        <v>210.41843938690201</v>
      </c>
      <c r="Q1699" s="116">
        <v>213.2</v>
      </c>
      <c r="R1699">
        <v>7717120</v>
      </c>
    </row>
    <row r="1700" spans="1:18" x14ac:dyDescent="0.25">
      <c r="A1700" s="170">
        <v>44509</v>
      </c>
      <c r="B1700" s="116">
        <v>217.88625260476999</v>
      </c>
      <c r="C1700" s="116">
        <v>213.08742301458699</v>
      </c>
      <c r="D1700" s="116">
        <v>207.755390136606</v>
      </c>
      <c r="E1700" s="116">
        <v>208.191647372077</v>
      </c>
      <c r="F1700" s="116">
        <v>219.8</v>
      </c>
      <c r="G1700">
        <v>1125529</v>
      </c>
      <c r="H1700" s="116"/>
      <c r="I1700" s="116"/>
      <c r="L1700" s="170">
        <v>44509</v>
      </c>
      <c r="M1700" s="116">
        <v>213.18199953553199</v>
      </c>
      <c r="N1700" s="116">
        <v>218.07883418485801</v>
      </c>
      <c r="O1700" s="116">
        <v>207.509428704134</v>
      </c>
      <c r="P1700" s="116">
        <v>207.509428704134</v>
      </c>
      <c r="Q1700" s="116">
        <v>219.85</v>
      </c>
      <c r="R1700">
        <v>11701669</v>
      </c>
    </row>
    <row r="1701" spans="1:18" x14ac:dyDescent="0.25">
      <c r="A1701" s="170">
        <v>44510</v>
      </c>
      <c r="B1701" s="116">
        <v>217.15915721231801</v>
      </c>
      <c r="C1701" s="116">
        <v>209.35499999999999</v>
      </c>
      <c r="D1701" s="116">
        <v>207.561498031952</v>
      </c>
      <c r="E1701" s="116">
        <v>214.49314077332701</v>
      </c>
      <c r="F1701" s="116">
        <v>215.95</v>
      </c>
      <c r="G1701">
        <v>598894</v>
      </c>
      <c r="H1701" s="116"/>
      <c r="I1701" s="116"/>
      <c r="L1701" s="170">
        <v>44510</v>
      </c>
      <c r="M1701" s="116">
        <v>208.77</v>
      </c>
      <c r="N1701" s="116">
        <v>217.20613098002801</v>
      </c>
      <c r="O1701" s="116">
        <v>207.703362749652</v>
      </c>
      <c r="P1701" s="116">
        <v>212.93958197863401</v>
      </c>
      <c r="Q1701" s="116">
        <v>215.3</v>
      </c>
      <c r="R1701">
        <v>13046687</v>
      </c>
    </row>
    <row r="1702" spans="1:18" x14ac:dyDescent="0.25">
      <c r="A1702" s="170">
        <v>44511</v>
      </c>
      <c r="B1702" s="116">
        <v>214.45</v>
      </c>
      <c r="C1702" s="116">
        <v>207.95</v>
      </c>
      <c r="D1702" s="116">
        <v>207.1</v>
      </c>
      <c r="E1702" s="116">
        <v>212.9</v>
      </c>
      <c r="F1702" s="116">
        <v>207.95</v>
      </c>
      <c r="G1702">
        <v>566066</v>
      </c>
      <c r="H1702" s="116"/>
      <c r="I1702" s="116"/>
      <c r="L1702" s="170">
        <v>44511</v>
      </c>
      <c r="M1702" s="116">
        <v>207.9</v>
      </c>
      <c r="N1702" s="116">
        <v>214.45</v>
      </c>
      <c r="O1702" s="116">
        <v>207.2</v>
      </c>
      <c r="P1702" s="116">
        <v>214</v>
      </c>
      <c r="Q1702" s="116">
        <v>207.9</v>
      </c>
      <c r="R1702">
        <v>7249373</v>
      </c>
    </row>
    <row r="1703" spans="1:18" x14ac:dyDescent="0.25">
      <c r="A1703" s="170">
        <v>44512</v>
      </c>
      <c r="B1703" s="116">
        <v>214.9</v>
      </c>
      <c r="C1703" s="116">
        <v>214.2</v>
      </c>
      <c r="D1703" s="116">
        <v>209</v>
      </c>
      <c r="E1703" s="116">
        <v>210</v>
      </c>
      <c r="F1703" s="116">
        <v>214.2</v>
      </c>
      <c r="G1703">
        <v>542746</v>
      </c>
      <c r="H1703" s="116"/>
      <c r="I1703" s="116"/>
      <c r="L1703" s="170">
        <v>44512</v>
      </c>
      <c r="M1703" s="116">
        <v>214.3</v>
      </c>
      <c r="N1703" s="116">
        <v>214.95</v>
      </c>
      <c r="O1703" s="116">
        <v>209</v>
      </c>
      <c r="P1703" s="116">
        <v>210.75</v>
      </c>
      <c r="Q1703" s="116">
        <v>214.3</v>
      </c>
      <c r="R1703">
        <v>6719530</v>
      </c>
    </row>
    <row r="1704" spans="1:18" x14ac:dyDescent="0.25">
      <c r="A1704" s="170">
        <v>44515</v>
      </c>
      <c r="B1704" s="116">
        <v>220.95</v>
      </c>
      <c r="C1704" s="116">
        <v>216.15</v>
      </c>
      <c r="D1704" s="116">
        <v>212.95</v>
      </c>
      <c r="E1704" s="116">
        <v>215</v>
      </c>
      <c r="F1704" s="116">
        <v>216.15</v>
      </c>
      <c r="G1704">
        <v>756047</v>
      </c>
      <c r="H1704" s="116"/>
      <c r="I1704" s="116"/>
      <c r="L1704" s="170">
        <v>44515</v>
      </c>
      <c r="M1704" s="116">
        <v>216.25</v>
      </c>
      <c r="N1704" s="116">
        <v>220.9</v>
      </c>
      <c r="O1704" s="116">
        <v>212.9</v>
      </c>
      <c r="P1704" s="116">
        <v>215.35</v>
      </c>
      <c r="Q1704" s="116">
        <v>216.25</v>
      </c>
      <c r="R1704">
        <v>9594836</v>
      </c>
    </row>
    <row r="1705" spans="1:18" x14ac:dyDescent="0.25">
      <c r="A1705" s="170">
        <v>44516</v>
      </c>
      <c r="B1705" s="116">
        <v>224.25</v>
      </c>
      <c r="C1705" s="116">
        <v>217.1</v>
      </c>
      <c r="D1705" s="116">
        <v>216.35</v>
      </c>
      <c r="E1705" s="116">
        <v>219.4</v>
      </c>
      <c r="F1705" s="116">
        <v>217.1</v>
      </c>
      <c r="G1705">
        <v>482337</v>
      </c>
      <c r="H1705" s="116"/>
      <c r="I1705" s="116"/>
      <c r="L1705" s="170">
        <v>44516</v>
      </c>
      <c r="M1705" s="116">
        <v>216.9</v>
      </c>
      <c r="N1705" s="116">
        <v>224.2</v>
      </c>
      <c r="O1705" s="116">
        <v>216.25</v>
      </c>
      <c r="P1705" s="116">
        <v>218.9</v>
      </c>
      <c r="Q1705" s="116">
        <v>216.9</v>
      </c>
      <c r="R1705">
        <v>11019325</v>
      </c>
    </row>
    <row r="1706" spans="1:18" x14ac:dyDescent="0.25">
      <c r="A1706" s="170">
        <v>44517</v>
      </c>
      <c r="B1706" s="116">
        <v>220.45</v>
      </c>
      <c r="C1706" s="116">
        <v>215.5</v>
      </c>
      <c r="D1706" s="116">
        <v>212.3</v>
      </c>
      <c r="E1706" s="116">
        <v>219</v>
      </c>
      <c r="F1706" s="116">
        <v>215.5</v>
      </c>
      <c r="G1706">
        <v>681939</v>
      </c>
      <c r="H1706" s="116"/>
      <c r="I1706" s="116"/>
      <c r="L1706" s="170">
        <v>44517</v>
      </c>
      <c r="M1706" s="116">
        <v>215.55</v>
      </c>
      <c r="N1706" s="116">
        <v>220.4</v>
      </c>
      <c r="O1706" s="116">
        <v>212.25</v>
      </c>
      <c r="P1706" s="116">
        <v>218.45</v>
      </c>
      <c r="Q1706" s="116">
        <v>215.55</v>
      </c>
      <c r="R1706">
        <v>6520504</v>
      </c>
    </row>
    <row r="1707" spans="1:18" x14ac:dyDescent="0.25">
      <c r="A1707" s="170">
        <v>44518</v>
      </c>
      <c r="B1707" s="116">
        <v>217.95</v>
      </c>
      <c r="C1707" s="116">
        <v>210.5</v>
      </c>
      <c r="D1707" s="116">
        <v>207.1</v>
      </c>
      <c r="E1707" s="116">
        <v>215.6</v>
      </c>
      <c r="F1707" s="116">
        <v>210.5</v>
      </c>
      <c r="G1707">
        <v>434335</v>
      </c>
      <c r="H1707" s="116"/>
      <c r="I1707" s="116"/>
      <c r="L1707" s="170">
        <v>44518</v>
      </c>
      <c r="M1707" s="116">
        <v>210.5</v>
      </c>
      <c r="N1707" s="116">
        <v>218</v>
      </c>
      <c r="O1707" s="116">
        <v>207</v>
      </c>
      <c r="P1707" s="116">
        <v>216.5</v>
      </c>
      <c r="Q1707" s="116">
        <v>210.5</v>
      </c>
      <c r="R1707">
        <v>6209765</v>
      </c>
    </row>
    <row r="1708" spans="1:18" x14ac:dyDescent="0.25">
      <c r="A1708" s="170">
        <v>44522</v>
      </c>
      <c r="B1708" s="116">
        <v>210.75</v>
      </c>
      <c r="C1708" s="116">
        <v>201.85</v>
      </c>
      <c r="D1708" s="116">
        <v>196.65</v>
      </c>
      <c r="E1708" s="116">
        <v>210.75</v>
      </c>
      <c r="F1708" s="116">
        <v>201.85</v>
      </c>
      <c r="G1708">
        <v>712587</v>
      </c>
      <c r="H1708" s="116"/>
      <c r="I1708" s="116"/>
      <c r="L1708" s="170">
        <v>44522</v>
      </c>
      <c r="M1708" s="116">
        <v>201.95</v>
      </c>
      <c r="N1708" s="116">
        <v>211</v>
      </c>
      <c r="O1708" s="116">
        <v>196.65</v>
      </c>
      <c r="P1708" s="116">
        <v>210.9</v>
      </c>
      <c r="Q1708" s="116">
        <v>201.95</v>
      </c>
      <c r="R1708">
        <v>7005587</v>
      </c>
    </row>
    <row r="1709" spans="1:18" x14ac:dyDescent="0.25">
      <c r="A1709" s="170">
        <v>44523</v>
      </c>
      <c r="B1709" s="116">
        <v>208.25</v>
      </c>
      <c r="C1709" s="116">
        <v>207.3</v>
      </c>
      <c r="D1709" s="116">
        <v>197.45</v>
      </c>
      <c r="E1709" s="116">
        <v>202.35</v>
      </c>
      <c r="F1709" s="116">
        <v>207.3</v>
      </c>
      <c r="G1709">
        <v>422872</v>
      </c>
      <c r="H1709" s="116"/>
      <c r="I1709" s="116"/>
      <c r="L1709" s="170">
        <v>44523</v>
      </c>
      <c r="M1709" s="116">
        <v>207.25</v>
      </c>
      <c r="N1709" s="116">
        <v>208.35</v>
      </c>
      <c r="O1709" s="116">
        <v>197.35</v>
      </c>
      <c r="P1709" s="116">
        <v>200.1</v>
      </c>
      <c r="Q1709" s="116">
        <v>207.25</v>
      </c>
      <c r="R1709">
        <v>5882101</v>
      </c>
    </row>
    <row r="1710" spans="1:18" x14ac:dyDescent="0.25">
      <c r="A1710" s="170">
        <v>44524</v>
      </c>
      <c r="B1710" s="116">
        <v>209.5</v>
      </c>
      <c r="C1710" s="116">
        <v>206.1</v>
      </c>
      <c r="D1710" s="116">
        <v>205</v>
      </c>
      <c r="E1710" s="116">
        <v>208.5</v>
      </c>
      <c r="F1710" s="116">
        <v>206.1</v>
      </c>
      <c r="G1710">
        <v>773459</v>
      </c>
      <c r="H1710" s="116"/>
      <c r="I1710" s="116"/>
      <c r="L1710" s="170">
        <v>44524</v>
      </c>
      <c r="M1710" s="116">
        <v>206.15</v>
      </c>
      <c r="N1710" s="116">
        <v>209.5</v>
      </c>
      <c r="O1710" s="116">
        <v>205</v>
      </c>
      <c r="P1710" s="116">
        <v>208.3</v>
      </c>
      <c r="Q1710" s="116">
        <v>206.15</v>
      </c>
      <c r="R1710">
        <v>5315951</v>
      </c>
    </row>
    <row r="1711" spans="1:18" x14ac:dyDescent="0.25">
      <c r="A1711" s="170">
        <v>44525</v>
      </c>
      <c r="B1711" s="116">
        <v>207.25</v>
      </c>
      <c r="C1711" s="116">
        <v>205.35</v>
      </c>
      <c r="D1711" s="116">
        <v>203.5</v>
      </c>
      <c r="E1711" s="116">
        <v>206</v>
      </c>
      <c r="F1711" s="116">
        <v>205.35</v>
      </c>
      <c r="G1711">
        <v>244856</v>
      </c>
      <c r="H1711" s="116"/>
      <c r="I1711" s="116"/>
      <c r="L1711" s="170">
        <v>44525</v>
      </c>
      <c r="M1711" s="116">
        <v>205.55</v>
      </c>
      <c r="N1711" s="116">
        <v>207.25</v>
      </c>
      <c r="O1711" s="116">
        <v>203.5</v>
      </c>
      <c r="P1711" s="116">
        <v>207</v>
      </c>
      <c r="Q1711" s="116">
        <v>205.55</v>
      </c>
      <c r="R1711">
        <v>3270399</v>
      </c>
    </row>
    <row r="1712" spans="1:18" x14ac:dyDescent="0.25">
      <c r="A1712" s="170">
        <v>44526</v>
      </c>
      <c r="B1712" s="116">
        <v>201.35</v>
      </c>
      <c r="C1712" s="116">
        <v>182.5</v>
      </c>
      <c r="D1712" s="116">
        <v>180.05</v>
      </c>
      <c r="E1712" s="116">
        <v>200.35</v>
      </c>
      <c r="F1712" s="116">
        <v>182.5</v>
      </c>
      <c r="G1712">
        <v>1150350</v>
      </c>
      <c r="H1712" s="116"/>
      <c r="I1712" s="116"/>
      <c r="L1712" s="170">
        <v>44526</v>
      </c>
      <c r="M1712" s="116">
        <v>182.05</v>
      </c>
      <c r="N1712" s="116">
        <v>201.4</v>
      </c>
      <c r="O1712" s="116">
        <v>180.05</v>
      </c>
      <c r="P1712" s="116">
        <v>200.5</v>
      </c>
      <c r="Q1712" s="116">
        <v>182.05</v>
      </c>
      <c r="R1712">
        <v>18934223</v>
      </c>
    </row>
    <row r="1713" spans="1:18" x14ac:dyDescent="0.25">
      <c r="A1713" s="170">
        <v>44529</v>
      </c>
      <c r="B1713" s="116">
        <v>182</v>
      </c>
      <c r="C1713" s="116">
        <v>172.5</v>
      </c>
      <c r="D1713" s="116">
        <v>171.15</v>
      </c>
      <c r="E1713" s="116">
        <v>178.75</v>
      </c>
      <c r="F1713" s="116">
        <v>172.5</v>
      </c>
      <c r="G1713">
        <v>1498231</v>
      </c>
      <c r="H1713" s="116"/>
      <c r="I1713" s="116"/>
      <c r="L1713" s="170">
        <v>44529</v>
      </c>
      <c r="M1713" s="116">
        <v>172.55</v>
      </c>
      <c r="N1713" s="116">
        <v>182.05</v>
      </c>
      <c r="O1713" s="116">
        <v>171</v>
      </c>
      <c r="P1713" s="116">
        <v>179.9</v>
      </c>
      <c r="Q1713" s="116">
        <v>172.55</v>
      </c>
      <c r="R1713">
        <v>18873541</v>
      </c>
    </row>
    <row r="1714" spans="1:18" x14ac:dyDescent="0.25">
      <c r="A1714" s="170">
        <v>44530</v>
      </c>
      <c r="B1714" s="116">
        <v>185.75</v>
      </c>
      <c r="C1714" s="116">
        <v>180.4</v>
      </c>
      <c r="D1714" s="116">
        <v>171.65</v>
      </c>
      <c r="E1714" s="116">
        <v>171.65</v>
      </c>
      <c r="F1714" s="116">
        <v>180.4</v>
      </c>
      <c r="G1714">
        <v>1122036</v>
      </c>
      <c r="H1714" s="116"/>
      <c r="I1714" s="116"/>
      <c r="L1714" s="170">
        <v>44530</v>
      </c>
      <c r="M1714" s="116">
        <v>180.3</v>
      </c>
      <c r="N1714" s="116">
        <v>185.8</v>
      </c>
      <c r="O1714" s="116">
        <v>173.15</v>
      </c>
      <c r="P1714" s="116">
        <v>173.15</v>
      </c>
      <c r="Q1714" s="116">
        <v>180.3</v>
      </c>
      <c r="R1714">
        <v>25848702</v>
      </c>
    </row>
    <row r="1715" spans="1:18" x14ac:dyDescent="0.25">
      <c r="A1715" s="170">
        <v>44531</v>
      </c>
      <c r="B1715" s="116">
        <v>185.1</v>
      </c>
      <c r="C1715" s="116">
        <v>183.95</v>
      </c>
      <c r="D1715" s="116">
        <v>177.5</v>
      </c>
      <c r="E1715" s="116">
        <v>179.9</v>
      </c>
      <c r="F1715" s="116">
        <v>183.95</v>
      </c>
      <c r="G1715">
        <v>741063</v>
      </c>
      <c r="H1715" s="116"/>
      <c r="I1715" s="116"/>
      <c r="L1715" s="170">
        <v>44531</v>
      </c>
      <c r="M1715" s="116">
        <v>184.1</v>
      </c>
      <c r="N1715" s="116">
        <v>185.35</v>
      </c>
      <c r="O1715" s="116">
        <v>177.55</v>
      </c>
      <c r="P1715" s="116">
        <v>179.95</v>
      </c>
      <c r="Q1715" s="116">
        <v>184.1</v>
      </c>
      <c r="R1715">
        <v>11547921</v>
      </c>
    </row>
    <row r="1716" spans="1:18" x14ac:dyDescent="0.25">
      <c r="A1716" s="170">
        <v>44532</v>
      </c>
      <c r="B1716" s="116">
        <v>185.75</v>
      </c>
      <c r="C1716" s="116">
        <v>184.05</v>
      </c>
      <c r="D1716" s="116">
        <v>179.55</v>
      </c>
      <c r="E1716" s="116">
        <v>182.8</v>
      </c>
      <c r="F1716" s="116">
        <v>184.05</v>
      </c>
      <c r="G1716">
        <v>535903</v>
      </c>
      <c r="H1716" s="116"/>
      <c r="I1716" s="116"/>
      <c r="L1716" s="170">
        <v>44532</v>
      </c>
      <c r="M1716" s="116">
        <v>184.2</v>
      </c>
      <c r="N1716" s="116">
        <v>186</v>
      </c>
      <c r="O1716" s="116">
        <v>179.2</v>
      </c>
      <c r="P1716" s="116">
        <v>182</v>
      </c>
      <c r="Q1716" s="116">
        <v>184.2</v>
      </c>
      <c r="R1716">
        <v>8435304</v>
      </c>
    </row>
    <row r="1717" spans="1:18" x14ac:dyDescent="0.25">
      <c r="A1717" s="170">
        <v>44533</v>
      </c>
      <c r="B1717" s="116">
        <v>196.25</v>
      </c>
      <c r="C1717" s="116">
        <v>192.15</v>
      </c>
      <c r="D1717" s="116">
        <v>184.35</v>
      </c>
      <c r="E1717" s="116">
        <v>186.5</v>
      </c>
      <c r="F1717" s="116">
        <v>192.15</v>
      </c>
      <c r="G1717">
        <v>970962</v>
      </c>
      <c r="H1717" s="116"/>
      <c r="I1717" s="116"/>
      <c r="L1717" s="170">
        <v>44533</v>
      </c>
      <c r="M1717" s="116">
        <v>192.3</v>
      </c>
      <c r="N1717" s="116">
        <v>196</v>
      </c>
      <c r="O1717" s="116">
        <v>184.3</v>
      </c>
      <c r="P1717" s="116">
        <v>187</v>
      </c>
      <c r="Q1717" s="116">
        <v>192.3</v>
      </c>
      <c r="R1717">
        <v>17321214</v>
      </c>
    </row>
    <row r="1718" spans="1:18" x14ac:dyDescent="0.25">
      <c r="A1718" s="170">
        <v>44536</v>
      </c>
      <c r="B1718" s="116">
        <v>194.25</v>
      </c>
      <c r="C1718" s="116">
        <v>187.3</v>
      </c>
      <c r="D1718" s="116">
        <v>186.2</v>
      </c>
      <c r="E1718" s="116">
        <v>191.7</v>
      </c>
      <c r="F1718" s="116">
        <v>187.3</v>
      </c>
      <c r="G1718">
        <v>494815</v>
      </c>
      <c r="H1718" s="116"/>
      <c r="I1718" s="116"/>
      <c r="L1718" s="170">
        <v>44536</v>
      </c>
      <c r="M1718" s="116">
        <v>187</v>
      </c>
      <c r="N1718" s="116">
        <v>194.45</v>
      </c>
      <c r="O1718" s="116">
        <v>186.3</v>
      </c>
      <c r="P1718" s="116">
        <v>190</v>
      </c>
      <c r="Q1718" s="116">
        <v>187</v>
      </c>
      <c r="R1718">
        <v>7362776</v>
      </c>
    </row>
    <row r="1719" spans="1:18" x14ac:dyDescent="0.25">
      <c r="A1719" s="170">
        <v>44537</v>
      </c>
      <c r="B1719" s="116">
        <v>196.4</v>
      </c>
      <c r="C1719" s="116">
        <v>195.2</v>
      </c>
      <c r="D1719" s="116">
        <v>189.3</v>
      </c>
      <c r="E1719" s="116">
        <v>189.3</v>
      </c>
      <c r="F1719" s="116">
        <v>195.2</v>
      </c>
      <c r="G1719">
        <v>509799</v>
      </c>
      <c r="H1719" s="116"/>
      <c r="I1719" s="116"/>
      <c r="L1719" s="170">
        <v>44537</v>
      </c>
      <c r="M1719" s="116">
        <v>195.25</v>
      </c>
      <c r="N1719" s="116">
        <v>196.5</v>
      </c>
      <c r="O1719" s="116">
        <v>189.35</v>
      </c>
      <c r="P1719" s="116">
        <v>189.95</v>
      </c>
      <c r="Q1719" s="116">
        <v>195.25</v>
      </c>
      <c r="R1719">
        <v>6130489</v>
      </c>
    </row>
    <row r="1720" spans="1:18" x14ac:dyDescent="0.25">
      <c r="A1720" s="170">
        <v>44538</v>
      </c>
      <c r="B1720" s="116">
        <v>205</v>
      </c>
      <c r="C1720" s="116">
        <v>202</v>
      </c>
      <c r="D1720" s="116">
        <v>196.7</v>
      </c>
      <c r="E1720" s="116">
        <v>196.7</v>
      </c>
      <c r="F1720" s="116">
        <v>202</v>
      </c>
      <c r="G1720">
        <v>438999</v>
      </c>
      <c r="H1720" s="116"/>
      <c r="I1720" s="116"/>
      <c r="L1720" s="170">
        <v>44538</v>
      </c>
      <c r="M1720" s="116">
        <v>202.05</v>
      </c>
      <c r="N1720" s="116">
        <v>204.9</v>
      </c>
      <c r="O1720" s="116">
        <v>197.05</v>
      </c>
      <c r="P1720" s="116">
        <v>197.2</v>
      </c>
      <c r="Q1720" s="116">
        <v>202.05</v>
      </c>
      <c r="R1720">
        <v>11344076</v>
      </c>
    </row>
    <row r="1721" spans="1:18" x14ac:dyDescent="0.25">
      <c r="A1721" s="170">
        <v>44539</v>
      </c>
      <c r="B1721" s="116">
        <v>205.75</v>
      </c>
      <c r="C1721" s="116">
        <v>203.95</v>
      </c>
      <c r="D1721" s="116">
        <v>202</v>
      </c>
      <c r="E1721" s="116">
        <v>203.25</v>
      </c>
      <c r="F1721" s="116">
        <v>203.95</v>
      </c>
      <c r="G1721">
        <v>284681</v>
      </c>
      <c r="H1721" s="116"/>
      <c r="I1721" s="116"/>
      <c r="L1721" s="170">
        <v>44539</v>
      </c>
      <c r="M1721" s="116">
        <v>203.9</v>
      </c>
      <c r="N1721" s="116">
        <v>205.65</v>
      </c>
      <c r="O1721" s="116">
        <v>202</v>
      </c>
      <c r="P1721" s="116">
        <v>204</v>
      </c>
      <c r="Q1721" s="116">
        <v>203.9</v>
      </c>
      <c r="R1721">
        <v>5462146</v>
      </c>
    </row>
    <row r="1722" spans="1:18" x14ac:dyDescent="0.25">
      <c r="A1722" s="170">
        <v>44540</v>
      </c>
      <c r="B1722" s="116">
        <v>206.45</v>
      </c>
      <c r="C1722" s="116">
        <v>204.15</v>
      </c>
      <c r="D1722" s="116">
        <v>201.4</v>
      </c>
      <c r="E1722" s="116">
        <v>202.2</v>
      </c>
      <c r="F1722" s="116">
        <v>204.15</v>
      </c>
      <c r="G1722">
        <v>316760</v>
      </c>
      <c r="H1722" s="116"/>
      <c r="I1722" s="116"/>
      <c r="L1722" s="170">
        <v>44540</v>
      </c>
      <c r="M1722" s="116">
        <v>204.15</v>
      </c>
      <c r="N1722" s="116">
        <v>206.5</v>
      </c>
      <c r="O1722" s="116">
        <v>201.4</v>
      </c>
      <c r="P1722" s="116">
        <v>203.9</v>
      </c>
      <c r="Q1722" s="116">
        <v>204.15</v>
      </c>
      <c r="R1722">
        <v>4200525</v>
      </c>
    </row>
    <row r="1723" spans="1:18" x14ac:dyDescent="0.25">
      <c r="A1723" s="170">
        <v>44543</v>
      </c>
      <c r="B1723" s="116">
        <v>206.8</v>
      </c>
      <c r="C1723" s="116">
        <v>203.3</v>
      </c>
      <c r="D1723" s="116">
        <v>201.65</v>
      </c>
      <c r="E1723" s="116">
        <v>206.8</v>
      </c>
      <c r="F1723" s="116">
        <v>203.3</v>
      </c>
      <c r="G1723">
        <v>241300</v>
      </c>
      <c r="H1723" s="116"/>
      <c r="I1723" s="116"/>
      <c r="L1723" s="170">
        <v>44543</v>
      </c>
      <c r="M1723" s="116">
        <v>203.35</v>
      </c>
      <c r="N1723" s="116">
        <v>206.5</v>
      </c>
      <c r="O1723" s="116">
        <v>201.6</v>
      </c>
      <c r="P1723" s="116">
        <v>205.5</v>
      </c>
      <c r="Q1723" s="116">
        <v>203.35</v>
      </c>
      <c r="R1723">
        <v>2623013</v>
      </c>
    </row>
    <row r="1724" spans="1:18" x14ac:dyDescent="0.25">
      <c r="A1724" s="170">
        <v>44544</v>
      </c>
      <c r="B1724" s="116">
        <v>202.5</v>
      </c>
      <c r="C1724" s="116">
        <v>198</v>
      </c>
      <c r="D1724" s="116">
        <v>197.3</v>
      </c>
      <c r="E1724" s="116">
        <v>198</v>
      </c>
      <c r="F1724" s="116">
        <v>198</v>
      </c>
      <c r="G1724">
        <v>1385786</v>
      </c>
      <c r="H1724" s="116"/>
      <c r="I1724" s="116"/>
      <c r="L1724" s="170">
        <v>44544</v>
      </c>
      <c r="M1724" s="116">
        <v>198.15</v>
      </c>
      <c r="N1724" s="116">
        <v>202.6</v>
      </c>
      <c r="O1724" s="116">
        <v>197.25</v>
      </c>
      <c r="P1724" s="116">
        <v>198.2</v>
      </c>
      <c r="Q1724" s="116">
        <v>198.15</v>
      </c>
      <c r="R1724">
        <v>4832344</v>
      </c>
    </row>
    <row r="1725" spans="1:18" x14ac:dyDescent="0.25">
      <c r="A1725" s="170">
        <v>44545</v>
      </c>
      <c r="B1725" s="116">
        <v>203.5</v>
      </c>
      <c r="C1725" s="116">
        <v>199.7</v>
      </c>
      <c r="D1725" s="116">
        <v>196.7</v>
      </c>
      <c r="E1725" s="116">
        <v>199.5</v>
      </c>
      <c r="F1725" s="116">
        <v>199.7</v>
      </c>
      <c r="G1725">
        <v>332428</v>
      </c>
      <c r="H1725" s="116"/>
      <c r="I1725" s="116"/>
      <c r="L1725" s="170">
        <v>44545</v>
      </c>
      <c r="M1725" s="116">
        <v>199.75</v>
      </c>
      <c r="N1725" s="116">
        <v>203.5</v>
      </c>
      <c r="O1725" s="116">
        <v>196.6</v>
      </c>
      <c r="P1725" s="116">
        <v>198.9</v>
      </c>
      <c r="Q1725" s="116">
        <v>199.75</v>
      </c>
      <c r="R1725">
        <v>6347873</v>
      </c>
    </row>
    <row r="1726" spans="1:18" x14ac:dyDescent="0.25">
      <c r="A1726" s="170">
        <v>44546</v>
      </c>
      <c r="B1726" s="116">
        <v>202.4</v>
      </c>
      <c r="C1726" s="116">
        <v>195</v>
      </c>
      <c r="D1726" s="116">
        <v>194.6</v>
      </c>
      <c r="E1726" s="116">
        <v>200.5</v>
      </c>
      <c r="F1726" s="116">
        <v>195</v>
      </c>
      <c r="G1726">
        <v>247266</v>
      </c>
      <c r="H1726" s="116"/>
      <c r="I1726" s="116"/>
      <c r="L1726" s="170">
        <v>44546</v>
      </c>
      <c r="M1726" s="116">
        <v>195.05</v>
      </c>
      <c r="N1726" s="116">
        <v>203</v>
      </c>
      <c r="O1726" s="116">
        <v>194.55</v>
      </c>
      <c r="P1726" s="116">
        <v>200.8</v>
      </c>
      <c r="Q1726" s="116">
        <v>195.05</v>
      </c>
      <c r="R1726">
        <v>4244556</v>
      </c>
    </row>
    <row r="1727" spans="1:18" x14ac:dyDescent="0.25">
      <c r="A1727" s="170">
        <v>44547</v>
      </c>
      <c r="B1727" s="116">
        <v>195</v>
      </c>
      <c r="C1727" s="116">
        <v>190.8</v>
      </c>
      <c r="D1727" s="116">
        <v>188.25</v>
      </c>
      <c r="E1727" s="116">
        <v>195</v>
      </c>
      <c r="F1727" s="116">
        <v>190.8</v>
      </c>
      <c r="G1727">
        <v>240946</v>
      </c>
      <c r="H1727" s="116"/>
      <c r="I1727" s="116"/>
      <c r="L1727" s="170">
        <v>44547</v>
      </c>
      <c r="M1727" s="116">
        <v>190.9</v>
      </c>
      <c r="N1727" s="116">
        <v>195.05</v>
      </c>
      <c r="O1727" s="116">
        <v>188.3</v>
      </c>
      <c r="P1727" s="116">
        <v>194.15</v>
      </c>
      <c r="Q1727" s="116">
        <v>190.9</v>
      </c>
      <c r="R1727">
        <v>5808908</v>
      </c>
    </row>
    <row r="1728" spans="1:18" x14ac:dyDescent="0.25">
      <c r="A1728" s="170">
        <v>44550</v>
      </c>
      <c r="B1728" s="116">
        <v>186.65</v>
      </c>
      <c r="C1728" s="116">
        <v>182.5</v>
      </c>
      <c r="D1728" s="116">
        <v>177.7</v>
      </c>
      <c r="E1728" s="116">
        <v>186.45</v>
      </c>
      <c r="F1728" s="116">
        <v>182.5</v>
      </c>
      <c r="G1728">
        <v>272447</v>
      </c>
      <c r="H1728" s="116"/>
      <c r="I1728" s="116"/>
      <c r="L1728" s="170">
        <v>44550</v>
      </c>
      <c r="M1728" s="116">
        <v>182.65</v>
      </c>
      <c r="N1728" s="116">
        <v>186.4</v>
      </c>
      <c r="O1728" s="116">
        <v>177.5</v>
      </c>
      <c r="P1728" s="116">
        <v>184.9</v>
      </c>
      <c r="Q1728" s="116">
        <v>182.65</v>
      </c>
      <c r="R1728">
        <v>6030682</v>
      </c>
    </row>
    <row r="1729" spans="1:18" x14ac:dyDescent="0.25">
      <c r="A1729" s="170">
        <v>44551</v>
      </c>
      <c r="B1729" s="116">
        <v>187.05</v>
      </c>
      <c r="C1729" s="116">
        <v>180.95</v>
      </c>
      <c r="D1729" s="116">
        <v>178.9</v>
      </c>
      <c r="E1729" s="116">
        <v>184.95</v>
      </c>
      <c r="F1729" s="116">
        <v>180.95</v>
      </c>
      <c r="G1729">
        <v>314606</v>
      </c>
      <c r="H1729" s="116"/>
      <c r="I1729" s="116"/>
      <c r="L1729" s="170">
        <v>44551</v>
      </c>
      <c r="M1729" s="116">
        <v>180.55</v>
      </c>
      <c r="N1729" s="116">
        <v>187</v>
      </c>
      <c r="O1729" s="116">
        <v>178.9</v>
      </c>
      <c r="P1729" s="116">
        <v>184</v>
      </c>
      <c r="Q1729" s="116">
        <v>180.55</v>
      </c>
      <c r="R1729">
        <v>7060940</v>
      </c>
    </row>
    <row r="1730" spans="1:18" x14ac:dyDescent="0.25">
      <c r="A1730" s="170">
        <v>44552</v>
      </c>
      <c r="B1730" s="116">
        <v>184.15</v>
      </c>
      <c r="C1730" s="116">
        <v>181</v>
      </c>
      <c r="D1730" s="116">
        <v>178.05</v>
      </c>
      <c r="E1730" s="116">
        <v>182</v>
      </c>
      <c r="F1730" s="116">
        <v>181</v>
      </c>
      <c r="G1730">
        <v>349216</v>
      </c>
      <c r="H1730" s="116"/>
      <c r="I1730" s="116"/>
      <c r="L1730" s="170">
        <v>44552</v>
      </c>
      <c r="M1730" s="116">
        <v>181.05</v>
      </c>
      <c r="N1730" s="116">
        <v>184</v>
      </c>
      <c r="O1730" s="116">
        <v>178.05</v>
      </c>
      <c r="P1730" s="116">
        <v>182.5</v>
      </c>
      <c r="Q1730" s="116">
        <v>181.05</v>
      </c>
      <c r="R1730">
        <v>4314981</v>
      </c>
    </row>
    <row r="1731" spans="1:18" x14ac:dyDescent="0.25">
      <c r="A1731" s="170">
        <v>44553</v>
      </c>
      <c r="B1731" s="116">
        <v>183.85</v>
      </c>
      <c r="C1731" s="116">
        <v>180.45</v>
      </c>
      <c r="D1731" s="116">
        <v>179.5</v>
      </c>
      <c r="E1731" s="116">
        <v>182</v>
      </c>
      <c r="F1731" s="116">
        <v>180.45</v>
      </c>
      <c r="G1731">
        <v>173797</v>
      </c>
      <c r="H1731" s="116"/>
      <c r="I1731" s="116"/>
      <c r="L1731" s="170">
        <v>44553</v>
      </c>
      <c r="M1731" s="116">
        <v>180.25</v>
      </c>
      <c r="N1731" s="116">
        <v>183.75</v>
      </c>
      <c r="O1731" s="116">
        <v>179.2</v>
      </c>
      <c r="P1731" s="116">
        <v>183</v>
      </c>
      <c r="Q1731" s="116">
        <v>180.25</v>
      </c>
      <c r="R1731">
        <v>2519410</v>
      </c>
    </row>
    <row r="1732" spans="1:18" x14ac:dyDescent="0.25">
      <c r="A1732" s="170">
        <v>44554</v>
      </c>
      <c r="B1732" s="116">
        <v>181</v>
      </c>
      <c r="C1732" s="116">
        <v>176.65</v>
      </c>
      <c r="D1732" s="116">
        <v>175</v>
      </c>
      <c r="E1732" s="116">
        <v>180.5</v>
      </c>
      <c r="F1732" s="116">
        <v>176.65</v>
      </c>
      <c r="G1732">
        <v>448462</v>
      </c>
      <c r="H1732" s="116"/>
      <c r="I1732" s="116"/>
      <c r="L1732" s="170">
        <v>44554</v>
      </c>
      <c r="M1732" s="116">
        <v>176.65</v>
      </c>
      <c r="N1732" s="116">
        <v>181.4</v>
      </c>
      <c r="O1732" s="116">
        <v>175</v>
      </c>
      <c r="P1732" s="116">
        <v>180.5</v>
      </c>
      <c r="Q1732" s="116">
        <v>176.65</v>
      </c>
      <c r="R1732">
        <v>4646074</v>
      </c>
    </row>
    <row r="1733" spans="1:18" x14ac:dyDescent="0.25">
      <c r="A1733" s="170">
        <v>44557</v>
      </c>
      <c r="B1733" s="116">
        <v>179.8</v>
      </c>
      <c r="C1733" s="116">
        <v>178.35</v>
      </c>
      <c r="D1733" s="116">
        <v>172.35</v>
      </c>
      <c r="E1733" s="116">
        <v>172.65</v>
      </c>
      <c r="F1733" s="116">
        <v>178.35</v>
      </c>
      <c r="G1733">
        <v>415860</v>
      </c>
      <c r="H1733" s="116"/>
      <c r="I1733" s="116"/>
      <c r="L1733" s="170">
        <v>44557</v>
      </c>
      <c r="M1733" s="116">
        <v>178.2</v>
      </c>
      <c r="N1733" s="116">
        <v>179.1</v>
      </c>
      <c r="O1733" s="116">
        <v>172.15</v>
      </c>
      <c r="P1733" s="116">
        <v>173</v>
      </c>
      <c r="Q1733" s="116">
        <v>178.2</v>
      </c>
      <c r="R1733">
        <v>3900089</v>
      </c>
    </row>
    <row r="1734" spans="1:18" x14ac:dyDescent="0.25">
      <c r="A1734" s="170">
        <v>44558</v>
      </c>
      <c r="B1734" s="116">
        <v>184.25</v>
      </c>
      <c r="C1734" s="116">
        <v>182.7</v>
      </c>
      <c r="D1734" s="116">
        <v>178.7</v>
      </c>
      <c r="E1734" s="116">
        <v>179.65</v>
      </c>
      <c r="F1734" s="116">
        <v>182.7</v>
      </c>
      <c r="G1734">
        <v>383413</v>
      </c>
      <c r="H1734" s="116"/>
      <c r="I1734" s="116"/>
      <c r="L1734" s="170">
        <v>44558</v>
      </c>
      <c r="M1734" s="116">
        <v>182.8</v>
      </c>
      <c r="N1734" s="116">
        <v>184.35</v>
      </c>
      <c r="O1734" s="116">
        <v>178.6</v>
      </c>
      <c r="P1734" s="116">
        <v>179.35</v>
      </c>
      <c r="Q1734" s="116">
        <v>182.8</v>
      </c>
      <c r="R1734">
        <v>4824090</v>
      </c>
    </row>
    <row r="1735" spans="1:18" x14ac:dyDescent="0.25">
      <c r="A1735" s="170">
        <v>44559</v>
      </c>
      <c r="B1735" s="116">
        <v>184.2</v>
      </c>
      <c r="C1735" s="116">
        <v>181.95</v>
      </c>
      <c r="D1735" s="116">
        <v>180.9</v>
      </c>
      <c r="E1735" s="116">
        <v>182</v>
      </c>
      <c r="F1735" s="116">
        <v>181.95</v>
      </c>
      <c r="G1735">
        <v>164150</v>
      </c>
      <c r="H1735" s="116"/>
      <c r="I1735" s="116"/>
      <c r="L1735" s="170">
        <v>44559</v>
      </c>
      <c r="M1735" s="116">
        <v>181.95</v>
      </c>
      <c r="N1735" s="116">
        <v>184.3</v>
      </c>
      <c r="O1735" s="116">
        <v>180.75</v>
      </c>
      <c r="P1735" s="116">
        <v>182.15</v>
      </c>
      <c r="Q1735" s="116">
        <v>181.95</v>
      </c>
      <c r="R1735">
        <v>2461845</v>
      </c>
    </row>
    <row r="1736" spans="1:18" x14ac:dyDescent="0.25">
      <c r="A1736" s="170">
        <v>44560</v>
      </c>
      <c r="B1736" s="116">
        <v>181.8</v>
      </c>
      <c r="C1736" s="116">
        <v>176.85</v>
      </c>
      <c r="D1736" s="116">
        <v>175.6</v>
      </c>
      <c r="E1736" s="116">
        <v>179.95</v>
      </c>
      <c r="F1736" s="116">
        <v>176.85</v>
      </c>
      <c r="G1736">
        <v>394916</v>
      </c>
      <c r="H1736" s="116"/>
      <c r="I1736" s="116"/>
      <c r="L1736" s="170">
        <v>44560</v>
      </c>
      <c r="M1736" s="116">
        <v>176.85</v>
      </c>
      <c r="N1736" s="116">
        <v>181.85</v>
      </c>
      <c r="O1736" s="116">
        <v>175.55</v>
      </c>
      <c r="P1736" s="116">
        <v>179.9</v>
      </c>
      <c r="Q1736" s="116">
        <v>176.85</v>
      </c>
      <c r="R1736">
        <v>4941576</v>
      </c>
    </row>
    <row r="1737" spans="1:18" x14ac:dyDescent="0.25">
      <c r="A1737" s="170">
        <v>44561</v>
      </c>
      <c r="B1737" s="116">
        <v>181.7</v>
      </c>
      <c r="C1737" s="116">
        <v>180.6</v>
      </c>
      <c r="D1737" s="116">
        <v>175.1</v>
      </c>
      <c r="E1737" s="116">
        <v>176</v>
      </c>
      <c r="F1737" s="116">
        <v>180.6</v>
      </c>
      <c r="G1737">
        <v>372188</v>
      </c>
      <c r="H1737" s="116"/>
      <c r="I1737" s="116"/>
      <c r="L1737" s="170">
        <v>44561</v>
      </c>
      <c r="M1737" s="116">
        <v>180.75</v>
      </c>
      <c r="N1737" s="116">
        <v>181.85</v>
      </c>
      <c r="O1737" s="116">
        <v>175</v>
      </c>
      <c r="P1737" s="116">
        <v>176</v>
      </c>
      <c r="Q1737" s="116">
        <v>180.75</v>
      </c>
      <c r="R1737">
        <v>4610528</v>
      </c>
    </row>
    <row r="1738" spans="1:18" x14ac:dyDescent="0.25">
      <c r="A1738" s="170">
        <v>44564</v>
      </c>
      <c r="B1738" s="116">
        <v>186.05</v>
      </c>
      <c r="C1738" s="116">
        <v>184.35</v>
      </c>
      <c r="D1738" s="116">
        <v>178.25</v>
      </c>
      <c r="E1738" s="116">
        <v>180.75</v>
      </c>
      <c r="F1738" s="116">
        <v>184.35</v>
      </c>
      <c r="G1738">
        <v>260580</v>
      </c>
      <c r="H1738" s="116"/>
      <c r="I1738" s="116"/>
      <c r="L1738" s="170">
        <v>44564</v>
      </c>
      <c r="M1738" s="116">
        <v>184.05</v>
      </c>
      <c r="N1738" s="116">
        <v>186</v>
      </c>
      <c r="O1738" s="116">
        <v>178.05</v>
      </c>
      <c r="P1738" s="116">
        <v>179.8</v>
      </c>
      <c r="Q1738" s="116">
        <v>184.05</v>
      </c>
      <c r="R1738">
        <v>5114995</v>
      </c>
    </row>
    <row r="1739" spans="1:18" x14ac:dyDescent="0.25">
      <c r="A1739" s="170">
        <v>44565</v>
      </c>
      <c r="B1739" s="116">
        <v>187.65</v>
      </c>
      <c r="C1739" s="116">
        <v>184.35</v>
      </c>
      <c r="D1739" s="116">
        <v>182.6</v>
      </c>
      <c r="E1739" s="116">
        <v>184.8</v>
      </c>
      <c r="F1739" s="116">
        <v>184.35</v>
      </c>
      <c r="G1739">
        <v>442419</v>
      </c>
      <c r="H1739" s="116"/>
      <c r="I1739" s="116"/>
      <c r="L1739" s="170">
        <v>44565</v>
      </c>
      <c r="M1739" s="116">
        <v>184.5</v>
      </c>
      <c r="N1739" s="116">
        <v>187.7</v>
      </c>
      <c r="O1739" s="116">
        <v>182.65</v>
      </c>
      <c r="P1739" s="116">
        <v>185</v>
      </c>
      <c r="Q1739" s="116">
        <v>184.5</v>
      </c>
      <c r="R1739">
        <v>4651684</v>
      </c>
    </row>
    <row r="1740" spans="1:18" x14ac:dyDescent="0.25">
      <c r="A1740" s="170">
        <v>44566</v>
      </c>
      <c r="B1740" s="116">
        <v>185.1</v>
      </c>
      <c r="C1740" s="116">
        <v>182.2</v>
      </c>
      <c r="D1740" s="116">
        <v>181.2</v>
      </c>
      <c r="E1740" s="116">
        <v>184.35</v>
      </c>
      <c r="F1740" s="116">
        <v>182.2</v>
      </c>
      <c r="G1740">
        <v>204574</v>
      </c>
      <c r="H1740" s="116"/>
      <c r="I1740" s="116"/>
      <c r="L1740" s="170">
        <v>44566</v>
      </c>
      <c r="M1740" s="116">
        <v>182.05</v>
      </c>
      <c r="N1740" s="116">
        <v>185.05</v>
      </c>
      <c r="O1740" s="116">
        <v>181.1</v>
      </c>
      <c r="P1740" s="116">
        <v>184</v>
      </c>
      <c r="Q1740" s="116">
        <v>182.05</v>
      </c>
      <c r="R1740">
        <v>3155809</v>
      </c>
    </row>
    <row r="1741" spans="1:18" x14ac:dyDescent="0.25">
      <c r="A1741" s="170">
        <v>44567</v>
      </c>
      <c r="B1741" s="116">
        <v>187.2</v>
      </c>
      <c r="C1741" s="116">
        <v>186.65</v>
      </c>
      <c r="D1741" s="116">
        <v>178.2</v>
      </c>
      <c r="E1741" s="116">
        <v>178.2</v>
      </c>
      <c r="F1741" s="116">
        <v>186.65</v>
      </c>
      <c r="G1741">
        <v>385639</v>
      </c>
      <c r="H1741" s="116"/>
      <c r="I1741" s="116"/>
      <c r="L1741" s="170">
        <v>44567</v>
      </c>
      <c r="M1741" s="116">
        <v>186.6</v>
      </c>
      <c r="N1741" s="116">
        <v>187.35</v>
      </c>
      <c r="O1741" s="116">
        <v>179</v>
      </c>
      <c r="P1741" s="116">
        <v>179.05</v>
      </c>
      <c r="Q1741" s="116">
        <v>186.6</v>
      </c>
      <c r="R1741">
        <v>5259513</v>
      </c>
    </row>
    <row r="1742" spans="1:18" x14ac:dyDescent="0.25">
      <c r="A1742" s="170">
        <v>44568</v>
      </c>
      <c r="B1742" s="116">
        <v>188</v>
      </c>
      <c r="C1742" s="116">
        <v>186.25</v>
      </c>
      <c r="D1742" s="116">
        <v>183.3</v>
      </c>
      <c r="E1742" s="116">
        <v>188</v>
      </c>
      <c r="F1742" s="116">
        <v>186.25</v>
      </c>
      <c r="G1742">
        <v>333694</v>
      </c>
      <c r="H1742" s="116"/>
      <c r="I1742" s="116"/>
      <c r="L1742" s="170">
        <v>44568</v>
      </c>
      <c r="M1742" s="116">
        <v>186.35</v>
      </c>
      <c r="N1742" s="116">
        <v>188.45</v>
      </c>
      <c r="O1742" s="116">
        <v>183.25</v>
      </c>
      <c r="P1742" s="116">
        <v>188.45</v>
      </c>
      <c r="Q1742" s="116">
        <v>186.35</v>
      </c>
      <c r="R1742">
        <v>3454412</v>
      </c>
    </row>
    <row r="1743" spans="1:18" x14ac:dyDescent="0.25">
      <c r="A1743" s="170">
        <v>44571</v>
      </c>
      <c r="B1743" s="116">
        <v>196.3</v>
      </c>
      <c r="C1743" s="116">
        <v>194.6</v>
      </c>
      <c r="D1743" s="116">
        <v>184.75</v>
      </c>
      <c r="E1743" s="116">
        <v>185.05</v>
      </c>
      <c r="F1743" s="116">
        <v>194.6</v>
      </c>
      <c r="G1743">
        <v>382851</v>
      </c>
      <c r="H1743" s="116"/>
      <c r="I1743" s="116"/>
      <c r="L1743" s="170">
        <v>44571</v>
      </c>
      <c r="M1743" s="116">
        <v>194.65</v>
      </c>
      <c r="N1743" s="116">
        <v>196.5</v>
      </c>
      <c r="O1743" s="116">
        <v>184</v>
      </c>
      <c r="P1743" s="116">
        <v>184</v>
      </c>
      <c r="Q1743" s="116">
        <v>194.65</v>
      </c>
      <c r="R1743">
        <v>10494070</v>
      </c>
    </row>
    <row r="1744" spans="1:18" x14ac:dyDescent="0.25">
      <c r="A1744" s="170">
        <v>44572</v>
      </c>
      <c r="B1744" s="116">
        <v>198.15</v>
      </c>
      <c r="C1744" s="116">
        <v>197.05</v>
      </c>
      <c r="D1744" s="116">
        <v>191.7</v>
      </c>
      <c r="E1744" s="116">
        <v>193.85</v>
      </c>
      <c r="F1744" s="116">
        <v>197.05</v>
      </c>
      <c r="G1744">
        <v>237450</v>
      </c>
      <c r="H1744" s="116"/>
      <c r="I1744" s="116"/>
      <c r="L1744" s="170">
        <v>44572</v>
      </c>
      <c r="M1744" s="116">
        <v>197.05</v>
      </c>
      <c r="N1744" s="116">
        <v>198</v>
      </c>
      <c r="O1744" s="116">
        <v>191.3</v>
      </c>
      <c r="P1744" s="116">
        <v>192.95</v>
      </c>
      <c r="Q1744" s="116">
        <v>197.05</v>
      </c>
      <c r="R1744">
        <v>5588615</v>
      </c>
    </row>
    <row r="1745" spans="1:18" x14ac:dyDescent="0.25">
      <c r="A1745" s="170">
        <v>44573</v>
      </c>
      <c r="B1745" s="116">
        <v>209.1</v>
      </c>
      <c r="C1745" s="116">
        <v>208.35</v>
      </c>
      <c r="D1745" s="116">
        <v>198</v>
      </c>
      <c r="E1745" s="116">
        <v>198</v>
      </c>
      <c r="F1745" s="116">
        <v>208.35</v>
      </c>
      <c r="G1745">
        <v>866454</v>
      </c>
      <c r="H1745" s="116"/>
      <c r="I1745" s="116"/>
      <c r="L1745" s="170">
        <v>44573</v>
      </c>
      <c r="M1745" s="116">
        <v>208.25</v>
      </c>
      <c r="N1745" s="116">
        <v>209.2</v>
      </c>
      <c r="O1745" s="116">
        <v>197.95</v>
      </c>
      <c r="P1745" s="116">
        <v>199</v>
      </c>
      <c r="Q1745" s="116">
        <v>208.25</v>
      </c>
      <c r="R1745">
        <v>13520393</v>
      </c>
    </row>
    <row r="1746" spans="1:18" x14ac:dyDescent="0.25">
      <c r="A1746" s="170">
        <v>44574</v>
      </c>
      <c r="B1746" s="116">
        <v>211.3</v>
      </c>
      <c r="C1746" s="116">
        <v>210.45</v>
      </c>
      <c r="D1746" s="116">
        <v>206.25</v>
      </c>
      <c r="E1746" s="116">
        <v>210</v>
      </c>
      <c r="F1746" s="116">
        <v>210.45</v>
      </c>
      <c r="G1746">
        <v>508137</v>
      </c>
      <c r="H1746" s="116"/>
      <c r="I1746" s="116"/>
      <c r="L1746" s="170">
        <v>44574</v>
      </c>
      <c r="M1746" s="116">
        <v>210.5</v>
      </c>
      <c r="N1746" s="116">
        <v>211.35</v>
      </c>
      <c r="O1746" s="116">
        <v>206.4</v>
      </c>
      <c r="P1746" s="116">
        <v>209</v>
      </c>
      <c r="Q1746" s="116">
        <v>210.5</v>
      </c>
      <c r="R1746">
        <v>6360773</v>
      </c>
    </row>
    <row r="1747" spans="1:18" x14ac:dyDescent="0.25">
      <c r="A1747" s="170">
        <v>44575</v>
      </c>
      <c r="B1747" s="116">
        <v>213.8</v>
      </c>
      <c r="C1747" s="116">
        <v>210.85</v>
      </c>
      <c r="D1747" s="116">
        <v>207.45</v>
      </c>
      <c r="E1747" s="116">
        <v>209</v>
      </c>
      <c r="F1747" s="116">
        <v>210.85</v>
      </c>
      <c r="G1747">
        <v>186194</v>
      </c>
      <c r="H1747" s="116"/>
      <c r="I1747" s="116"/>
      <c r="L1747" s="170">
        <v>44575</v>
      </c>
      <c r="M1747" s="116">
        <v>210.7</v>
      </c>
      <c r="N1747" s="116">
        <v>213.95</v>
      </c>
      <c r="O1747" s="116">
        <v>207.55</v>
      </c>
      <c r="P1747" s="116">
        <v>207.9</v>
      </c>
      <c r="Q1747" s="116">
        <v>210.7</v>
      </c>
      <c r="R1747">
        <v>4035525</v>
      </c>
    </row>
    <row r="1748" spans="1:18" x14ac:dyDescent="0.25">
      <c r="A1748" s="170">
        <v>44578</v>
      </c>
      <c r="B1748" s="116">
        <v>212.6</v>
      </c>
      <c r="C1748" s="116">
        <v>208.85</v>
      </c>
      <c r="D1748" s="116">
        <v>208.4</v>
      </c>
      <c r="E1748" s="116">
        <v>209.2</v>
      </c>
      <c r="F1748" s="116">
        <v>208.85</v>
      </c>
      <c r="G1748">
        <v>304011</v>
      </c>
      <c r="H1748" s="116"/>
      <c r="I1748" s="116"/>
      <c r="L1748" s="170">
        <v>44578</v>
      </c>
      <c r="M1748" s="116">
        <v>208.95</v>
      </c>
      <c r="N1748" s="116">
        <v>212.75</v>
      </c>
      <c r="O1748" s="116">
        <v>208.25</v>
      </c>
      <c r="P1748" s="116">
        <v>210.45</v>
      </c>
      <c r="Q1748" s="116">
        <v>208.95</v>
      </c>
      <c r="R1748">
        <v>3557863</v>
      </c>
    </row>
    <row r="1749" spans="1:18" x14ac:dyDescent="0.25">
      <c r="A1749" s="170">
        <v>44579</v>
      </c>
      <c r="B1749" s="116">
        <v>214.15</v>
      </c>
      <c r="C1749" s="116">
        <v>207.4</v>
      </c>
      <c r="D1749" s="116">
        <v>206.05</v>
      </c>
      <c r="E1749" s="116">
        <v>213.45</v>
      </c>
      <c r="F1749" s="116">
        <v>207.4</v>
      </c>
      <c r="G1749">
        <v>291489</v>
      </c>
      <c r="H1749" s="116"/>
      <c r="I1749" s="116"/>
      <c r="L1749" s="170">
        <v>44579</v>
      </c>
      <c r="M1749" s="116">
        <v>207.35</v>
      </c>
      <c r="N1749" s="116">
        <v>214</v>
      </c>
      <c r="O1749" s="116">
        <v>206</v>
      </c>
      <c r="P1749" s="116">
        <v>210.2</v>
      </c>
      <c r="Q1749" s="116">
        <v>207.35</v>
      </c>
      <c r="R1749">
        <v>6202115</v>
      </c>
    </row>
    <row r="1750" spans="1:18" x14ac:dyDescent="0.25">
      <c r="A1750" s="170">
        <v>44580</v>
      </c>
      <c r="B1750" s="116">
        <v>208.95</v>
      </c>
      <c r="C1750" s="116">
        <v>207.5</v>
      </c>
      <c r="D1750" s="116">
        <v>203</v>
      </c>
      <c r="E1750" s="116">
        <v>205.9</v>
      </c>
      <c r="F1750" s="116">
        <v>207.5</v>
      </c>
      <c r="G1750">
        <v>268786</v>
      </c>
      <c r="H1750" s="116"/>
      <c r="I1750" s="116"/>
      <c r="L1750" s="170">
        <v>44580</v>
      </c>
      <c r="M1750" s="116">
        <v>207.45</v>
      </c>
      <c r="N1750" s="116">
        <v>208.9</v>
      </c>
      <c r="O1750" s="116">
        <v>202.85</v>
      </c>
      <c r="P1750" s="116">
        <v>207.35</v>
      </c>
      <c r="Q1750" s="116">
        <v>207.45</v>
      </c>
      <c r="R1750">
        <v>2503569</v>
      </c>
    </row>
    <row r="1751" spans="1:18" x14ac:dyDescent="0.25">
      <c r="A1751" s="170">
        <v>44581</v>
      </c>
      <c r="B1751" s="116">
        <v>210.45</v>
      </c>
      <c r="C1751" s="116">
        <v>209.45</v>
      </c>
      <c r="D1751" s="116">
        <v>205.9</v>
      </c>
      <c r="E1751" s="116">
        <v>206</v>
      </c>
      <c r="F1751" s="116">
        <v>209.45</v>
      </c>
      <c r="G1751">
        <v>211110</v>
      </c>
      <c r="H1751" s="116"/>
      <c r="I1751" s="116"/>
      <c r="L1751" s="170">
        <v>44581</v>
      </c>
      <c r="M1751" s="116">
        <v>209.45</v>
      </c>
      <c r="N1751" s="116">
        <v>210.5</v>
      </c>
      <c r="O1751" s="116">
        <v>205.8</v>
      </c>
      <c r="P1751" s="116">
        <v>207.45</v>
      </c>
      <c r="Q1751" s="116">
        <v>209.45</v>
      </c>
      <c r="R1751">
        <v>2400231</v>
      </c>
    </row>
    <row r="1752" spans="1:18" x14ac:dyDescent="0.25">
      <c r="A1752" s="170">
        <v>44582</v>
      </c>
      <c r="B1752" s="116">
        <v>211.2</v>
      </c>
      <c r="C1752" s="116">
        <v>206.1</v>
      </c>
      <c r="D1752" s="116">
        <v>203.65</v>
      </c>
      <c r="E1752" s="116">
        <v>209</v>
      </c>
      <c r="F1752" s="116">
        <v>206.1</v>
      </c>
      <c r="G1752">
        <v>261318</v>
      </c>
      <c r="H1752" s="116"/>
      <c r="I1752" s="116"/>
      <c r="L1752" s="170">
        <v>44582</v>
      </c>
      <c r="M1752" s="116">
        <v>206.35</v>
      </c>
      <c r="N1752" s="116">
        <v>211.3</v>
      </c>
      <c r="O1752" s="116">
        <v>203.75</v>
      </c>
      <c r="P1752" s="116">
        <v>209</v>
      </c>
      <c r="Q1752" s="116">
        <v>206.35</v>
      </c>
      <c r="R1752">
        <v>3341819</v>
      </c>
    </row>
    <row r="1753" spans="1:18" x14ac:dyDescent="0.25">
      <c r="A1753" s="170">
        <v>44585</v>
      </c>
      <c r="B1753" s="116">
        <v>207.35</v>
      </c>
      <c r="C1753" s="116">
        <v>195.55</v>
      </c>
      <c r="D1753" s="116">
        <v>191.4</v>
      </c>
      <c r="E1753" s="116">
        <v>206.45</v>
      </c>
      <c r="F1753" s="116">
        <v>195.55</v>
      </c>
      <c r="G1753">
        <v>273139</v>
      </c>
      <c r="H1753" s="116"/>
      <c r="I1753" s="116"/>
      <c r="L1753" s="170">
        <v>44585</v>
      </c>
      <c r="M1753" s="116">
        <v>195.25</v>
      </c>
      <c r="N1753" s="116">
        <v>207.35</v>
      </c>
      <c r="O1753" s="116">
        <v>191.2</v>
      </c>
      <c r="P1753" s="116">
        <v>205</v>
      </c>
      <c r="Q1753" s="116">
        <v>195.25</v>
      </c>
      <c r="R1753">
        <v>5947982</v>
      </c>
    </row>
    <row r="1754" spans="1:18" x14ac:dyDescent="0.25">
      <c r="A1754" s="170">
        <v>44586</v>
      </c>
      <c r="B1754" s="116">
        <v>199.5</v>
      </c>
      <c r="C1754" s="116">
        <v>197.85</v>
      </c>
      <c r="D1754" s="116">
        <v>190.85</v>
      </c>
      <c r="E1754" s="116">
        <v>192.1</v>
      </c>
      <c r="F1754" s="116">
        <v>197.85</v>
      </c>
      <c r="G1754">
        <v>568892</v>
      </c>
      <c r="H1754" s="116"/>
      <c r="I1754" s="116"/>
      <c r="L1754" s="170">
        <v>44586</v>
      </c>
      <c r="M1754" s="116">
        <v>197.85</v>
      </c>
      <c r="N1754" s="116">
        <v>199.55</v>
      </c>
      <c r="O1754" s="116">
        <v>190.85</v>
      </c>
      <c r="P1754" s="116">
        <v>194</v>
      </c>
      <c r="Q1754" s="116">
        <v>197.85</v>
      </c>
      <c r="R1754">
        <v>6793399</v>
      </c>
    </row>
    <row r="1755" spans="1:18" x14ac:dyDescent="0.25">
      <c r="A1755" s="170">
        <v>44588</v>
      </c>
      <c r="B1755" s="116">
        <v>202.85</v>
      </c>
      <c r="C1755" s="116">
        <v>200.9</v>
      </c>
      <c r="D1755" s="116">
        <v>193.95</v>
      </c>
      <c r="E1755" s="116">
        <v>196.5</v>
      </c>
      <c r="F1755" s="116">
        <v>200.9</v>
      </c>
      <c r="G1755">
        <v>202287</v>
      </c>
      <c r="H1755" s="116"/>
      <c r="I1755" s="116"/>
      <c r="L1755" s="170">
        <v>44588</v>
      </c>
      <c r="M1755" s="116">
        <v>200.7</v>
      </c>
      <c r="N1755" s="116">
        <v>203</v>
      </c>
      <c r="O1755" s="116">
        <v>194.15</v>
      </c>
      <c r="P1755" s="116">
        <v>195</v>
      </c>
      <c r="Q1755" s="116">
        <v>200.7</v>
      </c>
      <c r="R1755">
        <v>3737985</v>
      </c>
    </row>
    <row r="1756" spans="1:18" x14ac:dyDescent="0.25">
      <c r="A1756" s="170">
        <v>44589</v>
      </c>
      <c r="B1756" s="116">
        <v>211.7</v>
      </c>
      <c r="C1756" s="116">
        <v>207.3</v>
      </c>
      <c r="D1756" s="116">
        <v>200.9</v>
      </c>
      <c r="E1756" s="116">
        <v>200.9</v>
      </c>
      <c r="F1756" s="116">
        <v>207.3</v>
      </c>
      <c r="G1756">
        <v>675120</v>
      </c>
      <c r="H1756" s="116"/>
      <c r="I1756" s="116"/>
      <c r="L1756" s="170">
        <v>44589</v>
      </c>
      <c r="M1756" s="116">
        <v>207.3</v>
      </c>
      <c r="N1756" s="116">
        <v>211.8</v>
      </c>
      <c r="O1756" s="116">
        <v>202</v>
      </c>
      <c r="P1756" s="116">
        <v>203.5</v>
      </c>
      <c r="Q1756" s="116">
        <v>207.3</v>
      </c>
      <c r="R1756">
        <v>7077893</v>
      </c>
    </row>
    <row r="1757" spans="1:18" x14ac:dyDescent="0.25">
      <c r="A1757" s="170">
        <v>44592</v>
      </c>
      <c r="B1757" s="116">
        <v>218.35</v>
      </c>
      <c r="C1757" s="116">
        <v>215.4</v>
      </c>
      <c r="D1757" s="116">
        <v>209</v>
      </c>
      <c r="E1757" s="116">
        <v>209.95</v>
      </c>
      <c r="F1757" s="116">
        <v>215.4</v>
      </c>
      <c r="G1757">
        <v>514030</v>
      </c>
      <c r="H1757" s="116"/>
      <c r="I1757" s="116"/>
      <c r="L1757" s="170">
        <v>44592</v>
      </c>
      <c r="M1757" s="116">
        <v>215.6</v>
      </c>
      <c r="N1757" s="116">
        <v>218.5</v>
      </c>
      <c r="O1757" s="116">
        <v>208.5</v>
      </c>
      <c r="P1757" s="116">
        <v>208.5</v>
      </c>
      <c r="Q1757" s="116">
        <v>215.6</v>
      </c>
      <c r="R1757">
        <v>7624838</v>
      </c>
    </row>
    <row r="1758" spans="1:18" x14ac:dyDescent="0.25">
      <c r="A1758" s="170">
        <v>44593</v>
      </c>
      <c r="B1758" s="116">
        <v>223.7</v>
      </c>
      <c r="C1758" s="116">
        <v>222.35</v>
      </c>
      <c r="D1758" s="116">
        <v>212.8</v>
      </c>
      <c r="E1758" s="116">
        <v>218.9</v>
      </c>
      <c r="F1758" s="116">
        <v>222.35</v>
      </c>
      <c r="G1758">
        <v>540844</v>
      </c>
      <c r="H1758" s="116"/>
      <c r="I1758" s="116"/>
      <c r="L1758" s="170">
        <v>44593</v>
      </c>
      <c r="M1758" s="116">
        <v>222.6</v>
      </c>
      <c r="N1758" s="116">
        <v>223.8</v>
      </c>
      <c r="O1758" s="116">
        <v>212.5</v>
      </c>
      <c r="P1758" s="116">
        <v>219</v>
      </c>
      <c r="Q1758" s="116">
        <v>222.6</v>
      </c>
      <c r="R1758">
        <v>11465922</v>
      </c>
    </row>
    <row r="1759" spans="1:18" x14ac:dyDescent="0.25">
      <c r="A1759" s="170">
        <v>44594</v>
      </c>
      <c r="B1759" s="116">
        <v>226.45</v>
      </c>
      <c r="C1759" s="116">
        <v>218.4</v>
      </c>
      <c r="D1759" s="116">
        <v>218</v>
      </c>
      <c r="E1759" s="116">
        <v>220.8</v>
      </c>
      <c r="F1759" s="116">
        <v>218.4</v>
      </c>
      <c r="G1759">
        <v>707775</v>
      </c>
      <c r="H1759" s="116"/>
      <c r="I1759" s="116"/>
      <c r="L1759" s="170">
        <v>44594</v>
      </c>
      <c r="M1759" s="116">
        <v>218.55</v>
      </c>
      <c r="N1759" s="116">
        <v>226.55</v>
      </c>
      <c r="O1759" s="116">
        <v>217.1</v>
      </c>
      <c r="P1759" s="116">
        <v>220</v>
      </c>
      <c r="Q1759" s="116">
        <v>218.55</v>
      </c>
      <c r="R1759">
        <v>10503819</v>
      </c>
    </row>
    <row r="1760" spans="1:18" x14ac:dyDescent="0.25">
      <c r="A1760" s="170">
        <v>44595</v>
      </c>
      <c r="B1760" s="116">
        <v>222</v>
      </c>
      <c r="C1760" s="116">
        <v>218.8</v>
      </c>
      <c r="D1760" s="116">
        <v>217</v>
      </c>
      <c r="E1760" s="116">
        <v>222</v>
      </c>
      <c r="F1760" s="116">
        <v>218.8</v>
      </c>
      <c r="G1760">
        <v>127373</v>
      </c>
      <c r="H1760" s="116"/>
      <c r="I1760" s="116"/>
      <c r="L1760" s="170">
        <v>44595</v>
      </c>
      <c r="M1760" s="116">
        <v>218.85</v>
      </c>
      <c r="N1760" s="116">
        <v>220.85</v>
      </c>
      <c r="O1760" s="116">
        <v>216.9</v>
      </c>
      <c r="P1760" s="116">
        <v>219</v>
      </c>
      <c r="Q1760" s="116">
        <v>218.85</v>
      </c>
      <c r="R1760">
        <v>4093071</v>
      </c>
    </row>
    <row r="1761" spans="1:18" x14ac:dyDescent="0.25">
      <c r="A1761" s="170">
        <v>44596</v>
      </c>
      <c r="B1761" s="116">
        <v>222.85</v>
      </c>
      <c r="C1761" s="116">
        <v>216.45</v>
      </c>
      <c r="D1761" s="116">
        <v>214.2</v>
      </c>
      <c r="E1761" s="116">
        <v>222.85</v>
      </c>
      <c r="F1761" s="116">
        <v>216.45</v>
      </c>
      <c r="G1761">
        <v>188515</v>
      </c>
      <c r="H1761" s="116"/>
      <c r="I1761" s="116"/>
      <c r="L1761" s="170">
        <v>44596</v>
      </c>
      <c r="M1761" s="116">
        <v>216.55</v>
      </c>
      <c r="N1761" s="116">
        <v>220.7</v>
      </c>
      <c r="O1761" s="116">
        <v>214</v>
      </c>
      <c r="P1761" s="116">
        <v>220.65</v>
      </c>
      <c r="Q1761" s="116">
        <v>216.55</v>
      </c>
      <c r="R1761">
        <v>3629097</v>
      </c>
    </row>
    <row r="1762" spans="1:18" x14ac:dyDescent="0.25">
      <c r="A1762" s="170">
        <v>44599</v>
      </c>
      <c r="B1762" s="116">
        <v>218.5</v>
      </c>
      <c r="C1762" s="116">
        <v>211.85</v>
      </c>
      <c r="D1762" s="116">
        <v>211</v>
      </c>
      <c r="E1762" s="116">
        <v>218</v>
      </c>
      <c r="F1762" s="116">
        <v>211.85</v>
      </c>
      <c r="G1762">
        <v>345718</v>
      </c>
      <c r="H1762" s="116"/>
      <c r="I1762" s="116"/>
      <c r="L1762" s="170">
        <v>44599</v>
      </c>
      <c r="M1762" s="116">
        <v>211.8</v>
      </c>
      <c r="N1762" s="116">
        <v>218.55</v>
      </c>
      <c r="O1762" s="116">
        <v>211</v>
      </c>
      <c r="P1762" s="116">
        <v>217.3</v>
      </c>
      <c r="Q1762" s="116">
        <v>211.8</v>
      </c>
      <c r="R1762">
        <v>3697144</v>
      </c>
    </row>
    <row r="1763" spans="1:18" x14ac:dyDescent="0.25">
      <c r="A1763" s="170">
        <v>44600</v>
      </c>
      <c r="B1763" s="116">
        <v>213.65</v>
      </c>
      <c r="C1763" s="116">
        <v>210.9</v>
      </c>
      <c r="D1763" s="116">
        <v>207.4</v>
      </c>
      <c r="E1763" s="116">
        <v>212.2</v>
      </c>
      <c r="F1763" s="116">
        <v>210.9</v>
      </c>
      <c r="G1763">
        <v>303766</v>
      </c>
      <c r="H1763" s="116"/>
      <c r="I1763" s="116"/>
      <c r="L1763" s="170">
        <v>44600</v>
      </c>
      <c r="M1763" s="116">
        <v>210.85</v>
      </c>
      <c r="N1763" s="116">
        <v>213.85</v>
      </c>
      <c r="O1763" s="116">
        <v>207.45</v>
      </c>
      <c r="P1763" s="116">
        <v>213.1</v>
      </c>
      <c r="Q1763" s="116">
        <v>210.85</v>
      </c>
      <c r="R1763">
        <v>2914711</v>
      </c>
    </row>
    <row r="1764" spans="1:18" x14ac:dyDescent="0.25">
      <c r="A1764" s="170">
        <v>44601</v>
      </c>
      <c r="B1764" s="116">
        <v>215.6</v>
      </c>
      <c r="C1764" s="116">
        <v>212.65</v>
      </c>
      <c r="D1764" s="116">
        <v>211.7</v>
      </c>
      <c r="E1764" s="116">
        <v>212</v>
      </c>
      <c r="F1764" s="116">
        <v>212.65</v>
      </c>
      <c r="G1764">
        <v>185743</v>
      </c>
      <c r="H1764" s="116"/>
      <c r="I1764" s="116"/>
      <c r="L1764" s="170">
        <v>44601</v>
      </c>
      <c r="M1764" s="116">
        <v>212.7</v>
      </c>
      <c r="N1764" s="116">
        <v>215.65</v>
      </c>
      <c r="O1764" s="116">
        <v>211.6</v>
      </c>
      <c r="P1764" s="116">
        <v>212</v>
      </c>
      <c r="Q1764" s="116">
        <v>212.7</v>
      </c>
      <c r="R1764">
        <v>3545796</v>
      </c>
    </row>
    <row r="1765" spans="1:18" x14ac:dyDescent="0.25">
      <c r="A1765" s="170">
        <v>44602</v>
      </c>
      <c r="B1765" s="116">
        <v>216.4</v>
      </c>
      <c r="C1765" s="116">
        <v>215.15</v>
      </c>
      <c r="D1765" s="116">
        <v>210.75</v>
      </c>
      <c r="E1765" s="116">
        <v>213.15</v>
      </c>
      <c r="F1765" s="116">
        <v>215.15</v>
      </c>
      <c r="G1765">
        <v>417329</v>
      </c>
      <c r="H1765" s="116"/>
      <c r="I1765" s="116"/>
      <c r="L1765" s="170">
        <v>44602</v>
      </c>
      <c r="M1765" s="116">
        <v>215.25</v>
      </c>
      <c r="N1765" s="116">
        <v>216.5</v>
      </c>
      <c r="O1765" s="116">
        <v>210.7</v>
      </c>
      <c r="P1765" s="116">
        <v>213.7</v>
      </c>
      <c r="Q1765" s="116">
        <v>215.25</v>
      </c>
      <c r="R1765">
        <v>2830030</v>
      </c>
    </row>
    <row r="1766" spans="1:18" x14ac:dyDescent="0.25">
      <c r="A1766" s="170">
        <v>44603</v>
      </c>
      <c r="B1766" s="116">
        <v>214.55</v>
      </c>
      <c r="C1766" s="116">
        <v>206.55</v>
      </c>
      <c r="D1766" s="116">
        <v>205.35</v>
      </c>
      <c r="E1766" s="116">
        <v>214.1</v>
      </c>
      <c r="F1766" s="116">
        <v>206.55</v>
      </c>
      <c r="G1766">
        <v>366135</v>
      </c>
      <c r="H1766" s="116"/>
      <c r="I1766" s="116"/>
      <c r="L1766" s="170">
        <v>44603</v>
      </c>
      <c r="M1766" s="116">
        <v>206.6</v>
      </c>
      <c r="N1766" s="116">
        <v>214.8</v>
      </c>
      <c r="O1766" s="116">
        <v>205.25</v>
      </c>
      <c r="P1766" s="116">
        <v>214</v>
      </c>
      <c r="Q1766" s="116">
        <v>206.6</v>
      </c>
      <c r="R1766">
        <v>4362462</v>
      </c>
    </row>
    <row r="1767" spans="1:18" x14ac:dyDescent="0.25">
      <c r="A1767" s="170">
        <v>44606</v>
      </c>
      <c r="B1767" s="116">
        <v>202.05</v>
      </c>
      <c r="C1767" s="116">
        <v>195.45</v>
      </c>
      <c r="D1767" s="116">
        <v>193.4</v>
      </c>
      <c r="E1767" s="116">
        <v>200</v>
      </c>
      <c r="F1767" s="116">
        <v>195.45</v>
      </c>
      <c r="G1767">
        <v>394472</v>
      </c>
      <c r="H1767" s="116"/>
      <c r="I1767" s="116"/>
      <c r="L1767" s="170">
        <v>44606</v>
      </c>
      <c r="M1767" s="116">
        <v>195.1</v>
      </c>
      <c r="N1767" s="116">
        <v>202</v>
      </c>
      <c r="O1767" s="116">
        <v>193</v>
      </c>
      <c r="P1767" s="116">
        <v>200.95</v>
      </c>
      <c r="Q1767" s="116">
        <v>195.1</v>
      </c>
      <c r="R1767">
        <v>5714424</v>
      </c>
    </row>
    <row r="1768" spans="1:18" x14ac:dyDescent="0.25">
      <c r="A1768" s="170">
        <v>44607</v>
      </c>
      <c r="B1768" s="116">
        <v>206.8</v>
      </c>
      <c r="C1768" s="116">
        <v>205.85</v>
      </c>
      <c r="D1768" s="116">
        <v>194.2</v>
      </c>
      <c r="E1768" s="116">
        <v>196.6</v>
      </c>
      <c r="F1768" s="116">
        <v>205.85</v>
      </c>
      <c r="G1768">
        <v>251028</v>
      </c>
      <c r="H1768" s="116"/>
      <c r="I1768" s="116"/>
      <c r="L1768" s="170">
        <v>44607</v>
      </c>
      <c r="M1768" s="116">
        <v>206</v>
      </c>
      <c r="N1768" s="116">
        <v>206.9</v>
      </c>
      <c r="O1768" s="116">
        <v>194.1</v>
      </c>
      <c r="P1768" s="116">
        <v>197</v>
      </c>
      <c r="Q1768" s="116">
        <v>206</v>
      </c>
      <c r="R1768">
        <v>3357223</v>
      </c>
    </row>
    <row r="1769" spans="1:18" x14ac:dyDescent="0.25">
      <c r="A1769" s="170">
        <v>44608</v>
      </c>
      <c r="B1769" s="116">
        <v>209.65</v>
      </c>
      <c r="C1769" s="116">
        <v>204.85</v>
      </c>
      <c r="D1769" s="116">
        <v>204</v>
      </c>
      <c r="E1769" s="116">
        <v>207</v>
      </c>
      <c r="F1769" s="116">
        <v>204.85</v>
      </c>
      <c r="G1769">
        <v>145296</v>
      </c>
      <c r="H1769" s="116"/>
      <c r="I1769" s="116"/>
      <c r="L1769" s="170">
        <v>44608</v>
      </c>
      <c r="M1769" s="116">
        <v>204.85</v>
      </c>
      <c r="N1769" s="116">
        <v>209.75</v>
      </c>
      <c r="O1769" s="116">
        <v>203.3</v>
      </c>
      <c r="P1769" s="116">
        <v>207.95</v>
      </c>
      <c r="Q1769" s="116">
        <v>204.85</v>
      </c>
      <c r="R1769">
        <v>3619273</v>
      </c>
    </row>
    <row r="1770" spans="1:18" x14ac:dyDescent="0.25">
      <c r="A1770" s="170">
        <v>44609</v>
      </c>
      <c r="B1770" s="116">
        <v>211.25</v>
      </c>
      <c r="C1770" s="116">
        <v>209.5</v>
      </c>
      <c r="D1770" s="116">
        <v>206</v>
      </c>
      <c r="E1770" s="116">
        <v>206</v>
      </c>
      <c r="F1770" s="116">
        <v>209.5</v>
      </c>
      <c r="G1770">
        <v>312765</v>
      </c>
      <c r="H1770" s="116"/>
      <c r="I1770" s="116"/>
      <c r="L1770" s="170">
        <v>44609</v>
      </c>
      <c r="M1770" s="116">
        <v>209.3</v>
      </c>
      <c r="N1770" s="116">
        <v>211.5</v>
      </c>
      <c r="O1770" s="116">
        <v>206.35</v>
      </c>
      <c r="P1770" s="116">
        <v>206.85</v>
      </c>
      <c r="Q1770" s="116">
        <v>209.3</v>
      </c>
      <c r="R1770">
        <v>5603756</v>
      </c>
    </row>
    <row r="1771" spans="1:18" x14ac:dyDescent="0.25">
      <c r="A1771" s="170">
        <v>44610</v>
      </c>
      <c r="B1771" s="116">
        <v>210.45</v>
      </c>
      <c r="C1771" s="116">
        <v>207</v>
      </c>
      <c r="D1771" s="116">
        <v>206.5</v>
      </c>
      <c r="E1771" s="116">
        <v>208.1</v>
      </c>
      <c r="F1771" s="116">
        <v>207</v>
      </c>
      <c r="G1771">
        <v>166520</v>
      </c>
      <c r="H1771" s="116"/>
      <c r="I1771" s="116"/>
      <c r="L1771" s="170">
        <v>44610</v>
      </c>
      <c r="M1771" s="116">
        <v>207.05</v>
      </c>
      <c r="N1771" s="116">
        <v>210.4</v>
      </c>
      <c r="O1771" s="116">
        <v>206.35</v>
      </c>
      <c r="P1771" s="116">
        <v>208.8</v>
      </c>
      <c r="Q1771" s="116">
        <v>207.05</v>
      </c>
      <c r="R1771">
        <v>2200268</v>
      </c>
    </row>
    <row r="1772" spans="1:18" x14ac:dyDescent="0.25">
      <c r="A1772" s="170">
        <v>44613</v>
      </c>
      <c r="B1772" s="116">
        <v>210.55</v>
      </c>
      <c r="C1772" s="116">
        <v>204.85</v>
      </c>
      <c r="D1772" s="116">
        <v>203.9</v>
      </c>
      <c r="E1772" s="116">
        <v>207.8</v>
      </c>
      <c r="F1772" s="116">
        <v>204.85</v>
      </c>
      <c r="G1772">
        <v>100942</v>
      </c>
      <c r="H1772" s="116"/>
      <c r="I1772" s="116"/>
      <c r="L1772" s="170">
        <v>44613</v>
      </c>
      <c r="M1772" s="116">
        <v>204.95</v>
      </c>
      <c r="N1772" s="116">
        <v>210.55</v>
      </c>
      <c r="O1772" s="116">
        <v>203.65</v>
      </c>
      <c r="P1772" s="116">
        <v>206.75</v>
      </c>
      <c r="Q1772" s="116">
        <v>204.95</v>
      </c>
      <c r="R1772">
        <v>3543538</v>
      </c>
    </row>
    <row r="1773" spans="1:18" x14ac:dyDescent="0.25">
      <c r="A1773" s="170">
        <v>44614</v>
      </c>
      <c r="B1773" s="116">
        <v>206.55</v>
      </c>
      <c r="C1773" s="116">
        <v>204.35</v>
      </c>
      <c r="D1773" s="116">
        <v>199.35</v>
      </c>
      <c r="E1773" s="116">
        <v>200</v>
      </c>
      <c r="F1773" s="116">
        <v>204.35</v>
      </c>
      <c r="G1773">
        <v>147646</v>
      </c>
      <c r="H1773" s="116"/>
      <c r="I1773" s="116"/>
      <c r="L1773" s="170">
        <v>44614</v>
      </c>
      <c r="M1773" s="116">
        <v>204.45</v>
      </c>
      <c r="N1773" s="116">
        <v>206.65</v>
      </c>
      <c r="O1773" s="116">
        <v>199.1</v>
      </c>
      <c r="P1773" s="116">
        <v>200.05</v>
      </c>
      <c r="Q1773" s="116">
        <v>204.45</v>
      </c>
      <c r="R1773">
        <v>4734973</v>
      </c>
    </row>
    <row r="1774" spans="1:18" x14ac:dyDescent="0.25">
      <c r="A1774" s="170">
        <v>44615</v>
      </c>
      <c r="B1774" s="116">
        <v>210.55</v>
      </c>
      <c r="C1774" s="116">
        <v>204.8</v>
      </c>
      <c r="D1774" s="116">
        <v>203</v>
      </c>
      <c r="E1774" s="116">
        <v>205.5</v>
      </c>
      <c r="F1774" s="116">
        <v>204.8</v>
      </c>
      <c r="G1774">
        <v>353974</v>
      </c>
      <c r="H1774" s="116"/>
      <c r="I1774" s="116"/>
      <c r="L1774" s="170">
        <v>44615</v>
      </c>
      <c r="M1774" s="116">
        <v>204.8</v>
      </c>
      <c r="N1774" s="116">
        <v>210.5</v>
      </c>
      <c r="O1774" s="116">
        <v>202.9</v>
      </c>
      <c r="P1774" s="116">
        <v>207.95</v>
      </c>
      <c r="Q1774" s="116">
        <v>204.8</v>
      </c>
      <c r="R1774">
        <v>6741250</v>
      </c>
    </row>
    <row r="1775" spans="1:18" x14ac:dyDescent="0.25">
      <c r="A1775" s="170">
        <v>44616</v>
      </c>
      <c r="B1775" s="116">
        <v>200.5</v>
      </c>
      <c r="C1775" s="116">
        <v>194.1</v>
      </c>
      <c r="D1775" s="116">
        <v>191.9</v>
      </c>
      <c r="E1775" s="116">
        <v>195.4</v>
      </c>
      <c r="F1775" s="116">
        <v>194.1</v>
      </c>
      <c r="G1775">
        <v>558616</v>
      </c>
      <c r="H1775" s="116"/>
      <c r="I1775" s="116"/>
      <c r="L1775" s="170">
        <v>44616</v>
      </c>
      <c r="M1775" s="116">
        <v>194.3</v>
      </c>
      <c r="N1775" s="116">
        <v>200.7</v>
      </c>
      <c r="O1775" s="116">
        <v>191.95</v>
      </c>
      <c r="P1775" s="116">
        <v>197</v>
      </c>
      <c r="Q1775" s="116">
        <v>194.3</v>
      </c>
      <c r="R1775">
        <v>7389515</v>
      </c>
    </row>
    <row r="1776" spans="1:18" x14ac:dyDescent="0.25">
      <c r="A1776" s="170">
        <v>44617</v>
      </c>
      <c r="B1776" s="116">
        <v>204</v>
      </c>
      <c r="C1776" s="116">
        <v>200.35</v>
      </c>
      <c r="D1776" s="116">
        <v>197.55</v>
      </c>
      <c r="E1776" s="116">
        <v>199.95</v>
      </c>
      <c r="F1776" s="116">
        <v>200.35</v>
      </c>
      <c r="G1776">
        <v>297736</v>
      </c>
      <c r="H1776" s="116"/>
      <c r="I1776" s="116"/>
      <c r="L1776" s="170">
        <v>44617</v>
      </c>
      <c r="M1776" s="116">
        <v>200.2</v>
      </c>
      <c r="N1776" s="116">
        <v>204</v>
      </c>
      <c r="O1776" s="116">
        <v>197.75</v>
      </c>
      <c r="P1776" s="116">
        <v>199.9</v>
      </c>
      <c r="Q1776" s="116">
        <v>200.2</v>
      </c>
      <c r="R1776">
        <v>4144809</v>
      </c>
    </row>
    <row r="1777" spans="1:18" x14ac:dyDescent="0.25">
      <c r="A1777" s="170">
        <v>44620</v>
      </c>
      <c r="B1777" s="116">
        <v>201.7</v>
      </c>
      <c r="C1777" s="116">
        <v>199.7</v>
      </c>
      <c r="D1777" s="116">
        <v>195.9</v>
      </c>
      <c r="E1777" s="116">
        <v>198</v>
      </c>
      <c r="F1777" s="116">
        <v>199.7</v>
      </c>
      <c r="G1777">
        <v>244858</v>
      </c>
      <c r="H1777" s="116"/>
      <c r="I1777" s="116"/>
      <c r="L1777" s="170">
        <v>44620</v>
      </c>
      <c r="M1777" s="116">
        <v>199.45</v>
      </c>
      <c r="N1777" s="116">
        <v>201.8</v>
      </c>
      <c r="O1777" s="116">
        <v>196</v>
      </c>
      <c r="P1777" s="116">
        <v>198</v>
      </c>
      <c r="Q1777" s="116">
        <v>199.45</v>
      </c>
      <c r="R1777">
        <v>6432432</v>
      </c>
    </row>
    <row r="1778" spans="1:18" x14ac:dyDescent="0.25">
      <c r="A1778" s="170">
        <v>44622</v>
      </c>
      <c r="B1778" s="116">
        <v>200.35</v>
      </c>
      <c r="C1778" s="116">
        <v>198</v>
      </c>
      <c r="D1778" s="116">
        <v>196.35</v>
      </c>
      <c r="E1778" s="116">
        <v>197</v>
      </c>
      <c r="F1778" s="116">
        <v>198</v>
      </c>
      <c r="G1778">
        <v>145695</v>
      </c>
      <c r="H1778" s="116"/>
      <c r="I1778" s="116"/>
      <c r="L1778" s="170">
        <v>44622</v>
      </c>
      <c r="M1778" s="116">
        <v>198.05</v>
      </c>
      <c r="N1778" s="116">
        <v>199.75</v>
      </c>
      <c r="O1778" s="116">
        <v>196.3</v>
      </c>
      <c r="P1778" s="116">
        <v>197.4</v>
      </c>
      <c r="Q1778" s="116">
        <v>198.05</v>
      </c>
      <c r="R1778">
        <v>3638560</v>
      </c>
    </row>
    <row r="1779" spans="1:18" x14ac:dyDescent="0.25">
      <c r="A1779" s="170">
        <v>44623</v>
      </c>
      <c r="B1779" s="116">
        <v>206.7</v>
      </c>
      <c r="C1779" s="116">
        <v>199.85</v>
      </c>
      <c r="D1779" s="116">
        <v>199</v>
      </c>
      <c r="E1779" s="116">
        <v>201.55</v>
      </c>
      <c r="F1779" s="116">
        <v>199.85</v>
      </c>
      <c r="G1779">
        <v>291771</v>
      </c>
      <c r="H1779" s="116"/>
      <c r="I1779" s="116"/>
      <c r="L1779" s="170">
        <v>44623</v>
      </c>
      <c r="M1779" s="116">
        <v>199.95</v>
      </c>
      <c r="N1779" s="116">
        <v>206.7</v>
      </c>
      <c r="O1779" s="116">
        <v>199</v>
      </c>
      <c r="P1779" s="116">
        <v>201.7</v>
      </c>
      <c r="Q1779" s="116">
        <v>199.95</v>
      </c>
      <c r="R1779">
        <v>6831997</v>
      </c>
    </row>
    <row r="1780" spans="1:18" x14ac:dyDescent="0.25">
      <c r="A1780" s="170">
        <v>44624</v>
      </c>
      <c r="B1780" s="116">
        <v>200.65</v>
      </c>
      <c r="C1780" s="116">
        <v>190.6</v>
      </c>
      <c r="D1780" s="116">
        <v>187.45</v>
      </c>
      <c r="E1780" s="116">
        <v>197</v>
      </c>
      <c r="F1780" s="116">
        <v>190.6</v>
      </c>
      <c r="G1780">
        <v>261680</v>
      </c>
      <c r="H1780" s="116"/>
      <c r="I1780" s="116"/>
      <c r="L1780" s="170">
        <v>44624</v>
      </c>
      <c r="M1780" s="116">
        <v>190.5</v>
      </c>
      <c r="N1780" s="116">
        <v>200.65</v>
      </c>
      <c r="O1780" s="116">
        <v>187.3</v>
      </c>
      <c r="P1780" s="116">
        <v>198.7</v>
      </c>
      <c r="Q1780" s="116">
        <v>190.5</v>
      </c>
      <c r="R1780">
        <v>8468769</v>
      </c>
    </row>
    <row r="1781" spans="1:18" x14ac:dyDescent="0.25">
      <c r="A1781" s="170">
        <v>44627</v>
      </c>
      <c r="B1781" s="116">
        <v>191.8</v>
      </c>
      <c r="C1781" s="116">
        <v>189.25</v>
      </c>
      <c r="D1781" s="116">
        <v>180.75</v>
      </c>
      <c r="E1781" s="116">
        <v>183.25</v>
      </c>
      <c r="F1781" s="116">
        <v>189.25</v>
      </c>
      <c r="G1781">
        <v>612782</v>
      </c>
      <c r="H1781" s="116"/>
      <c r="I1781" s="116"/>
      <c r="L1781" s="170">
        <v>44627</v>
      </c>
      <c r="M1781" s="116">
        <v>189.65</v>
      </c>
      <c r="N1781" s="116">
        <v>191.95</v>
      </c>
      <c r="O1781" s="116">
        <v>180.6</v>
      </c>
      <c r="P1781" s="116">
        <v>183.4</v>
      </c>
      <c r="Q1781" s="116">
        <v>189.65</v>
      </c>
      <c r="R1781">
        <v>6742376</v>
      </c>
    </row>
    <row r="1782" spans="1:18" x14ac:dyDescent="0.25">
      <c r="A1782" s="170">
        <v>44628</v>
      </c>
      <c r="B1782" s="116">
        <v>194.95</v>
      </c>
      <c r="C1782" s="116">
        <v>193.9</v>
      </c>
      <c r="D1782" s="116">
        <v>189</v>
      </c>
      <c r="E1782" s="116">
        <v>189</v>
      </c>
      <c r="F1782" s="116">
        <v>193.9</v>
      </c>
      <c r="G1782">
        <v>132700</v>
      </c>
      <c r="H1782" s="116"/>
      <c r="I1782" s="116"/>
      <c r="L1782" s="170">
        <v>44628</v>
      </c>
      <c r="M1782" s="116">
        <v>194.05</v>
      </c>
      <c r="N1782" s="116">
        <v>195</v>
      </c>
      <c r="O1782" s="116">
        <v>188.55</v>
      </c>
      <c r="P1782" s="116">
        <v>189.95</v>
      </c>
      <c r="Q1782" s="116">
        <v>194.05</v>
      </c>
      <c r="R1782">
        <v>3581319</v>
      </c>
    </row>
    <row r="1783" spans="1:18" x14ac:dyDescent="0.25">
      <c r="A1783" s="170">
        <v>44629</v>
      </c>
      <c r="B1783" s="116">
        <v>209</v>
      </c>
      <c r="C1783" s="116">
        <v>207.4</v>
      </c>
      <c r="D1783" s="116">
        <v>196.8</v>
      </c>
      <c r="E1783" s="116">
        <v>199</v>
      </c>
      <c r="F1783" s="116">
        <v>207.4</v>
      </c>
      <c r="G1783">
        <v>340455</v>
      </c>
      <c r="H1783" s="116"/>
      <c r="I1783" s="116"/>
      <c r="L1783" s="170">
        <v>44629</v>
      </c>
      <c r="M1783" s="116">
        <v>207.3</v>
      </c>
      <c r="N1783" s="116">
        <v>208.8</v>
      </c>
      <c r="O1783" s="116">
        <v>196.2</v>
      </c>
      <c r="P1783" s="116">
        <v>197</v>
      </c>
      <c r="Q1783" s="116">
        <v>207.3</v>
      </c>
      <c r="R1783">
        <v>15038951</v>
      </c>
    </row>
    <row r="1784" spans="1:18" x14ac:dyDescent="0.25">
      <c r="A1784" s="170">
        <v>44630</v>
      </c>
      <c r="B1784" s="116">
        <v>213.05</v>
      </c>
      <c r="C1784" s="116">
        <v>202.2</v>
      </c>
      <c r="D1784" s="116">
        <v>200.5</v>
      </c>
      <c r="E1784" s="116">
        <v>212</v>
      </c>
      <c r="F1784" s="116">
        <v>202.2</v>
      </c>
      <c r="G1784">
        <v>413553</v>
      </c>
      <c r="H1784" s="116"/>
      <c r="I1784" s="116"/>
      <c r="L1784" s="170">
        <v>44630</v>
      </c>
      <c r="M1784" s="116">
        <v>201.85</v>
      </c>
      <c r="N1784" s="116">
        <v>213.3</v>
      </c>
      <c r="O1784" s="116">
        <v>200.5</v>
      </c>
      <c r="P1784" s="116">
        <v>211.7</v>
      </c>
      <c r="Q1784" s="116">
        <v>201.85</v>
      </c>
      <c r="R1784">
        <v>8245978</v>
      </c>
    </row>
    <row r="1785" spans="1:18" x14ac:dyDescent="0.25">
      <c r="A1785" s="170">
        <v>44631</v>
      </c>
      <c r="B1785" s="116">
        <v>204.45</v>
      </c>
      <c r="C1785" s="116">
        <v>202.95</v>
      </c>
      <c r="D1785" s="116">
        <v>200.05</v>
      </c>
      <c r="E1785" s="116">
        <v>200.7</v>
      </c>
      <c r="F1785" s="116">
        <v>202.95</v>
      </c>
      <c r="G1785">
        <v>198427</v>
      </c>
      <c r="H1785" s="116"/>
      <c r="I1785" s="116"/>
      <c r="L1785" s="170">
        <v>44631</v>
      </c>
      <c r="M1785" s="116">
        <v>203</v>
      </c>
      <c r="N1785" s="116">
        <v>204.5</v>
      </c>
      <c r="O1785" s="116">
        <v>200</v>
      </c>
      <c r="P1785" s="116">
        <v>200.15</v>
      </c>
      <c r="Q1785" s="116">
        <v>203</v>
      </c>
      <c r="R1785">
        <v>4025498</v>
      </c>
    </row>
    <row r="1786" spans="1:18" x14ac:dyDescent="0.25">
      <c r="A1786" s="170">
        <v>44634</v>
      </c>
      <c r="B1786" s="116">
        <v>206.8</v>
      </c>
      <c r="C1786" s="116">
        <v>204.55</v>
      </c>
      <c r="D1786" s="116">
        <v>202.9</v>
      </c>
      <c r="E1786" s="116">
        <v>205</v>
      </c>
      <c r="F1786" s="116">
        <v>204.55</v>
      </c>
      <c r="G1786">
        <v>104432</v>
      </c>
      <c r="H1786" s="116"/>
      <c r="I1786" s="116"/>
      <c r="L1786" s="170">
        <v>44634</v>
      </c>
      <c r="M1786" s="116">
        <v>204.55</v>
      </c>
      <c r="N1786" s="116">
        <v>206.95</v>
      </c>
      <c r="O1786" s="116">
        <v>202.75</v>
      </c>
      <c r="P1786" s="116">
        <v>204.05</v>
      </c>
      <c r="Q1786" s="116">
        <v>204.55</v>
      </c>
      <c r="R1786">
        <v>3681703</v>
      </c>
    </row>
    <row r="1787" spans="1:18" x14ac:dyDescent="0.25">
      <c r="A1787" s="170">
        <v>44635</v>
      </c>
      <c r="B1787" s="116">
        <v>207.3</v>
      </c>
      <c r="C1787" s="116">
        <v>201.6</v>
      </c>
      <c r="D1787" s="116">
        <v>200.15</v>
      </c>
      <c r="E1787" s="116">
        <v>205.9</v>
      </c>
      <c r="F1787" s="116">
        <v>201.6</v>
      </c>
      <c r="G1787">
        <v>600103</v>
      </c>
      <c r="H1787" s="116"/>
      <c r="I1787" s="116"/>
      <c r="L1787" s="170">
        <v>44635</v>
      </c>
      <c r="M1787" s="116">
        <v>201.75</v>
      </c>
      <c r="N1787" s="116">
        <v>207.3</v>
      </c>
      <c r="O1787" s="116">
        <v>200.4</v>
      </c>
      <c r="P1787" s="116">
        <v>205.7</v>
      </c>
      <c r="Q1787" s="116">
        <v>201.75</v>
      </c>
      <c r="R1787">
        <v>2077320</v>
      </c>
    </row>
    <row r="1788" spans="1:18" x14ac:dyDescent="0.25">
      <c r="A1788" s="170">
        <v>44636</v>
      </c>
      <c r="B1788" s="116">
        <v>211.65</v>
      </c>
      <c r="C1788" s="116">
        <v>210.7</v>
      </c>
      <c r="D1788" s="116">
        <v>201.95</v>
      </c>
      <c r="E1788" s="116">
        <v>203.5</v>
      </c>
      <c r="F1788" s="116">
        <v>210.7</v>
      </c>
      <c r="G1788">
        <v>186809</v>
      </c>
      <c r="H1788" s="116"/>
      <c r="I1788" s="116"/>
      <c r="L1788" s="170">
        <v>44636</v>
      </c>
      <c r="M1788" s="116">
        <v>210.8</v>
      </c>
      <c r="N1788" s="116">
        <v>211.8</v>
      </c>
      <c r="O1788" s="116">
        <v>201.75</v>
      </c>
      <c r="P1788" s="116">
        <v>203.8</v>
      </c>
      <c r="Q1788" s="116">
        <v>210.8</v>
      </c>
      <c r="R1788">
        <v>8051450</v>
      </c>
    </row>
    <row r="1789" spans="1:18" x14ac:dyDescent="0.25">
      <c r="A1789" s="170">
        <v>44637</v>
      </c>
      <c r="B1789" s="116">
        <v>215.2</v>
      </c>
      <c r="C1789" s="116">
        <v>208.5</v>
      </c>
      <c r="D1789" s="116">
        <v>207.8</v>
      </c>
      <c r="E1789" s="116">
        <v>212.45</v>
      </c>
      <c r="F1789" s="116">
        <v>208.5</v>
      </c>
      <c r="G1789">
        <v>114790</v>
      </c>
      <c r="H1789" s="116"/>
      <c r="I1789" s="116"/>
      <c r="L1789" s="170">
        <v>44637</v>
      </c>
      <c r="M1789" s="116">
        <v>208.5</v>
      </c>
      <c r="N1789" s="116">
        <v>215</v>
      </c>
      <c r="O1789" s="116">
        <v>207.9</v>
      </c>
      <c r="P1789" s="116">
        <v>212.25</v>
      </c>
      <c r="Q1789" s="116">
        <v>208.5</v>
      </c>
      <c r="R1789">
        <v>4300782</v>
      </c>
    </row>
    <row r="1790" spans="1:18" x14ac:dyDescent="0.25">
      <c r="A1790" s="170">
        <v>44641</v>
      </c>
      <c r="B1790" s="116">
        <v>212.5</v>
      </c>
      <c r="C1790" s="116">
        <v>206</v>
      </c>
      <c r="D1790" s="116">
        <v>205.25</v>
      </c>
      <c r="E1790" s="116">
        <v>210</v>
      </c>
      <c r="F1790" s="116">
        <v>206</v>
      </c>
      <c r="G1790">
        <v>229871</v>
      </c>
      <c r="H1790" s="116"/>
      <c r="I1790" s="116"/>
      <c r="L1790" s="170">
        <v>44641</v>
      </c>
      <c r="M1790" s="116">
        <v>206</v>
      </c>
      <c r="N1790" s="116">
        <v>212.5</v>
      </c>
      <c r="O1790" s="116">
        <v>205</v>
      </c>
      <c r="P1790" s="116">
        <v>209</v>
      </c>
      <c r="Q1790" s="116">
        <v>206</v>
      </c>
      <c r="R1790">
        <v>4340065</v>
      </c>
    </row>
    <row r="1791" spans="1:18" x14ac:dyDescent="0.25">
      <c r="A1791" s="170">
        <v>44642</v>
      </c>
      <c r="B1791" s="116">
        <v>214</v>
      </c>
      <c r="C1791" s="116">
        <v>208.75</v>
      </c>
      <c r="D1791" s="116">
        <v>205.9</v>
      </c>
      <c r="E1791" s="116">
        <v>209</v>
      </c>
      <c r="F1791" s="116">
        <v>208.75</v>
      </c>
      <c r="G1791">
        <v>794437</v>
      </c>
      <c r="H1791" s="116"/>
      <c r="I1791" s="116"/>
      <c r="L1791" s="170">
        <v>44642</v>
      </c>
      <c r="M1791" s="116">
        <v>208.75</v>
      </c>
      <c r="N1791" s="116">
        <v>214</v>
      </c>
      <c r="O1791" s="116">
        <v>205.8</v>
      </c>
      <c r="P1791" s="116">
        <v>206</v>
      </c>
      <c r="Q1791" s="116">
        <v>208.75</v>
      </c>
      <c r="R1791">
        <v>9132579</v>
      </c>
    </row>
    <row r="1792" spans="1:18" x14ac:dyDescent="0.25">
      <c r="A1792" s="170">
        <v>44643</v>
      </c>
      <c r="B1792" s="116">
        <v>221.4</v>
      </c>
      <c r="C1792" s="116">
        <v>216.05</v>
      </c>
      <c r="D1792" s="116">
        <v>209.6</v>
      </c>
      <c r="E1792" s="116">
        <v>211</v>
      </c>
      <c r="F1792" s="116">
        <v>216.05</v>
      </c>
      <c r="G1792">
        <v>979218</v>
      </c>
      <c r="H1792" s="116"/>
      <c r="I1792" s="116"/>
      <c r="L1792" s="170">
        <v>44643</v>
      </c>
      <c r="M1792" s="116">
        <v>216.1</v>
      </c>
      <c r="N1792" s="116">
        <v>221.35</v>
      </c>
      <c r="O1792" s="116">
        <v>209.65</v>
      </c>
      <c r="P1792" s="116">
        <v>212.9</v>
      </c>
      <c r="Q1792" s="116">
        <v>216.1</v>
      </c>
      <c r="R1792">
        <v>19198052</v>
      </c>
    </row>
    <row r="1793" spans="1:18" x14ac:dyDescent="0.25">
      <c r="A1793" s="170">
        <v>44644</v>
      </c>
      <c r="B1793" s="116">
        <v>219.85</v>
      </c>
      <c r="C1793" s="116">
        <v>219.1</v>
      </c>
      <c r="D1793" s="116">
        <v>214.25</v>
      </c>
      <c r="E1793" s="116">
        <v>217.4</v>
      </c>
      <c r="F1793" s="116">
        <v>219.1</v>
      </c>
      <c r="G1793">
        <v>159151</v>
      </c>
      <c r="H1793" s="116"/>
      <c r="I1793" s="116"/>
      <c r="L1793" s="170">
        <v>44644</v>
      </c>
      <c r="M1793" s="116">
        <v>219.1</v>
      </c>
      <c r="N1793" s="116">
        <v>219.9</v>
      </c>
      <c r="O1793" s="116">
        <v>214.5</v>
      </c>
      <c r="P1793" s="116">
        <v>216.1</v>
      </c>
      <c r="Q1793" s="116">
        <v>219.1</v>
      </c>
      <c r="R1793">
        <v>5238276</v>
      </c>
    </row>
    <row r="1794" spans="1:18" x14ac:dyDescent="0.25">
      <c r="A1794" s="170">
        <v>44645</v>
      </c>
      <c r="B1794" s="116">
        <v>235.7</v>
      </c>
      <c r="C1794" s="116">
        <v>227.4</v>
      </c>
      <c r="D1794" s="116">
        <v>219.2</v>
      </c>
      <c r="E1794" s="116">
        <v>221.35</v>
      </c>
      <c r="F1794" s="116">
        <v>227.4</v>
      </c>
      <c r="G1794">
        <v>1368073</v>
      </c>
      <c r="H1794" s="116"/>
      <c r="I1794" s="116"/>
      <c r="L1794" s="170">
        <v>44645</v>
      </c>
      <c r="M1794" s="116">
        <v>227.65</v>
      </c>
      <c r="N1794" s="116">
        <v>235.8</v>
      </c>
      <c r="O1794" s="116">
        <v>219.3</v>
      </c>
      <c r="P1794" s="116">
        <v>220.75</v>
      </c>
      <c r="Q1794" s="116">
        <v>227.65</v>
      </c>
      <c r="R1794">
        <v>24798138</v>
      </c>
    </row>
    <row r="1795" spans="1:18" x14ac:dyDescent="0.25">
      <c r="A1795" s="170">
        <v>44648</v>
      </c>
      <c r="B1795" s="116">
        <v>234.8</v>
      </c>
      <c r="C1795" s="116">
        <v>232.15</v>
      </c>
      <c r="D1795" s="116">
        <v>225</v>
      </c>
      <c r="E1795" s="116">
        <v>229.75</v>
      </c>
      <c r="F1795" s="116">
        <v>232.15</v>
      </c>
      <c r="G1795">
        <v>487333</v>
      </c>
      <c r="H1795" s="116"/>
      <c r="I1795" s="116"/>
      <c r="L1795" s="170">
        <v>44648</v>
      </c>
      <c r="M1795" s="116">
        <v>231.95</v>
      </c>
      <c r="N1795" s="116">
        <v>234.85</v>
      </c>
      <c r="O1795" s="116">
        <v>225</v>
      </c>
      <c r="P1795" s="116">
        <v>229.95</v>
      </c>
      <c r="Q1795" s="116">
        <v>231.95</v>
      </c>
      <c r="R1795">
        <v>17086976</v>
      </c>
    </row>
    <row r="1796" spans="1:18" x14ac:dyDescent="0.25">
      <c r="A1796" s="170">
        <v>44649</v>
      </c>
      <c r="B1796" s="116">
        <v>241.5</v>
      </c>
      <c r="C1796" s="116">
        <v>240.55</v>
      </c>
      <c r="D1796" s="116">
        <v>227.2</v>
      </c>
      <c r="E1796" s="116">
        <v>235</v>
      </c>
      <c r="F1796" s="116">
        <v>240.55</v>
      </c>
      <c r="G1796">
        <v>785859</v>
      </c>
      <c r="H1796" s="116"/>
      <c r="I1796" s="116"/>
      <c r="L1796" s="170">
        <v>44649</v>
      </c>
      <c r="M1796" s="116">
        <v>240.65</v>
      </c>
      <c r="N1796" s="116">
        <v>241.5</v>
      </c>
      <c r="O1796" s="116">
        <v>227.3</v>
      </c>
      <c r="P1796" s="116">
        <v>234.4</v>
      </c>
      <c r="Q1796" s="116">
        <v>240.65</v>
      </c>
      <c r="R1796">
        <v>15571563</v>
      </c>
    </row>
    <row r="1797" spans="1:18" x14ac:dyDescent="0.25">
      <c r="A1797" s="170">
        <v>44650</v>
      </c>
      <c r="B1797" s="116">
        <v>245.45</v>
      </c>
      <c r="C1797" s="116">
        <v>241.45</v>
      </c>
      <c r="D1797" s="116">
        <v>239.05</v>
      </c>
      <c r="E1797" s="116">
        <v>242.1</v>
      </c>
      <c r="F1797" s="116">
        <v>241.45</v>
      </c>
      <c r="G1797">
        <v>307583</v>
      </c>
      <c r="H1797" s="116"/>
      <c r="I1797" s="116"/>
      <c r="L1797" s="170">
        <v>44650</v>
      </c>
      <c r="M1797" s="116">
        <v>241.25</v>
      </c>
      <c r="N1797" s="116">
        <v>245.5</v>
      </c>
      <c r="O1797" s="116">
        <v>239</v>
      </c>
      <c r="P1797" s="116">
        <v>242.1</v>
      </c>
      <c r="Q1797" s="116">
        <v>241.25</v>
      </c>
      <c r="R1797">
        <v>8982640</v>
      </c>
    </row>
    <row r="1798" spans="1:18" x14ac:dyDescent="0.25">
      <c r="A1798" s="170">
        <v>44651</v>
      </c>
      <c r="B1798" s="116">
        <v>243.95</v>
      </c>
      <c r="C1798" s="116">
        <v>238.4</v>
      </c>
      <c r="D1798" s="116">
        <v>236.2</v>
      </c>
      <c r="E1798" s="116">
        <v>236.2</v>
      </c>
      <c r="F1798" s="116">
        <v>238.4</v>
      </c>
      <c r="G1798">
        <v>307177</v>
      </c>
      <c r="H1798" s="116"/>
      <c r="I1798" s="116"/>
      <c r="L1798" s="170">
        <v>44651</v>
      </c>
      <c r="M1798" s="116">
        <v>238.5</v>
      </c>
      <c r="N1798" s="116">
        <v>244</v>
      </c>
      <c r="O1798" s="116">
        <v>236.15</v>
      </c>
      <c r="P1798" s="116">
        <v>241</v>
      </c>
      <c r="Q1798" s="116">
        <v>238.5</v>
      </c>
      <c r="R1798">
        <v>8018143</v>
      </c>
    </row>
    <row r="1799" spans="1:18" x14ac:dyDescent="0.25">
      <c r="A1799" s="170">
        <v>44652</v>
      </c>
      <c r="B1799" s="116">
        <v>242.85</v>
      </c>
      <c r="C1799" s="116">
        <v>241.2</v>
      </c>
      <c r="D1799" s="116">
        <v>237.9</v>
      </c>
      <c r="E1799" s="116">
        <v>240</v>
      </c>
      <c r="F1799" s="116">
        <v>241.2</v>
      </c>
      <c r="G1799">
        <v>225571</v>
      </c>
      <c r="H1799" s="116"/>
      <c r="I1799" s="116"/>
      <c r="L1799" s="170">
        <v>44652</v>
      </c>
      <c r="M1799" s="116">
        <v>240.6</v>
      </c>
      <c r="N1799" s="116">
        <v>243</v>
      </c>
      <c r="O1799" s="116">
        <v>237.65</v>
      </c>
      <c r="P1799" s="116">
        <v>238.7</v>
      </c>
      <c r="Q1799" s="116">
        <v>240.6</v>
      </c>
      <c r="R1799">
        <v>5583031</v>
      </c>
    </row>
    <row r="1800" spans="1:18" x14ac:dyDescent="0.25">
      <c r="A1800" s="170">
        <v>44655</v>
      </c>
      <c r="B1800" s="116">
        <v>243.95</v>
      </c>
      <c r="C1800" s="116">
        <v>239.1</v>
      </c>
      <c r="D1800" s="116">
        <v>238.55</v>
      </c>
      <c r="E1800" s="116">
        <v>241.25</v>
      </c>
      <c r="F1800" s="116">
        <v>239.1</v>
      </c>
      <c r="G1800">
        <v>676289</v>
      </c>
      <c r="H1800" s="116"/>
      <c r="I1800" s="116"/>
      <c r="L1800" s="170">
        <v>44655</v>
      </c>
      <c r="M1800" s="116">
        <v>239.1</v>
      </c>
      <c r="N1800" s="116">
        <v>244</v>
      </c>
      <c r="O1800" s="116">
        <v>238.5</v>
      </c>
      <c r="P1800" s="116">
        <v>242.7</v>
      </c>
      <c r="Q1800" s="116">
        <v>239.1</v>
      </c>
      <c r="R1800">
        <v>6636982</v>
      </c>
    </row>
    <row r="1801" spans="1:18" x14ac:dyDescent="0.25">
      <c r="A1801" s="170">
        <v>44656</v>
      </c>
      <c r="B1801" s="116">
        <v>241.3</v>
      </c>
      <c r="C1801" s="116">
        <v>235.15</v>
      </c>
      <c r="D1801" s="116">
        <v>234</v>
      </c>
      <c r="E1801" s="116">
        <v>237.95</v>
      </c>
      <c r="F1801" s="116">
        <v>235.15</v>
      </c>
      <c r="G1801">
        <v>549483</v>
      </c>
      <c r="H1801" s="116"/>
      <c r="I1801" s="116"/>
      <c r="L1801" s="170">
        <v>44656</v>
      </c>
      <c r="M1801" s="116">
        <v>235.6</v>
      </c>
      <c r="N1801" s="116">
        <v>241.4</v>
      </c>
      <c r="O1801" s="116">
        <v>234.1</v>
      </c>
      <c r="P1801" s="116">
        <v>241.4</v>
      </c>
      <c r="Q1801" s="116">
        <v>235.6</v>
      </c>
      <c r="R1801">
        <v>7285938</v>
      </c>
    </row>
    <row r="1802" spans="1:18" x14ac:dyDescent="0.25">
      <c r="A1802" s="170">
        <v>44657</v>
      </c>
      <c r="B1802" s="116">
        <v>254.05</v>
      </c>
      <c r="C1802" s="116">
        <v>251.2</v>
      </c>
      <c r="D1802" s="116">
        <v>235</v>
      </c>
      <c r="E1802" s="116">
        <v>235.15</v>
      </c>
      <c r="F1802" s="116">
        <v>251.2</v>
      </c>
      <c r="G1802">
        <v>803309</v>
      </c>
      <c r="H1802" s="116"/>
      <c r="I1802" s="116"/>
      <c r="L1802" s="170">
        <v>44657</v>
      </c>
      <c r="M1802" s="116">
        <v>251.05</v>
      </c>
      <c r="N1802" s="116">
        <v>254</v>
      </c>
      <c r="O1802" s="116">
        <v>235</v>
      </c>
      <c r="P1802" s="116">
        <v>235</v>
      </c>
      <c r="Q1802" s="116">
        <v>251.05</v>
      </c>
      <c r="R1802">
        <v>26772928</v>
      </c>
    </row>
    <row r="1803" spans="1:18" x14ac:dyDescent="0.25">
      <c r="A1803" s="170">
        <v>44658</v>
      </c>
      <c r="B1803" s="116">
        <v>255</v>
      </c>
      <c r="C1803" s="116">
        <v>250.35</v>
      </c>
      <c r="D1803" s="116">
        <v>247.2</v>
      </c>
      <c r="E1803" s="116">
        <v>255</v>
      </c>
      <c r="F1803" s="116">
        <v>250.35</v>
      </c>
      <c r="G1803">
        <v>687552</v>
      </c>
      <c r="H1803" s="116"/>
      <c r="I1803" s="116"/>
      <c r="L1803" s="170">
        <v>44658</v>
      </c>
      <c r="M1803" s="116">
        <v>250.3</v>
      </c>
      <c r="N1803" s="116">
        <v>254.65</v>
      </c>
      <c r="O1803" s="116">
        <v>247.1</v>
      </c>
      <c r="P1803" s="116">
        <v>254.65</v>
      </c>
      <c r="Q1803" s="116">
        <v>250.3</v>
      </c>
      <c r="R1803">
        <v>11673611</v>
      </c>
    </row>
    <row r="1804" spans="1:18" x14ac:dyDescent="0.25">
      <c r="A1804" s="170">
        <v>44659</v>
      </c>
      <c r="B1804" s="116">
        <v>257.75</v>
      </c>
      <c r="C1804" s="116">
        <v>253.95</v>
      </c>
      <c r="D1804" s="116">
        <v>248.6</v>
      </c>
      <c r="E1804" s="116">
        <v>251</v>
      </c>
      <c r="F1804" s="116">
        <v>253.95</v>
      </c>
      <c r="G1804">
        <v>498495</v>
      </c>
      <c r="H1804" s="116"/>
      <c r="I1804" s="116"/>
      <c r="L1804" s="170">
        <v>44659</v>
      </c>
      <c r="M1804" s="116">
        <v>253.85</v>
      </c>
      <c r="N1804" s="116">
        <v>257.8</v>
      </c>
      <c r="O1804" s="116">
        <v>248.5</v>
      </c>
      <c r="P1804" s="116">
        <v>251.5</v>
      </c>
      <c r="Q1804" s="116">
        <v>253.85</v>
      </c>
      <c r="R1804">
        <v>7519958</v>
      </c>
    </row>
    <row r="1805" spans="1:18" x14ac:dyDescent="0.25">
      <c r="A1805" s="170">
        <v>44662</v>
      </c>
      <c r="B1805" s="116">
        <v>257.5</v>
      </c>
      <c r="C1805" s="116">
        <v>250.6</v>
      </c>
      <c r="D1805" s="116">
        <v>250</v>
      </c>
      <c r="E1805" s="116">
        <v>254.9</v>
      </c>
      <c r="F1805" s="116">
        <v>250.6</v>
      </c>
      <c r="G1805">
        <v>227169</v>
      </c>
      <c r="H1805" s="116"/>
      <c r="I1805" s="116"/>
      <c r="L1805" s="170">
        <v>44662</v>
      </c>
      <c r="M1805" s="116">
        <v>250.7</v>
      </c>
      <c r="N1805" s="116">
        <v>257.60000000000002</v>
      </c>
      <c r="O1805" s="116">
        <v>249.95</v>
      </c>
      <c r="P1805" s="116">
        <v>253.8</v>
      </c>
      <c r="Q1805" s="116">
        <v>250.7</v>
      </c>
      <c r="R1805">
        <v>4000970</v>
      </c>
    </row>
    <row r="1806" spans="1:18" x14ac:dyDescent="0.25">
      <c r="A1806" s="170">
        <v>44663</v>
      </c>
      <c r="B1806" s="116">
        <v>257</v>
      </c>
      <c r="C1806" s="116">
        <v>248.95</v>
      </c>
      <c r="D1806" s="116">
        <v>243</v>
      </c>
      <c r="E1806" s="116">
        <v>252.75</v>
      </c>
      <c r="F1806" s="116">
        <v>248.95</v>
      </c>
      <c r="G1806">
        <v>355653</v>
      </c>
      <c r="H1806" s="116"/>
      <c r="I1806" s="116"/>
      <c r="L1806" s="170">
        <v>44663</v>
      </c>
      <c r="M1806" s="116">
        <v>249</v>
      </c>
      <c r="N1806" s="116">
        <v>257</v>
      </c>
      <c r="O1806" s="116">
        <v>242.75</v>
      </c>
      <c r="P1806" s="116">
        <v>251</v>
      </c>
      <c r="Q1806" s="116">
        <v>249</v>
      </c>
      <c r="R1806">
        <v>9679008</v>
      </c>
    </row>
    <row r="1807" spans="1:18" x14ac:dyDescent="0.25">
      <c r="A1807" s="170">
        <v>44664</v>
      </c>
      <c r="B1807" s="116">
        <v>260.3</v>
      </c>
      <c r="C1807" s="116">
        <v>252.55</v>
      </c>
      <c r="D1807" s="116">
        <v>249</v>
      </c>
      <c r="E1807" s="116">
        <v>249</v>
      </c>
      <c r="F1807" s="116">
        <v>252.55</v>
      </c>
      <c r="G1807">
        <v>312302</v>
      </c>
      <c r="H1807" s="116"/>
      <c r="I1807" s="116"/>
      <c r="L1807" s="170">
        <v>44664</v>
      </c>
      <c r="M1807" s="116">
        <v>252.5</v>
      </c>
      <c r="N1807" s="116">
        <v>260.45</v>
      </c>
      <c r="O1807" s="116">
        <v>249.55</v>
      </c>
      <c r="P1807" s="116">
        <v>250.7</v>
      </c>
      <c r="Q1807" s="116">
        <v>252.5</v>
      </c>
      <c r="R1807">
        <v>10184558</v>
      </c>
    </row>
    <row r="1808" spans="1:18" x14ac:dyDescent="0.25">
      <c r="A1808" s="170">
        <v>44669</v>
      </c>
      <c r="B1808" s="116">
        <v>251.75</v>
      </c>
      <c r="C1808" s="116">
        <v>246.35</v>
      </c>
      <c r="D1808" s="116">
        <v>244.9</v>
      </c>
      <c r="E1808" s="116">
        <v>250.55</v>
      </c>
      <c r="F1808" s="116">
        <v>246.35</v>
      </c>
      <c r="G1808">
        <v>373917</v>
      </c>
      <c r="H1808" s="116"/>
      <c r="I1808" s="116"/>
      <c r="L1808" s="170">
        <v>44669</v>
      </c>
      <c r="M1808" s="116">
        <v>246.5</v>
      </c>
      <c r="N1808" s="116">
        <v>251.7</v>
      </c>
      <c r="O1808" s="116">
        <v>244.75</v>
      </c>
      <c r="P1808" s="116">
        <v>249.9</v>
      </c>
      <c r="Q1808" s="116">
        <v>246.5</v>
      </c>
      <c r="R1808">
        <v>6370134</v>
      </c>
    </row>
    <row r="1809" spans="1:18" x14ac:dyDescent="0.25">
      <c r="A1809" s="170">
        <v>44670</v>
      </c>
      <c r="B1809" s="116">
        <v>253.5</v>
      </c>
      <c r="C1809" s="116">
        <v>244.15</v>
      </c>
      <c r="D1809" s="116">
        <v>239.45</v>
      </c>
      <c r="E1809" s="116">
        <v>248.9</v>
      </c>
      <c r="F1809" s="116">
        <v>244.15</v>
      </c>
      <c r="G1809">
        <v>225096</v>
      </c>
      <c r="H1809" s="116"/>
      <c r="I1809" s="116"/>
      <c r="L1809" s="170">
        <v>44670</v>
      </c>
      <c r="M1809" s="116">
        <v>243.6</v>
      </c>
      <c r="N1809" s="116">
        <v>253.7</v>
      </c>
      <c r="O1809" s="116">
        <v>239.55</v>
      </c>
      <c r="P1809" s="116">
        <v>247.5</v>
      </c>
      <c r="Q1809" s="116">
        <v>243.6</v>
      </c>
      <c r="R1809">
        <v>5566459</v>
      </c>
    </row>
    <row r="1810" spans="1:18" x14ac:dyDescent="0.25">
      <c r="A1810" s="170">
        <v>44671</v>
      </c>
      <c r="B1810" s="116">
        <v>249.35</v>
      </c>
      <c r="C1810" s="116">
        <v>237.35</v>
      </c>
      <c r="D1810" s="116">
        <v>233.7</v>
      </c>
      <c r="E1810" s="116">
        <v>246</v>
      </c>
      <c r="F1810" s="116">
        <v>237.35</v>
      </c>
      <c r="G1810">
        <v>529429</v>
      </c>
      <c r="H1810" s="116"/>
      <c r="I1810" s="116"/>
      <c r="L1810" s="170">
        <v>44671</v>
      </c>
      <c r="M1810" s="116">
        <v>237.6</v>
      </c>
      <c r="N1810" s="116">
        <v>249.5</v>
      </c>
      <c r="O1810" s="116">
        <v>233.8</v>
      </c>
      <c r="P1810" s="116">
        <v>245.4</v>
      </c>
      <c r="Q1810" s="116">
        <v>237.6</v>
      </c>
      <c r="R1810">
        <v>9360017</v>
      </c>
    </row>
    <row r="1811" spans="1:18" x14ac:dyDescent="0.25">
      <c r="A1811" s="170">
        <v>44672</v>
      </c>
      <c r="B1811" s="116">
        <v>248.4</v>
      </c>
      <c r="C1811" s="116">
        <v>244.25</v>
      </c>
      <c r="D1811" s="116">
        <v>239</v>
      </c>
      <c r="E1811" s="116">
        <v>243</v>
      </c>
      <c r="F1811" s="116">
        <v>244.25</v>
      </c>
      <c r="G1811">
        <v>263610</v>
      </c>
      <c r="H1811" s="116"/>
      <c r="I1811" s="116"/>
      <c r="L1811" s="170">
        <v>44672</v>
      </c>
      <c r="M1811" s="116">
        <v>244.2</v>
      </c>
      <c r="N1811" s="116">
        <v>248.6</v>
      </c>
      <c r="O1811" s="116">
        <v>238.9</v>
      </c>
      <c r="P1811" s="116">
        <v>240.7</v>
      </c>
      <c r="Q1811" s="116">
        <v>244.2</v>
      </c>
      <c r="R1811">
        <v>7399169</v>
      </c>
    </row>
    <row r="1812" spans="1:18" x14ac:dyDescent="0.25">
      <c r="A1812" s="170">
        <v>44673</v>
      </c>
      <c r="B1812" s="116">
        <v>249.8</v>
      </c>
      <c r="C1812" s="116">
        <v>240.85</v>
      </c>
      <c r="D1812" s="116">
        <v>240.05</v>
      </c>
      <c r="E1812" s="116">
        <v>243</v>
      </c>
      <c r="F1812" s="116">
        <v>240.85</v>
      </c>
      <c r="G1812">
        <v>256712</v>
      </c>
      <c r="H1812" s="116"/>
      <c r="I1812" s="116"/>
      <c r="L1812" s="170">
        <v>44673</v>
      </c>
      <c r="M1812" s="116">
        <v>240.9</v>
      </c>
      <c r="N1812" s="116">
        <v>249.9</v>
      </c>
      <c r="O1812" s="116">
        <v>240</v>
      </c>
      <c r="P1812" s="116">
        <v>242.7</v>
      </c>
      <c r="Q1812" s="116">
        <v>240.9</v>
      </c>
      <c r="R1812">
        <v>4911841</v>
      </c>
    </row>
    <row r="1813" spans="1:18" x14ac:dyDescent="0.25">
      <c r="A1813" s="170">
        <v>44676</v>
      </c>
      <c r="B1813" s="116">
        <v>240.4</v>
      </c>
      <c r="C1813" s="116">
        <v>234.55</v>
      </c>
      <c r="D1813" s="116">
        <v>228.7</v>
      </c>
      <c r="E1813" s="116">
        <v>240</v>
      </c>
      <c r="F1813" s="116">
        <v>234.55</v>
      </c>
      <c r="G1813">
        <v>286713</v>
      </c>
      <c r="H1813" s="116"/>
      <c r="I1813" s="116"/>
      <c r="L1813" s="170">
        <v>44676</v>
      </c>
      <c r="M1813" s="116">
        <v>234.7</v>
      </c>
      <c r="N1813" s="116">
        <v>240.5</v>
      </c>
      <c r="O1813" s="116">
        <v>228.7</v>
      </c>
      <c r="P1813" s="116">
        <v>238.1</v>
      </c>
      <c r="Q1813" s="116">
        <v>234.7</v>
      </c>
      <c r="R1813">
        <v>8316549</v>
      </c>
    </row>
    <row r="1814" spans="1:18" x14ac:dyDescent="0.25">
      <c r="A1814" s="170">
        <v>44677</v>
      </c>
      <c r="B1814" s="116">
        <v>239.35</v>
      </c>
      <c r="C1814" s="116">
        <v>232.9</v>
      </c>
      <c r="D1814" s="116">
        <v>229.1</v>
      </c>
      <c r="E1814" s="116">
        <v>239</v>
      </c>
      <c r="F1814" s="116">
        <v>232.9</v>
      </c>
      <c r="G1814">
        <v>237808</v>
      </c>
      <c r="H1814" s="116"/>
      <c r="I1814" s="116"/>
      <c r="L1814" s="170">
        <v>44677</v>
      </c>
      <c r="M1814" s="116">
        <v>233.05</v>
      </c>
      <c r="N1814" s="116">
        <v>239.45</v>
      </c>
      <c r="O1814" s="116">
        <v>229</v>
      </c>
      <c r="P1814" s="116">
        <v>238</v>
      </c>
      <c r="Q1814" s="116">
        <v>233.05</v>
      </c>
      <c r="R1814">
        <v>7836564</v>
      </c>
    </row>
    <row r="1815" spans="1:18" x14ac:dyDescent="0.25">
      <c r="A1815" s="170">
        <v>44678</v>
      </c>
      <c r="B1815" s="116">
        <v>238.25</v>
      </c>
      <c r="C1815" s="116">
        <v>235.85</v>
      </c>
      <c r="D1815" s="116">
        <v>231.35</v>
      </c>
      <c r="E1815" s="116">
        <v>233.05</v>
      </c>
      <c r="F1815" s="116">
        <v>235.85</v>
      </c>
      <c r="G1815">
        <v>294409</v>
      </c>
      <c r="H1815" s="116"/>
      <c r="I1815" s="116"/>
      <c r="L1815" s="170">
        <v>44678</v>
      </c>
      <c r="M1815" s="116">
        <v>235.75</v>
      </c>
      <c r="N1815" s="116">
        <v>238.3</v>
      </c>
      <c r="O1815" s="116">
        <v>231.05</v>
      </c>
      <c r="P1815" s="116">
        <v>231.4</v>
      </c>
      <c r="Q1815" s="116">
        <v>235.75</v>
      </c>
      <c r="R1815">
        <v>10035198</v>
      </c>
    </row>
    <row r="1816" spans="1:18" x14ac:dyDescent="0.25">
      <c r="A1816" s="170">
        <v>44679</v>
      </c>
      <c r="B1816" s="116">
        <v>249.75</v>
      </c>
      <c r="C1816" s="116">
        <v>246.65</v>
      </c>
      <c r="D1816" s="116">
        <v>236.25</v>
      </c>
      <c r="E1816" s="116">
        <v>236.25</v>
      </c>
      <c r="F1816" s="116">
        <v>246.65</v>
      </c>
      <c r="G1816">
        <v>913308</v>
      </c>
      <c r="H1816" s="116"/>
      <c r="I1816" s="116"/>
      <c r="L1816" s="170">
        <v>44679</v>
      </c>
      <c r="M1816" s="116">
        <v>247</v>
      </c>
      <c r="N1816" s="116">
        <v>249.8</v>
      </c>
      <c r="O1816" s="116">
        <v>236.8</v>
      </c>
      <c r="P1816" s="116">
        <v>238</v>
      </c>
      <c r="Q1816" s="116">
        <v>247</v>
      </c>
      <c r="R1816">
        <v>21806457</v>
      </c>
    </row>
    <row r="1817" spans="1:18" x14ac:dyDescent="0.25">
      <c r="A1817" s="170">
        <v>44680</v>
      </c>
      <c r="B1817" s="116">
        <v>260.05</v>
      </c>
      <c r="C1817" s="116">
        <v>256.25</v>
      </c>
      <c r="D1817" s="116">
        <v>247.4</v>
      </c>
      <c r="E1817" s="116">
        <v>249.25</v>
      </c>
      <c r="F1817" s="116">
        <v>256.25</v>
      </c>
      <c r="G1817">
        <v>475935</v>
      </c>
      <c r="H1817" s="116"/>
      <c r="I1817" s="116"/>
      <c r="L1817" s="170">
        <v>44680</v>
      </c>
      <c r="M1817" s="116">
        <v>256.5</v>
      </c>
      <c r="N1817" s="116">
        <v>260.3</v>
      </c>
      <c r="O1817" s="116">
        <v>247.05</v>
      </c>
      <c r="P1817" s="116">
        <v>248.95</v>
      </c>
      <c r="Q1817" s="116">
        <v>256.5</v>
      </c>
      <c r="R1817">
        <v>17484271</v>
      </c>
    </row>
    <row r="1818" spans="1:18" x14ac:dyDescent="0.25">
      <c r="A1818" s="170">
        <v>44683</v>
      </c>
      <c r="B1818" s="116">
        <v>265.45</v>
      </c>
      <c r="C1818" s="116">
        <v>261.64999999999998</v>
      </c>
      <c r="D1818" s="116">
        <v>253.05</v>
      </c>
      <c r="E1818" s="116">
        <v>255</v>
      </c>
      <c r="F1818" s="116">
        <v>261.64999999999998</v>
      </c>
      <c r="G1818">
        <v>434812</v>
      </c>
      <c r="H1818" s="116"/>
      <c r="I1818" s="116"/>
      <c r="L1818" s="170">
        <v>44683</v>
      </c>
      <c r="M1818" s="116">
        <v>261.7</v>
      </c>
      <c r="N1818" s="116">
        <v>265.5</v>
      </c>
      <c r="O1818" s="116">
        <v>253</v>
      </c>
      <c r="P1818" s="116">
        <v>253.85</v>
      </c>
      <c r="Q1818" s="116">
        <v>261.7</v>
      </c>
      <c r="R1818">
        <v>14927385</v>
      </c>
    </row>
    <row r="1819" spans="1:18" x14ac:dyDescent="0.25">
      <c r="A1819" s="170">
        <v>44685</v>
      </c>
      <c r="B1819" s="116">
        <v>268.85000000000002</v>
      </c>
      <c r="C1819" s="116">
        <v>257.64999999999998</v>
      </c>
      <c r="D1819" s="116">
        <v>254.15</v>
      </c>
      <c r="E1819" s="116">
        <v>264.8</v>
      </c>
      <c r="F1819" s="116">
        <v>257.64999999999998</v>
      </c>
      <c r="G1819">
        <v>1285697</v>
      </c>
      <c r="H1819" s="116"/>
      <c r="I1819" s="116"/>
      <c r="L1819" s="170">
        <v>44685</v>
      </c>
      <c r="M1819" s="116">
        <v>257.45</v>
      </c>
      <c r="N1819" s="116">
        <v>268.95</v>
      </c>
      <c r="O1819" s="116">
        <v>254</v>
      </c>
      <c r="P1819" s="116">
        <v>263.89999999999998</v>
      </c>
      <c r="Q1819" s="116">
        <v>257.45</v>
      </c>
      <c r="R1819">
        <v>14185747</v>
      </c>
    </row>
    <row r="1820" spans="1:18" x14ac:dyDescent="0.25">
      <c r="A1820" s="170">
        <v>44686</v>
      </c>
      <c r="B1820" s="116">
        <v>260</v>
      </c>
      <c r="C1820" s="116">
        <v>250.2</v>
      </c>
      <c r="D1820" s="116">
        <v>248.15</v>
      </c>
      <c r="E1820" s="116">
        <v>260</v>
      </c>
      <c r="F1820" s="116">
        <v>250.2</v>
      </c>
      <c r="G1820">
        <v>472362</v>
      </c>
      <c r="H1820" s="116"/>
      <c r="I1820" s="116"/>
      <c r="L1820" s="170">
        <v>44686</v>
      </c>
      <c r="M1820" s="116">
        <v>250.25</v>
      </c>
      <c r="N1820" s="116">
        <v>260</v>
      </c>
      <c r="O1820" s="116">
        <v>248.05</v>
      </c>
      <c r="P1820" s="116">
        <v>258.95</v>
      </c>
      <c r="Q1820" s="116">
        <v>250.25</v>
      </c>
      <c r="R1820">
        <v>10969132</v>
      </c>
    </row>
    <row r="1821" spans="1:18" x14ac:dyDescent="0.25">
      <c r="A1821" s="170">
        <v>44687</v>
      </c>
      <c r="B1821" s="116">
        <v>251.35</v>
      </c>
      <c r="C1821" s="116">
        <v>248.9</v>
      </c>
      <c r="D1821" s="116">
        <v>241.5</v>
      </c>
      <c r="E1821" s="116">
        <v>241.5</v>
      </c>
      <c r="F1821" s="116">
        <v>248.9</v>
      </c>
      <c r="G1821">
        <v>159191</v>
      </c>
      <c r="H1821" s="116"/>
      <c r="I1821" s="116"/>
      <c r="L1821" s="170">
        <v>44687</v>
      </c>
      <c r="M1821" s="116">
        <v>248.95</v>
      </c>
      <c r="N1821" s="116">
        <v>251.35</v>
      </c>
      <c r="O1821" s="116">
        <v>243</v>
      </c>
      <c r="P1821" s="116">
        <v>243.5</v>
      </c>
      <c r="Q1821" s="116">
        <v>248.95</v>
      </c>
      <c r="R1821">
        <v>6257584</v>
      </c>
    </row>
    <row r="1822" spans="1:18" x14ac:dyDescent="0.25">
      <c r="A1822" s="170">
        <v>44690</v>
      </c>
      <c r="B1822" s="116">
        <v>249.55</v>
      </c>
      <c r="C1822" s="116">
        <v>238.3</v>
      </c>
      <c r="D1822" s="116">
        <v>237.45</v>
      </c>
      <c r="E1822" s="116">
        <v>247</v>
      </c>
      <c r="F1822" s="116">
        <v>238.3</v>
      </c>
      <c r="G1822">
        <v>335025</v>
      </c>
      <c r="H1822" s="116"/>
      <c r="I1822" s="116"/>
      <c r="L1822" s="170">
        <v>44690</v>
      </c>
      <c r="M1822" s="116">
        <v>238.25</v>
      </c>
      <c r="N1822" s="116">
        <v>249.85</v>
      </c>
      <c r="O1822" s="116">
        <v>237.2</v>
      </c>
      <c r="P1822" s="116">
        <v>246</v>
      </c>
      <c r="Q1822" s="116">
        <v>238.25</v>
      </c>
      <c r="R1822">
        <v>9488538</v>
      </c>
    </row>
    <row r="1823" spans="1:18" x14ac:dyDescent="0.25">
      <c r="A1823" s="170">
        <v>44691</v>
      </c>
      <c r="B1823" s="116">
        <v>241</v>
      </c>
      <c r="C1823" s="116">
        <v>230.25</v>
      </c>
      <c r="D1823" s="116">
        <v>228</v>
      </c>
      <c r="E1823" s="116">
        <v>239.05</v>
      </c>
      <c r="F1823" s="116">
        <v>230.25</v>
      </c>
      <c r="G1823">
        <v>657827</v>
      </c>
      <c r="H1823" s="116"/>
      <c r="I1823" s="116"/>
      <c r="L1823" s="170">
        <v>44691</v>
      </c>
      <c r="M1823" s="116">
        <v>230.4</v>
      </c>
      <c r="N1823" s="116">
        <v>241</v>
      </c>
      <c r="O1823" s="116">
        <v>228</v>
      </c>
      <c r="P1823" s="116">
        <v>239.7</v>
      </c>
      <c r="Q1823" s="116">
        <v>230.4</v>
      </c>
      <c r="R1823">
        <v>10966157</v>
      </c>
    </row>
    <row r="1824" spans="1:18" x14ac:dyDescent="0.25">
      <c r="A1824" s="170">
        <v>44692</v>
      </c>
      <c r="B1824" s="116">
        <v>234.5</v>
      </c>
      <c r="C1824" s="116">
        <v>224.95</v>
      </c>
      <c r="D1824" s="116">
        <v>220.5</v>
      </c>
      <c r="E1824" s="116">
        <v>230.5</v>
      </c>
      <c r="F1824" s="116">
        <v>224.95</v>
      </c>
      <c r="G1824">
        <v>137251</v>
      </c>
      <c r="H1824" s="116"/>
      <c r="I1824" s="116"/>
      <c r="L1824" s="170">
        <v>44692</v>
      </c>
      <c r="M1824" s="116">
        <v>225</v>
      </c>
      <c r="N1824" s="116">
        <v>234.55</v>
      </c>
      <c r="O1824" s="116">
        <v>220.5</v>
      </c>
      <c r="P1824" s="116">
        <v>228.7</v>
      </c>
      <c r="Q1824" s="116">
        <v>225</v>
      </c>
      <c r="R1824">
        <v>9359469</v>
      </c>
    </row>
    <row r="1825" spans="1:18" x14ac:dyDescent="0.25">
      <c r="A1825" s="170">
        <v>44693</v>
      </c>
      <c r="B1825" s="116">
        <v>223.25</v>
      </c>
      <c r="C1825" s="116">
        <v>217.95</v>
      </c>
      <c r="D1825" s="116">
        <v>216.25</v>
      </c>
      <c r="E1825" s="116">
        <v>223</v>
      </c>
      <c r="F1825" s="116">
        <v>217.95</v>
      </c>
      <c r="G1825">
        <v>122141</v>
      </c>
      <c r="H1825" s="116"/>
      <c r="I1825" s="116"/>
      <c r="L1825" s="170">
        <v>44693</v>
      </c>
      <c r="M1825" s="116">
        <v>217.85</v>
      </c>
      <c r="N1825" s="116">
        <v>223.4</v>
      </c>
      <c r="O1825" s="116">
        <v>216.25</v>
      </c>
      <c r="P1825" s="116">
        <v>222.45</v>
      </c>
      <c r="Q1825" s="116">
        <v>217.85</v>
      </c>
      <c r="R1825">
        <v>8408010</v>
      </c>
    </row>
    <row r="1826" spans="1:18" x14ac:dyDescent="0.25">
      <c r="A1826" s="170">
        <v>44694</v>
      </c>
      <c r="B1826" s="116">
        <v>226.1</v>
      </c>
      <c r="C1826" s="116">
        <v>218.55</v>
      </c>
      <c r="D1826" s="116">
        <v>217.4</v>
      </c>
      <c r="E1826" s="116">
        <v>219</v>
      </c>
      <c r="F1826" s="116">
        <v>218.55</v>
      </c>
      <c r="G1826">
        <v>240638</v>
      </c>
      <c r="H1826" s="116"/>
      <c r="I1826" s="116"/>
      <c r="L1826" s="170">
        <v>44694</v>
      </c>
      <c r="M1826" s="116">
        <v>218.4</v>
      </c>
      <c r="N1826" s="116">
        <v>226</v>
      </c>
      <c r="O1826" s="116">
        <v>217.3</v>
      </c>
      <c r="P1826" s="116">
        <v>219.5</v>
      </c>
      <c r="Q1826" s="116">
        <v>218.4</v>
      </c>
      <c r="R1826">
        <v>8327170</v>
      </c>
    </row>
    <row r="1827" spans="1:18" x14ac:dyDescent="0.25">
      <c r="A1827" s="170">
        <v>44697</v>
      </c>
      <c r="B1827" s="116">
        <v>229.15</v>
      </c>
      <c r="C1827" s="116">
        <v>224.5</v>
      </c>
      <c r="D1827" s="116">
        <v>217.25</v>
      </c>
      <c r="E1827" s="116">
        <v>219.1</v>
      </c>
      <c r="F1827" s="116">
        <v>224.5</v>
      </c>
      <c r="G1827">
        <v>316783</v>
      </c>
      <c r="H1827" s="116"/>
      <c r="I1827" s="116"/>
      <c r="L1827" s="170">
        <v>44697</v>
      </c>
      <c r="M1827" s="116">
        <v>224.55</v>
      </c>
      <c r="N1827" s="116">
        <v>229.15</v>
      </c>
      <c r="O1827" s="116">
        <v>217.35</v>
      </c>
      <c r="P1827" s="116">
        <v>220.4</v>
      </c>
      <c r="Q1827" s="116">
        <v>224.55</v>
      </c>
      <c r="R1827">
        <v>6118575</v>
      </c>
    </row>
    <row r="1828" spans="1:18" x14ac:dyDescent="0.25">
      <c r="A1828" s="170">
        <v>44698</v>
      </c>
      <c r="B1828" s="116">
        <v>232.45</v>
      </c>
      <c r="C1828" s="116">
        <v>231.25</v>
      </c>
      <c r="D1828" s="116">
        <v>224.75</v>
      </c>
      <c r="E1828" s="116">
        <v>228</v>
      </c>
      <c r="F1828" s="116">
        <v>231.25</v>
      </c>
      <c r="G1828">
        <v>233067</v>
      </c>
      <c r="H1828" s="116"/>
      <c r="I1828" s="116"/>
      <c r="L1828" s="170">
        <v>44698</v>
      </c>
      <c r="M1828" s="116">
        <v>231.25</v>
      </c>
      <c r="N1828" s="116">
        <v>232.55</v>
      </c>
      <c r="O1828" s="116">
        <v>224.65</v>
      </c>
      <c r="P1828" s="116">
        <v>226.4</v>
      </c>
      <c r="Q1828" s="116">
        <v>231.25</v>
      </c>
      <c r="R1828">
        <v>6146889</v>
      </c>
    </row>
    <row r="1829" spans="1:18" x14ac:dyDescent="0.25">
      <c r="A1829" s="170">
        <v>44699</v>
      </c>
      <c r="B1829" s="116">
        <v>234.95</v>
      </c>
      <c r="C1829" s="116">
        <v>226.7</v>
      </c>
      <c r="D1829" s="116">
        <v>226.1</v>
      </c>
      <c r="E1829" s="116">
        <v>232.5</v>
      </c>
      <c r="F1829" s="116">
        <v>226.7</v>
      </c>
      <c r="G1829">
        <v>203363</v>
      </c>
      <c r="H1829" s="116"/>
      <c r="I1829" s="116"/>
      <c r="L1829" s="170">
        <v>44699</v>
      </c>
      <c r="M1829" s="116">
        <v>226.8</v>
      </c>
      <c r="N1829" s="116">
        <v>234.9</v>
      </c>
      <c r="O1829" s="116">
        <v>226.1</v>
      </c>
      <c r="P1829" s="116">
        <v>233.35</v>
      </c>
      <c r="Q1829" s="116">
        <v>226.8</v>
      </c>
      <c r="R1829">
        <v>7000508</v>
      </c>
    </row>
    <row r="1830" spans="1:18" x14ac:dyDescent="0.25">
      <c r="A1830" s="170">
        <v>44700</v>
      </c>
      <c r="B1830" s="116">
        <v>225.9</v>
      </c>
      <c r="C1830" s="116">
        <v>220.3</v>
      </c>
      <c r="D1830" s="116">
        <v>219.6</v>
      </c>
      <c r="E1830" s="116">
        <v>224.55</v>
      </c>
      <c r="F1830" s="116">
        <v>220.3</v>
      </c>
      <c r="G1830">
        <v>95695</v>
      </c>
      <c r="H1830" s="116"/>
      <c r="I1830" s="116"/>
      <c r="L1830" s="170">
        <v>44700</v>
      </c>
      <c r="M1830" s="116">
        <v>220.1</v>
      </c>
      <c r="N1830" s="116">
        <v>226</v>
      </c>
      <c r="O1830" s="116">
        <v>219.5</v>
      </c>
      <c r="P1830" s="116">
        <v>222.25</v>
      </c>
      <c r="Q1830" s="116">
        <v>220.1</v>
      </c>
      <c r="R1830">
        <v>5644709</v>
      </c>
    </row>
    <row r="1831" spans="1:18" x14ac:dyDescent="0.25">
      <c r="A1831" s="170">
        <v>44701</v>
      </c>
      <c r="B1831" s="116">
        <v>225.65</v>
      </c>
      <c r="C1831" s="116">
        <v>223.05</v>
      </c>
      <c r="D1831" s="116">
        <v>220.7</v>
      </c>
      <c r="E1831" s="116">
        <v>225</v>
      </c>
      <c r="F1831" s="116">
        <v>223.05</v>
      </c>
      <c r="G1831">
        <v>118551</v>
      </c>
      <c r="H1831" s="116"/>
      <c r="I1831" s="116"/>
      <c r="L1831" s="170">
        <v>44701</v>
      </c>
      <c r="M1831" s="116">
        <v>223</v>
      </c>
      <c r="N1831" s="116">
        <v>225.8</v>
      </c>
      <c r="O1831" s="116">
        <v>220.8</v>
      </c>
      <c r="P1831" s="116">
        <v>223.9</v>
      </c>
      <c r="Q1831" s="116">
        <v>223</v>
      </c>
      <c r="R1831">
        <v>6403672</v>
      </c>
    </row>
    <row r="1832" spans="1:18" x14ac:dyDescent="0.25">
      <c r="A1832" s="170">
        <v>44704</v>
      </c>
      <c r="B1832" s="116">
        <v>232.85</v>
      </c>
      <c r="C1832" s="116">
        <v>231.15</v>
      </c>
      <c r="D1832" s="116">
        <v>221.95</v>
      </c>
      <c r="E1832" s="116">
        <v>225</v>
      </c>
      <c r="F1832" s="116">
        <v>231.15</v>
      </c>
      <c r="G1832">
        <v>278103</v>
      </c>
      <c r="H1832" s="116"/>
      <c r="I1832" s="116"/>
      <c r="L1832" s="170">
        <v>44704</v>
      </c>
      <c r="M1832" s="116">
        <v>231.3</v>
      </c>
      <c r="N1832" s="116">
        <v>232.9</v>
      </c>
      <c r="O1832" s="116">
        <v>222.05</v>
      </c>
      <c r="P1832" s="116">
        <v>225.65</v>
      </c>
      <c r="Q1832" s="116">
        <v>231.3</v>
      </c>
      <c r="R1832">
        <v>6253611</v>
      </c>
    </row>
    <row r="1833" spans="1:18" x14ac:dyDescent="0.25">
      <c r="A1833" s="170">
        <v>44705</v>
      </c>
      <c r="B1833" s="116">
        <v>233</v>
      </c>
      <c r="C1833" s="116">
        <v>225.65</v>
      </c>
      <c r="D1833" s="116">
        <v>224.7</v>
      </c>
      <c r="E1833" s="116">
        <v>233</v>
      </c>
      <c r="F1833" s="116">
        <v>225.65</v>
      </c>
      <c r="G1833">
        <v>142970</v>
      </c>
      <c r="H1833" s="116"/>
      <c r="I1833" s="116"/>
      <c r="L1833" s="170">
        <v>44705</v>
      </c>
      <c r="M1833" s="116">
        <v>225.5</v>
      </c>
      <c r="N1833" s="116">
        <v>232.5</v>
      </c>
      <c r="O1833" s="116">
        <v>224.7</v>
      </c>
      <c r="P1833" s="116">
        <v>232</v>
      </c>
      <c r="Q1833" s="116">
        <v>225.5</v>
      </c>
      <c r="R1833">
        <v>5737671</v>
      </c>
    </row>
    <row r="1834" spans="1:18" x14ac:dyDescent="0.25">
      <c r="A1834" s="170">
        <v>44706</v>
      </c>
      <c r="B1834" s="116">
        <v>228.5</v>
      </c>
      <c r="C1834" s="116">
        <v>221.55</v>
      </c>
      <c r="D1834" s="116">
        <v>218.5</v>
      </c>
      <c r="E1834" s="116">
        <v>225.4</v>
      </c>
      <c r="F1834" s="116">
        <v>221.55</v>
      </c>
      <c r="G1834">
        <v>144203</v>
      </c>
      <c r="H1834" s="116"/>
      <c r="I1834" s="116"/>
      <c r="L1834" s="170">
        <v>44706</v>
      </c>
      <c r="M1834" s="116">
        <v>221.7</v>
      </c>
      <c r="N1834" s="116">
        <v>228.25</v>
      </c>
      <c r="O1834" s="116">
        <v>218.6</v>
      </c>
      <c r="P1834" s="116">
        <v>226.75</v>
      </c>
      <c r="Q1834" s="116">
        <v>221.7</v>
      </c>
      <c r="R1834">
        <v>4851246</v>
      </c>
    </row>
    <row r="1835" spans="1:18" x14ac:dyDescent="0.25">
      <c r="A1835" s="170">
        <v>44707</v>
      </c>
      <c r="B1835" s="116">
        <v>225</v>
      </c>
      <c r="C1835" s="116">
        <v>220.65</v>
      </c>
      <c r="D1835" s="116">
        <v>211.3</v>
      </c>
      <c r="E1835" s="116">
        <v>222</v>
      </c>
      <c r="F1835" s="116">
        <v>220.65</v>
      </c>
      <c r="G1835">
        <v>249840</v>
      </c>
      <c r="H1835" s="116"/>
      <c r="I1835" s="116"/>
      <c r="L1835" s="170">
        <v>44707</v>
      </c>
      <c r="M1835" s="116">
        <v>220.4</v>
      </c>
      <c r="N1835" s="116">
        <v>225</v>
      </c>
      <c r="O1835" s="116">
        <v>211.2</v>
      </c>
      <c r="P1835" s="116">
        <v>222.95</v>
      </c>
      <c r="Q1835" s="116">
        <v>220.4</v>
      </c>
      <c r="R1835">
        <v>10828637</v>
      </c>
    </row>
    <row r="1836" spans="1:18" x14ac:dyDescent="0.25">
      <c r="A1836" s="170">
        <v>44708</v>
      </c>
      <c r="B1836" s="116">
        <v>227</v>
      </c>
      <c r="C1836" s="116">
        <v>224.95</v>
      </c>
      <c r="D1836" s="116">
        <v>222.8</v>
      </c>
      <c r="E1836" s="116">
        <v>226.5</v>
      </c>
      <c r="F1836" s="116">
        <v>224.95</v>
      </c>
      <c r="G1836">
        <v>175109</v>
      </c>
      <c r="H1836" s="116"/>
      <c r="I1836" s="116"/>
      <c r="L1836" s="170">
        <v>44708</v>
      </c>
      <c r="M1836" s="116">
        <v>225.05</v>
      </c>
      <c r="N1836" s="116">
        <v>227</v>
      </c>
      <c r="O1836" s="116">
        <v>222.8</v>
      </c>
      <c r="P1836" s="116">
        <v>226.05</v>
      </c>
      <c r="Q1836" s="116">
        <v>225.05</v>
      </c>
      <c r="R1836">
        <v>3984085</v>
      </c>
    </row>
    <row r="1837" spans="1:18" x14ac:dyDescent="0.25">
      <c r="A1837" s="170">
        <v>44711</v>
      </c>
      <c r="B1837" s="116">
        <v>239.55</v>
      </c>
      <c r="C1837" s="116">
        <v>237.85</v>
      </c>
      <c r="D1837" s="116">
        <v>228.05</v>
      </c>
      <c r="E1837" s="116">
        <v>229.5</v>
      </c>
      <c r="F1837" s="116">
        <v>237.85</v>
      </c>
      <c r="G1837">
        <v>236637</v>
      </c>
      <c r="H1837" s="116"/>
      <c r="I1837" s="116"/>
      <c r="L1837" s="170">
        <v>44711</v>
      </c>
      <c r="M1837" s="116">
        <v>237.8</v>
      </c>
      <c r="N1837" s="116">
        <v>239.5</v>
      </c>
      <c r="O1837" s="116">
        <v>227.3</v>
      </c>
      <c r="P1837" s="116">
        <v>227.8</v>
      </c>
      <c r="Q1837" s="116">
        <v>237.8</v>
      </c>
      <c r="R1837">
        <v>9022779</v>
      </c>
    </row>
    <row r="1838" spans="1:18" x14ac:dyDescent="0.25">
      <c r="A1838" s="170">
        <v>44712</v>
      </c>
      <c r="B1838" s="116">
        <v>240.15</v>
      </c>
      <c r="C1838" s="116">
        <v>235.05</v>
      </c>
      <c r="D1838" s="116">
        <v>234.05</v>
      </c>
      <c r="E1838" s="116">
        <v>239</v>
      </c>
      <c r="F1838" s="116">
        <v>235.05</v>
      </c>
      <c r="G1838">
        <v>290792</v>
      </c>
      <c r="H1838" s="116"/>
      <c r="I1838" s="116"/>
      <c r="L1838" s="170">
        <v>44712</v>
      </c>
      <c r="M1838" s="116">
        <v>235</v>
      </c>
      <c r="N1838" s="116">
        <v>240.15</v>
      </c>
      <c r="O1838" s="116">
        <v>234.25</v>
      </c>
      <c r="P1838" s="116">
        <v>237.9</v>
      </c>
      <c r="Q1838" s="116">
        <v>235</v>
      </c>
      <c r="R1838">
        <v>5005169</v>
      </c>
    </row>
    <row r="1839" spans="1:18" x14ac:dyDescent="0.25">
      <c r="A1839" s="170">
        <v>44713</v>
      </c>
      <c r="B1839" s="116">
        <v>238.75</v>
      </c>
      <c r="C1839" s="116">
        <v>236.55</v>
      </c>
      <c r="D1839" s="116">
        <v>234</v>
      </c>
      <c r="E1839" s="116">
        <v>235.2</v>
      </c>
      <c r="F1839" s="116">
        <v>236.55</v>
      </c>
      <c r="G1839">
        <v>295857</v>
      </c>
      <c r="H1839" s="116"/>
      <c r="I1839" s="116"/>
      <c r="L1839" s="170">
        <v>44713</v>
      </c>
      <c r="M1839" s="116">
        <v>236.6</v>
      </c>
      <c r="N1839" s="116">
        <v>238.7</v>
      </c>
      <c r="O1839" s="116">
        <v>234</v>
      </c>
      <c r="P1839" s="116">
        <v>236</v>
      </c>
      <c r="Q1839" s="116">
        <v>236.6</v>
      </c>
      <c r="R1839">
        <v>3309666</v>
      </c>
    </row>
    <row r="1840" spans="1:18" x14ac:dyDescent="0.25">
      <c r="A1840" s="170">
        <v>44714</v>
      </c>
      <c r="B1840" s="116">
        <v>237</v>
      </c>
      <c r="C1840" s="116">
        <v>234.15</v>
      </c>
      <c r="D1840" s="116">
        <v>230.45</v>
      </c>
      <c r="E1840" s="116">
        <v>237</v>
      </c>
      <c r="F1840" s="116">
        <v>234.15</v>
      </c>
      <c r="G1840">
        <v>84971</v>
      </c>
      <c r="H1840" s="116"/>
      <c r="I1840" s="116"/>
      <c r="L1840" s="170">
        <v>44714</v>
      </c>
      <c r="M1840" s="116">
        <v>234.55</v>
      </c>
      <c r="N1840" s="116">
        <v>236.45</v>
      </c>
      <c r="O1840" s="116">
        <v>230.2</v>
      </c>
      <c r="P1840" s="116">
        <v>236.45</v>
      </c>
      <c r="Q1840" s="116">
        <v>234.55</v>
      </c>
      <c r="R1840">
        <v>3311813</v>
      </c>
    </row>
    <row r="1841" spans="1:18" x14ac:dyDescent="0.25">
      <c r="A1841" s="170">
        <v>44715</v>
      </c>
      <c r="B1841" s="116">
        <v>238.25</v>
      </c>
      <c r="C1841" s="116">
        <v>232.95</v>
      </c>
      <c r="D1841" s="116">
        <v>231.2</v>
      </c>
      <c r="E1841" s="116">
        <v>236</v>
      </c>
      <c r="F1841" s="116">
        <v>232.95</v>
      </c>
      <c r="G1841">
        <v>115195</v>
      </c>
      <c r="H1841" s="116"/>
      <c r="I1841" s="116"/>
      <c r="L1841" s="170">
        <v>44715</v>
      </c>
      <c r="M1841" s="116">
        <v>233.1</v>
      </c>
      <c r="N1841" s="116">
        <v>238.3</v>
      </c>
      <c r="O1841" s="116">
        <v>231.15</v>
      </c>
      <c r="P1841" s="116">
        <v>236.35</v>
      </c>
      <c r="Q1841" s="116">
        <v>233.1</v>
      </c>
      <c r="R1841">
        <v>1756940</v>
      </c>
    </row>
    <row r="1842" spans="1:18" x14ac:dyDescent="0.25">
      <c r="A1842" s="170">
        <v>44718</v>
      </c>
      <c r="B1842" s="116">
        <v>232.95</v>
      </c>
      <c r="C1842" s="116">
        <v>228.8</v>
      </c>
      <c r="D1842" s="116">
        <v>225.4</v>
      </c>
      <c r="E1842" s="116">
        <v>232.95</v>
      </c>
      <c r="F1842" s="116">
        <v>228.8</v>
      </c>
      <c r="G1842">
        <v>76531</v>
      </c>
      <c r="H1842" s="116"/>
      <c r="I1842" s="116"/>
      <c r="L1842" s="170">
        <v>44718</v>
      </c>
      <c r="M1842" s="116">
        <v>228.75</v>
      </c>
      <c r="N1842" s="116">
        <v>232.35</v>
      </c>
      <c r="O1842" s="116">
        <v>225.35</v>
      </c>
      <c r="P1842" s="116">
        <v>230</v>
      </c>
      <c r="Q1842" s="116">
        <v>228.75</v>
      </c>
      <c r="R1842">
        <v>2472118</v>
      </c>
    </row>
    <row r="1843" spans="1:18" x14ac:dyDescent="0.25">
      <c r="A1843" s="170">
        <v>44719</v>
      </c>
      <c r="B1843" s="116">
        <v>232</v>
      </c>
      <c r="C1843" s="116">
        <v>231.1</v>
      </c>
      <c r="D1843" s="116">
        <v>226.35</v>
      </c>
      <c r="E1843" s="116">
        <v>229.95</v>
      </c>
      <c r="F1843" s="116">
        <v>231.1</v>
      </c>
      <c r="G1843">
        <v>128675</v>
      </c>
      <c r="H1843" s="116"/>
      <c r="I1843" s="116"/>
      <c r="L1843" s="170">
        <v>44719</v>
      </c>
      <c r="M1843" s="116">
        <v>231.05</v>
      </c>
      <c r="N1843" s="116">
        <v>232.2</v>
      </c>
      <c r="O1843" s="116">
        <v>226.3</v>
      </c>
      <c r="P1843" s="116">
        <v>228.5</v>
      </c>
      <c r="Q1843" s="116">
        <v>231.05</v>
      </c>
      <c r="R1843">
        <v>2592093</v>
      </c>
    </row>
    <row r="1844" spans="1:18" x14ac:dyDescent="0.25">
      <c r="A1844" s="170">
        <v>44720</v>
      </c>
      <c r="B1844" s="116">
        <v>231.9</v>
      </c>
      <c r="C1844" s="116">
        <v>227.4</v>
      </c>
      <c r="D1844" s="116">
        <v>226.8</v>
      </c>
      <c r="E1844" s="116">
        <v>231.5</v>
      </c>
      <c r="F1844" s="116">
        <v>227.4</v>
      </c>
      <c r="G1844">
        <v>93723</v>
      </c>
      <c r="H1844" s="116"/>
      <c r="I1844" s="116"/>
      <c r="L1844" s="170">
        <v>44720</v>
      </c>
      <c r="M1844" s="116">
        <v>227.5</v>
      </c>
      <c r="N1844" s="116">
        <v>231.8</v>
      </c>
      <c r="O1844" s="116">
        <v>226.7</v>
      </c>
      <c r="P1844" s="116">
        <v>231.8</v>
      </c>
      <c r="Q1844" s="116">
        <v>227.5</v>
      </c>
      <c r="R1844">
        <v>3388748</v>
      </c>
    </row>
    <row r="1845" spans="1:18" x14ac:dyDescent="0.25">
      <c r="A1845" s="170">
        <v>44721</v>
      </c>
      <c r="B1845" s="116">
        <v>227.3</v>
      </c>
      <c r="C1845" s="116">
        <v>223.4</v>
      </c>
      <c r="D1845" s="116">
        <v>220</v>
      </c>
      <c r="E1845" s="116">
        <v>225.9</v>
      </c>
      <c r="F1845" s="116">
        <v>223.4</v>
      </c>
      <c r="G1845">
        <v>91243</v>
      </c>
      <c r="H1845" s="116"/>
      <c r="I1845" s="116"/>
      <c r="L1845" s="170">
        <v>44721</v>
      </c>
      <c r="M1845" s="116">
        <v>223.2</v>
      </c>
      <c r="N1845" s="116">
        <v>227.5</v>
      </c>
      <c r="O1845" s="116">
        <v>219.95</v>
      </c>
      <c r="P1845" s="116">
        <v>227.45</v>
      </c>
      <c r="Q1845" s="116">
        <v>223.2</v>
      </c>
      <c r="R1845">
        <v>5295528</v>
      </c>
    </row>
    <row r="1846" spans="1:18" x14ac:dyDescent="0.25">
      <c r="A1846" s="170">
        <v>44722</v>
      </c>
      <c r="B1846" s="116">
        <v>222.4</v>
      </c>
      <c r="C1846" s="116">
        <v>220.2</v>
      </c>
      <c r="D1846" s="116">
        <v>219.3</v>
      </c>
      <c r="E1846" s="116">
        <v>221.7</v>
      </c>
      <c r="F1846" s="116">
        <v>220.2</v>
      </c>
      <c r="G1846">
        <v>101543</v>
      </c>
      <c r="H1846" s="116"/>
      <c r="I1846" s="116"/>
      <c r="L1846" s="170">
        <v>44722</v>
      </c>
      <c r="M1846" s="116">
        <v>220.25</v>
      </c>
      <c r="N1846" s="116">
        <v>222.35</v>
      </c>
      <c r="O1846" s="116">
        <v>219.4</v>
      </c>
      <c r="P1846" s="116">
        <v>220.55</v>
      </c>
      <c r="Q1846" s="116">
        <v>220.25</v>
      </c>
      <c r="R1846">
        <v>4069114</v>
      </c>
    </row>
    <row r="1847" spans="1:18" x14ac:dyDescent="0.25">
      <c r="A1847" s="170">
        <v>44725</v>
      </c>
      <c r="B1847" s="116">
        <v>217.75</v>
      </c>
      <c r="C1847" s="116">
        <v>216.25</v>
      </c>
      <c r="D1847" s="116">
        <v>212.6</v>
      </c>
      <c r="E1847" s="116">
        <v>217.75</v>
      </c>
      <c r="F1847" s="116">
        <v>216.25</v>
      </c>
      <c r="G1847">
        <v>110135</v>
      </c>
      <c r="H1847" s="116"/>
      <c r="I1847" s="116"/>
      <c r="L1847" s="170">
        <v>44725</v>
      </c>
      <c r="M1847" s="116">
        <v>216.15</v>
      </c>
      <c r="N1847" s="116">
        <v>217.4</v>
      </c>
      <c r="O1847" s="116">
        <v>212.55</v>
      </c>
      <c r="P1847" s="116">
        <v>215.9</v>
      </c>
      <c r="Q1847" s="116">
        <v>216.15</v>
      </c>
      <c r="R1847">
        <v>4408825</v>
      </c>
    </row>
    <row r="1848" spans="1:18" x14ac:dyDescent="0.25">
      <c r="A1848" s="170">
        <v>44726</v>
      </c>
      <c r="B1848" s="116">
        <v>219.9</v>
      </c>
      <c r="C1848" s="116">
        <v>216.4</v>
      </c>
      <c r="D1848" s="116">
        <v>214.9</v>
      </c>
      <c r="E1848" s="116">
        <v>215</v>
      </c>
      <c r="F1848" s="116">
        <v>216.4</v>
      </c>
      <c r="G1848">
        <v>113886</v>
      </c>
      <c r="H1848" s="116"/>
      <c r="I1848" s="116"/>
      <c r="L1848" s="170">
        <v>44726</v>
      </c>
      <c r="M1848" s="116">
        <v>216.4</v>
      </c>
      <c r="N1848" s="116">
        <v>219.95</v>
      </c>
      <c r="O1848" s="116">
        <v>214.8</v>
      </c>
      <c r="P1848" s="116">
        <v>216</v>
      </c>
      <c r="Q1848" s="116">
        <v>216.4</v>
      </c>
      <c r="R1848">
        <v>2818524</v>
      </c>
    </row>
    <row r="1849" spans="1:18" x14ac:dyDescent="0.25">
      <c r="A1849" s="170">
        <v>44727</v>
      </c>
      <c r="B1849" s="116">
        <v>222.75</v>
      </c>
      <c r="C1849" s="116">
        <v>222</v>
      </c>
      <c r="D1849" s="116">
        <v>217</v>
      </c>
      <c r="E1849" s="116">
        <v>217</v>
      </c>
      <c r="F1849" s="116">
        <v>222</v>
      </c>
      <c r="G1849">
        <v>109006</v>
      </c>
      <c r="H1849" s="116"/>
      <c r="I1849" s="116"/>
      <c r="L1849" s="170">
        <v>44727</v>
      </c>
      <c r="M1849" s="116">
        <v>222.05</v>
      </c>
      <c r="N1849" s="116">
        <v>222.85</v>
      </c>
      <c r="O1849" s="116">
        <v>217</v>
      </c>
      <c r="P1849" s="116">
        <v>217.2</v>
      </c>
      <c r="Q1849" s="116">
        <v>222.05</v>
      </c>
      <c r="R1849">
        <v>5236714</v>
      </c>
    </row>
    <row r="1850" spans="1:18" x14ac:dyDescent="0.25">
      <c r="A1850" s="170">
        <v>44728</v>
      </c>
      <c r="B1850" s="116">
        <v>225.7</v>
      </c>
      <c r="C1850" s="116">
        <v>214.45</v>
      </c>
      <c r="D1850" s="116">
        <v>212.85</v>
      </c>
      <c r="E1850" s="116">
        <v>225.7</v>
      </c>
      <c r="F1850" s="116">
        <v>214.45</v>
      </c>
      <c r="G1850">
        <v>108773</v>
      </c>
      <c r="H1850" s="116"/>
      <c r="I1850" s="116"/>
      <c r="L1850" s="170">
        <v>44728</v>
      </c>
      <c r="M1850" s="116">
        <v>214.25</v>
      </c>
      <c r="N1850" s="116">
        <v>225.65</v>
      </c>
      <c r="O1850" s="116">
        <v>213.05</v>
      </c>
      <c r="P1850" s="116">
        <v>224.9</v>
      </c>
      <c r="Q1850" s="116">
        <v>214.25</v>
      </c>
      <c r="R1850">
        <v>4476522</v>
      </c>
    </row>
    <row r="1851" spans="1:18" x14ac:dyDescent="0.25">
      <c r="A1851" s="170">
        <v>44729</v>
      </c>
      <c r="B1851" s="116">
        <v>216.4</v>
      </c>
      <c r="C1851" s="116">
        <v>213.7</v>
      </c>
      <c r="D1851" s="116">
        <v>209.3</v>
      </c>
      <c r="E1851" s="116">
        <v>210.05</v>
      </c>
      <c r="F1851" s="116">
        <v>213.7</v>
      </c>
      <c r="G1851">
        <v>193206</v>
      </c>
      <c r="H1851" s="116"/>
      <c r="I1851" s="116"/>
      <c r="L1851" s="170">
        <v>44729</v>
      </c>
      <c r="M1851" s="116">
        <v>213.7</v>
      </c>
      <c r="N1851" s="116">
        <v>216.3</v>
      </c>
      <c r="O1851" s="116">
        <v>209.3</v>
      </c>
      <c r="P1851" s="116">
        <v>211.3</v>
      </c>
      <c r="Q1851" s="116">
        <v>213.7</v>
      </c>
      <c r="R1851">
        <v>4437466</v>
      </c>
    </row>
    <row r="1852" spans="1:18" x14ac:dyDescent="0.25">
      <c r="A1852" s="170">
        <v>44732</v>
      </c>
      <c r="B1852" s="116">
        <v>216.5</v>
      </c>
      <c r="C1852" s="116">
        <v>214.9</v>
      </c>
      <c r="D1852" s="116">
        <v>207.25</v>
      </c>
      <c r="E1852" s="116">
        <v>210.1</v>
      </c>
      <c r="F1852" s="116">
        <v>214.9</v>
      </c>
      <c r="G1852">
        <v>217499</v>
      </c>
      <c r="H1852" s="116"/>
      <c r="I1852" s="116"/>
      <c r="L1852" s="170">
        <v>44732</v>
      </c>
      <c r="M1852" s="116">
        <v>215.1</v>
      </c>
      <c r="N1852" s="116">
        <v>216.55</v>
      </c>
      <c r="O1852" s="116">
        <v>207.25</v>
      </c>
      <c r="P1852" s="116">
        <v>211.05</v>
      </c>
      <c r="Q1852" s="116">
        <v>215.1</v>
      </c>
      <c r="R1852">
        <v>5982095</v>
      </c>
    </row>
    <row r="1853" spans="1:18" x14ac:dyDescent="0.25">
      <c r="A1853" s="170">
        <v>44733</v>
      </c>
      <c r="B1853" s="116">
        <v>223.75</v>
      </c>
      <c r="C1853" s="116">
        <v>222.15</v>
      </c>
      <c r="D1853" s="116">
        <v>215</v>
      </c>
      <c r="E1853" s="116">
        <v>215</v>
      </c>
      <c r="F1853" s="116">
        <v>222.15</v>
      </c>
      <c r="G1853">
        <v>102671</v>
      </c>
      <c r="H1853" s="116"/>
      <c r="I1853" s="116"/>
      <c r="L1853" s="170">
        <v>44733</v>
      </c>
      <c r="M1853" s="116">
        <v>222.05</v>
      </c>
      <c r="N1853" s="116">
        <v>223.8</v>
      </c>
      <c r="O1853" s="116">
        <v>215.25</v>
      </c>
      <c r="P1853" s="116">
        <v>215.5</v>
      </c>
      <c r="Q1853" s="116">
        <v>222.05</v>
      </c>
      <c r="R1853">
        <v>4001277</v>
      </c>
    </row>
    <row r="1854" spans="1:18" x14ac:dyDescent="0.25">
      <c r="A1854" s="170">
        <v>44734</v>
      </c>
      <c r="B1854" s="116">
        <v>222.15</v>
      </c>
      <c r="C1854" s="116">
        <v>215.2</v>
      </c>
      <c r="D1854" s="116">
        <v>214.2</v>
      </c>
      <c r="E1854" s="116">
        <v>222.15</v>
      </c>
      <c r="F1854" s="116">
        <v>215.2</v>
      </c>
      <c r="G1854">
        <v>91775</v>
      </c>
      <c r="H1854" s="116"/>
      <c r="I1854" s="116"/>
      <c r="L1854" s="170">
        <v>44734</v>
      </c>
      <c r="M1854" s="116">
        <v>215.1</v>
      </c>
      <c r="N1854" s="116">
        <v>222</v>
      </c>
      <c r="O1854" s="116">
        <v>214</v>
      </c>
      <c r="P1854" s="116">
        <v>222</v>
      </c>
      <c r="Q1854" s="116">
        <v>215.1</v>
      </c>
      <c r="R1854">
        <v>3939513</v>
      </c>
    </row>
    <row r="1855" spans="1:18" x14ac:dyDescent="0.25">
      <c r="A1855" s="170">
        <v>44735</v>
      </c>
      <c r="B1855" s="116">
        <v>224.4</v>
      </c>
      <c r="C1855" s="116">
        <v>223.5</v>
      </c>
      <c r="D1855" s="116">
        <v>214.25</v>
      </c>
      <c r="E1855" s="116">
        <v>217.1</v>
      </c>
      <c r="F1855" s="116">
        <v>223.5</v>
      </c>
      <c r="G1855">
        <v>130507</v>
      </c>
      <c r="H1855" s="116"/>
      <c r="I1855" s="116"/>
      <c r="L1855" s="170">
        <v>44735</v>
      </c>
      <c r="M1855" s="116">
        <v>223.5</v>
      </c>
      <c r="N1855" s="116">
        <v>224.4</v>
      </c>
      <c r="O1855" s="116">
        <v>214.4</v>
      </c>
      <c r="P1855" s="116">
        <v>215.6</v>
      </c>
      <c r="Q1855" s="116">
        <v>223.5</v>
      </c>
      <c r="R1855">
        <v>5283412</v>
      </c>
    </row>
    <row r="1856" spans="1:18" x14ac:dyDescent="0.25">
      <c r="A1856" s="170">
        <v>44736</v>
      </c>
      <c r="B1856" s="116">
        <v>229.5</v>
      </c>
      <c r="C1856" s="116">
        <v>226.85</v>
      </c>
      <c r="D1856" s="116">
        <v>224.5</v>
      </c>
      <c r="E1856" s="116">
        <v>225.9</v>
      </c>
      <c r="F1856" s="116">
        <v>226.85</v>
      </c>
      <c r="G1856">
        <v>340823</v>
      </c>
      <c r="H1856" s="116"/>
      <c r="I1856" s="116"/>
      <c r="L1856" s="170">
        <v>44736</v>
      </c>
      <c r="M1856" s="116">
        <v>226.9</v>
      </c>
      <c r="N1856" s="116">
        <v>229.5</v>
      </c>
      <c r="O1856" s="116">
        <v>224.5</v>
      </c>
      <c r="P1856" s="116">
        <v>225.5</v>
      </c>
      <c r="Q1856" s="116">
        <v>226.9</v>
      </c>
      <c r="R1856">
        <v>4909943</v>
      </c>
    </row>
    <row r="1857" spans="1:18" x14ac:dyDescent="0.25">
      <c r="A1857" s="170">
        <v>44739</v>
      </c>
      <c r="B1857" s="116">
        <v>231.4</v>
      </c>
      <c r="C1857" s="116">
        <v>226</v>
      </c>
      <c r="D1857" s="116">
        <v>225</v>
      </c>
      <c r="E1857" s="116">
        <v>231.4</v>
      </c>
      <c r="F1857" s="116">
        <v>226</v>
      </c>
      <c r="G1857">
        <v>534010</v>
      </c>
      <c r="H1857" s="116"/>
      <c r="I1857" s="116"/>
      <c r="L1857" s="170">
        <v>44739</v>
      </c>
      <c r="M1857" s="116">
        <v>225.95</v>
      </c>
      <c r="N1857" s="116">
        <v>230</v>
      </c>
      <c r="O1857" s="116">
        <v>224.95</v>
      </c>
      <c r="P1857" s="116">
        <v>229.8</v>
      </c>
      <c r="Q1857" s="116">
        <v>225.95</v>
      </c>
      <c r="R1857">
        <v>4086963</v>
      </c>
    </row>
    <row r="1858" spans="1:18" x14ac:dyDescent="0.25">
      <c r="A1858" s="170">
        <v>44740</v>
      </c>
      <c r="B1858" s="116">
        <v>229.75</v>
      </c>
      <c r="C1858" s="116">
        <v>228.95</v>
      </c>
      <c r="D1858" s="116">
        <v>224.45</v>
      </c>
      <c r="E1858" s="116">
        <v>225</v>
      </c>
      <c r="F1858" s="116">
        <v>228.95</v>
      </c>
      <c r="G1858">
        <v>113497</v>
      </c>
      <c r="H1858" s="116"/>
      <c r="I1858" s="116"/>
      <c r="L1858" s="170">
        <v>44740</v>
      </c>
      <c r="M1858" s="116">
        <v>229</v>
      </c>
      <c r="N1858" s="116">
        <v>229.75</v>
      </c>
      <c r="O1858" s="116">
        <v>224.6</v>
      </c>
      <c r="P1858" s="116">
        <v>224.65</v>
      </c>
      <c r="Q1858" s="116">
        <v>229</v>
      </c>
      <c r="R1858">
        <v>2815451</v>
      </c>
    </row>
    <row r="1859" spans="1:18" x14ac:dyDescent="0.25">
      <c r="A1859" s="170">
        <v>44741</v>
      </c>
      <c r="B1859" s="116">
        <v>232.45</v>
      </c>
      <c r="C1859" s="116">
        <v>231.75</v>
      </c>
      <c r="D1859" s="116">
        <v>225</v>
      </c>
      <c r="E1859" s="116">
        <v>226</v>
      </c>
      <c r="F1859" s="116">
        <v>231.75</v>
      </c>
      <c r="G1859">
        <v>92440</v>
      </c>
      <c r="H1859" s="116"/>
      <c r="I1859" s="116"/>
      <c r="L1859" s="170">
        <v>44741</v>
      </c>
      <c r="M1859" s="116">
        <v>231.75</v>
      </c>
      <c r="N1859" s="116">
        <v>232.4</v>
      </c>
      <c r="O1859" s="116">
        <v>224.9</v>
      </c>
      <c r="P1859" s="116">
        <v>225.9</v>
      </c>
      <c r="Q1859" s="116">
        <v>231.75</v>
      </c>
      <c r="R1859">
        <v>5092088</v>
      </c>
    </row>
    <row r="1860" spans="1:18" x14ac:dyDescent="0.25">
      <c r="A1860" s="170">
        <v>44742</v>
      </c>
      <c r="B1860" s="116">
        <v>233.2</v>
      </c>
      <c r="C1860" s="116">
        <v>225.15</v>
      </c>
      <c r="D1860" s="116">
        <v>224.1</v>
      </c>
      <c r="E1860" s="116">
        <v>233</v>
      </c>
      <c r="F1860" s="116">
        <v>225.15</v>
      </c>
      <c r="G1860">
        <v>125877</v>
      </c>
      <c r="H1860" s="116"/>
      <c r="I1860" s="116"/>
      <c r="L1860" s="170">
        <v>44742</v>
      </c>
      <c r="M1860" s="116">
        <v>225.15</v>
      </c>
      <c r="N1860" s="116">
        <v>233</v>
      </c>
      <c r="O1860" s="116">
        <v>224.1</v>
      </c>
      <c r="P1860" s="116">
        <v>232.5</v>
      </c>
      <c r="Q1860" s="116">
        <v>225.15</v>
      </c>
      <c r="R1860">
        <v>3549734</v>
      </c>
    </row>
    <row r="1861" spans="1:18" x14ac:dyDescent="0.25">
      <c r="A1861" s="170">
        <v>44743</v>
      </c>
      <c r="B1861" s="116">
        <v>228</v>
      </c>
      <c r="C1861" s="116">
        <v>225.65</v>
      </c>
      <c r="D1861" s="116">
        <v>220.5</v>
      </c>
      <c r="E1861" s="116">
        <v>225</v>
      </c>
      <c r="F1861" s="116">
        <v>225.65</v>
      </c>
      <c r="G1861">
        <v>174037</v>
      </c>
      <c r="H1861" s="116"/>
      <c r="I1861" s="116"/>
      <c r="L1861" s="170">
        <v>44743</v>
      </c>
      <c r="M1861" s="116">
        <v>225.75</v>
      </c>
      <c r="N1861" s="116">
        <v>228.1</v>
      </c>
      <c r="O1861" s="116">
        <v>220.4</v>
      </c>
      <c r="P1861" s="116">
        <v>222.1</v>
      </c>
      <c r="Q1861" s="116">
        <v>225.75</v>
      </c>
      <c r="R1861">
        <v>3902317</v>
      </c>
    </row>
    <row r="1862" spans="1:18" x14ac:dyDescent="0.25">
      <c r="A1862" s="170">
        <v>44746</v>
      </c>
      <c r="B1862" s="116">
        <v>232.7</v>
      </c>
      <c r="C1862" s="116">
        <v>232.05</v>
      </c>
      <c r="D1862" s="116">
        <v>225.15</v>
      </c>
      <c r="E1862" s="116">
        <v>227.9</v>
      </c>
      <c r="F1862" s="116">
        <v>232.05</v>
      </c>
      <c r="G1862">
        <v>176083</v>
      </c>
      <c r="H1862" s="116"/>
      <c r="I1862" s="116"/>
      <c r="L1862" s="170">
        <v>44746</v>
      </c>
      <c r="M1862" s="116">
        <v>232.15</v>
      </c>
      <c r="N1862" s="116">
        <v>232.75</v>
      </c>
      <c r="O1862" s="116">
        <v>225</v>
      </c>
      <c r="P1862" s="116">
        <v>226.3</v>
      </c>
      <c r="Q1862" s="116">
        <v>232.15</v>
      </c>
      <c r="R1862">
        <v>3699951</v>
      </c>
    </row>
    <row r="1863" spans="1:18" x14ac:dyDescent="0.25">
      <c r="A1863" s="170">
        <v>44747</v>
      </c>
      <c r="B1863" s="116">
        <v>237.9</v>
      </c>
      <c r="C1863" s="116">
        <v>236.4</v>
      </c>
      <c r="D1863" s="116">
        <v>232.05</v>
      </c>
      <c r="E1863" s="116">
        <v>232.75</v>
      </c>
      <c r="F1863" s="116">
        <v>236.4</v>
      </c>
      <c r="G1863">
        <v>695181</v>
      </c>
      <c r="H1863" s="116"/>
      <c r="I1863" s="116"/>
      <c r="L1863" s="170">
        <v>44747</v>
      </c>
      <c r="M1863" s="116">
        <v>236.45</v>
      </c>
      <c r="N1863" s="116">
        <v>237.9</v>
      </c>
      <c r="O1863" s="116">
        <v>232.15</v>
      </c>
      <c r="P1863" s="116">
        <v>232.2</v>
      </c>
      <c r="Q1863" s="116">
        <v>236.45</v>
      </c>
      <c r="R1863">
        <v>8248897</v>
      </c>
    </row>
    <row r="1864" spans="1:18" x14ac:dyDescent="0.25">
      <c r="A1864" s="170">
        <v>44748</v>
      </c>
      <c r="B1864" s="116">
        <v>238</v>
      </c>
      <c r="C1864" s="116">
        <v>236.75</v>
      </c>
      <c r="D1864" s="116">
        <v>234</v>
      </c>
      <c r="E1864" s="116">
        <v>237.95</v>
      </c>
      <c r="F1864" s="116">
        <v>236.75</v>
      </c>
      <c r="G1864">
        <v>89043</v>
      </c>
      <c r="H1864" s="116"/>
      <c r="I1864" s="116"/>
      <c r="L1864" s="170">
        <v>44748</v>
      </c>
      <c r="M1864" s="116">
        <v>236.9</v>
      </c>
      <c r="N1864" s="116">
        <v>238</v>
      </c>
      <c r="O1864" s="116">
        <v>233.95</v>
      </c>
      <c r="P1864" s="116">
        <v>236.65</v>
      </c>
      <c r="Q1864" s="116">
        <v>236.9</v>
      </c>
      <c r="R1864">
        <v>3574519</v>
      </c>
    </row>
    <row r="1865" spans="1:18" x14ac:dyDescent="0.25">
      <c r="A1865" s="170">
        <v>44749</v>
      </c>
      <c r="B1865" s="116">
        <v>245.3</v>
      </c>
      <c r="C1865" s="116">
        <v>244.15</v>
      </c>
      <c r="D1865" s="116">
        <v>237</v>
      </c>
      <c r="E1865" s="116">
        <v>238.55</v>
      </c>
      <c r="F1865" s="116">
        <v>244.15</v>
      </c>
      <c r="G1865">
        <v>392457</v>
      </c>
      <c r="H1865" s="116"/>
      <c r="I1865" s="116"/>
      <c r="L1865" s="170">
        <v>44749</v>
      </c>
      <c r="M1865" s="116">
        <v>244.1</v>
      </c>
      <c r="N1865" s="116">
        <v>245.3</v>
      </c>
      <c r="O1865" s="116">
        <v>237.75</v>
      </c>
      <c r="P1865" s="116">
        <v>238</v>
      </c>
      <c r="Q1865" s="116">
        <v>244.1</v>
      </c>
      <c r="R1865">
        <v>8205356</v>
      </c>
    </row>
    <row r="1866" spans="1:18" x14ac:dyDescent="0.25">
      <c r="A1866" s="170">
        <v>44750</v>
      </c>
      <c r="B1866" s="116">
        <v>245.55</v>
      </c>
      <c r="C1866" s="116">
        <v>242.8</v>
      </c>
      <c r="D1866" s="116">
        <v>241.15</v>
      </c>
      <c r="E1866" s="116">
        <v>245.45</v>
      </c>
      <c r="F1866" s="116">
        <v>242.8</v>
      </c>
      <c r="G1866">
        <v>185936</v>
      </c>
      <c r="H1866" s="116"/>
      <c r="I1866" s="116"/>
      <c r="L1866" s="170">
        <v>44750</v>
      </c>
      <c r="M1866" s="116">
        <v>242.85</v>
      </c>
      <c r="N1866" s="116">
        <v>245.5</v>
      </c>
      <c r="O1866" s="116">
        <v>241.2</v>
      </c>
      <c r="P1866" s="116">
        <v>244.5</v>
      </c>
      <c r="Q1866" s="116">
        <v>242.85</v>
      </c>
      <c r="R1866">
        <v>2412484</v>
      </c>
    </row>
    <row r="1867" spans="1:18" x14ac:dyDescent="0.25">
      <c r="A1867" s="170">
        <v>44753</v>
      </c>
      <c r="B1867" s="116">
        <v>247.2</v>
      </c>
      <c r="C1867" s="116">
        <v>245.95</v>
      </c>
      <c r="D1867" s="116">
        <v>241.65</v>
      </c>
      <c r="E1867" s="116">
        <v>242</v>
      </c>
      <c r="F1867" s="116">
        <v>245.95</v>
      </c>
      <c r="G1867">
        <v>86178</v>
      </c>
      <c r="H1867" s="116"/>
      <c r="I1867" s="116"/>
      <c r="L1867" s="170">
        <v>44753</v>
      </c>
      <c r="M1867" s="116">
        <v>245.95</v>
      </c>
      <c r="N1867" s="116">
        <v>247.25</v>
      </c>
      <c r="O1867" s="116">
        <v>241.65</v>
      </c>
      <c r="P1867" s="116">
        <v>242.75</v>
      </c>
      <c r="Q1867" s="116">
        <v>245.95</v>
      </c>
      <c r="R1867">
        <v>4221320</v>
      </c>
    </row>
    <row r="1868" spans="1:18" x14ac:dyDescent="0.25">
      <c r="A1868" s="170">
        <v>44754</v>
      </c>
      <c r="B1868" s="116">
        <v>246.85</v>
      </c>
      <c r="C1868" s="116">
        <v>244.8</v>
      </c>
      <c r="D1868" s="116">
        <v>243</v>
      </c>
      <c r="E1868" s="116">
        <v>245</v>
      </c>
      <c r="F1868" s="116">
        <v>244.8</v>
      </c>
      <c r="G1868">
        <v>150917</v>
      </c>
      <c r="H1868" s="116"/>
      <c r="I1868" s="116"/>
      <c r="L1868" s="170">
        <v>44754</v>
      </c>
      <c r="M1868" s="116">
        <v>244.65</v>
      </c>
      <c r="N1868" s="116">
        <v>246.95</v>
      </c>
      <c r="O1868" s="116">
        <v>242.95</v>
      </c>
      <c r="P1868" s="116">
        <v>245</v>
      </c>
      <c r="Q1868" s="116">
        <v>244.65</v>
      </c>
      <c r="R1868">
        <v>2922674</v>
      </c>
    </row>
    <row r="1869" spans="1:18" x14ac:dyDescent="0.25">
      <c r="A1869" s="170">
        <v>44755</v>
      </c>
      <c r="B1869" s="116">
        <v>251</v>
      </c>
      <c r="C1869" s="116">
        <v>245.4</v>
      </c>
      <c r="D1869" s="116">
        <v>244.35</v>
      </c>
      <c r="E1869" s="116">
        <v>246.9</v>
      </c>
      <c r="F1869" s="116">
        <v>245.4</v>
      </c>
      <c r="G1869">
        <v>197529</v>
      </c>
      <c r="H1869" s="116"/>
      <c r="I1869" s="116"/>
      <c r="L1869" s="170">
        <v>44755</v>
      </c>
      <c r="M1869" s="116">
        <v>245.55</v>
      </c>
      <c r="N1869" s="116">
        <v>251.1</v>
      </c>
      <c r="O1869" s="116">
        <v>244.4</v>
      </c>
      <c r="P1869" s="116">
        <v>246.4</v>
      </c>
      <c r="Q1869" s="116">
        <v>245.55</v>
      </c>
      <c r="R1869">
        <v>4991296</v>
      </c>
    </row>
    <row r="1870" spans="1:18" x14ac:dyDescent="0.25">
      <c r="A1870" s="170">
        <v>44756</v>
      </c>
      <c r="B1870" s="116">
        <v>247.4</v>
      </c>
      <c r="C1870" s="116">
        <v>243.95</v>
      </c>
      <c r="D1870" s="116">
        <v>241.4</v>
      </c>
      <c r="E1870" s="116">
        <v>244</v>
      </c>
      <c r="F1870" s="116">
        <v>243.95</v>
      </c>
      <c r="G1870">
        <v>239688</v>
      </c>
      <c r="H1870" s="116"/>
      <c r="I1870" s="116"/>
      <c r="L1870" s="170">
        <v>44756</v>
      </c>
      <c r="M1870" s="116">
        <v>244</v>
      </c>
      <c r="N1870" s="116">
        <v>247.5</v>
      </c>
      <c r="O1870" s="116">
        <v>241.35</v>
      </c>
      <c r="P1870" s="116">
        <v>246.6</v>
      </c>
      <c r="Q1870" s="116">
        <v>244</v>
      </c>
      <c r="R1870">
        <v>1978201</v>
      </c>
    </row>
    <row r="1871" spans="1:18" x14ac:dyDescent="0.25">
      <c r="A1871" s="170">
        <v>44757</v>
      </c>
      <c r="B1871" s="116">
        <v>251.25</v>
      </c>
      <c r="C1871" s="116">
        <v>250.65</v>
      </c>
      <c r="D1871" s="116">
        <v>243.2</v>
      </c>
      <c r="E1871" s="116">
        <v>245</v>
      </c>
      <c r="F1871" s="116">
        <v>250.65</v>
      </c>
      <c r="G1871">
        <v>95849</v>
      </c>
      <c r="H1871" s="116"/>
      <c r="I1871" s="116"/>
      <c r="L1871" s="170">
        <v>44757</v>
      </c>
      <c r="M1871" s="116">
        <v>250.7</v>
      </c>
      <c r="N1871" s="116">
        <v>251.3</v>
      </c>
      <c r="O1871" s="116">
        <v>243.4</v>
      </c>
      <c r="P1871" s="116">
        <v>243.4</v>
      </c>
      <c r="Q1871" s="116">
        <v>250.7</v>
      </c>
      <c r="R1871">
        <v>2449513</v>
      </c>
    </row>
    <row r="1872" spans="1:18" x14ac:dyDescent="0.25">
      <c r="A1872" s="170">
        <v>44760</v>
      </c>
      <c r="B1872" s="116">
        <v>253.65</v>
      </c>
      <c r="C1872" s="116">
        <v>251.1</v>
      </c>
      <c r="D1872" s="116">
        <v>250.1</v>
      </c>
      <c r="E1872" s="116">
        <v>253.65</v>
      </c>
      <c r="F1872" s="116">
        <v>251.1</v>
      </c>
      <c r="G1872">
        <v>77534</v>
      </c>
      <c r="H1872" s="116"/>
      <c r="I1872" s="116"/>
      <c r="L1872" s="170">
        <v>44760</v>
      </c>
      <c r="M1872" s="116">
        <v>250.95</v>
      </c>
      <c r="N1872" s="116">
        <v>253</v>
      </c>
      <c r="O1872" s="116">
        <v>250</v>
      </c>
      <c r="P1872" s="116">
        <v>251.55</v>
      </c>
      <c r="Q1872" s="116">
        <v>250.95</v>
      </c>
      <c r="R1872">
        <v>3501346</v>
      </c>
    </row>
    <row r="1873" spans="1:18" x14ac:dyDescent="0.25">
      <c r="A1873" s="170">
        <v>44761</v>
      </c>
      <c r="B1873" s="116">
        <v>254.35</v>
      </c>
      <c r="C1873" s="116">
        <v>250.65</v>
      </c>
      <c r="D1873" s="116">
        <v>248.3</v>
      </c>
      <c r="E1873" s="116">
        <v>251.75</v>
      </c>
      <c r="F1873" s="116">
        <v>250.65</v>
      </c>
      <c r="G1873">
        <v>220996</v>
      </c>
      <c r="H1873" s="116"/>
      <c r="I1873" s="116"/>
      <c r="L1873" s="170">
        <v>44761</v>
      </c>
      <c r="M1873" s="116">
        <v>250.9</v>
      </c>
      <c r="N1873" s="116">
        <v>254.35</v>
      </c>
      <c r="O1873" s="116">
        <v>248.25</v>
      </c>
      <c r="P1873" s="116">
        <v>250.3</v>
      </c>
      <c r="Q1873" s="116">
        <v>250.9</v>
      </c>
      <c r="R1873">
        <v>2553371</v>
      </c>
    </row>
    <row r="1874" spans="1:18" x14ac:dyDescent="0.25">
      <c r="A1874" s="170">
        <v>44762</v>
      </c>
      <c r="B1874" s="116">
        <v>257</v>
      </c>
      <c r="C1874" s="116">
        <v>251.6</v>
      </c>
      <c r="D1874" s="116">
        <v>250.25</v>
      </c>
      <c r="E1874" s="116">
        <v>251</v>
      </c>
      <c r="F1874" s="116">
        <v>251.6</v>
      </c>
      <c r="G1874">
        <v>174657</v>
      </c>
      <c r="H1874" s="116"/>
      <c r="I1874" s="116"/>
      <c r="L1874" s="170">
        <v>44762</v>
      </c>
      <c r="M1874" s="116">
        <v>251.25</v>
      </c>
      <c r="N1874" s="116">
        <v>257.14999999999998</v>
      </c>
      <c r="O1874" s="116">
        <v>250.1</v>
      </c>
      <c r="P1874" s="116">
        <v>252.4</v>
      </c>
      <c r="Q1874" s="116">
        <v>251.25</v>
      </c>
      <c r="R1874">
        <v>5500371</v>
      </c>
    </row>
    <row r="1875" spans="1:18" x14ac:dyDescent="0.25">
      <c r="A1875" s="170">
        <v>44763</v>
      </c>
      <c r="B1875" s="116">
        <v>253.45</v>
      </c>
      <c r="C1875" s="116">
        <v>251.75</v>
      </c>
      <c r="D1875" s="116">
        <v>249.25</v>
      </c>
      <c r="E1875" s="116">
        <v>249.25</v>
      </c>
      <c r="F1875" s="116">
        <v>251.75</v>
      </c>
      <c r="G1875">
        <v>175761</v>
      </c>
      <c r="H1875" s="116"/>
      <c r="I1875" s="116"/>
      <c r="L1875" s="170">
        <v>44763</v>
      </c>
      <c r="M1875" s="116">
        <v>251.75</v>
      </c>
      <c r="N1875" s="116">
        <v>253.45</v>
      </c>
      <c r="O1875" s="116">
        <v>249.45</v>
      </c>
      <c r="P1875" s="116">
        <v>251</v>
      </c>
      <c r="Q1875" s="116">
        <v>251.75</v>
      </c>
      <c r="R1875">
        <v>2857797</v>
      </c>
    </row>
    <row r="1876" spans="1:18" x14ac:dyDescent="0.25">
      <c r="A1876" s="170">
        <v>44764</v>
      </c>
      <c r="B1876" s="116">
        <v>254.2</v>
      </c>
      <c r="C1876" s="116">
        <v>252.55</v>
      </c>
      <c r="D1876" s="116">
        <v>250</v>
      </c>
      <c r="E1876" s="116">
        <v>252.85</v>
      </c>
      <c r="F1876" s="116">
        <v>252.55</v>
      </c>
      <c r="G1876">
        <v>162976</v>
      </c>
      <c r="H1876" s="116"/>
      <c r="I1876" s="116"/>
      <c r="L1876" s="170">
        <v>44764</v>
      </c>
      <c r="M1876" s="116">
        <v>252.65</v>
      </c>
      <c r="N1876" s="116">
        <v>254</v>
      </c>
      <c r="O1876" s="116">
        <v>250.05</v>
      </c>
      <c r="P1876" s="116">
        <v>252.5</v>
      </c>
      <c r="Q1876" s="116">
        <v>252.65</v>
      </c>
      <c r="R1876">
        <v>3404782</v>
      </c>
    </row>
    <row r="1877" spans="1:18" x14ac:dyDescent="0.25">
      <c r="A1877" s="170">
        <v>44767</v>
      </c>
      <c r="B1877" s="116">
        <v>261.95</v>
      </c>
      <c r="C1877" s="116">
        <v>260.25</v>
      </c>
      <c r="D1877" s="116">
        <v>250.2</v>
      </c>
      <c r="E1877" s="116">
        <v>250.2</v>
      </c>
      <c r="F1877" s="116">
        <v>260.25</v>
      </c>
      <c r="G1877">
        <v>277136</v>
      </c>
      <c r="H1877" s="116"/>
      <c r="I1877" s="116"/>
      <c r="L1877" s="170">
        <v>44767</v>
      </c>
      <c r="M1877" s="116">
        <v>260.75</v>
      </c>
      <c r="N1877" s="116">
        <v>261.89999999999998</v>
      </c>
      <c r="O1877" s="116">
        <v>251.7</v>
      </c>
      <c r="P1877" s="116">
        <v>252.6</v>
      </c>
      <c r="Q1877" s="116">
        <v>260.75</v>
      </c>
      <c r="R1877">
        <v>8186609</v>
      </c>
    </row>
    <row r="1878" spans="1:18" x14ac:dyDescent="0.25">
      <c r="A1878" s="170">
        <v>44768</v>
      </c>
      <c r="B1878" s="116">
        <v>261.85000000000002</v>
      </c>
      <c r="C1878" s="116">
        <v>258.7</v>
      </c>
      <c r="D1878" s="116">
        <v>254.5</v>
      </c>
      <c r="E1878" s="116">
        <v>261</v>
      </c>
      <c r="F1878" s="116">
        <v>258.7</v>
      </c>
      <c r="G1878">
        <v>144155</v>
      </c>
      <c r="H1878" s="116"/>
      <c r="I1878" s="116"/>
      <c r="L1878" s="170">
        <v>44768</v>
      </c>
      <c r="M1878" s="116">
        <v>258.55</v>
      </c>
      <c r="N1878" s="116">
        <v>261.60000000000002</v>
      </c>
      <c r="O1878" s="116">
        <v>254.35</v>
      </c>
      <c r="P1878" s="116">
        <v>261.5</v>
      </c>
      <c r="Q1878" s="116">
        <v>258.55</v>
      </c>
      <c r="R1878">
        <v>3777193</v>
      </c>
    </row>
    <row r="1879" spans="1:18" x14ac:dyDescent="0.25">
      <c r="A1879" s="170">
        <v>44769</v>
      </c>
      <c r="B1879" s="116">
        <v>262.14999999999998</v>
      </c>
      <c r="C1879" s="116">
        <v>260.45</v>
      </c>
      <c r="D1879" s="116">
        <v>256.05</v>
      </c>
      <c r="E1879" s="116">
        <v>258.75</v>
      </c>
      <c r="F1879" s="116">
        <v>260.45</v>
      </c>
      <c r="G1879">
        <v>400739</v>
      </c>
      <c r="H1879" s="116"/>
      <c r="I1879" s="116"/>
      <c r="L1879" s="170">
        <v>44769</v>
      </c>
      <c r="M1879" s="116">
        <v>260.45</v>
      </c>
      <c r="N1879" s="116">
        <v>262.3</v>
      </c>
      <c r="O1879" s="116">
        <v>257.55</v>
      </c>
      <c r="P1879" s="116">
        <v>258.3</v>
      </c>
      <c r="Q1879" s="116">
        <v>260.45</v>
      </c>
      <c r="R1879">
        <v>3663059</v>
      </c>
    </row>
    <row r="1880" spans="1:18" x14ac:dyDescent="0.25">
      <c r="A1880" s="170">
        <v>44770</v>
      </c>
      <c r="B1880" s="116">
        <v>264.5</v>
      </c>
      <c r="C1880" s="116">
        <v>263.3</v>
      </c>
      <c r="D1880" s="116">
        <v>260.7</v>
      </c>
      <c r="E1880" s="116">
        <v>260.7</v>
      </c>
      <c r="F1880" s="116">
        <v>263.3</v>
      </c>
      <c r="G1880">
        <v>217237</v>
      </c>
      <c r="H1880" s="116"/>
      <c r="I1880" s="116"/>
      <c r="L1880" s="170">
        <v>44770</v>
      </c>
      <c r="M1880" s="116">
        <v>263.14999999999998</v>
      </c>
      <c r="N1880" s="116">
        <v>264.5</v>
      </c>
      <c r="O1880" s="116">
        <v>260.39999999999998</v>
      </c>
      <c r="P1880" s="116">
        <v>262.35000000000002</v>
      </c>
      <c r="Q1880" s="116">
        <v>263.14999999999998</v>
      </c>
      <c r="R1880">
        <v>2712234</v>
      </c>
    </row>
    <row r="1881" spans="1:18" x14ac:dyDescent="0.25">
      <c r="A1881" s="170">
        <v>44771</v>
      </c>
      <c r="B1881" s="116">
        <v>266.95</v>
      </c>
      <c r="C1881" s="116">
        <v>262.7</v>
      </c>
      <c r="D1881" s="116">
        <v>262</v>
      </c>
      <c r="E1881" s="116">
        <v>265</v>
      </c>
      <c r="F1881" s="116">
        <v>262.7</v>
      </c>
      <c r="G1881">
        <v>211326</v>
      </c>
      <c r="H1881" s="116"/>
      <c r="I1881" s="116"/>
      <c r="L1881" s="170">
        <v>44771</v>
      </c>
      <c r="M1881" s="116">
        <v>262.85000000000002</v>
      </c>
      <c r="N1881" s="116">
        <v>266.89999999999998</v>
      </c>
      <c r="O1881" s="116">
        <v>262</v>
      </c>
      <c r="P1881" s="116">
        <v>264.10000000000002</v>
      </c>
      <c r="Q1881" s="116">
        <v>262.85000000000002</v>
      </c>
      <c r="R1881">
        <v>2716311</v>
      </c>
    </row>
    <row r="1882" spans="1:18" x14ac:dyDescent="0.25">
      <c r="A1882" s="170">
        <v>44774</v>
      </c>
      <c r="B1882" s="116">
        <v>272.89999999999998</v>
      </c>
      <c r="C1882" s="116">
        <v>270.39999999999998</v>
      </c>
      <c r="D1882" s="116">
        <v>263</v>
      </c>
      <c r="E1882" s="116">
        <v>263</v>
      </c>
      <c r="F1882" s="116">
        <v>270.39999999999998</v>
      </c>
      <c r="G1882">
        <v>342604</v>
      </c>
      <c r="H1882" s="116"/>
      <c r="I1882" s="116"/>
      <c r="L1882" s="170">
        <v>44774</v>
      </c>
      <c r="M1882" s="116">
        <v>270.45</v>
      </c>
      <c r="N1882" s="116">
        <v>272.85000000000002</v>
      </c>
      <c r="O1882" s="116">
        <v>263.10000000000002</v>
      </c>
      <c r="P1882" s="116">
        <v>264.45</v>
      </c>
      <c r="Q1882" s="116">
        <v>270.45</v>
      </c>
      <c r="R1882">
        <v>5032085</v>
      </c>
    </row>
    <row r="1883" spans="1:18" x14ac:dyDescent="0.25">
      <c r="A1883" s="170">
        <v>44775</v>
      </c>
      <c r="B1883" s="116">
        <v>273.5</v>
      </c>
      <c r="C1883" s="116">
        <v>269.2</v>
      </c>
      <c r="D1883" s="116">
        <v>266.5</v>
      </c>
      <c r="E1883" s="116">
        <v>269.10000000000002</v>
      </c>
      <c r="F1883" s="116">
        <v>269.2</v>
      </c>
      <c r="G1883">
        <v>196500</v>
      </c>
      <c r="H1883" s="116"/>
      <c r="I1883" s="116"/>
      <c r="L1883" s="170">
        <v>44775</v>
      </c>
      <c r="M1883" s="116">
        <v>268.45</v>
      </c>
      <c r="N1883" s="116">
        <v>273.5</v>
      </c>
      <c r="O1883" s="116">
        <v>266.10000000000002</v>
      </c>
      <c r="P1883" s="116">
        <v>270.39999999999998</v>
      </c>
      <c r="Q1883" s="116">
        <v>268.45</v>
      </c>
      <c r="R1883">
        <v>5063176</v>
      </c>
    </row>
    <row r="1884" spans="1:18" x14ac:dyDescent="0.25">
      <c r="A1884" s="170">
        <v>44776</v>
      </c>
      <c r="B1884" s="116">
        <v>274.95</v>
      </c>
      <c r="C1884" s="116">
        <v>274</v>
      </c>
      <c r="D1884" s="116">
        <v>267.7</v>
      </c>
      <c r="E1884" s="116">
        <v>269.2</v>
      </c>
      <c r="F1884" s="116">
        <v>274</v>
      </c>
      <c r="G1884">
        <v>379975</v>
      </c>
      <c r="H1884" s="116"/>
      <c r="I1884" s="116"/>
      <c r="L1884" s="170">
        <v>44776</v>
      </c>
      <c r="M1884" s="116">
        <v>273.95</v>
      </c>
      <c r="N1884" s="116">
        <v>275</v>
      </c>
      <c r="O1884" s="116">
        <v>267.10000000000002</v>
      </c>
      <c r="P1884" s="116">
        <v>268.35000000000002</v>
      </c>
      <c r="Q1884" s="116">
        <v>273.95</v>
      </c>
      <c r="R1884">
        <v>5485535</v>
      </c>
    </row>
    <row r="1885" spans="1:18" x14ac:dyDescent="0.25">
      <c r="A1885" s="170">
        <v>44777</v>
      </c>
      <c r="B1885" s="116">
        <v>275.5</v>
      </c>
      <c r="C1885" s="116">
        <v>270.45</v>
      </c>
      <c r="D1885" s="116">
        <v>265.55</v>
      </c>
      <c r="E1885" s="116">
        <v>274.95</v>
      </c>
      <c r="F1885" s="116">
        <v>270.45</v>
      </c>
      <c r="G1885">
        <v>478874</v>
      </c>
      <c r="H1885" s="116"/>
      <c r="I1885" s="116"/>
      <c r="L1885" s="170">
        <v>44777</v>
      </c>
      <c r="M1885" s="116">
        <v>270.45</v>
      </c>
      <c r="N1885" s="116">
        <v>275.3</v>
      </c>
      <c r="O1885" s="116">
        <v>265.45</v>
      </c>
      <c r="P1885" s="116">
        <v>275.14999999999998</v>
      </c>
      <c r="Q1885" s="116">
        <v>270.45</v>
      </c>
      <c r="R1885">
        <v>4965712</v>
      </c>
    </row>
    <row r="1886" spans="1:18" x14ac:dyDescent="0.25">
      <c r="A1886" s="170">
        <v>44778</v>
      </c>
      <c r="B1886" s="116">
        <v>273.89999999999998</v>
      </c>
      <c r="C1886" s="116">
        <v>269.75</v>
      </c>
      <c r="D1886" s="116">
        <v>266.64999999999998</v>
      </c>
      <c r="E1886" s="116">
        <v>266.64999999999998</v>
      </c>
      <c r="F1886" s="116">
        <v>269.75</v>
      </c>
      <c r="G1886">
        <v>239640</v>
      </c>
      <c r="H1886" s="116"/>
      <c r="I1886" s="116"/>
      <c r="L1886" s="170">
        <v>44778</v>
      </c>
      <c r="M1886" s="116">
        <v>269.8</v>
      </c>
      <c r="N1886" s="116">
        <v>273.89999999999998</v>
      </c>
      <c r="O1886" s="116">
        <v>267.7</v>
      </c>
      <c r="P1886" s="116">
        <v>269.89999999999998</v>
      </c>
      <c r="Q1886" s="116">
        <v>269.8</v>
      </c>
      <c r="R1886">
        <v>5542385</v>
      </c>
    </row>
    <row r="1887" spans="1:18" x14ac:dyDescent="0.25">
      <c r="A1887" s="170">
        <v>44781</v>
      </c>
      <c r="B1887" s="116">
        <v>272.60000000000002</v>
      </c>
      <c r="C1887" s="116">
        <v>270.64999999999998</v>
      </c>
      <c r="D1887" s="116">
        <v>267</v>
      </c>
      <c r="E1887" s="116">
        <v>271.8</v>
      </c>
      <c r="F1887" s="116">
        <v>270.64999999999998</v>
      </c>
      <c r="G1887">
        <v>346324</v>
      </c>
      <c r="H1887" s="116"/>
      <c r="I1887" s="116"/>
      <c r="L1887" s="170">
        <v>44781</v>
      </c>
      <c r="M1887" s="116">
        <v>270.85000000000002</v>
      </c>
      <c r="N1887" s="116">
        <v>272.7</v>
      </c>
      <c r="O1887" s="116">
        <v>266.85000000000002</v>
      </c>
      <c r="P1887" s="116">
        <v>271.25</v>
      </c>
      <c r="Q1887" s="116">
        <v>270.85000000000002</v>
      </c>
      <c r="R1887">
        <v>6028420</v>
      </c>
    </row>
    <row r="1888" spans="1:18" x14ac:dyDescent="0.25">
      <c r="A1888" s="170">
        <v>44783</v>
      </c>
      <c r="B1888" s="116">
        <v>277</v>
      </c>
      <c r="C1888" s="116">
        <v>268.10000000000002</v>
      </c>
      <c r="D1888" s="116">
        <v>266.39999999999998</v>
      </c>
      <c r="E1888" s="116">
        <v>274.45</v>
      </c>
      <c r="F1888" s="116">
        <v>268.10000000000002</v>
      </c>
      <c r="G1888">
        <v>425385</v>
      </c>
      <c r="H1888" s="116"/>
      <c r="I1888" s="116"/>
      <c r="L1888" s="170">
        <v>44783</v>
      </c>
      <c r="M1888" s="116">
        <v>268.25</v>
      </c>
      <c r="N1888" s="116">
        <v>277.14999999999998</v>
      </c>
      <c r="O1888" s="116">
        <v>266.35000000000002</v>
      </c>
      <c r="P1888" s="116">
        <v>272.39999999999998</v>
      </c>
      <c r="Q1888" s="116">
        <v>268.25</v>
      </c>
      <c r="R1888">
        <v>14559571</v>
      </c>
    </row>
    <row r="1889" spans="1:18" x14ac:dyDescent="0.25">
      <c r="A1889" s="170">
        <v>44784</v>
      </c>
      <c r="B1889" s="116">
        <v>278.8</v>
      </c>
      <c r="C1889" s="116">
        <v>277.3</v>
      </c>
      <c r="D1889" s="116">
        <v>270.25</v>
      </c>
      <c r="E1889" s="116">
        <v>271</v>
      </c>
      <c r="F1889" s="116">
        <v>277.3</v>
      </c>
      <c r="G1889">
        <v>288627</v>
      </c>
      <c r="H1889" s="116"/>
      <c r="I1889" s="116"/>
      <c r="L1889" s="170">
        <v>44784</v>
      </c>
      <c r="M1889" s="116">
        <v>277.2</v>
      </c>
      <c r="N1889" s="116">
        <v>278.89999999999998</v>
      </c>
      <c r="O1889" s="116">
        <v>269.95</v>
      </c>
      <c r="P1889" s="116">
        <v>270.95</v>
      </c>
      <c r="Q1889" s="116">
        <v>277.2</v>
      </c>
      <c r="R1889">
        <v>12219650</v>
      </c>
    </row>
    <row r="1890" spans="1:18" x14ac:dyDescent="0.25">
      <c r="A1890" s="170">
        <v>44785</v>
      </c>
      <c r="B1890" s="116">
        <v>279</v>
      </c>
      <c r="C1890" s="116">
        <v>271.89999999999998</v>
      </c>
      <c r="D1890" s="116">
        <v>270.7</v>
      </c>
      <c r="E1890" s="116">
        <v>279</v>
      </c>
      <c r="F1890" s="116">
        <v>271.89999999999998</v>
      </c>
      <c r="G1890">
        <v>277134</v>
      </c>
      <c r="H1890" s="116"/>
      <c r="I1890" s="116"/>
      <c r="L1890" s="170">
        <v>44785</v>
      </c>
      <c r="M1890" s="116">
        <v>271.95</v>
      </c>
      <c r="N1890" s="116">
        <v>277.8</v>
      </c>
      <c r="O1890" s="116">
        <v>270.55</v>
      </c>
      <c r="P1890" s="116">
        <v>277.75</v>
      </c>
      <c r="Q1890" s="116">
        <v>271.95</v>
      </c>
      <c r="R1890">
        <v>5596666</v>
      </c>
    </row>
    <row r="1891" spans="1:18" x14ac:dyDescent="0.25">
      <c r="A1891" s="170">
        <v>44789</v>
      </c>
      <c r="B1891" s="116">
        <v>277.25</v>
      </c>
      <c r="C1891" s="116">
        <v>275.5</v>
      </c>
      <c r="D1891" s="116">
        <v>272</v>
      </c>
      <c r="E1891" s="116">
        <v>273.95</v>
      </c>
      <c r="F1891" s="116">
        <v>275.5</v>
      </c>
      <c r="G1891">
        <v>182609</v>
      </c>
      <c r="H1891" s="116"/>
      <c r="I1891" s="116"/>
      <c r="L1891" s="170">
        <v>44789</v>
      </c>
      <c r="M1891" s="116">
        <v>275.45</v>
      </c>
      <c r="N1891" s="116">
        <v>277.3</v>
      </c>
      <c r="O1891" s="116">
        <v>272</v>
      </c>
      <c r="P1891" s="116">
        <v>273</v>
      </c>
      <c r="Q1891" s="116">
        <v>275.45</v>
      </c>
      <c r="R1891">
        <v>10178621</v>
      </c>
    </row>
    <row r="1892" spans="1:18" x14ac:dyDescent="0.25">
      <c r="A1892" s="170">
        <v>44790</v>
      </c>
      <c r="B1892" s="116">
        <v>280.45</v>
      </c>
      <c r="C1892" s="116">
        <v>275.25</v>
      </c>
      <c r="D1892" s="116">
        <v>274.5</v>
      </c>
      <c r="E1892" s="116">
        <v>275.5</v>
      </c>
      <c r="F1892" s="116">
        <v>275.25</v>
      </c>
      <c r="G1892">
        <v>483232</v>
      </c>
      <c r="H1892" s="116"/>
      <c r="I1892" s="116"/>
      <c r="L1892" s="170">
        <v>44790</v>
      </c>
      <c r="M1892" s="116">
        <v>275.25</v>
      </c>
      <c r="N1892" s="116">
        <v>280.55</v>
      </c>
      <c r="O1892" s="116">
        <v>274.5</v>
      </c>
      <c r="P1892" s="116">
        <v>277.5</v>
      </c>
      <c r="Q1892" s="116">
        <v>275.25</v>
      </c>
      <c r="R1892">
        <v>8140551</v>
      </c>
    </row>
    <row r="1893" spans="1:18" x14ac:dyDescent="0.25">
      <c r="A1893" s="170">
        <v>44791</v>
      </c>
      <c r="B1893" s="116">
        <v>281.10000000000002</v>
      </c>
      <c r="C1893" s="116">
        <v>275.39999999999998</v>
      </c>
      <c r="D1893" s="116">
        <v>274.2</v>
      </c>
      <c r="E1893" s="116">
        <v>277.8</v>
      </c>
      <c r="F1893" s="116">
        <v>275.39999999999998</v>
      </c>
      <c r="G1893">
        <v>283880</v>
      </c>
      <c r="H1893" s="116"/>
      <c r="I1893" s="116"/>
      <c r="L1893" s="170">
        <v>44791</v>
      </c>
      <c r="M1893" s="116">
        <v>275.35000000000002</v>
      </c>
      <c r="N1893" s="116">
        <v>281.14999999999998</v>
      </c>
      <c r="O1893" s="116">
        <v>274.14999999999998</v>
      </c>
      <c r="P1893" s="116">
        <v>276.75</v>
      </c>
      <c r="Q1893" s="116">
        <v>275.35000000000002</v>
      </c>
      <c r="R1893">
        <v>6128006</v>
      </c>
    </row>
    <row r="1894" spans="1:18" x14ac:dyDescent="0.25">
      <c r="A1894" s="170">
        <v>44792</v>
      </c>
      <c r="B1894" s="116">
        <v>277.55</v>
      </c>
      <c r="C1894" s="116">
        <v>271.55</v>
      </c>
      <c r="D1894" s="116">
        <v>268.85000000000002</v>
      </c>
      <c r="E1894" s="116">
        <v>275.39999999999998</v>
      </c>
      <c r="F1894" s="116">
        <v>271.55</v>
      </c>
      <c r="G1894">
        <v>349295</v>
      </c>
      <c r="H1894" s="116"/>
      <c r="I1894" s="116"/>
      <c r="L1894" s="170">
        <v>44792</v>
      </c>
      <c r="M1894" s="116">
        <v>271.45</v>
      </c>
      <c r="N1894" s="116">
        <v>277.55</v>
      </c>
      <c r="O1894" s="116">
        <v>268.89999999999998</v>
      </c>
      <c r="P1894" s="116">
        <v>276.75</v>
      </c>
      <c r="Q1894" s="116">
        <v>271.45</v>
      </c>
      <c r="R1894">
        <v>4199934</v>
      </c>
    </row>
    <row r="1895" spans="1:18" x14ac:dyDescent="0.25">
      <c r="A1895" s="170">
        <v>44795</v>
      </c>
      <c r="B1895" s="116">
        <v>271.55</v>
      </c>
      <c r="C1895" s="116">
        <v>267.3</v>
      </c>
      <c r="D1895" s="116">
        <v>265</v>
      </c>
      <c r="E1895" s="116">
        <v>270</v>
      </c>
      <c r="F1895" s="116">
        <v>267.3</v>
      </c>
      <c r="G1895">
        <v>322819</v>
      </c>
      <c r="H1895" s="116"/>
      <c r="I1895" s="116"/>
      <c r="L1895" s="170">
        <v>44795</v>
      </c>
      <c r="M1895" s="116">
        <v>267.35000000000002</v>
      </c>
      <c r="N1895" s="116">
        <v>271.8</v>
      </c>
      <c r="O1895" s="116">
        <v>265.05</v>
      </c>
      <c r="P1895" s="116">
        <v>271.45</v>
      </c>
      <c r="Q1895" s="116">
        <v>267.35000000000002</v>
      </c>
      <c r="R1895">
        <v>3445250</v>
      </c>
    </row>
    <row r="1896" spans="1:18" x14ac:dyDescent="0.25">
      <c r="A1896" s="170">
        <v>44796</v>
      </c>
      <c r="B1896" s="116">
        <v>274.45</v>
      </c>
      <c r="C1896" s="116">
        <v>273.2</v>
      </c>
      <c r="D1896" s="116">
        <v>263.45</v>
      </c>
      <c r="E1896" s="116">
        <v>264.89999999999998</v>
      </c>
      <c r="F1896" s="116">
        <v>273.2</v>
      </c>
      <c r="G1896">
        <v>177658</v>
      </c>
      <c r="H1896" s="116"/>
      <c r="I1896" s="116"/>
      <c r="L1896" s="170">
        <v>44796</v>
      </c>
      <c r="M1896" s="116">
        <v>273.25</v>
      </c>
      <c r="N1896" s="116">
        <v>274.3</v>
      </c>
      <c r="O1896" s="116">
        <v>263.35000000000002</v>
      </c>
      <c r="P1896" s="116">
        <v>264.5</v>
      </c>
      <c r="Q1896" s="116">
        <v>273.25</v>
      </c>
      <c r="R1896">
        <v>4124063</v>
      </c>
    </row>
    <row r="1897" spans="1:18" x14ac:dyDescent="0.25">
      <c r="A1897" s="170">
        <v>44797</v>
      </c>
      <c r="B1897" s="116">
        <v>275.55</v>
      </c>
      <c r="C1897" s="116">
        <v>274.7</v>
      </c>
      <c r="D1897" s="116">
        <v>271.5</v>
      </c>
      <c r="E1897" s="116">
        <v>273.89999999999998</v>
      </c>
      <c r="F1897" s="116">
        <v>274.7</v>
      </c>
      <c r="G1897">
        <v>132519</v>
      </c>
      <c r="H1897" s="116"/>
      <c r="I1897" s="116"/>
      <c r="L1897" s="170">
        <v>44797</v>
      </c>
      <c r="M1897" s="116">
        <v>274.89999999999998</v>
      </c>
      <c r="N1897" s="116">
        <v>275.7</v>
      </c>
      <c r="O1897" s="116">
        <v>271.3</v>
      </c>
      <c r="P1897" s="116">
        <v>273.2</v>
      </c>
      <c r="Q1897" s="116">
        <v>274.89999999999998</v>
      </c>
      <c r="R1897">
        <v>3078936</v>
      </c>
    </row>
    <row r="1898" spans="1:18" x14ac:dyDescent="0.25">
      <c r="A1898" s="170">
        <v>44798</v>
      </c>
      <c r="B1898" s="116">
        <v>277.14999999999998</v>
      </c>
      <c r="C1898" s="116">
        <v>273.39999999999998</v>
      </c>
      <c r="D1898" s="116">
        <v>272.89999999999998</v>
      </c>
      <c r="E1898" s="116">
        <v>276</v>
      </c>
      <c r="F1898" s="116">
        <v>273.39999999999998</v>
      </c>
      <c r="G1898">
        <v>116202</v>
      </c>
      <c r="H1898" s="116"/>
      <c r="I1898" s="116"/>
      <c r="L1898" s="170">
        <v>44798</v>
      </c>
      <c r="M1898" s="116">
        <v>273.39999999999998</v>
      </c>
      <c r="N1898" s="116">
        <v>277.10000000000002</v>
      </c>
      <c r="O1898" s="116">
        <v>272.95</v>
      </c>
      <c r="P1898" s="116">
        <v>275.75</v>
      </c>
      <c r="Q1898" s="116">
        <v>273.39999999999998</v>
      </c>
      <c r="R1898">
        <v>2465144</v>
      </c>
    </row>
    <row r="1899" spans="1:18" x14ac:dyDescent="0.25">
      <c r="A1899" s="170">
        <v>44799</v>
      </c>
      <c r="B1899" s="116">
        <v>281.95</v>
      </c>
      <c r="C1899" s="116">
        <v>280.7</v>
      </c>
      <c r="D1899" s="116">
        <v>274.85000000000002</v>
      </c>
      <c r="E1899" s="116">
        <v>276</v>
      </c>
      <c r="F1899" s="116">
        <v>280.7</v>
      </c>
      <c r="G1899">
        <v>298925</v>
      </c>
      <c r="H1899" s="116"/>
      <c r="I1899" s="116"/>
      <c r="L1899" s="170">
        <v>44799</v>
      </c>
      <c r="M1899" s="116">
        <v>280.85000000000002</v>
      </c>
      <c r="N1899" s="116">
        <v>282</v>
      </c>
      <c r="O1899" s="116">
        <v>275</v>
      </c>
      <c r="P1899" s="116">
        <v>275.5</v>
      </c>
      <c r="Q1899" s="116">
        <v>280.85000000000002</v>
      </c>
      <c r="R1899">
        <v>5389031</v>
      </c>
    </row>
    <row r="1900" spans="1:18" x14ac:dyDescent="0.25">
      <c r="A1900" s="170">
        <v>44802</v>
      </c>
      <c r="B1900" s="116">
        <v>284.5</v>
      </c>
      <c r="C1900" s="116">
        <v>281.95</v>
      </c>
      <c r="D1900" s="116">
        <v>272.3</v>
      </c>
      <c r="E1900" s="116">
        <v>277.7</v>
      </c>
      <c r="F1900" s="116">
        <v>281.95</v>
      </c>
      <c r="G1900">
        <v>234585</v>
      </c>
      <c r="H1900" s="116"/>
      <c r="I1900" s="116"/>
      <c r="L1900" s="170">
        <v>44802</v>
      </c>
      <c r="M1900" s="116">
        <v>282</v>
      </c>
      <c r="N1900" s="116">
        <v>284.5</v>
      </c>
      <c r="O1900" s="116">
        <v>272</v>
      </c>
      <c r="P1900" s="116">
        <v>272</v>
      </c>
      <c r="Q1900" s="116">
        <v>282</v>
      </c>
      <c r="R1900">
        <v>4252909</v>
      </c>
    </row>
    <row r="1901" spans="1:18" x14ac:dyDescent="0.25">
      <c r="A1901" s="170">
        <v>44803</v>
      </c>
      <c r="B1901" s="116">
        <v>288.14999999999998</v>
      </c>
      <c r="C1901" s="116">
        <v>285.39999999999998</v>
      </c>
      <c r="D1901" s="116">
        <v>283.7</v>
      </c>
      <c r="E1901" s="116">
        <v>284.8</v>
      </c>
      <c r="F1901" s="116">
        <v>285.39999999999998</v>
      </c>
      <c r="G1901">
        <v>170127</v>
      </c>
      <c r="H1901" s="116"/>
      <c r="I1901" s="116"/>
      <c r="L1901" s="170">
        <v>44803</v>
      </c>
      <c r="M1901" s="116">
        <v>285.45</v>
      </c>
      <c r="N1901" s="116">
        <v>288.2</v>
      </c>
      <c r="O1901" s="116">
        <v>283.60000000000002</v>
      </c>
      <c r="P1901" s="116">
        <v>284.2</v>
      </c>
      <c r="Q1901" s="116">
        <v>285.45</v>
      </c>
      <c r="R1901">
        <v>6454591</v>
      </c>
    </row>
    <row r="1902" spans="1:18" x14ac:dyDescent="0.25">
      <c r="A1902" s="170">
        <v>44805</v>
      </c>
      <c r="B1902" s="116">
        <v>296</v>
      </c>
      <c r="C1902" s="116">
        <v>294.8</v>
      </c>
      <c r="D1902" s="116">
        <v>283.39999999999998</v>
      </c>
      <c r="E1902" s="116">
        <v>285.39999999999998</v>
      </c>
      <c r="F1902" s="116">
        <v>294.8</v>
      </c>
      <c r="G1902">
        <v>294600</v>
      </c>
      <c r="H1902" s="116"/>
      <c r="I1902" s="116"/>
      <c r="L1902" s="170">
        <v>44805</v>
      </c>
      <c r="M1902" s="116">
        <v>294.7</v>
      </c>
      <c r="N1902" s="116">
        <v>295.60000000000002</v>
      </c>
      <c r="O1902" s="116">
        <v>281.95</v>
      </c>
      <c r="P1902" s="116">
        <v>284.7</v>
      </c>
      <c r="Q1902" s="116">
        <v>294.7</v>
      </c>
      <c r="R1902">
        <v>8427265</v>
      </c>
    </row>
    <row r="1903" spans="1:18" x14ac:dyDescent="0.25">
      <c r="A1903" s="170">
        <v>44806</v>
      </c>
      <c r="B1903" s="116">
        <v>298.89999999999998</v>
      </c>
      <c r="C1903" s="116">
        <v>296.5</v>
      </c>
      <c r="D1903" s="116">
        <v>293.14999999999998</v>
      </c>
      <c r="E1903" s="116">
        <v>296</v>
      </c>
      <c r="F1903" s="116">
        <v>296.5</v>
      </c>
      <c r="G1903">
        <v>416900</v>
      </c>
      <c r="H1903" s="116"/>
      <c r="I1903" s="116"/>
      <c r="L1903" s="170">
        <v>44806</v>
      </c>
      <c r="M1903" s="116">
        <v>296.60000000000002</v>
      </c>
      <c r="N1903" s="116">
        <v>298.95</v>
      </c>
      <c r="O1903" s="116">
        <v>293.10000000000002</v>
      </c>
      <c r="P1903" s="116">
        <v>295.89999999999998</v>
      </c>
      <c r="Q1903" s="116">
        <v>296.60000000000002</v>
      </c>
      <c r="R1903">
        <v>4229164</v>
      </c>
    </row>
    <row r="1904" spans="1:18" x14ac:dyDescent="0.25">
      <c r="A1904" s="170">
        <v>44809</v>
      </c>
      <c r="B1904" s="116">
        <v>311.45</v>
      </c>
      <c r="C1904" s="116">
        <v>310.05</v>
      </c>
      <c r="D1904" s="116">
        <v>297</v>
      </c>
      <c r="E1904" s="116">
        <v>297</v>
      </c>
      <c r="F1904" s="116">
        <v>310.05</v>
      </c>
      <c r="G1904">
        <v>469013</v>
      </c>
      <c r="H1904" s="116"/>
      <c r="I1904" s="116"/>
      <c r="L1904" s="170">
        <v>44809</v>
      </c>
      <c r="M1904" s="116">
        <v>309.95</v>
      </c>
      <c r="N1904" s="116">
        <v>311.3</v>
      </c>
      <c r="O1904" s="116">
        <v>296.89999999999998</v>
      </c>
      <c r="P1904" s="116">
        <v>297.39999999999998</v>
      </c>
      <c r="Q1904" s="116">
        <v>309.95</v>
      </c>
      <c r="R1904">
        <v>8941388</v>
      </c>
    </row>
    <row r="1905" spans="1:18" x14ac:dyDescent="0.25">
      <c r="A1905" s="170">
        <v>44810</v>
      </c>
      <c r="B1905" s="116">
        <v>311.45</v>
      </c>
      <c r="C1905" s="116">
        <v>305.2</v>
      </c>
      <c r="D1905" s="116">
        <v>303.8</v>
      </c>
      <c r="E1905" s="116">
        <v>309.95</v>
      </c>
      <c r="F1905" s="116">
        <v>305.2</v>
      </c>
      <c r="G1905">
        <v>424694</v>
      </c>
      <c r="H1905" s="116"/>
      <c r="I1905" s="116"/>
      <c r="L1905" s="170">
        <v>44810</v>
      </c>
      <c r="M1905" s="116">
        <v>305.14999999999998</v>
      </c>
      <c r="N1905" s="116">
        <v>311.45</v>
      </c>
      <c r="O1905" s="116">
        <v>303.75</v>
      </c>
      <c r="P1905" s="116">
        <v>310.45</v>
      </c>
      <c r="Q1905" s="116">
        <v>305.14999999999998</v>
      </c>
      <c r="R1905">
        <v>5498799</v>
      </c>
    </row>
    <row r="1906" spans="1:18" x14ac:dyDescent="0.25">
      <c r="A1906" s="170">
        <v>44811</v>
      </c>
      <c r="B1906" s="116">
        <v>313.7</v>
      </c>
      <c r="C1906" s="116">
        <v>307.64999999999998</v>
      </c>
      <c r="D1906" s="116">
        <v>304</v>
      </c>
      <c r="E1906" s="116">
        <v>304</v>
      </c>
      <c r="F1906" s="116">
        <v>307.64999999999998</v>
      </c>
      <c r="G1906">
        <v>353885</v>
      </c>
      <c r="H1906" s="116"/>
      <c r="I1906" s="116"/>
      <c r="L1906" s="170">
        <v>44811</v>
      </c>
      <c r="M1906" s="116">
        <v>307.5</v>
      </c>
      <c r="N1906" s="116">
        <v>313.8</v>
      </c>
      <c r="O1906" s="116">
        <v>304.10000000000002</v>
      </c>
      <c r="P1906" s="116">
        <v>305.5</v>
      </c>
      <c r="Q1906" s="116">
        <v>307.5</v>
      </c>
      <c r="R1906">
        <v>6284102</v>
      </c>
    </row>
    <row r="1907" spans="1:18" x14ac:dyDescent="0.25">
      <c r="A1907" s="170">
        <v>44812</v>
      </c>
      <c r="B1907" s="116">
        <v>311.55</v>
      </c>
      <c r="C1907" s="116">
        <v>309.25</v>
      </c>
      <c r="D1907" s="116">
        <v>307.75</v>
      </c>
      <c r="E1907" s="116">
        <v>309</v>
      </c>
      <c r="F1907" s="116">
        <v>309.25</v>
      </c>
      <c r="G1907">
        <v>178967</v>
      </c>
      <c r="H1907" s="116"/>
      <c r="I1907" s="116"/>
      <c r="L1907" s="170">
        <v>44812</v>
      </c>
      <c r="M1907" s="116">
        <v>309.39999999999998</v>
      </c>
      <c r="N1907" s="116">
        <v>311.39999999999998</v>
      </c>
      <c r="O1907" s="116">
        <v>307.7</v>
      </c>
      <c r="P1907" s="116">
        <v>309.89999999999998</v>
      </c>
      <c r="Q1907" s="116">
        <v>309.39999999999998</v>
      </c>
      <c r="R1907">
        <v>3329888</v>
      </c>
    </row>
    <row r="1908" spans="1:18" x14ac:dyDescent="0.25">
      <c r="A1908" s="170">
        <v>44813</v>
      </c>
      <c r="B1908" s="116">
        <v>314.85000000000002</v>
      </c>
      <c r="C1908" s="116">
        <v>312.5</v>
      </c>
      <c r="D1908" s="116">
        <v>309.89999999999998</v>
      </c>
      <c r="E1908" s="116">
        <v>312</v>
      </c>
      <c r="F1908" s="116">
        <v>312.5</v>
      </c>
      <c r="G1908">
        <v>216872</v>
      </c>
      <c r="H1908" s="116"/>
      <c r="I1908" s="116"/>
      <c r="L1908" s="170">
        <v>44813</v>
      </c>
      <c r="M1908" s="116">
        <v>312.5</v>
      </c>
      <c r="N1908" s="116">
        <v>314.89999999999998</v>
      </c>
      <c r="O1908" s="116">
        <v>309.8</v>
      </c>
      <c r="P1908" s="116">
        <v>311.39999999999998</v>
      </c>
      <c r="Q1908" s="116">
        <v>312.5</v>
      </c>
      <c r="R1908">
        <v>3824543</v>
      </c>
    </row>
    <row r="1909" spans="1:18" x14ac:dyDescent="0.25">
      <c r="A1909" s="170">
        <v>44816</v>
      </c>
      <c r="B1909" s="116">
        <v>316.3</v>
      </c>
      <c r="C1909" s="116">
        <v>314.8</v>
      </c>
      <c r="D1909" s="116">
        <v>312</v>
      </c>
      <c r="E1909" s="116">
        <v>313.05</v>
      </c>
      <c r="F1909" s="116">
        <v>314.8</v>
      </c>
      <c r="G1909">
        <v>271966</v>
      </c>
      <c r="H1909" s="116"/>
      <c r="I1909" s="116"/>
      <c r="L1909" s="170">
        <v>44816</v>
      </c>
      <c r="M1909" s="116">
        <v>314.95</v>
      </c>
      <c r="N1909" s="116">
        <v>316.45</v>
      </c>
      <c r="O1909" s="116">
        <v>312.2</v>
      </c>
      <c r="P1909" s="116">
        <v>313.85000000000002</v>
      </c>
      <c r="Q1909" s="116">
        <v>314.95</v>
      </c>
      <c r="R1909">
        <v>2682918</v>
      </c>
    </row>
    <row r="1910" spans="1:18" x14ac:dyDescent="0.25">
      <c r="A1910" s="170">
        <v>44817</v>
      </c>
      <c r="B1910" s="116">
        <v>319.95</v>
      </c>
      <c r="C1910" s="116">
        <v>317.45</v>
      </c>
      <c r="D1910" s="116">
        <v>314.8</v>
      </c>
      <c r="E1910" s="116">
        <v>316</v>
      </c>
      <c r="F1910" s="116">
        <v>317.45</v>
      </c>
      <c r="G1910">
        <v>155291</v>
      </c>
      <c r="H1910" s="116"/>
      <c r="I1910" s="116"/>
      <c r="L1910" s="170">
        <v>44817</v>
      </c>
      <c r="M1910" s="116">
        <v>317.45</v>
      </c>
      <c r="N1910" s="116">
        <v>319.95</v>
      </c>
      <c r="O1910" s="116">
        <v>314.55</v>
      </c>
      <c r="P1910" s="116">
        <v>316.39999999999998</v>
      </c>
      <c r="Q1910" s="116">
        <v>317.45</v>
      </c>
      <c r="R1910">
        <v>2730374</v>
      </c>
    </row>
    <row r="1911" spans="1:18" x14ac:dyDescent="0.25">
      <c r="A1911" s="170">
        <v>44818</v>
      </c>
      <c r="B1911" s="116">
        <v>326.3</v>
      </c>
      <c r="C1911" s="116">
        <v>321.8</v>
      </c>
      <c r="D1911" s="116">
        <v>313.45</v>
      </c>
      <c r="E1911" s="116">
        <v>313.8</v>
      </c>
      <c r="F1911" s="116">
        <v>321.8</v>
      </c>
      <c r="G1911">
        <v>388361</v>
      </c>
      <c r="H1911" s="116"/>
      <c r="I1911" s="116"/>
      <c r="L1911" s="170">
        <v>44818</v>
      </c>
      <c r="M1911" s="116">
        <v>321.39999999999998</v>
      </c>
      <c r="N1911" s="116">
        <v>326.3</v>
      </c>
      <c r="O1911" s="116">
        <v>313.45</v>
      </c>
      <c r="P1911" s="116">
        <v>314</v>
      </c>
      <c r="Q1911" s="116">
        <v>321.39999999999998</v>
      </c>
      <c r="R1911">
        <v>7405696</v>
      </c>
    </row>
    <row r="1912" spans="1:18" x14ac:dyDescent="0.25">
      <c r="A1912" s="170">
        <v>44819</v>
      </c>
      <c r="B1912" s="116">
        <v>335.5</v>
      </c>
      <c r="C1912" s="116">
        <v>333.95</v>
      </c>
      <c r="D1912" s="116">
        <v>320.45</v>
      </c>
      <c r="E1912" s="116">
        <v>325</v>
      </c>
      <c r="F1912" s="116">
        <v>333.95</v>
      </c>
      <c r="G1912">
        <v>901542</v>
      </c>
      <c r="H1912" s="116"/>
      <c r="I1912" s="116"/>
      <c r="L1912" s="170">
        <v>44819</v>
      </c>
      <c r="M1912" s="116">
        <v>333.9</v>
      </c>
      <c r="N1912" s="116">
        <v>335.45</v>
      </c>
      <c r="O1912" s="116">
        <v>320.35000000000002</v>
      </c>
      <c r="P1912" s="116">
        <v>323.7</v>
      </c>
      <c r="Q1912" s="116">
        <v>333.9</v>
      </c>
      <c r="R1912">
        <v>10952542</v>
      </c>
    </row>
    <row r="1913" spans="1:18" x14ac:dyDescent="0.25">
      <c r="A1913" s="170">
        <v>44820</v>
      </c>
      <c r="B1913" s="116">
        <v>337.3</v>
      </c>
      <c r="C1913" s="116">
        <v>321.89999999999998</v>
      </c>
      <c r="D1913" s="116">
        <v>319</v>
      </c>
      <c r="E1913" s="116">
        <v>333.5</v>
      </c>
      <c r="F1913" s="116">
        <v>321.89999999999998</v>
      </c>
      <c r="G1913">
        <v>983400</v>
      </c>
      <c r="H1913" s="116"/>
      <c r="I1913" s="116"/>
      <c r="L1913" s="170">
        <v>44820</v>
      </c>
      <c r="M1913" s="116">
        <v>322</v>
      </c>
      <c r="N1913" s="116">
        <v>337.2</v>
      </c>
      <c r="O1913" s="116">
        <v>319</v>
      </c>
      <c r="P1913" s="116">
        <v>334.1</v>
      </c>
      <c r="Q1913" s="116">
        <v>322</v>
      </c>
      <c r="R1913">
        <v>17503183</v>
      </c>
    </row>
    <row r="1914" spans="1:18" x14ac:dyDescent="0.25">
      <c r="A1914" s="170">
        <v>44823</v>
      </c>
      <c r="B1914" s="116">
        <v>324.60000000000002</v>
      </c>
      <c r="C1914" s="116">
        <v>320.39999999999998</v>
      </c>
      <c r="D1914" s="116">
        <v>316.8</v>
      </c>
      <c r="E1914" s="116">
        <v>319.8</v>
      </c>
      <c r="F1914" s="116">
        <v>320.39999999999998</v>
      </c>
      <c r="G1914">
        <v>1088229</v>
      </c>
      <c r="H1914" s="116"/>
      <c r="I1914" s="116"/>
      <c r="L1914" s="170">
        <v>44823</v>
      </c>
      <c r="M1914" s="116">
        <v>319.75</v>
      </c>
      <c r="N1914" s="116">
        <v>324.5</v>
      </c>
      <c r="O1914" s="116">
        <v>316.7</v>
      </c>
      <c r="P1914" s="116">
        <v>319</v>
      </c>
      <c r="Q1914" s="116">
        <v>319.75</v>
      </c>
      <c r="R1914">
        <v>5287152</v>
      </c>
    </row>
    <row r="1915" spans="1:18" x14ac:dyDescent="0.25">
      <c r="A1915" s="170">
        <v>44824</v>
      </c>
      <c r="B1915" s="116">
        <v>328.3</v>
      </c>
      <c r="C1915" s="116">
        <v>326.35000000000002</v>
      </c>
      <c r="D1915" s="116">
        <v>321.45</v>
      </c>
      <c r="E1915" s="116">
        <v>322.75</v>
      </c>
      <c r="F1915" s="116">
        <v>326.35000000000002</v>
      </c>
      <c r="G1915">
        <v>245800</v>
      </c>
      <c r="H1915" s="116"/>
      <c r="I1915" s="116"/>
      <c r="L1915" s="170">
        <v>44824</v>
      </c>
      <c r="M1915" s="116">
        <v>326.35000000000002</v>
      </c>
      <c r="N1915" s="116">
        <v>328.3</v>
      </c>
      <c r="O1915" s="116">
        <v>321</v>
      </c>
      <c r="P1915" s="116">
        <v>321.45</v>
      </c>
      <c r="Q1915" s="116">
        <v>326.35000000000002</v>
      </c>
      <c r="R1915">
        <v>3761292</v>
      </c>
    </row>
    <row r="1916" spans="1:18" x14ac:dyDescent="0.25">
      <c r="A1916" s="170">
        <v>44825</v>
      </c>
      <c r="B1916" s="116">
        <v>328.6</v>
      </c>
      <c r="C1916" s="116">
        <v>325.95</v>
      </c>
      <c r="D1916" s="116">
        <v>322.35000000000002</v>
      </c>
      <c r="E1916" s="116">
        <v>326.39999999999998</v>
      </c>
      <c r="F1916" s="116">
        <v>325.95</v>
      </c>
      <c r="G1916">
        <v>298654</v>
      </c>
      <c r="H1916" s="116"/>
      <c r="I1916" s="116"/>
      <c r="L1916" s="170">
        <v>44825</v>
      </c>
      <c r="M1916" s="116">
        <v>325.85000000000002</v>
      </c>
      <c r="N1916" s="116">
        <v>328.6</v>
      </c>
      <c r="O1916" s="116">
        <v>322.05</v>
      </c>
      <c r="P1916" s="116">
        <v>326.8</v>
      </c>
      <c r="Q1916" s="116">
        <v>325.85000000000002</v>
      </c>
      <c r="R1916">
        <v>2490799</v>
      </c>
    </row>
    <row r="1917" spans="1:18" x14ac:dyDescent="0.25">
      <c r="A1917" s="170">
        <v>44826</v>
      </c>
      <c r="B1917" s="116">
        <v>334.85</v>
      </c>
      <c r="C1917" s="116">
        <v>333.75</v>
      </c>
      <c r="D1917" s="116">
        <v>322.05</v>
      </c>
      <c r="E1917" s="116">
        <v>322.05</v>
      </c>
      <c r="F1917" s="116">
        <v>333.75</v>
      </c>
      <c r="G1917">
        <v>471565</v>
      </c>
      <c r="H1917" s="116"/>
      <c r="I1917" s="116"/>
      <c r="L1917" s="170">
        <v>44826</v>
      </c>
      <c r="M1917" s="116">
        <v>333.85</v>
      </c>
      <c r="N1917" s="116">
        <v>334.85</v>
      </c>
      <c r="O1917" s="116">
        <v>323.89999999999998</v>
      </c>
      <c r="P1917" s="116">
        <v>324.85000000000002</v>
      </c>
      <c r="Q1917" s="116">
        <v>333.85</v>
      </c>
      <c r="R1917">
        <v>4692825</v>
      </c>
    </row>
    <row r="1918" spans="1:18" x14ac:dyDescent="0.25">
      <c r="A1918" s="170">
        <v>44827</v>
      </c>
      <c r="B1918" s="116">
        <v>336.2</v>
      </c>
      <c r="C1918" s="116">
        <v>326.75</v>
      </c>
      <c r="D1918" s="116">
        <v>323.55</v>
      </c>
      <c r="E1918" s="116">
        <v>333</v>
      </c>
      <c r="F1918" s="116">
        <v>326.75</v>
      </c>
      <c r="G1918">
        <v>263440</v>
      </c>
      <c r="H1918" s="116"/>
      <c r="I1918" s="116"/>
      <c r="L1918" s="170">
        <v>44827</v>
      </c>
      <c r="M1918" s="116">
        <v>326.8</v>
      </c>
      <c r="N1918" s="116">
        <v>336.25</v>
      </c>
      <c r="O1918" s="116">
        <v>323.45</v>
      </c>
      <c r="P1918" s="116">
        <v>334.3</v>
      </c>
      <c r="Q1918" s="116">
        <v>326.8</v>
      </c>
      <c r="R1918">
        <v>5791275</v>
      </c>
    </row>
    <row r="1919" spans="1:18" x14ac:dyDescent="0.25">
      <c r="A1919" s="170">
        <v>44830</v>
      </c>
      <c r="B1919" s="116">
        <v>329.35</v>
      </c>
      <c r="C1919" s="116">
        <v>316.45</v>
      </c>
      <c r="D1919" s="116">
        <v>305.60000000000002</v>
      </c>
      <c r="E1919" s="116">
        <v>323.60000000000002</v>
      </c>
      <c r="F1919" s="116">
        <v>316.45</v>
      </c>
      <c r="G1919">
        <v>328070</v>
      </c>
      <c r="H1919" s="116"/>
      <c r="I1919" s="116"/>
      <c r="L1919" s="170">
        <v>44830</v>
      </c>
      <c r="M1919" s="116">
        <v>316.3</v>
      </c>
      <c r="N1919" s="116">
        <v>329.75</v>
      </c>
      <c r="O1919" s="116">
        <v>305.45</v>
      </c>
      <c r="P1919" s="116">
        <v>324.8</v>
      </c>
      <c r="Q1919" s="116">
        <v>316.3</v>
      </c>
      <c r="R1919">
        <v>7818248</v>
      </c>
    </row>
    <row r="1920" spans="1:18" x14ac:dyDescent="0.25">
      <c r="A1920" s="170">
        <v>44831</v>
      </c>
      <c r="B1920" s="116">
        <v>330.4</v>
      </c>
      <c r="C1920" s="116">
        <v>327.55</v>
      </c>
      <c r="D1920" s="116">
        <v>313.95</v>
      </c>
      <c r="E1920" s="116">
        <v>317.3</v>
      </c>
      <c r="F1920" s="116">
        <v>327.55</v>
      </c>
      <c r="G1920">
        <v>414791</v>
      </c>
      <c r="H1920" s="116"/>
      <c r="I1920" s="116"/>
      <c r="L1920" s="170">
        <v>44831</v>
      </c>
      <c r="M1920" s="116">
        <v>327.5</v>
      </c>
      <c r="N1920" s="116">
        <v>330.4</v>
      </c>
      <c r="O1920" s="116">
        <v>313.7</v>
      </c>
      <c r="P1920" s="116">
        <v>319.89999999999998</v>
      </c>
      <c r="Q1920" s="116">
        <v>327.5</v>
      </c>
      <c r="R1920">
        <v>8422268</v>
      </c>
    </row>
    <row r="1921" spans="1:18" x14ac:dyDescent="0.25">
      <c r="A1921" s="170">
        <v>44832</v>
      </c>
      <c r="B1921" s="116">
        <v>333</v>
      </c>
      <c r="C1921" s="116">
        <v>325</v>
      </c>
      <c r="D1921" s="116">
        <v>323.64999999999998</v>
      </c>
      <c r="E1921" s="116">
        <v>326.05</v>
      </c>
      <c r="F1921" s="116">
        <v>325</v>
      </c>
      <c r="G1921">
        <v>982355</v>
      </c>
      <c r="H1921" s="116"/>
      <c r="I1921" s="116"/>
      <c r="L1921" s="170">
        <v>44832</v>
      </c>
      <c r="M1921" s="116">
        <v>324.95</v>
      </c>
      <c r="N1921" s="116">
        <v>333</v>
      </c>
      <c r="O1921" s="116">
        <v>323.85000000000002</v>
      </c>
      <c r="P1921" s="116">
        <v>327.39999999999998</v>
      </c>
      <c r="Q1921" s="116">
        <v>324.95</v>
      </c>
      <c r="R1921">
        <v>8068423</v>
      </c>
    </row>
    <row r="1922" spans="1:18" x14ac:dyDescent="0.25">
      <c r="A1922" s="170">
        <v>44833</v>
      </c>
      <c r="B1922" s="116">
        <v>330.15</v>
      </c>
      <c r="C1922" s="116">
        <v>326.75</v>
      </c>
      <c r="D1922" s="116">
        <v>321.7</v>
      </c>
      <c r="E1922" s="116">
        <v>327</v>
      </c>
      <c r="F1922" s="116">
        <v>326.75</v>
      </c>
      <c r="G1922">
        <v>239371</v>
      </c>
      <c r="H1922" s="116"/>
      <c r="I1922" s="116"/>
      <c r="L1922" s="170">
        <v>44833</v>
      </c>
      <c r="M1922" s="116">
        <v>326.89999999999998</v>
      </c>
      <c r="N1922" s="116">
        <v>329.9</v>
      </c>
      <c r="O1922" s="116">
        <v>321.7</v>
      </c>
      <c r="P1922" s="116">
        <v>328.4</v>
      </c>
      <c r="Q1922" s="116">
        <v>326.89999999999998</v>
      </c>
      <c r="R1922">
        <v>4592766</v>
      </c>
    </row>
    <row r="1923" spans="1:18" x14ac:dyDescent="0.25">
      <c r="A1923" s="170">
        <v>44834</v>
      </c>
      <c r="B1923" s="116">
        <v>333</v>
      </c>
      <c r="C1923" s="116">
        <v>331.75</v>
      </c>
      <c r="D1923" s="116">
        <v>321.39999999999998</v>
      </c>
      <c r="E1923" s="116">
        <v>325.05</v>
      </c>
      <c r="F1923" s="116">
        <v>331.75</v>
      </c>
      <c r="G1923">
        <v>382038</v>
      </c>
      <c r="H1923" s="116"/>
      <c r="I1923" s="116"/>
      <c r="L1923" s="170">
        <v>44834</v>
      </c>
      <c r="M1923" s="116">
        <v>331.7</v>
      </c>
      <c r="N1923" s="116">
        <v>333.25</v>
      </c>
      <c r="O1923" s="116">
        <v>321.39999999999998</v>
      </c>
      <c r="P1923" s="116">
        <v>326.2</v>
      </c>
      <c r="Q1923" s="116">
        <v>331.7</v>
      </c>
      <c r="R1923">
        <v>5038257</v>
      </c>
    </row>
    <row r="1924" spans="1:18" x14ac:dyDescent="0.25">
      <c r="A1924" s="170">
        <v>44837</v>
      </c>
      <c r="B1924" s="116">
        <v>346.7</v>
      </c>
      <c r="C1924" s="116">
        <v>336.8</v>
      </c>
      <c r="D1924" s="116">
        <v>331.75</v>
      </c>
      <c r="E1924" s="116">
        <v>333.05</v>
      </c>
      <c r="F1924" s="116">
        <v>336.8</v>
      </c>
      <c r="G1924">
        <v>741867</v>
      </c>
      <c r="H1924" s="116"/>
      <c r="I1924" s="116"/>
      <c r="L1924" s="170">
        <v>44837</v>
      </c>
      <c r="M1924" s="116">
        <v>336.85</v>
      </c>
      <c r="N1924" s="116">
        <v>346.85</v>
      </c>
      <c r="O1924" s="116">
        <v>331.15</v>
      </c>
      <c r="P1924" s="116">
        <v>333.9</v>
      </c>
      <c r="Q1924" s="116">
        <v>336.85</v>
      </c>
      <c r="R1924">
        <v>11918533</v>
      </c>
    </row>
    <row r="1925" spans="1:18" x14ac:dyDescent="0.25">
      <c r="A1925" s="170">
        <v>44838</v>
      </c>
      <c r="B1925" s="116">
        <v>346.05</v>
      </c>
      <c r="C1925" s="116">
        <v>344.2</v>
      </c>
      <c r="D1925" s="116">
        <v>339</v>
      </c>
      <c r="E1925" s="116">
        <v>344</v>
      </c>
      <c r="F1925" s="116">
        <v>344.2</v>
      </c>
      <c r="G1925">
        <v>235216</v>
      </c>
      <c r="H1925" s="116"/>
      <c r="I1925" s="116"/>
      <c r="L1925" s="170">
        <v>44838</v>
      </c>
      <c r="M1925" s="116">
        <v>344.25</v>
      </c>
      <c r="N1925" s="116">
        <v>346.2</v>
      </c>
      <c r="O1925" s="116">
        <v>339</v>
      </c>
      <c r="P1925" s="116">
        <v>343.45</v>
      </c>
      <c r="Q1925" s="116">
        <v>344.25</v>
      </c>
      <c r="R1925">
        <v>6720506</v>
      </c>
    </row>
    <row r="1926" spans="1:18" x14ac:dyDescent="0.25">
      <c r="A1926" s="170">
        <v>44840</v>
      </c>
      <c r="B1926" s="116">
        <v>348.7</v>
      </c>
      <c r="C1926" s="116">
        <v>341.6</v>
      </c>
      <c r="D1926" s="116">
        <v>339.1</v>
      </c>
      <c r="E1926" s="116">
        <v>348.7</v>
      </c>
      <c r="F1926" s="116">
        <v>341.6</v>
      </c>
      <c r="G1926">
        <v>383129</v>
      </c>
      <c r="H1926" s="116"/>
      <c r="I1926" s="116"/>
      <c r="L1926" s="170">
        <v>44840</v>
      </c>
      <c r="M1926" s="116">
        <v>341.6</v>
      </c>
      <c r="N1926" s="116">
        <v>348.45</v>
      </c>
      <c r="O1926" s="116">
        <v>339</v>
      </c>
      <c r="P1926" s="116">
        <v>346.9</v>
      </c>
      <c r="Q1926" s="116">
        <v>341.6</v>
      </c>
      <c r="R1926">
        <v>5900933</v>
      </c>
    </row>
    <row r="1927" spans="1:18" x14ac:dyDescent="0.25">
      <c r="A1927" s="170">
        <v>44841</v>
      </c>
      <c r="B1927" s="116">
        <v>347.1</v>
      </c>
      <c r="C1927" s="116">
        <v>341.65</v>
      </c>
      <c r="D1927" s="116">
        <v>336.15</v>
      </c>
      <c r="E1927" s="116">
        <v>342</v>
      </c>
      <c r="F1927" s="116">
        <v>341.65</v>
      </c>
      <c r="G1927">
        <v>392222</v>
      </c>
      <c r="H1927" s="116"/>
      <c r="I1927" s="116"/>
      <c r="L1927" s="170">
        <v>44841</v>
      </c>
      <c r="M1927" s="116">
        <v>341.35</v>
      </c>
      <c r="N1927" s="116">
        <v>347.1</v>
      </c>
      <c r="O1927" s="116">
        <v>336.1</v>
      </c>
      <c r="P1927" s="116">
        <v>342.5</v>
      </c>
      <c r="Q1927" s="116">
        <v>341.35</v>
      </c>
      <c r="R1927">
        <v>8199762</v>
      </c>
    </row>
    <row r="1928" spans="1:18" x14ac:dyDescent="0.25">
      <c r="A1928" s="170">
        <v>44844</v>
      </c>
      <c r="B1928" s="116">
        <v>344.25</v>
      </c>
      <c r="C1928" s="116">
        <v>337.15</v>
      </c>
      <c r="D1928" s="116">
        <v>335.2</v>
      </c>
      <c r="E1928" s="116">
        <v>337.5</v>
      </c>
      <c r="F1928" s="116">
        <v>337.15</v>
      </c>
      <c r="G1928">
        <v>270036</v>
      </c>
      <c r="H1928" s="116"/>
      <c r="I1928" s="116"/>
      <c r="L1928" s="170">
        <v>44844</v>
      </c>
      <c r="M1928" s="116">
        <v>337.15</v>
      </c>
      <c r="N1928" s="116">
        <v>344.3</v>
      </c>
      <c r="O1928" s="116">
        <v>335.2</v>
      </c>
      <c r="P1928" s="116">
        <v>339</v>
      </c>
      <c r="Q1928" s="116">
        <v>337.15</v>
      </c>
      <c r="R1928">
        <v>4647522</v>
      </c>
    </row>
    <row r="1929" spans="1:18" x14ac:dyDescent="0.25">
      <c r="A1929" s="170">
        <v>44845</v>
      </c>
      <c r="B1929" s="116">
        <v>340.45</v>
      </c>
      <c r="C1929" s="116">
        <v>330.5</v>
      </c>
      <c r="D1929" s="116">
        <v>328.8</v>
      </c>
      <c r="E1929" s="116">
        <v>337.2</v>
      </c>
      <c r="F1929" s="116">
        <v>330.5</v>
      </c>
      <c r="G1929">
        <v>1399531</v>
      </c>
      <c r="H1929" s="116"/>
      <c r="I1929" s="116"/>
      <c r="L1929" s="170">
        <v>44845</v>
      </c>
      <c r="M1929" s="116">
        <v>330.35</v>
      </c>
      <c r="N1929" s="116">
        <v>340.45</v>
      </c>
      <c r="O1929" s="116">
        <v>328.7</v>
      </c>
      <c r="P1929" s="116">
        <v>338.8</v>
      </c>
      <c r="Q1929" s="116">
        <v>330.35</v>
      </c>
      <c r="R1929">
        <v>4880130</v>
      </c>
    </row>
    <row r="1930" spans="1:18" x14ac:dyDescent="0.25">
      <c r="A1930" s="170">
        <v>44846</v>
      </c>
      <c r="B1930" s="116">
        <v>333.15</v>
      </c>
      <c r="C1930" s="116">
        <v>330.35</v>
      </c>
      <c r="D1930" s="116">
        <v>327.7</v>
      </c>
      <c r="E1930" s="116">
        <v>329.95</v>
      </c>
      <c r="F1930" s="116">
        <v>330.35</v>
      </c>
      <c r="G1930">
        <v>189499</v>
      </c>
      <c r="H1930" s="116"/>
      <c r="I1930" s="116"/>
      <c r="L1930" s="170">
        <v>44846</v>
      </c>
      <c r="M1930" s="116">
        <v>330.5</v>
      </c>
      <c r="N1930" s="116">
        <v>333.2</v>
      </c>
      <c r="O1930" s="116">
        <v>327.75</v>
      </c>
      <c r="P1930" s="116">
        <v>329</v>
      </c>
      <c r="Q1930" s="116">
        <v>330.5</v>
      </c>
      <c r="R1930">
        <v>5657173</v>
      </c>
    </row>
    <row r="1931" spans="1:18" x14ac:dyDescent="0.25">
      <c r="A1931" s="170">
        <v>44847</v>
      </c>
      <c r="B1931" s="116">
        <v>332.4</v>
      </c>
      <c r="C1931" s="116">
        <v>317.14999999999998</v>
      </c>
      <c r="D1931" s="116">
        <v>312.7</v>
      </c>
      <c r="E1931" s="116">
        <v>332</v>
      </c>
      <c r="F1931" s="116">
        <v>317.14999999999998</v>
      </c>
      <c r="G1931">
        <v>399718</v>
      </c>
      <c r="H1931" s="116"/>
      <c r="I1931" s="116"/>
      <c r="L1931" s="170">
        <v>44847</v>
      </c>
      <c r="M1931" s="116">
        <v>317.14999999999998</v>
      </c>
      <c r="N1931" s="116">
        <v>332.9</v>
      </c>
      <c r="O1931" s="116">
        <v>312.7</v>
      </c>
      <c r="P1931" s="116">
        <v>332</v>
      </c>
      <c r="Q1931" s="116">
        <v>317.14999999999998</v>
      </c>
      <c r="R1931">
        <v>8894689</v>
      </c>
    </row>
    <row r="1932" spans="1:18" x14ac:dyDescent="0.25">
      <c r="A1932" s="170">
        <v>44848</v>
      </c>
      <c r="B1932" s="116">
        <v>325.05</v>
      </c>
      <c r="C1932" s="116">
        <v>310.14999999999998</v>
      </c>
      <c r="D1932" s="116">
        <v>308.55</v>
      </c>
      <c r="E1932" s="116">
        <v>325</v>
      </c>
      <c r="F1932" s="116">
        <v>310.14999999999998</v>
      </c>
      <c r="G1932">
        <v>304497</v>
      </c>
      <c r="H1932" s="116"/>
      <c r="I1932" s="116"/>
      <c r="L1932" s="170">
        <v>44848</v>
      </c>
      <c r="M1932" s="116">
        <v>309.75</v>
      </c>
      <c r="N1932" s="116">
        <v>324</v>
      </c>
      <c r="O1932" s="116">
        <v>308.60000000000002</v>
      </c>
      <c r="P1932" s="116">
        <v>324</v>
      </c>
      <c r="Q1932" s="116">
        <v>309.75</v>
      </c>
      <c r="R1932">
        <v>6889203</v>
      </c>
    </row>
    <row r="1933" spans="1:18" x14ac:dyDescent="0.25">
      <c r="A1933" s="170">
        <v>44851</v>
      </c>
      <c r="B1933" s="116">
        <v>319</v>
      </c>
      <c r="C1933" s="116">
        <v>318.14999999999998</v>
      </c>
      <c r="D1933" s="116">
        <v>304.8</v>
      </c>
      <c r="E1933" s="116">
        <v>307.2</v>
      </c>
      <c r="F1933" s="116">
        <v>318.14999999999998</v>
      </c>
      <c r="G1933">
        <v>282605</v>
      </c>
      <c r="H1933" s="116"/>
      <c r="I1933" s="116"/>
      <c r="L1933" s="170">
        <v>44851</v>
      </c>
      <c r="M1933" s="116">
        <v>318.25</v>
      </c>
      <c r="N1933" s="116">
        <v>318.95</v>
      </c>
      <c r="O1933" s="116">
        <v>305</v>
      </c>
      <c r="P1933" s="116">
        <v>308</v>
      </c>
      <c r="Q1933" s="116">
        <v>318.25</v>
      </c>
      <c r="R1933">
        <v>6195992</v>
      </c>
    </row>
    <row r="1934" spans="1:18" x14ac:dyDescent="0.25">
      <c r="A1934" s="170">
        <v>44852</v>
      </c>
      <c r="B1934" s="116">
        <v>326.5</v>
      </c>
      <c r="C1934" s="116">
        <v>323.7</v>
      </c>
      <c r="D1934" s="116">
        <v>316.5</v>
      </c>
      <c r="E1934" s="116">
        <v>319.05</v>
      </c>
      <c r="F1934" s="116">
        <v>323.7</v>
      </c>
      <c r="G1934">
        <v>222140</v>
      </c>
      <c r="H1934" s="116"/>
      <c r="I1934" s="116"/>
      <c r="L1934" s="170">
        <v>44852</v>
      </c>
      <c r="M1934" s="116">
        <v>323.39999999999998</v>
      </c>
      <c r="N1934" s="116">
        <v>326.75</v>
      </c>
      <c r="O1934" s="116">
        <v>316.39999999999998</v>
      </c>
      <c r="P1934" s="116">
        <v>320.2</v>
      </c>
      <c r="Q1934" s="116">
        <v>323.39999999999998</v>
      </c>
      <c r="R1934">
        <v>6590218</v>
      </c>
    </row>
    <row r="1935" spans="1:18" x14ac:dyDescent="0.25">
      <c r="A1935" s="170">
        <v>44853</v>
      </c>
      <c r="B1935" s="116">
        <v>325</v>
      </c>
      <c r="C1935" s="116">
        <v>320.55</v>
      </c>
      <c r="D1935" s="116">
        <v>319.14999999999998</v>
      </c>
      <c r="E1935" s="116">
        <v>325</v>
      </c>
      <c r="F1935" s="116">
        <v>320.55</v>
      </c>
      <c r="G1935">
        <v>197087</v>
      </c>
      <c r="H1935" s="116"/>
      <c r="I1935" s="116"/>
      <c r="L1935" s="170">
        <v>44853</v>
      </c>
      <c r="M1935" s="116">
        <v>321.2</v>
      </c>
      <c r="N1935" s="116">
        <v>324.7</v>
      </c>
      <c r="O1935" s="116">
        <v>319.25</v>
      </c>
      <c r="P1935" s="116">
        <v>324.60000000000002</v>
      </c>
      <c r="Q1935" s="116">
        <v>321.2</v>
      </c>
      <c r="R1935">
        <v>3421227</v>
      </c>
    </row>
    <row r="1936" spans="1:18" x14ac:dyDescent="0.25">
      <c r="A1936" s="170">
        <v>44854</v>
      </c>
      <c r="B1936" s="116">
        <v>322.75</v>
      </c>
      <c r="C1936" s="116">
        <v>313.64999999999998</v>
      </c>
      <c r="D1936" s="116">
        <v>312.25</v>
      </c>
      <c r="E1936" s="116">
        <v>320.55</v>
      </c>
      <c r="F1936" s="116">
        <v>313.64999999999998</v>
      </c>
      <c r="G1936">
        <v>156886</v>
      </c>
      <c r="H1936" s="116"/>
      <c r="I1936" s="116"/>
      <c r="L1936" s="170">
        <v>44854</v>
      </c>
      <c r="M1936" s="116">
        <v>313.7</v>
      </c>
      <c r="N1936" s="116">
        <v>322.85000000000002</v>
      </c>
      <c r="O1936" s="116">
        <v>312.25</v>
      </c>
      <c r="P1936" s="116">
        <v>320</v>
      </c>
      <c r="Q1936" s="116">
        <v>313.7</v>
      </c>
      <c r="R1936">
        <v>4131523</v>
      </c>
    </row>
    <row r="1937" spans="1:18" x14ac:dyDescent="0.25">
      <c r="A1937" s="170">
        <v>44855</v>
      </c>
      <c r="B1937" s="116">
        <v>316.5</v>
      </c>
      <c r="C1937" s="116">
        <v>313.55</v>
      </c>
      <c r="D1937" s="116">
        <v>311.10000000000002</v>
      </c>
      <c r="E1937" s="116">
        <v>314.64999999999998</v>
      </c>
      <c r="F1937" s="116">
        <v>313.55</v>
      </c>
      <c r="G1937">
        <v>273234</v>
      </c>
      <c r="H1937" s="116"/>
      <c r="I1937" s="116"/>
      <c r="L1937" s="170">
        <v>44855</v>
      </c>
      <c r="M1937" s="116">
        <v>313.60000000000002</v>
      </c>
      <c r="N1937" s="116">
        <v>316.5</v>
      </c>
      <c r="O1937" s="116">
        <v>311</v>
      </c>
      <c r="P1937" s="116">
        <v>314</v>
      </c>
      <c r="Q1937" s="116">
        <v>313.60000000000002</v>
      </c>
      <c r="R1937">
        <v>3269322</v>
      </c>
    </row>
    <row r="1938" spans="1:18" x14ac:dyDescent="0.25">
      <c r="A1938" s="170">
        <v>44858</v>
      </c>
      <c r="B1938" s="116">
        <v>316.89999999999998</v>
      </c>
      <c r="C1938" s="116">
        <v>316.25</v>
      </c>
      <c r="D1938" s="116">
        <v>312</v>
      </c>
      <c r="E1938" s="116">
        <v>316</v>
      </c>
      <c r="F1938" s="116">
        <v>316.25</v>
      </c>
      <c r="G1938">
        <v>32387</v>
      </c>
      <c r="H1938" s="116"/>
      <c r="I1938" s="116"/>
      <c r="L1938" s="170">
        <v>44858</v>
      </c>
      <c r="M1938" s="116">
        <v>316.14999999999998</v>
      </c>
      <c r="N1938" s="116">
        <v>316.89999999999998</v>
      </c>
      <c r="O1938" s="116">
        <v>311</v>
      </c>
      <c r="P1938" s="116">
        <v>316.64999999999998</v>
      </c>
      <c r="Q1938" s="116">
        <v>316.14999999999998</v>
      </c>
      <c r="R1938">
        <v>635878</v>
      </c>
    </row>
    <row r="1939" spans="1:18" x14ac:dyDescent="0.25">
      <c r="A1939" s="170">
        <v>44859</v>
      </c>
      <c r="B1939" s="116">
        <v>321.35000000000002</v>
      </c>
      <c r="C1939" s="116">
        <v>319.75</v>
      </c>
      <c r="D1939" s="116">
        <v>314.8</v>
      </c>
      <c r="E1939" s="116">
        <v>318.75</v>
      </c>
      <c r="F1939" s="116">
        <v>319.75</v>
      </c>
      <c r="G1939">
        <v>1331425</v>
      </c>
      <c r="H1939" s="116"/>
      <c r="I1939" s="116"/>
      <c r="L1939" s="170">
        <v>44859</v>
      </c>
      <c r="M1939" s="116">
        <v>319.75</v>
      </c>
      <c r="N1939" s="116">
        <v>321.39999999999998</v>
      </c>
      <c r="O1939" s="116">
        <v>314.75</v>
      </c>
      <c r="P1939" s="116">
        <v>317.55</v>
      </c>
      <c r="Q1939" s="116">
        <v>319.75</v>
      </c>
      <c r="R1939">
        <v>3616795</v>
      </c>
    </row>
    <row r="1940" spans="1:18" x14ac:dyDescent="0.25">
      <c r="A1940" s="170">
        <v>44861</v>
      </c>
      <c r="B1940" s="116">
        <v>323.7</v>
      </c>
      <c r="C1940" s="116">
        <v>322</v>
      </c>
      <c r="D1940" s="116">
        <v>317.25</v>
      </c>
      <c r="E1940" s="116">
        <v>320.35000000000002</v>
      </c>
      <c r="F1940" s="116">
        <v>322</v>
      </c>
      <c r="G1940">
        <v>162243</v>
      </c>
      <c r="H1940" s="116"/>
      <c r="I1940" s="116"/>
      <c r="L1940" s="170">
        <v>44861</v>
      </c>
      <c r="M1940" s="116">
        <v>322</v>
      </c>
      <c r="N1940" s="116">
        <v>323.7</v>
      </c>
      <c r="O1940" s="116">
        <v>317.25</v>
      </c>
      <c r="P1940" s="116">
        <v>321.45</v>
      </c>
      <c r="Q1940" s="116">
        <v>322</v>
      </c>
      <c r="R1940">
        <v>2872053</v>
      </c>
    </row>
    <row r="1941" spans="1:18" x14ac:dyDescent="0.25">
      <c r="A1941" s="170">
        <v>44862</v>
      </c>
      <c r="B1941" s="116">
        <v>323</v>
      </c>
      <c r="C1941" s="116">
        <v>322.10000000000002</v>
      </c>
      <c r="D1941" s="116">
        <v>319.14999999999998</v>
      </c>
      <c r="E1941" s="116">
        <v>322</v>
      </c>
      <c r="F1941" s="116">
        <v>322.10000000000002</v>
      </c>
      <c r="G1941">
        <v>123036</v>
      </c>
      <c r="H1941" s="116"/>
      <c r="I1941" s="116"/>
      <c r="L1941" s="170">
        <v>44862</v>
      </c>
      <c r="M1941" s="116">
        <v>322.25</v>
      </c>
      <c r="N1941" s="116">
        <v>323.2</v>
      </c>
      <c r="O1941" s="116">
        <v>319.2</v>
      </c>
      <c r="P1941" s="116">
        <v>322.3</v>
      </c>
      <c r="Q1941" s="116">
        <v>322.25</v>
      </c>
      <c r="R1941">
        <v>2049533</v>
      </c>
    </row>
    <row r="1942" spans="1:18" x14ac:dyDescent="0.25">
      <c r="A1942" s="170">
        <v>44865</v>
      </c>
      <c r="B1942" s="116">
        <v>334.35</v>
      </c>
      <c r="C1942" s="116">
        <v>333.75</v>
      </c>
      <c r="D1942" s="116">
        <v>322.45</v>
      </c>
      <c r="E1942" s="116">
        <v>323.10000000000002</v>
      </c>
      <c r="F1942" s="116">
        <v>333.75</v>
      </c>
      <c r="G1942">
        <v>153219</v>
      </c>
      <c r="H1942" s="116"/>
      <c r="I1942" s="116"/>
      <c r="L1942" s="170">
        <v>44865</v>
      </c>
      <c r="M1942" s="116">
        <v>333.8</v>
      </c>
      <c r="N1942" s="116">
        <v>334.65</v>
      </c>
      <c r="O1942" s="116">
        <v>322.5</v>
      </c>
      <c r="P1942" s="116">
        <v>324.39999999999998</v>
      </c>
      <c r="Q1942" s="116">
        <v>333.8</v>
      </c>
      <c r="R1942">
        <v>4724395</v>
      </c>
    </row>
    <row r="1943" spans="1:18" x14ac:dyDescent="0.25">
      <c r="A1943" s="170">
        <v>44866</v>
      </c>
      <c r="B1943" s="116">
        <v>342.5</v>
      </c>
      <c r="C1943" s="116">
        <v>341.35</v>
      </c>
      <c r="D1943" s="116">
        <v>333.8</v>
      </c>
      <c r="E1943" s="116">
        <v>333.8</v>
      </c>
      <c r="F1943" s="116">
        <v>341.35</v>
      </c>
      <c r="G1943">
        <v>179176</v>
      </c>
      <c r="H1943" s="116"/>
      <c r="I1943" s="116"/>
      <c r="L1943" s="170">
        <v>44866</v>
      </c>
      <c r="M1943" s="116">
        <v>341.4</v>
      </c>
      <c r="N1943" s="116">
        <v>342.65</v>
      </c>
      <c r="O1943" s="116">
        <v>334.5</v>
      </c>
      <c r="P1943" s="116">
        <v>334.85</v>
      </c>
      <c r="Q1943" s="116">
        <v>341.4</v>
      </c>
      <c r="R1943">
        <v>5009143</v>
      </c>
    </row>
    <row r="1944" spans="1:18" x14ac:dyDescent="0.25">
      <c r="A1944" s="170">
        <v>44867</v>
      </c>
      <c r="B1944" s="116">
        <v>344.75</v>
      </c>
      <c r="C1944" s="116">
        <v>342.35</v>
      </c>
      <c r="D1944" s="116">
        <v>339.1</v>
      </c>
      <c r="E1944" s="116">
        <v>341.45</v>
      </c>
      <c r="F1944" s="116">
        <v>342.35</v>
      </c>
      <c r="G1944">
        <v>171703</v>
      </c>
      <c r="H1944" s="116"/>
      <c r="I1944" s="116"/>
      <c r="L1944" s="170">
        <v>44867</v>
      </c>
      <c r="M1944" s="116">
        <v>342.4</v>
      </c>
      <c r="N1944" s="116">
        <v>345</v>
      </c>
      <c r="O1944" s="116">
        <v>339.05</v>
      </c>
      <c r="P1944" s="116">
        <v>342.4</v>
      </c>
      <c r="Q1944" s="116">
        <v>342.4</v>
      </c>
      <c r="R1944">
        <v>3934153</v>
      </c>
    </row>
    <row r="1945" spans="1:18" x14ac:dyDescent="0.25">
      <c r="A1945" s="170">
        <v>44868</v>
      </c>
      <c r="B1945" s="116">
        <v>346.7</v>
      </c>
      <c r="C1945" s="116">
        <v>339.95</v>
      </c>
      <c r="D1945" s="116">
        <v>337.55</v>
      </c>
      <c r="E1945" s="116">
        <v>341.95</v>
      </c>
      <c r="F1945" s="116">
        <v>339.95</v>
      </c>
      <c r="G1945">
        <v>124939</v>
      </c>
      <c r="H1945" s="116"/>
      <c r="I1945" s="116"/>
      <c r="L1945" s="170">
        <v>44868</v>
      </c>
      <c r="M1945" s="116">
        <v>339.95</v>
      </c>
      <c r="N1945" s="116">
        <v>346.75</v>
      </c>
      <c r="O1945" s="116">
        <v>337.5</v>
      </c>
      <c r="P1945" s="116">
        <v>340.8</v>
      </c>
      <c r="Q1945" s="116">
        <v>339.95</v>
      </c>
      <c r="R1945">
        <v>3584088</v>
      </c>
    </row>
    <row r="1946" spans="1:18" x14ac:dyDescent="0.25">
      <c r="A1946" s="170">
        <v>44869</v>
      </c>
      <c r="B1946" s="116">
        <v>344.05</v>
      </c>
      <c r="C1946" s="116">
        <v>334.95</v>
      </c>
      <c r="D1946" s="116">
        <v>333.65</v>
      </c>
      <c r="E1946" s="116">
        <v>340</v>
      </c>
      <c r="F1946" s="116">
        <v>334.95</v>
      </c>
      <c r="G1946">
        <v>145540</v>
      </c>
      <c r="H1946" s="116"/>
      <c r="I1946" s="116"/>
      <c r="L1946" s="170">
        <v>44869</v>
      </c>
      <c r="M1946" s="116">
        <v>334.75</v>
      </c>
      <c r="N1946" s="116">
        <v>344.1</v>
      </c>
      <c r="O1946" s="116">
        <v>333.55</v>
      </c>
      <c r="P1946" s="116">
        <v>340.65</v>
      </c>
      <c r="Q1946" s="116">
        <v>334.75</v>
      </c>
      <c r="R1946">
        <v>4918508</v>
      </c>
    </row>
    <row r="1947" spans="1:18" x14ac:dyDescent="0.25">
      <c r="A1947" s="170">
        <v>44872</v>
      </c>
      <c r="B1947" s="116">
        <v>345.65</v>
      </c>
      <c r="C1947" s="116">
        <v>343.85</v>
      </c>
      <c r="D1947" s="116">
        <v>335.4</v>
      </c>
      <c r="E1947" s="116">
        <v>336</v>
      </c>
      <c r="F1947" s="116">
        <v>343.85</v>
      </c>
      <c r="G1947">
        <v>323837</v>
      </c>
      <c r="H1947" s="116"/>
      <c r="I1947" s="116"/>
      <c r="L1947" s="170">
        <v>44872</v>
      </c>
      <c r="M1947" s="116">
        <v>343.75</v>
      </c>
      <c r="N1947" s="116">
        <v>345.75</v>
      </c>
      <c r="O1947" s="116">
        <v>335.35</v>
      </c>
      <c r="P1947" s="116">
        <v>337</v>
      </c>
      <c r="Q1947" s="116">
        <v>343.75</v>
      </c>
      <c r="R1947">
        <v>4725337</v>
      </c>
    </row>
    <row r="1948" spans="1:18" x14ac:dyDescent="0.25">
      <c r="A1948" s="170">
        <v>44874</v>
      </c>
      <c r="B1948" s="116">
        <v>347.95</v>
      </c>
      <c r="C1948" s="116">
        <v>337.6</v>
      </c>
      <c r="D1948" s="116">
        <v>336.35</v>
      </c>
      <c r="E1948" s="116">
        <v>347.95</v>
      </c>
      <c r="F1948" s="116">
        <v>337.6</v>
      </c>
      <c r="G1948">
        <v>337782</v>
      </c>
      <c r="H1948" s="116"/>
      <c r="I1948" s="116"/>
      <c r="L1948" s="170">
        <v>44874</v>
      </c>
      <c r="M1948" s="116">
        <v>337.5</v>
      </c>
      <c r="N1948" s="116">
        <v>346.6</v>
      </c>
      <c r="O1948" s="116">
        <v>336.15</v>
      </c>
      <c r="P1948" s="116">
        <v>346.5</v>
      </c>
      <c r="Q1948" s="116">
        <v>337.5</v>
      </c>
      <c r="R1948">
        <v>6191564</v>
      </c>
    </row>
    <row r="1949" spans="1:18" x14ac:dyDescent="0.25">
      <c r="A1949" s="170">
        <v>44875</v>
      </c>
      <c r="B1949" s="116">
        <v>344.15</v>
      </c>
      <c r="C1949" s="116">
        <v>338.95</v>
      </c>
      <c r="D1949" s="116">
        <v>331.95</v>
      </c>
      <c r="E1949" s="116">
        <v>335.15</v>
      </c>
      <c r="F1949" s="116">
        <v>338.95</v>
      </c>
      <c r="G1949">
        <v>363339</v>
      </c>
      <c r="H1949" s="116"/>
      <c r="I1949" s="116"/>
      <c r="L1949" s="170">
        <v>44875</v>
      </c>
      <c r="M1949" s="116">
        <v>338.7</v>
      </c>
      <c r="N1949" s="116">
        <v>344.2</v>
      </c>
      <c r="O1949" s="116">
        <v>331.85</v>
      </c>
      <c r="P1949" s="116">
        <v>337</v>
      </c>
      <c r="Q1949" s="116">
        <v>338.7</v>
      </c>
      <c r="R1949">
        <v>6333700</v>
      </c>
    </row>
    <row r="1950" spans="1:18" x14ac:dyDescent="0.25">
      <c r="A1950" s="170">
        <v>44876</v>
      </c>
      <c r="B1950" s="116">
        <v>348</v>
      </c>
      <c r="C1950" s="116">
        <v>315.25</v>
      </c>
      <c r="D1950" s="116">
        <v>309.3</v>
      </c>
      <c r="E1950" s="116">
        <v>346.15</v>
      </c>
      <c r="F1950" s="116">
        <v>315.25</v>
      </c>
      <c r="G1950">
        <v>1492128</v>
      </c>
      <c r="H1950" s="116"/>
      <c r="I1950" s="116"/>
      <c r="L1950" s="170">
        <v>44876</v>
      </c>
      <c r="M1950" s="116">
        <v>315.35000000000002</v>
      </c>
      <c r="N1950" s="116">
        <v>349</v>
      </c>
      <c r="O1950" s="116">
        <v>308.64999999999998</v>
      </c>
      <c r="P1950" s="116">
        <v>349</v>
      </c>
      <c r="Q1950" s="116">
        <v>315.35000000000002</v>
      </c>
      <c r="R1950">
        <v>30427808</v>
      </c>
    </row>
    <row r="1951" spans="1:18" x14ac:dyDescent="0.25">
      <c r="A1951" s="170">
        <v>44879</v>
      </c>
      <c r="B1951" s="116">
        <v>317.2</v>
      </c>
      <c r="C1951" s="116">
        <v>312.89999999999998</v>
      </c>
      <c r="D1951" s="116">
        <v>304.39999999999998</v>
      </c>
      <c r="E1951" s="116">
        <v>316.39999999999998</v>
      </c>
      <c r="F1951" s="116">
        <v>312.89999999999998</v>
      </c>
      <c r="G1951">
        <v>420859</v>
      </c>
      <c r="H1951" s="116"/>
      <c r="I1951" s="116"/>
      <c r="L1951" s="170">
        <v>44879</v>
      </c>
      <c r="M1951" s="116">
        <v>312.64999999999998</v>
      </c>
      <c r="N1951" s="116">
        <v>317.2</v>
      </c>
      <c r="O1951" s="116">
        <v>304.3</v>
      </c>
      <c r="P1951" s="116">
        <v>316.3</v>
      </c>
      <c r="Q1951" s="116">
        <v>312.64999999999998</v>
      </c>
      <c r="R1951">
        <v>13352240</v>
      </c>
    </row>
    <row r="1952" spans="1:18" x14ac:dyDescent="0.25">
      <c r="A1952" s="170">
        <v>44880</v>
      </c>
      <c r="B1952" s="116">
        <v>316.95</v>
      </c>
      <c r="C1952" s="116">
        <v>312.05</v>
      </c>
      <c r="D1952" s="116">
        <v>308.95</v>
      </c>
      <c r="E1952" s="116">
        <v>316.95</v>
      </c>
      <c r="F1952" s="116">
        <v>312.05</v>
      </c>
      <c r="G1952">
        <v>166331</v>
      </c>
      <c r="H1952" s="116"/>
      <c r="I1952" s="116"/>
      <c r="L1952" s="170">
        <v>44880</v>
      </c>
      <c r="M1952" s="116">
        <v>312</v>
      </c>
      <c r="N1952" s="116">
        <v>316.55</v>
      </c>
      <c r="O1952" s="116">
        <v>308.95</v>
      </c>
      <c r="P1952" s="116">
        <v>314</v>
      </c>
      <c r="Q1952" s="116">
        <v>312</v>
      </c>
      <c r="R1952">
        <v>5724757</v>
      </c>
    </row>
    <row r="1953" spans="1:18" x14ac:dyDescent="0.25">
      <c r="A1953" s="170">
        <v>44881</v>
      </c>
      <c r="B1953" s="116">
        <v>322</v>
      </c>
      <c r="C1953" s="116">
        <v>310.35000000000002</v>
      </c>
      <c r="D1953" s="116">
        <v>304.5</v>
      </c>
      <c r="E1953" s="116">
        <v>314</v>
      </c>
      <c r="F1953" s="116">
        <v>310.35000000000002</v>
      </c>
      <c r="G1953">
        <v>560874</v>
      </c>
      <c r="H1953" s="116"/>
      <c r="I1953" s="116"/>
      <c r="L1953" s="170">
        <v>44881</v>
      </c>
      <c r="M1953" s="116">
        <v>310.3</v>
      </c>
      <c r="N1953" s="116">
        <v>321.95</v>
      </c>
      <c r="O1953" s="116">
        <v>304.45</v>
      </c>
      <c r="P1953" s="116">
        <v>313.7</v>
      </c>
      <c r="Q1953" s="116">
        <v>310.3</v>
      </c>
      <c r="R1953">
        <v>11959478</v>
      </c>
    </row>
    <row r="1954" spans="1:18" x14ac:dyDescent="0.25">
      <c r="A1954" s="170">
        <v>44882</v>
      </c>
      <c r="B1954" s="116">
        <v>317.7</v>
      </c>
      <c r="C1954" s="116">
        <v>315.60000000000002</v>
      </c>
      <c r="D1954" s="116">
        <v>306.75</v>
      </c>
      <c r="E1954" s="116">
        <v>310.05</v>
      </c>
      <c r="F1954" s="116">
        <v>315.60000000000002</v>
      </c>
      <c r="G1954">
        <v>375867</v>
      </c>
      <c r="H1954" s="116"/>
      <c r="I1954" s="116"/>
      <c r="L1954" s="170">
        <v>44882</v>
      </c>
      <c r="M1954" s="116">
        <v>315.60000000000002</v>
      </c>
      <c r="N1954" s="116">
        <v>317.8</v>
      </c>
      <c r="O1954" s="116">
        <v>306.64999999999998</v>
      </c>
      <c r="P1954" s="116">
        <v>311</v>
      </c>
      <c r="Q1954" s="116">
        <v>315.60000000000002</v>
      </c>
      <c r="R1954">
        <v>9813569</v>
      </c>
    </row>
    <row r="1955" spans="1:18" x14ac:dyDescent="0.25">
      <c r="A1955" s="170">
        <v>44883</v>
      </c>
      <c r="B1955" s="116">
        <v>320.39999999999998</v>
      </c>
      <c r="C1955" s="116">
        <v>313.89999999999998</v>
      </c>
      <c r="D1955" s="116">
        <v>312.39999999999998</v>
      </c>
      <c r="E1955" s="116">
        <v>317.3</v>
      </c>
      <c r="F1955" s="116">
        <v>313.89999999999998</v>
      </c>
      <c r="G1955">
        <v>312836</v>
      </c>
      <c r="H1955" s="116"/>
      <c r="I1955" s="116"/>
      <c r="L1955" s="170">
        <v>44883</v>
      </c>
      <c r="M1955" s="116">
        <v>313.89999999999998</v>
      </c>
      <c r="N1955" s="116">
        <v>320.45</v>
      </c>
      <c r="O1955" s="116">
        <v>312.45</v>
      </c>
      <c r="P1955" s="116">
        <v>317.89999999999998</v>
      </c>
      <c r="Q1955" s="116">
        <v>313.89999999999998</v>
      </c>
      <c r="R1955">
        <v>6961556</v>
      </c>
    </row>
    <row r="1956" spans="1:18" x14ac:dyDescent="0.25">
      <c r="A1956" s="170">
        <v>44886</v>
      </c>
      <c r="B1956" s="116">
        <v>318.25</v>
      </c>
      <c r="C1956" s="116">
        <v>316.7</v>
      </c>
      <c r="D1956" s="116">
        <v>312.55</v>
      </c>
      <c r="E1956" s="116">
        <v>312.55</v>
      </c>
      <c r="F1956" s="116">
        <v>316.7</v>
      </c>
      <c r="G1956">
        <v>246767</v>
      </c>
      <c r="H1956" s="116"/>
      <c r="I1956" s="116"/>
      <c r="L1956" s="170">
        <v>44886</v>
      </c>
      <c r="M1956" s="116">
        <v>316.5</v>
      </c>
      <c r="N1956" s="116">
        <v>318.25</v>
      </c>
      <c r="O1956" s="116">
        <v>313</v>
      </c>
      <c r="P1956" s="116">
        <v>314.2</v>
      </c>
      <c r="Q1956" s="116">
        <v>316.5</v>
      </c>
      <c r="R1956">
        <v>5710316</v>
      </c>
    </row>
    <row r="1957" spans="1:18" x14ac:dyDescent="0.25">
      <c r="A1957" s="170">
        <v>44887</v>
      </c>
      <c r="B1957" s="116">
        <v>320.2</v>
      </c>
      <c r="C1957" s="116">
        <v>318.3</v>
      </c>
      <c r="D1957" s="116">
        <v>314.39999999999998</v>
      </c>
      <c r="E1957" s="116">
        <v>316.75</v>
      </c>
      <c r="F1957" s="116">
        <v>318.3</v>
      </c>
      <c r="G1957">
        <v>226993</v>
      </c>
      <c r="H1957" s="116"/>
      <c r="I1957" s="116"/>
      <c r="L1957" s="170">
        <v>44887</v>
      </c>
      <c r="M1957" s="116">
        <v>318.3</v>
      </c>
      <c r="N1957" s="116">
        <v>320.3</v>
      </c>
      <c r="O1957" s="116">
        <v>314.3</v>
      </c>
      <c r="P1957" s="116">
        <v>317.95</v>
      </c>
      <c r="Q1957" s="116">
        <v>318.3</v>
      </c>
      <c r="R1957">
        <v>4820283</v>
      </c>
    </row>
    <row r="1958" spans="1:18" x14ac:dyDescent="0.25">
      <c r="A1958" s="170">
        <v>44888</v>
      </c>
      <c r="B1958" s="116">
        <v>320.3</v>
      </c>
      <c r="C1958" s="116">
        <v>318.35000000000002</v>
      </c>
      <c r="D1958" s="116">
        <v>316.60000000000002</v>
      </c>
      <c r="E1958" s="116">
        <v>319.05</v>
      </c>
      <c r="F1958" s="116">
        <v>318.35000000000002</v>
      </c>
      <c r="G1958">
        <v>204663</v>
      </c>
      <c r="H1958" s="116"/>
      <c r="I1958" s="116"/>
      <c r="L1958" s="170">
        <v>44888</v>
      </c>
      <c r="M1958" s="116">
        <v>318.3</v>
      </c>
      <c r="N1958" s="116">
        <v>320.35000000000002</v>
      </c>
      <c r="O1958" s="116">
        <v>316.64999999999998</v>
      </c>
      <c r="P1958" s="116">
        <v>320.35000000000002</v>
      </c>
      <c r="Q1958" s="116">
        <v>318.3</v>
      </c>
      <c r="R1958">
        <v>4492020</v>
      </c>
    </row>
    <row r="1959" spans="1:18" x14ac:dyDescent="0.25">
      <c r="A1959" s="170">
        <v>44889</v>
      </c>
      <c r="B1959" s="116">
        <v>319.64999999999998</v>
      </c>
      <c r="C1959" s="116">
        <v>317.95</v>
      </c>
      <c r="D1959" s="116">
        <v>315.10000000000002</v>
      </c>
      <c r="E1959" s="116">
        <v>318.89999999999998</v>
      </c>
      <c r="F1959" s="116">
        <v>317.95</v>
      </c>
      <c r="G1959">
        <v>215130</v>
      </c>
      <c r="H1959" s="116"/>
      <c r="I1959" s="116"/>
      <c r="L1959" s="170">
        <v>44889</v>
      </c>
      <c r="M1959" s="116">
        <v>317.75</v>
      </c>
      <c r="N1959" s="116">
        <v>319.85000000000002</v>
      </c>
      <c r="O1959" s="116">
        <v>315.10000000000002</v>
      </c>
      <c r="P1959" s="116">
        <v>319</v>
      </c>
      <c r="Q1959" s="116">
        <v>317.75</v>
      </c>
      <c r="R1959">
        <v>5245401</v>
      </c>
    </row>
    <row r="1960" spans="1:18" x14ac:dyDescent="0.25">
      <c r="A1960" s="170">
        <v>44890</v>
      </c>
      <c r="B1960" s="116">
        <v>324.2</v>
      </c>
      <c r="C1960" s="116">
        <v>321.89999999999998</v>
      </c>
      <c r="D1960" s="116">
        <v>318.3</v>
      </c>
      <c r="E1960" s="116">
        <v>319.95</v>
      </c>
      <c r="F1960" s="116">
        <v>321.89999999999998</v>
      </c>
      <c r="G1960">
        <v>320737</v>
      </c>
      <c r="H1960" s="116"/>
      <c r="I1960" s="116"/>
      <c r="L1960" s="170">
        <v>44890</v>
      </c>
      <c r="M1960" s="116">
        <v>322</v>
      </c>
      <c r="N1960" s="116">
        <v>324.25</v>
      </c>
      <c r="O1960" s="116">
        <v>318.55</v>
      </c>
      <c r="P1960" s="116">
        <v>319.39999999999998</v>
      </c>
      <c r="Q1960" s="116">
        <v>322</v>
      </c>
      <c r="R1960">
        <v>5361133</v>
      </c>
    </row>
    <row r="1961" spans="1:18" x14ac:dyDescent="0.25">
      <c r="A1961" s="170">
        <v>44893</v>
      </c>
      <c r="B1961" s="116">
        <v>326.89999999999998</v>
      </c>
      <c r="C1961" s="116">
        <v>326</v>
      </c>
      <c r="D1961" s="116">
        <v>319.89999999999998</v>
      </c>
      <c r="E1961" s="116">
        <v>322.5</v>
      </c>
      <c r="F1961" s="116">
        <v>326</v>
      </c>
      <c r="G1961">
        <v>152285</v>
      </c>
      <c r="H1961" s="116"/>
      <c r="I1961" s="116"/>
      <c r="L1961" s="170">
        <v>44893</v>
      </c>
      <c r="M1961" s="116">
        <v>325.85000000000002</v>
      </c>
      <c r="N1961" s="116">
        <v>327</v>
      </c>
      <c r="O1961" s="116">
        <v>319.3</v>
      </c>
      <c r="P1961" s="116">
        <v>321.85000000000002</v>
      </c>
      <c r="Q1961" s="116">
        <v>325.85000000000002</v>
      </c>
      <c r="R1961">
        <v>6391422</v>
      </c>
    </row>
    <row r="1962" spans="1:18" x14ac:dyDescent="0.25">
      <c r="A1962" s="170">
        <v>44894</v>
      </c>
      <c r="B1962" s="116">
        <v>326.25</v>
      </c>
      <c r="C1962" s="116">
        <v>316.2</v>
      </c>
      <c r="D1962" s="116">
        <v>315.14999999999998</v>
      </c>
      <c r="E1962" s="116">
        <v>325</v>
      </c>
      <c r="F1962" s="116">
        <v>316.2</v>
      </c>
      <c r="G1962">
        <v>290484</v>
      </c>
      <c r="H1962" s="116"/>
      <c r="I1962" s="116"/>
      <c r="L1962" s="170">
        <v>44894</v>
      </c>
      <c r="M1962" s="116">
        <v>316.2</v>
      </c>
      <c r="N1962" s="116">
        <v>326.25</v>
      </c>
      <c r="O1962" s="116">
        <v>315.05</v>
      </c>
      <c r="P1962" s="116">
        <v>325.5</v>
      </c>
      <c r="Q1962" s="116">
        <v>316.2</v>
      </c>
      <c r="R1962">
        <v>4642496</v>
      </c>
    </row>
    <row r="1963" spans="1:18" x14ac:dyDescent="0.25">
      <c r="A1963" s="170">
        <v>44895</v>
      </c>
      <c r="B1963" s="116">
        <v>325</v>
      </c>
      <c r="C1963" s="116">
        <v>320.95</v>
      </c>
      <c r="D1963" s="116">
        <v>316.35000000000002</v>
      </c>
      <c r="E1963" s="116">
        <v>317.3</v>
      </c>
      <c r="F1963" s="116">
        <v>320.95</v>
      </c>
      <c r="G1963">
        <v>988358</v>
      </c>
      <c r="H1963" s="116"/>
      <c r="I1963" s="116"/>
      <c r="L1963" s="170">
        <v>44895</v>
      </c>
      <c r="M1963" s="116">
        <v>321.64999999999998</v>
      </c>
      <c r="N1963" s="116">
        <v>325.2</v>
      </c>
      <c r="O1963" s="116">
        <v>316.3</v>
      </c>
      <c r="P1963" s="116">
        <v>317.2</v>
      </c>
      <c r="Q1963" s="116">
        <v>321.64999999999998</v>
      </c>
      <c r="R1963">
        <v>116361726</v>
      </c>
    </row>
    <row r="1964" spans="1:18" x14ac:dyDescent="0.25">
      <c r="A1964" s="170">
        <v>44896</v>
      </c>
      <c r="B1964" s="116">
        <v>324.85000000000002</v>
      </c>
      <c r="C1964" s="116">
        <v>324</v>
      </c>
      <c r="D1964" s="116">
        <v>318.89999999999998</v>
      </c>
      <c r="E1964" s="116">
        <v>322</v>
      </c>
      <c r="F1964" s="116">
        <v>324</v>
      </c>
      <c r="G1964">
        <v>190735</v>
      </c>
      <c r="H1964" s="116"/>
      <c r="I1964" s="116"/>
      <c r="L1964" s="170">
        <v>44896</v>
      </c>
      <c r="M1964" s="116">
        <v>324</v>
      </c>
      <c r="N1964" s="116">
        <v>324.89999999999998</v>
      </c>
      <c r="O1964" s="116">
        <v>318.7</v>
      </c>
      <c r="P1964" s="116">
        <v>321.5</v>
      </c>
      <c r="Q1964" s="116">
        <v>324</v>
      </c>
      <c r="R1964">
        <v>5236081</v>
      </c>
    </row>
    <row r="1965" spans="1:18" x14ac:dyDescent="0.25">
      <c r="A1965" s="170">
        <v>44897</v>
      </c>
      <c r="B1965" s="116">
        <v>326.64999999999998</v>
      </c>
      <c r="C1965" s="116">
        <v>324.75</v>
      </c>
      <c r="D1965" s="116">
        <v>322.60000000000002</v>
      </c>
      <c r="E1965" s="116">
        <v>324</v>
      </c>
      <c r="F1965" s="116">
        <v>324.75</v>
      </c>
      <c r="G1965">
        <v>120631</v>
      </c>
      <c r="H1965" s="116"/>
      <c r="I1965" s="116"/>
      <c r="L1965" s="170">
        <v>44897</v>
      </c>
      <c r="M1965" s="116">
        <v>324.55</v>
      </c>
      <c r="N1965" s="116">
        <v>326.75</v>
      </c>
      <c r="O1965" s="116">
        <v>322.5</v>
      </c>
      <c r="P1965" s="116">
        <v>324.5</v>
      </c>
      <c r="Q1965" s="116">
        <v>324.55</v>
      </c>
      <c r="R1965">
        <v>2541213</v>
      </c>
    </row>
    <row r="1966" spans="1:18" x14ac:dyDescent="0.25">
      <c r="A1966" s="170">
        <v>44900</v>
      </c>
      <c r="B1966" s="116">
        <v>326.25</v>
      </c>
      <c r="C1966" s="116">
        <v>324.10000000000002</v>
      </c>
      <c r="D1966" s="116">
        <v>322.2</v>
      </c>
      <c r="E1966" s="116">
        <v>325.3</v>
      </c>
      <c r="F1966" s="116">
        <v>324.10000000000002</v>
      </c>
      <c r="G1966">
        <v>167463</v>
      </c>
      <c r="H1966" s="116"/>
      <c r="I1966" s="116"/>
      <c r="L1966" s="170">
        <v>44900</v>
      </c>
      <c r="M1966" s="116">
        <v>324.25</v>
      </c>
      <c r="N1966" s="116">
        <v>326.35000000000002</v>
      </c>
      <c r="O1966" s="116">
        <v>321.10000000000002</v>
      </c>
      <c r="P1966" s="116">
        <v>325.85000000000002</v>
      </c>
      <c r="Q1966" s="116">
        <v>324.25</v>
      </c>
      <c r="R1966">
        <v>2844044</v>
      </c>
    </row>
    <row r="1967" spans="1:18" x14ac:dyDescent="0.25">
      <c r="A1967" s="170">
        <v>44901</v>
      </c>
      <c r="B1967" s="116">
        <v>328.75</v>
      </c>
      <c r="C1967" s="116">
        <v>328</v>
      </c>
      <c r="D1967" s="116">
        <v>321.7</v>
      </c>
      <c r="E1967" s="116">
        <v>324.10000000000002</v>
      </c>
      <c r="F1967" s="116">
        <v>328</v>
      </c>
      <c r="G1967">
        <v>135407</v>
      </c>
      <c r="H1967" s="116"/>
      <c r="I1967" s="116"/>
      <c r="L1967" s="170">
        <v>44901</v>
      </c>
      <c r="M1967" s="116">
        <v>327.95</v>
      </c>
      <c r="N1967" s="116">
        <v>328.85</v>
      </c>
      <c r="O1967" s="116">
        <v>321.55</v>
      </c>
      <c r="P1967" s="116">
        <v>323.60000000000002</v>
      </c>
      <c r="Q1967" s="116">
        <v>327.95</v>
      </c>
      <c r="R1967">
        <v>3795855</v>
      </c>
    </row>
    <row r="1968" spans="1:18" x14ac:dyDescent="0.25">
      <c r="A1968" s="170">
        <v>44902</v>
      </c>
      <c r="B1968" s="116">
        <v>329.9</v>
      </c>
      <c r="C1968" s="116">
        <v>325.10000000000002</v>
      </c>
      <c r="D1968" s="116">
        <v>323.14999999999998</v>
      </c>
      <c r="E1968" s="116">
        <v>327.25</v>
      </c>
      <c r="F1968" s="116">
        <v>325.10000000000002</v>
      </c>
      <c r="G1968">
        <v>144903</v>
      </c>
      <c r="H1968" s="116"/>
      <c r="I1968" s="116"/>
      <c r="L1968" s="170">
        <v>44902</v>
      </c>
      <c r="M1968" s="116">
        <v>325.14999999999998</v>
      </c>
      <c r="N1968" s="116">
        <v>329.9</v>
      </c>
      <c r="O1968" s="116">
        <v>323.3</v>
      </c>
      <c r="P1968" s="116">
        <v>328</v>
      </c>
      <c r="Q1968" s="116">
        <v>325.14999999999998</v>
      </c>
      <c r="R1968">
        <v>1917604</v>
      </c>
    </row>
    <row r="1969" spans="1:18" x14ac:dyDescent="0.25">
      <c r="A1969" s="170">
        <v>44903</v>
      </c>
      <c r="B1969" s="116">
        <v>328.5</v>
      </c>
      <c r="C1969" s="116">
        <v>327.25</v>
      </c>
      <c r="D1969" s="116">
        <v>324.8</v>
      </c>
      <c r="E1969" s="116">
        <v>325.14999999999998</v>
      </c>
      <c r="F1969" s="116">
        <v>327.25</v>
      </c>
      <c r="G1969">
        <v>55585</v>
      </c>
      <c r="H1969" s="116"/>
      <c r="I1969" s="116"/>
      <c r="L1969" s="170">
        <v>44903</v>
      </c>
      <c r="M1969" s="116">
        <v>327.10000000000002</v>
      </c>
      <c r="N1969" s="116">
        <v>328.55</v>
      </c>
      <c r="O1969" s="116">
        <v>324.7</v>
      </c>
      <c r="P1969" s="116">
        <v>326</v>
      </c>
      <c r="Q1969" s="116">
        <v>327.10000000000002</v>
      </c>
      <c r="R1969">
        <v>1866220</v>
      </c>
    </row>
    <row r="1970" spans="1:18" x14ac:dyDescent="0.25">
      <c r="A1970" s="170">
        <v>44904</v>
      </c>
      <c r="B1970" s="116">
        <v>331.95</v>
      </c>
      <c r="C1970" s="116">
        <v>329.9</v>
      </c>
      <c r="D1970" s="116">
        <v>323.2</v>
      </c>
      <c r="E1970" s="116">
        <v>327.3</v>
      </c>
      <c r="F1970" s="116">
        <v>329.9</v>
      </c>
      <c r="G1970">
        <v>262901</v>
      </c>
      <c r="H1970" s="116"/>
      <c r="I1970" s="116"/>
      <c r="L1970" s="170">
        <v>44904</v>
      </c>
      <c r="M1970" s="116">
        <v>330.1</v>
      </c>
      <c r="N1970" s="116">
        <v>332</v>
      </c>
      <c r="O1970" s="116">
        <v>323.25</v>
      </c>
      <c r="P1970" s="116">
        <v>327.9</v>
      </c>
      <c r="Q1970" s="116">
        <v>330.1</v>
      </c>
      <c r="R1970">
        <v>3530051</v>
      </c>
    </row>
    <row r="1971" spans="1:18" x14ac:dyDescent="0.25">
      <c r="A1971" s="170">
        <v>44907</v>
      </c>
      <c r="B1971" s="116">
        <v>334.65</v>
      </c>
      <c r="C1971" s="116">
        <v>332.85</v>
      </c>
      <c r="D1971" s="116">
        <v>328.45</v>
      </c>
      <c r="E1971" s="116">
        <v>330.15</v>
      </c>
      <c r="F1971" s="116">
        <v>332.85</v>
      </c>
      <c r="G1971">
        <v>135879</v>
      </c>
      <c r="H1971" s="116"/>
      <c r="I1971" s="116"/>
      <c r="L1971" s="170">
        <v>44907</v>
      </c>
      <c r="M1971" s="116">
        <v>332.85</v>
      </c>
      <c r="N1971" s="116">
        <v>334.7</v>
      </c>
      <c r="O1971" s="116">
        <v>328</v>
      </c>
      <c r="P1971" s="116">
        <v>330</v>
      </c>
      <c r="Q1971" s="116">
        <v>332.85</v>
      </c>
      <c r="R1971">
        <v>4086392</v>
      </c>
    </row>
    <row r="1972" spans="1:18" x14ac:dyDescent="0.25">
      <c r="A1972" s="170">
        <v>44908</v>
      </c>
      <c r="B1972" s="116">
        <v>334.75</v>
      </c>
      <c r="C1972" s="116">
        <v>327.55</v>
      </c>
      <c r="D1972" s="116">
        <v>325.55</v>
      </c>
      <c r="E1972" s="116">
        <v>333.35</v>
      </c>
      <c r="F1972" s="116">
        <v>327.55</v>
      </c>
      <c r="G1972">
        <v>2492294</v>
      </c>
      <c r="H1972" s="116"/>
      <c r="I1972" s="116"/>
      <c r="L1972" s="170">
        <v>44908</v>
      </c>
      <c r="M1972" s="116">
        <v>327.60000000000002</v>
      </c>
      <c r="N1972" s="116">
        <v>334.8</v>
      </c>
      <c r="O1972" s="116">
        <v>325.55</v>
      </c>
      <c r="P1972" s="116">
        <v>333.5</v>
      </c>
      <c r="Q1972" s="116">
        <v>327.60000000000002</v>
      </c>
      <c r="R1972">
        <v>3005181</v>
      </c>
    </row>
    <row r="1973" spans="1:18" x14ac:dyDescent="0.25">
      <c r="A1973" s="170">
        <v>44909</v>
      </c>
      <c r="B1973" s="116">
        <v>334.05</v>
      </c>
      <c r="C1973" s="116">
        <v>333.3</v>
      </c>
      <c r="D1973" s="116">
        <v>328.05</v>
      </c>
      <c r="E1973" s="116">
        <v>328.05</v>
      </c>
      <c r="F1973" s="116">
        <v>333.3</v>
      </c>
      <c r="G1973">
        <v>121216</v>
      </c>
      <c r="H1973" s="116"/>
      <c r="I1973" s="116"/>
      <c r="L1973" s="170">
        <v>44909</v>
      </c>
      <c r="M1973" s="116">
        <v>333.5</v>
      </c>
      <c r="N1973" s="116">
        <v>334.1</v>
      </c>
      <c r="O1973" s="116">
        <v>328.55</v>
      </c>
      <c r="P1973" s="116">
        <v>329.35</v>
      </c>
      <c r="Q1973" s="116">
        <v>333.5</v>
      </c>
      <c r="R1973">
        <v>4038800</v>
      </c>
    </row>
    <row r="1974" spans="1:18" x14ac:dyDescent="0.25">
      <c r="A1974" s="170">
        <v>44910</v>
      </c>
      <c r="B1974" s="116">
        <v>335.95</v>
      </c>
      <c r="C1974" s="116">
        <v>333.85</v>
      </c>
      <c r="D1974" s="116">
        <v>331.65</v>
      </c>
      <c r="E1974" s="116">
        <v>331.65</v>
      </c>
      <c r="F1974" s="116">
        <v>333.85</v>
      </c>
      <c r="G1974">
        <v>91033</v>
      </c>
      <c r="H1974" s="116"/>
      <c r="I1974" s="116"/>
      <c r="L1974" s="170">
        <v>44910</v>
      </c>
      <c r="M1974" s="116">
        <v>333.25</v>
      </c>
      <c r="N1974" s="116">
        <v>335.9</v>
      </c>
      <c r="O1974" s="116">
        <v>331.5</v>
      </c>
      <c r="P1974" s="116">
        <v>333.95</v>
      </c>
      <c r="Q1974" s="116">
        <v>333.25</v>
      </c>
      <c r="R1974">
        <v>3169919</v>
      </c>
    </row>
    <row r="1975" spans="1:18" x14ac:dyDescent="0.25">
      <c r="A1975" s="170">
        <v>44911</v>
      </c>
      <c r="B1975" s="116">
        <v>334.25</v>
      </c>
      <c r="C1975" s="116">
        <v>326.95</v>
      </c>
      <c r="D1975" s="116">
        <v>325.64999999999998</v>
      </c>
      <c r="E1975" s="116">
        <v>331</v>
      </c>
      <c r="F1975" s="116">
        <v>326.95</v>
      </c>
      <c r="G1975">
        <v>555740</v>
      </c>
      <c r="H1975" s="116"/>
      <c r="I1975" s="116"/>
      <c r="L1975" s="170">
        <v>44911</v>
      </c>
      <c r="M1975" s="116">
        <v>327.14999999999998</v>
      </c>
      <c r="N1975" s="116">
        <v>334.25</v>
      </c>
      <c r="O1975" s="116">
        <v>325.85000000000002</v>
      </c>
      <c r="P1975" s="116">
        <v>331.75</v>
      </c>
      <c r="Q1975" s="116">
        <v>327.14999999999998</v>
      </c>
      <c r="R1975">
        <v>4900647</v>
      </c>
    </row>
    <row r="1976" spans="1:18" x14ac:dyDescent="0.25">
      <c r="A1976" s="170">
        <v>44914</v>
      </c>
      <c r="B1976" s="116">
        <v>328.2</v>
      </c>
      <c r="C1976" s="116">
        <v>326.85000000000002</v>
      </c>
      <c r="D1976" s="116">
        <v>320.3</v>
      </c>
      <c r="E1976" s="116">
        <v>326.89999999999998</v>
      </c>
      <c r="F1976" s="116">
        <v>326.85000000000002</v>
      </c>
      <c r="G1976">
        <v>118604</v>
      </c>
      <c r="H1976" s="116"/>
      <c r="I1976" s="116"/>
      <c r="L1976" s="170">
        <v>44914</v>
      </c>
      <c r="M1976" s="116">
        <v>326.8</v>
      </c>
      <c r="N1976" s="116">
        <v>328.4</v>
      </c>
      <c r="O1976" s="116">
        <v>320.25</v>
      </c>
      <c r="P1976" s="116">
        <v>327.14999999999998</v>
      </c>
      <c r="Q1976" s="116">
        <v>326.8</v>
      </c>
      <c r="R1976">
        <v>3337250</v>
      </c>
    </row>
    <row r="1977" spans="1:18" x14ac:dyDescent="0.25">
      <c r="A1977" s="170">
        <v>44915</v>
      </c>
      <c r="B1977" s="116">
        <v>328.45</v>
      </c>
      <c r="C1977" s="116">
        <v>324.14999999999998</v>
      </c>
      <c r="D1977" s="116">
        <v>320.39999999999998</v>
      </c>
      <c r="E1977" s="116">
        <v>327</v>
      </c>
      <c r="F1977" s="116">
        <v>324.14999999999998</v>
      </c>
      <c r="G1977">
        <v>132453</v>
      </c>
      <c r="H1977" s="116"/>
      <c r="I1977" s="116"/>
      <c r="L1977" s="170">
        <v>44915</v>
      </c>
      <c r="M1977" s="116">
        <v>324.60000000000002</v>
      </c>
      <c r="N1977" s="116">
        <v>328.35</v>
      </c>
      <c r="O1977" s="116">
        <v>320.39999999999998</v>
      </c>
      <c r="P1977" s="116">
        <v>326</v>
      </c>
      <c r="Q1977" s="116">
        <v>324.60000000000002</v>
      </c>
      <c r="R1977">
        <v>3438177</v>
      </c>
    </row>
    <row r="1978" spans="1:18" x14ac:dyDescent="0.25">
      <c r="A1978" s="170">
        <v>44916</v>
      </c>
      <c r="B1978" s="116">
        <v>327.10000000000002</v>
      </c>
      <c r="C1978" s="116">
        <v>309.55</v>
      </c>
      <c r="D1978" s="116">
        <v>305.05</v>
      </c>
      <c r="E1978" s="116">
        <v>326.05</v>
      </c>
      <c r="F1978" s="116">
        <v>309.55</v>
      </c>
      <c r="G1978">
        <v>283657</v>
      </c>
      <c r="H1978" s="116"/>
      <c r="I1978" s="116"/>
      <c r="L1978" s="170">
        <v>44916</v>
      </c>
      <c r="M1978" s="116">
        <v>309.45</v>
      </c>
      <c r="N1978" s="116">
        <v>327.2</v>
      </c>
      <c r="O1978" s="116">
        <v>304.8</v>
      </c>
      <c r="P1978" s="116">
        <v>326.2</v>
      </c>
      <c r="Q1978" s="116">
        <v>309.45</v>
      </c>
      <c r="R1978">
        <v>6052926</v>
      </c>
    </row>
    <row r="1979" spans="1:18" x14ac:dyDescent="0.25">
      <c r="A1979" s="170">
        <v>44917</v>
      </c>
      <c r="B1979" s="116">
        <v>312</v>
      </c>
      <c r="C1979" s="116">
        <v>303.95</v>
      </c>
      <c r="D1979" s="116">
        <v>294.75</v>
      </c>
      <c r="E1979" s="116">
        <v>309</v>
      </c>
      <c r="F1979" s="116">
        <v>303.95</v>
      </c>
      <c r="G1979">
        <v>541593</v>
      </c>
      <c r="H1979" s="116"/>
      <c r="I1979" s="116"/>
      <c r="L1979" s="170">
        <v>44917</v>
      </c>
      <c r="M1979" s="116">
        <v>304.05</v>
      </c>
      <c r="N1979" s="116">
        <v>312.14999999999998</v>
      </c>
      <c r="O1979" s="116">
        <v>294.8</v>
      </c>
      <c r="P1979" s="116">
        <v>309</v>
      </c>
      <c r="Q1979" s="116">
        <v>304.05</v>
      </c>
      <c r="R1979">
        <v>9373234</v>
      </c>
    </row>
    <row r="1980" spans="1:18" x14ac:dyDescent="0.25">
      <c r="A1980" s="170">
        <v>44918</v>
      </c>
      <c r="B1980" s="116">
        <v>302.10000000000002</v>
      </c>
      <c r="C1980" s="116">
        <v>299.55</v>
      </c>
      <c r="D1980" s="116">
        <v>295</v>
      </c>
      <c r="E1980" s="116">
        <v>299.60000000000002</v>
      </c>
      <c r="F1980" s="116">
        <v>299.55</v>
      </c>
      <c r="G1980">
        <v>212374</v>
      </c>
      <c r="H1980" s="116"/>
      <c r="I1980" s="116"/>
      <c r="L1980" s="170">
        <v>44918</v>
      </c>
      <c r="M1980" s="116">
        <v>299.5</v>
      </c>
      <c r="N1980" s="116">
        <v>302.35000000000002</v>
      </c>
      <c r="O1980" s="116">
        <v>294.85000000000002</v>
      </c>
      <c r="P1980" s="116">
        <v>298</v>
      </c>
      <c r="Q1980" s="116">
        <v>299.5</v>
      </c>
      <c r="R1980">
        <v>8489375</v>
      </c>
    </row>
    <row r="1981" spans="1:18" x14ac:dyDescent="0.25">
      <c r="A1981" s="170">
        <v>44921</v>
      </c>
      <c r="B1981" s="116">
        <v>315.60000000000002</v>
      </c>
      <c r="C1981" s="116">
        <v>314.25</v>
      </c>
      <c r="D1981" s="116">
        <v>294.05</v>
      </c>
      <c r="E1981" s="116">
        <v>294.05</v>
      </c>
      <c r="F1981" s="116">
        <v>314.25</v>
      </c>
      <c r="G1981">
        <v>358941</v>
      </c>
      <c r="H1981" s="116"/>
      <c r="I1981" s="116"/>
      <c r="L1981" s="170">
        <v>44921</v>
      </c>
      <c r="M1981" s="116">
        <v>314.35000000000002</v>
      </c>
      <c r="N1981" s="116">
        <v>315.8</v>
      </c>
      <c r="O1981" s="116">
        <v>295.25</v>
      </c>
      <c r="P1981" s="116">
        <v>296</v>
      </c>
      <c r="Q1981" s="116">
        <v>314.35000000000002</v>
      </c>
      <c r="R1981">
        <v>7047516</v>
      </c>
    </row>
    <row r="1982" spans="1:18" x14ac:dyDescent="0.25">
      <c r="A1982" s="170">
        <v>44922</v>
      </c>
      <c r="B1982" s="116">
        <v>318.14999999999998</v>
      </c>
      <c r="C1982" s="116">
        <v>314.5</v>
      </c>
      <c r="D1982" s="116">
        <v>310.55</v>
      </c>
      <c r="E1982" s="116">
        <v>315.25</v>
      </c>
      <c r="F1982" s="116">
        <v>314.5</v>
      </c>
      <c r="G1982">
        <v>164406</v>
      </c>
      <c r="H1982" s="116"/>
      <c r="I1982" s="116"/>
      <c r="L1982" s="170">
        <v>44922</v>
      </c>
      <c r="M1982" s="116">
        <v>314.45</v>
      </c>
      <c r="N1982" s="116">
        <v>318.2</v>
      </c>
      <c r="O1982" s="116">
        <v>310.5</v>
      </c>
      <c r="P1982" s="116">
        <v>316.5</v>
      </c>
      <c r="Q1982" s="116">
        <v>314.45</v>
      </c>
      <c r="R1982">
        <v>2856144</v>
      </c>
    </row>
    <row r="1983" spans="1:18" x14ac:dyDescent="0.25">
      <c r="A1983" s="170">
        <v>44923</v>
      </c>
      <c r="B1983" s="116">
        <v>317.14999999999998</v>
      </c>
      <c r="C1983" s="116">
        <v>316.10000000000002</v>
      </c>
      <c r="D1983" s="116">
        <v>308.05</v>
      </c>
      <c r="E1983" s="116">
        <v>315.55</v>
      </c>
      <c r="F1983" s="116">
        <v>316.10000000000002</v>
      </c>
      <c r="G1983">
        <v>181112</v>
      </c>
      <c r="H1983" s="116"/>
      <c r="I1983" s="116"/>
      <c r="L1983" s="170">
        <v>44923</v>
      </c>
      <c r="M1983" s="116">
        <v>316.10000000000002</v>
      </c>
      <c r="N1983" s="116">
        <v>317.14999999999998</v>
      </c>
      <c r="O1983" s="116">
        <v>308</v>
      </c>
      <c r="P1983" s="116">
        <v>314</v>
      </c>
      <c r="Q1983" s="116">
        <v>316.10000000000002</v>
      </c>
      <c r="R1983">
        <v>4590662</v>
      </c>
    </row>
    <row r="1984" spans="1:18" x14ac:dyDescent="0.25">
      <c r="A1984" s="170">
        <v>44924</v>
      </c>
      <c r="B1984" s="116">
        <v>315.75</v>
      </c>
      <c r="C1984" s="116">
        <v>313.7</v>
      </c>
      <c r="D1984" s="116">
        <v>310.64999999999998</v>
      </c>
      <c r="E1984" s="116">
        <v>311.7</v>
      </c>
      <c r="F1984" s="116">
        <v>313.7</v>
      </c>
      <c r="G1984">
        <v>181935</v>
      </c>
      <c r="H1984" s="116"/>
      <c r="I1984" s="116"/>
      <c r="L1984" s="170">
        <v>44924</v>
      </c>
      <c r="M1984" s="116">
        <v>313.64999999999998</v>
      </c>
      <c r="N1984" s="116">
        <v>315.89999999999998</v>
      </c>
      <c r="O1984" s="116">
        <v>310.60000000000002</v>
      </c>
      <c r="P1984" s="116">
        <v>313</v>
      </c>
      <c r="Q1984" s="116">
        <v>313.64999999999998</v>
      </c>
      <c r="R1984">
        <v>4182789</v>
      </c>
    </row>
    <row r="1985" spans="1:18" x14ac:dyDescent="0.25">
      <c r="A1985" s="170">
        <v>44925</v>
      </c>
      <c r="B1985" s="116">
        <v>321</v>
      </c>
      <c r="C1985" s="116">
        <v>318.55</v>
      </c>
      <c r="D1985" s="116">
        <v>313.10000000000002</v>
      </c>
      <c r="E1985" s="116">
        <v>314.3</v>
      </c>
      <c r="F1985" s="116">
        <v>318.55</v>
      </c>
      <c r="G1985">
        <v>226115</v>
      </c>
      <c r="H1985" s="116"/>
      <c r="I1985" s="116"/>
      <c r="L1985" s="170">
        <v>44925</v>
      </c>
      <c r="M1985" s="116">
        <v>318.64999999999998</v>
      </c>
      <c r="N1985" s="116">
        <v>321</v>
      </c>
      <c r="O1985" s="116">
        <v>313.10000000000002</v>
      </c>
      <c r="P1985" s="116">
        <v>315.25</v>
      </c>
      <c r="Q1985" s="116">
        <v>318.64999999999998</v>
      </c>
      <c r="R1985">
        <v>4873538</v>
      </c>
    </row>
    <row r="1986" spans="1:18" x14ac:dyDescent="0.25">
      <c r="A1986" s="170">
        <v>44928</v>
      </c>
      <c r="B1986" s="116">
        <v>320.25</v>
      </c>
      <c r="C1986" s="116">
        <v>317.2</v>
      </c>
      <c r="D1986" s="116">
        <v>316</v>
      </c>
      <c r="E1986" s="116">
        <v>319.75</v>
      </c>
      <c r="F1986" s="116">
        <v>317.2</v>
      </c>
      <c r="G1986">
        <v>72550</v>
      </c>
      <c r="H1986" s="116"/>
      <c r="I1986" s="116"/>
      <c r="L1986" s="170">
        <v>44928</v>
      </c>
      <c r="M1986" s="116">
        <v>317.2</v>
      </c>
      <c r="N1986" s="116">
        <v>320.25</v>
      </c>
      <c r="O1986" s="116">
        <v>315.95</v>
      </c>
      <c r="P1986" s="116">
        <v>318.64999999999998</v>
      </c>
      <c r="Q1986" s="116">
        <v>317.2</v>
      </c>
      <c r="R1986">
        <v>2021729</v>
      </c>
    </row>
    <row r="1987" spans="1:18" x14ac:dyDescent="0.25">
      <c r="A1987" s="170">
        <v>44929</v>
      </c>
      <c r="B1987" s="116">
        <v>321.2</v>
      </c>
      <c r="C1987" s="116">
        <v>320.05</v>
      </c>
      <c r="D1987" s="116">
        <v>316.25</v>
      </c>
      <c r="E1987" s="116">
        <v>316.25</v>
      </c>
      <c r="F1987" s="116">
        <v>320.05</v>
      </c>
      <c r="G1987">
        <v>66171</v>
      </c>
      <c r="H1987" s="116"/>
      <c r="I1987" s="116"/>
      <c r="L1987" s="170">
        <v>44929</v>
      </c>
      <c r="M1987" s="116">
        <v>320.2</v>
      </c>
      <c r="N1987" s="116">
        <v>321.14999999999998</v>
      </c>
      <c r="O1987" s="116">
        <v>316.39999999999998</v>
      </c>
      <c r="P1987" s="116">
        <v>317.2</v>
      </c>
      <c r="Q1987" s="116">
        <v>320.2</v>
      </c>
      <c r="R1987">
        <v>1658599</v>
      </c>
    </row>
    <row r="1988" spans="1:18" x14ac:dyDescent="0.25">
      <c r="A1988" s="170">
        <v>44930</v>
      </c>
      <c r="B1988" s="116">
        <v>321.55</v>
      </c>
      <c r="C1988" s="116">
        <v>314.60000000000002</v>
      </c>
      <c r="D1988" s="116">
        <v>313.5</v>
      </c>
      <c r="E1988" s="116">
        <v>321.55</v>
      </c>
      <c r="F1988" s="116">
        <v>314.60000000000002</v>
      </c>
      <c r="G1988">
        <v>79132</v>
      </c>
      <c r="H1988" s="116"/>
      <c r="I1988" s="116"/>
      <c r="L1988" s="170">
        <v>44930</v>
      </c>
      <c r="M1988" s="116">
        <v>314.60000000000002</v>
      </c>
      <c r="N1988" s="116">
        <v>321.25</v>
      </c>
      <c r="O1988" s="116">
        <v>313.39999999999998</v>
      </c>
      <c r="P1988" s="116">
        <v>319.85000000000002</v>
      </c>
      <c r="Q1988" s="116">
        <v>314.60000000000002</v>
      </c>
      <c r="R1988">
        <v>1967718</v>
      </c>
    </row>
    <row r="1989" spans="1:18" x14ac:dyDescent="0.25">
      <c r="A1989" s="170">
        <v>44931</v>
      </c>
      <c r="B1989" s="116">
        <v>315.75</v>
      </c>
      <c r="C1989" s="116">
        <v>314.2</v>
      </c>
      <c r="D1989" s="116">
        <v>309.64999999999998</v>
      </c>
      <c r="E1989" s="116">
        <v>314.60000000000002</v>
      </c>
      <c r="F1989" s="116">
        <v>314.2</v>
      </c>
      <c r="G1989">
        <v>105488</v>
      </c>
      <c r="H1989" s="116"/>
      <c r="I1989" s="116"/>
      <c r="L1989" s="170">
        <v>44931</v>
      </c>
      <c r="M1989" s="116">
        <v>314.45</v>
      </c>
      <c r="N1989" s="116">
        <v>316</v>
      </c>
      <c r="O1989" s="116">
        <v>309.64999999999998</v>
      </c>
      <c r="P1989" s="116">
        <v>315</v>
      </c>
      <c r="Q1989" s="116">
        <v>314.45</v>
      </c>
      <c r="R1989">
        <v>2130168</v>
      </c>
    </row>
    <row r="1990" spans="1:18" x14ac:dyDescent="0.25">
      <c r="A1990" s="170">
        <v>44932</v>
      </c>
      <c r="B1990" s="116">
        <v>315.10000000000002</v>
      </c>
      <c r="C1990" s="116">
        <v>310.45</v>
      </c>
      <c r="D1990" s="116">
        <v>306.8</v>
      </c>
      <c r="E1990" s="116">
        <v>313.25</v>
      </c>
      <c r="F1990" s="116">
        <v>310.45</v>
      </c>
      <c r="G1990">
        <v>61898</v>
      </c>
      <c r="H1990" s="116"/>
      <c r="I1990" s="116"/>
      <c r="L1990" s="170">
        <v>44932</v>
      </c>
      <c r="M1990" s="116">
        <v>310.3</v>
      </c>
      <c r="N1990" s="116">
        <v>315.39999999999998</v>
      </c>
      <c r="O1990" s="116">
        <v>306.7</v>
      </c>
      <c r="P1990" s="116">
        <v>314.39999999999998</v>
      </c>
      <c r="Q1990" s="116">
        <v>310.3</v>
      </c>
      <c r="R1990">
        <v>1970194</v>
      </c>
    </row>
    <row r="1991" spans="1:18" x14ac:dyDescent="0.25">
      <c r="A1991" s="170">
        <v>44935</v>
      </c>
      <c r="B1991" s="116">
        <v>315.60000000000002</v>
      </c>
      <c r="C1991" s="116">
        <v>315</v>
      </c>
      <c r="D1991" s="116">
        <v>310.45</v>
      </c>
      <c r="E1991" s="116">
        <v>310.45</v>
      </c>
      <c r="F1991" s="116">
        <v>315</v>
      </c>
      <c r="G1991">
        <v>124728</v>
      </c>
      <c r="H1991" s="116"/>
      <c r="I1991" s="116"/>
      <c r="L1991" s="170">
        <v>44935</v>
      </c>
      <c r="M1991" s="116">
        <v>314.55</v>
      </c>
      <c r="N1991" s="116">
        <v>315.75</v>
      </c>
      <c r="O1991" s="116">
        <v>310.7</v>
      </c>
      <c r="P1991" s="116">
        <v>311.55</v>
      </c>
      <c r="Q1991" s="116">
        <v>314.55</v>
      </c>
      <c r="R1991">
        <v>2758554</v>
      </c>
    </row>
    <row r="1992" spans="1:18" x14ac:dyDescent="0.25">
      <c r="A1992" s="170">
        <v>44936</v>
      </c>
      <c r="B1992" s="116">
        <v>315</v>
      </c>
      <c r="C1992" s="116">
        <v>310.35000000000002</v>
      </c>
      <c r="D1992" s="116">
        <v>307.2</v>
      </c>
      <c r="E1992" s="116">
        <v>315</v>
      </c>
      <c r="F1992" s="116">
        <v>310.35000000000002</v>
      </c>
      <c r="G1992">
        <v>85527</v>
      </c>
      <c r="H1992" s="116"/>
      <c r="I1992" s="116"/>
      <c r="L1992" s="170">
        <v>44936</v>
      </c>
      <c r="M1992" s="116">
        <v>310.35000000000002</v>
      </c>
      <c r="N1992" s="116">
        <v>314.60000000000002</v>
      </c>
      <c r="O1992" s="116">
        <v>307.05</v>
      </c>
      <c r="P1992" s="116">
        <v>314.55</v>
      </c>
      <c r="Q1992" s="116">
        <v>310.35000000000002</v>
      </c>
      <c r="R1992">
        <v>2375876</v>
      </c>
    </row>
    <row r="1993" spans="1:18" x14ac:dyDescent="0.25">
      <c r="A1993" s="170">
        <v>44937</v>
      </c>
      <c r="B1993" s="116">
        <v>314.14999999999998</v>
      </c>
      <c r="C1993" s="116">
        <v>310.3</v>
      </c>
      <c r="D1993" s="116">
        <v>308.7</v>
      </c>
      <c r="E1993" s="116">
        <v>310.35000000000002</v>
      </c>
      <c r="F1993" s="116">
        <v>310.3</v>
      </c>
      <c r="G1993">
        <v>70710</v>
      </c>
      <c r="H1993" s="116"/>
      <c r="I1993" s="116"/>
      <c r="L1993" s="170">
        <v>44937</v>
      </c>
      <c r="M1993" s="116">
        <v>310.35000000000002</v>
      </c>
      <c r="N1993" s="116">
        <v>314.14999999999998</v>
      </c>
      <c r="O1993" s="116">
        <v>308.7</v>
      </c>
      <c r="P1993" s="116">
        <v>310.39999999999998</v>
      </c>
      <c r="Q1993" s="116">
        <v>310.35000000000002</v>
      </c>
      <c r="R1993">
        <v>1666652</v>
      </c>
    </row>
    <row r="1994" spans="1:18" x14ac:dyDescent="0.25">
      <c r="A1994" s="170">
        <v>44938</v>
      </c>
      <c r="B1994" s="116">
        <v>312.39999999999998</v>
      </c>
      <c r="C1994" s="116">
        <v>309.95</v>
      </c>
      <c r="D1994" s="116">
        <v>308.10000000000002</v>
      </c>
      <c r="E1994" s="116">
        <v>310.55</v>
      </c>
      <c r="F1994" s="116">
        <v>309.95</v>
      </c>
      <c r="G1994">
        <v>83824</v>
      </c>
      <c r="H1994" s="116"/>
      <c r="I1994" s="116"/>
      <c r="L1994" s="170">
        <v>44938</v>
      </c>
      <c r="M1994" s="116">
        <v>309.8</v>
      </c>
      <c r="N1994" s="116">
        <v>312.60000000000002</v>
      </c>
      <c r="O1994" s="116">
        <v>308.10000000000002</v>
      </c>
      <c r="P1994" s="116">
        <v>312</v>
      </c>
      <c r="Q1994" s="116">
        <v>309.8</v>
      </c>
      <c r="R1994">
        <v>3779647</v>
      </c>
    </row>
    <row r="1995" spans="1:18" x14ac:dyDescent="0.25">
      <c r="A1995" s="170">
        <v>44939</v>
      </c>
      <c r="B1995" s="116">
        <v>312.2</v>
      </c>
      <c r="C1995" s="116">
        <v>309.3</v>
      </c>
      <c r="D1995" s="116">
        <v>307.35000000000002</v>
      </c>
      <c r="E1995" s="116">
        <v>309</v>
      </c>
      <c r="F1995" s="116">
        <v>309.3</v>
      </c>
      <c r="G1995">
        <v>144793</v>
      </c>
      <c r="H1995" s="116"/>
      <c r="I1995" s="116"/>
      <c r="L1995" s="170">
        <v>44939</v>
      </c>
      <c r="M1995" s="116">
        <v>309.35000000000002</v>
      </c>
      <c r="N1995" s="116">
        <v>312.45</v>
      </c>
      <c r="O1995" s="116">
        <v>307.3</v>
      </c>
      <c r="P1995" s="116">
        <v>309.95</v>
      </c>
      <c r="Q1995" s="116">
        <v>309.35000000000002</v>
      </c>
      <c r="R1995">
        <v>4475889</v>
      </c>
    </row>
    <row r="1996" spans="1:18" x14ac:dyDescent="0.25">
      <c r="A1996" s="170">
        <v>44942</v>
      </c>
      <c r="B1996" s="116">
        <v>311.2</v>
      </c>
      <c r="C1996" s="116">
        <v>305.3</v>
      </c>
      <c r="D1996" s="116">
        <v>303.5</v>
      </c>
      <c r="E1996" s="116">
        <v>309.10000000000002</v>
      </c>
      <c r="F1996" s="116">
        <v>305.3</v>
      </c>
      <c r="G1996">
        <v>68774</v>
      </c>
      <c r="H1996" s="116"/>
      <c r="I1996" s="116"/>
      <c r="L1996" s="170">
        <v>44942</v>
      </c>
      <c r="M1996" s="116">
        <v>305.3</v>
      </c>
      <c r="N1996" s="116">
        <v>311.45</v>
      </c>
      <c r="O1996" s="116">
        <v>303.45</v>
      </c>
      <c r="P1996" s="116">
        <v>309.35000000000002</v>
      </c>
      <c r="Q1996" s="116">
        <v>305.3</v>
      </c>
      <c r="R1996">
        <v>2156472</v>
      </c>
    </row>
    <row r="1997" spans="1:18" x14ac:dyDescent="0.25">
      <c r="A1997" s="170">
        <v>44943</v>
      </c>
      <c r="B1997" s="116">
        <v>309.75</v>
      </c>
      <c r="C1997" s="116">
        <v>309.35000000000002</v>
      </c>
      <c r="D1997" s="116">
        <v>303.64999999999998</v>
      </c>
      <c r="E1997" s="116">
        <v>305</v>
      </c>
      <c r="F1997" s="116">
        <v>309.35000000000002</v>
      </c>
      <c r="G1997">
        <v>63510</v>
      </c>
      <c r="H1997" s="116"/>
      <c r="I1997" s="116"/>
      <c r="L1997" s="170">
        <v>44943</v>
      </c>
      <c r="M1997" s="116">
        <v>309.39999999999998</v>
      </c>
      <c r="N1997" s="116">
        <v>309.85000000000002</v>
      </c>
      <c r="O1997" s="116">
        <v>303.55</v>
      </c>
      <c r="P1997" s="116">
        <v>305.55</v>
      </c>
      <c r="Q1997" s="116">
        <v>309.39999999999998</v>
      </c>
      <c r="R1997">
        <v>1980442</v>
      </c>
    </row>
    <row r="1998" spans="1:18" x14ac:dyDescent="0.25">
      <c r="A1998" s="170">
        <v>44944</v>
      </c>
      <c r="B1998" s="116">
        <v>310.85000000000002</v>
      </c>
      <c r="C1998" s="116">
        <v>304.3</v>
      </c>
      <c r="D1998" s="116">
        <v>302.8</v>
      </c>
      <c r="E1998" s="116">
        <v>310.85000000000002</v>
      </c>
      <c r="F1998" s="116">
        <v>304.3</v>
      </c>
      <c r="G1998">
        <v>68544</v>
      </c>
      <c r="H1998" s="116"/>
      <c r="I1998" s="116"/>
      <c r="L1998" s="170">
        <v>44944</v>
      </c>
      <c r="M1998" s="116">
        <v>303.8</v>
      </c>
      <c r="N1998" s="116">
        <v>309.5</v>
      </c>
      <c r="O1998" s="116">
        <v>302.89999999999998</v>
      </c>
      <c r="P1998" s="116">
        <v>309.39999999999998</v>
      </c>
      <c r="Q1998" s="116">
        <v>303.8</v>
      </c>
      <c r="R1998">
        <v>3500225</v>
      </c>
    </row>
    <row r="1999" spans="1:18" x14ac:dyDescent="0.25">
      <c r="A1999" s="170">
        <v>44945</v>
      </c>
      <c r="B1999" s="116">
        <v>305.55</v>
      </c>
      <c r="C1999" s="116">
        <v>299.55</v>
      </c>
      <c r="D1999" s="116">
        <v>297.8</v>
      </c>
      <c r="E1999" s="116">
        <v>302.14999999999998</v>
      </c>
      <c r="F1999" s="116">
        <v>299.55</v>
      </c>
      <c r="G1999">
        <v>632794</v>
      </c>
      <c r="H1999" s="116"/>
      <c r="I1999" s="116"/>
      <c r="L1999" s="170">
        <v>44945</v>
      </c>
      <c r="M1999" s="116">
        <v>299.7</v>
      </c>
      <c r="N1999" s="116">
        <v>305.64999999999998</v>
      </c>
      <c r="O1999" s="116">
        <v>297.7</v>
      </c>
      <c r="P1999" s="116">
        <v>303</v>
      </c>
      <c r="Q1999" s="116">
        <v>299.7</v>
      </c>
      <c r="R1999">
        <v>6648466</v>
      </c>
    </row>
    <row r="2000" spans="1:18" x14ac:dyDescent="0.25">
      <c r="A2000" s="170">
        <v>44946</v>
      </c>
      <c r="B2000" s="116">
        <v>303</v>
      </c>
      <c r="C2000" s="116">
        <v>295.45</v>
      </c>
      <c r="D2000" s="116">
        <v>293.64999999999998</v>
      </c>
      <c r="E2000" s="116">
        <v>303</v>
      </c>
      <c r="F2000" s="116">
        <v>295.45</v>
      </c>
      <c r="G2000">
        <v>92545</v>
      </c>
      <c r="H2000" s="116"/>
      <c r="I2000" s="116"/>
      <c r="L2000" s="170">
        <v>44946</v>
      </c>
      <c r="M2000" s="116">
        <v>295.55</v>
      </c>
      <c r="N2000" s="116">
        <v>301.2</v>
      </c>
      <c r="O2000" s="116">
        <v>293.75</v>
      </c>
      <c r="P2000" s="116">
        <v>300.7</v>
      </c>
      <c r="Q2000" s="116">
        <v>295.55</v>
      </c>
      <c r="R2000">
        <v>2965885</v>
      </c>
    </row>
    <row r="2001" spans="1:18" x14ac:dyDescent="0.25">
      <c r="A2001" s="170">
        <v>44949</v>
      </c>
      <c r="B2001" s="116">
        <v>299.35000000000002</v>
      </c>
      <c r="C2001" s="116">
        <v>298.25</v>
      </c>
      <c r="D2001" s="116">
        <v>295</v>
      </c>
      <c r="E2001" s="116">
        <v>296.05</v>
      </c>
      <c r="F2001" s="116">
        <v>298.25</v>
      </c>
      <c r="G2001">
        <v>48593</v>
      </c>
      <c r="H2001" s="116"/>
      <c r="I2001" s="116"/>
      <c r="L2001" s="170">
        <v>44949</v>
      </c>
      <c r="M2001" s="116">
        <v>298.05</v>
      </c>
      <c r="N2001" s="116">
        <v>299.45</v>
      </c>
      <c r="O2001" s="116">
        <v>295.05</v>
      </c>
      <c r="P2001" s="116">
        <v>295.55</v>
      </c>
      <c r="Q2001" s="116">
        <v>298.05</v>
      </c>
      <c r="R2001">
        <v>1550982</v>
      </c>
    </row>
    <row r="2002" spans="1:18" x14ac:dyDescent="0.25">
      <c r="A2002" s="170">
        <v>44950</v>
      </c>
      <c r="B2002" s="116">
        <v>301.45</v>
      </c>
      <c r="C2002" s="116">
        <v>300.55</v>
      </c>
      <c r="D2002" s="116">
        <v>296.39999999999998</v>
      </c>
      <c r="E2002" s="116">
        <v>298.35000000000002</v>
      </c>
      <c r="F2002" s="116">
        <v>300.55</v>
      </c>
      <c r="G2002">
        <v>105896</v>
      </c>
      <c r="H2002" s="116"/>
      <c r="I2002" s="116"/>
      <c r="L2002" s="170">
        <v>44950</v>
      </c>
      <c r="M2002" s="116">
        <v>300.64999999999998</v>
      </c>
      <c r="N2002" s="116">
        <v>301.45</v>
      </c>
      <c r="O2002" s="116">
        <v>296.3</v>
      </c>
      <c r="P2002" s="116">
        <v>299</v>
      </c>
      <c r="Q2002" s="116">
        <v>300.64999999999998</v>
      </c>
      <c r="R2002">
        <v>1928448</v>
      </c>
    </row>
    <row r="2003" spans="1:18" x14ac:dyDescent="0.25">
      <c r="A2003" s="170">
        <v>44951</v>
      </c>
      <c r="B2003" s="116">
        <v>302</v>
      </c>
      <c r="C2003" s="116">
        <v>291</v>
      </c>
      <c r="D2003" s="116">
        <v>289.05</v>
      </c>
      <c r="E2003" s="116">
        <v>300.64999999999998</v>
      </c>
      <c r="F2003" s="116">
        <v>291</v>
      </c>
      <c r="G2003">
        <v>106309</v>
      </c>
      <c r="H2003" s="116"/>
      <c r="I2003" s="116"/>
      <c r="L2003" s="170">
        <v>44951</v>
      </c>
      <c r="M2003" s="116">
        <v>291.45</v>
      </c>
      <c r="N2003" s="116">
        <v>302</v>
      </c>
      <c r="O2003" s="116">
        <v>288.85000000000002</v>
      </c>
      <c r="P2003" s="116">
        <v>301.35000000000002</v>
      </c>
      <c r="Q2003" s="116">
        <v>291.45</v>
      </c>
      <c r="R2003">
        <v>3868054</v>
      </c>
    </row>
    <row r="2004" spans="1:18" x14ac:dyDescent="0.25">
      <c r="A2004" s="170">
        <v>44953</v>
      </c>
      <c r="B2004" s="116">
        <v>293.85000000000002</v>
      </c>
      <c r="C2004" s="116">
        <v>286.7</v>
      </c>
      <c r="D2004" s="116">
        <v>280.2</v>
      </c>
      <c r="E2004" s="116">
        <v>291.64999999999998</v>
      </c>
      <c r="F2004" s="116">
        <v>286.7</v>
      </c>
      <c r="G2004">
        <v>159005</v>
      </c>
      <c r="H2004" s="116"/>
      <c r="I2004" s="116"/>
      <c r="L2004" s="170">
        <v>44953</v>
      </c>
      <c r="M2004" s="116">
        <v>286.45</v>
      </c>
      <c r="N2004" s="116">
        <v>293.35000000000002</v>
      </c>
      <c r="O2004" s="116">
        <v>280.05</v>
      </c>
      <c r="P2004" s="116">
        <v>292.14999999999998</v>
      </c>
      <c r="Q2004" s="116">
        <v>286.45</v>
      </c>
      <c r="R2004">
        <v>2707115</v>
      </c>
    </row>
    <row r="2005" spans="1:18" x14ac:dyDescent="0.25">
      <c r="A2005" s="170">
        <v>44956</v>
      </c>
      <c r="B2005" s="116">
        <v>297.35000000000002</v>
      </c>
      <c r="C2005" s="116">
        <v>291.14999999999998</v>
      </c>
      <c r="D2005" s="116">
        <v>286.14999999999998</v>
      </c>
      <c r="E2005" s="116">
        <v>287.64999999999998</v>
      </c>
      <c r="F2005" s="116">
        <v>291.14999999999998</v>
      </c>
      <c r="G2005">
        <v>221436</v>
      </c>
      <c r="H2005" s="116"/>
      <c r="I2005" s="116"/>
      <c r="L2005" s="170">
        <v>44956</v>
      </c>
      <c r="M2005" s="116">
        <v>291.3</v>
      </c>
      <c r="N2005" s="116">
        <v>297.3</v>
      </c>
      <c r="O2005" s="116">
        <v>286.10000000000002</v>
      </c>
      <c r="P2005" s="116">
        <v>287.95</v>
      </c>
      <c r="Q2005" s="116">
        <v>291.3</v>
      </c>
      <c r="R2005">
        <v>6765564</v>
      </c>
    </row>
    <row r="2006" spans="1:18" x14ac:dyDescent="0.25">
      <c r="A2006" s="170">
        <v>44957</v>
      </c>
      <c r="B2006" s="116">
        <v>305</v>
      </c>
      <c r="C2006" s="116">
        <v>300.55</v>
      </c>
      <c r="D2006" s="116">
        <v>290.75</v>
      </c>
      <c r="E2006" s="116">
        <v>291.14999999999998</v>
      </c>
      <c r="F2006" s="116">
        <v>300.55</v>
      </c>
      <c r="G2006">
        <v>198495</v>
      </c>
      <c r="H2006" s="116"/>
      <c r="I2006" s="116"/>
      <c r="L2006" s="170">
        <v>44957</v>
      </c>
      <c r="M2006" s="116">
        <v>301</v>
      </c>
      <c r="N2006" s="116">
        <v>305</v>
      </c>
      <c r="O2006" s="116">
        <v>290.75</v>
      </c>
      <c r="P2006" s="116">
        <v>292.55</v>
      </c>
      <c r="Q2006" s="116">
        <v>301</v>
      </c>
      <c r="R2006">
        <v>12635485</v>
      </c>
    </row>
    <row r="2007" spans="1:18" x14ac:dyDescent="0.25">
      <c r="A2007" s="170">
        <v>44958</v>
      </c>
      <c r="B2007" s="116">
        <v>330.4</v>
      </c>
      <c r="C2007" s="116">
        <v>326.60000000000002</v>
      </c>
      <c r="D2007" s="116">
        <v>310.35000000000002</v>
      </c>
      <c r="E2007" s="116">
        <v>317.5</v>
      </c>
      <c r="F2007" s="116">
        <v>326.60000000000002</v>
      </c>
      <c r="G2007">
        <v>815201</v>
      </c>
      <c r="H2007" s="116"/>
      <c r="I2007" s="116"/>
      <c r="L2007" s="170">
        <v>44958</v>
      </c>
      <c r="M2007" s="116">
        <v>326.7</v>
      </c>
      <c r="N2007" s="116">
        <v>330.45</v>
      </c>
      <c r="O2007" s="116">
        <v>310.2</v>
      </c>
      <c r="P2007" s="116">
        <v>318</v>
      </c>
      <c r="Q2007" s="116">
        <v>326.7</v>
      </c>
      <c r="R2007">
        <v>29448497</v>
      </c>
    </row>
    <row r="2008" spans="1:18" x14ac:dyDescent="0.25">
      <c r="A2008" s="170">
        <v>44959</v>
      </c>
      <c r="B2008" s="116">
        <v>327.5</v>
      </c>
      <c r="C2008" s="116">
        <v>317.8</v>
      </c>
      <c r="D2008" s="116">
        <v>313.3</v>
      </c>
      <c r="E2008" s="116">
        <v>322.95</v>
      </c>
      <c r="F2008" s="116">
        <v>317.8</v>
      </c>
      <c r="G2008">
        <v>172757</v>
      </c>
      <c r="H2008" s="116"/>
      <c r="I2008" s="116"/>
      <c r="L2008" s="170">
        <v>44959</v>
      </c>
      <c r="M2008" s="116">
        <v>318</v>
      </c>
      <c r="N2008" s="116">
        <v>327.9</v>
      </c>
      <c r="O2008" s="116">
        <v>313.3</v>
      </c>
      <c r="P2008" s="116">
        <v>322</v>
      </c>
      <c r="Q2008" s="116">
        <v>318</v>
      </c>
      <c r="R2008">
        <v>7762880</v>
      </c>
    </row>
    <row r="2009" spans="1:18" x14ac:dyDescent="0.25">
      <c r="A2009" s="170">
        <v>44960</v>
      </c>
      <c r="B2009" s="116">
        <v>320.25</v>
      </c>
      <c r="C2009" s="116">
        <v>318.35000000000002</v>
      </c>
      <c r="D2009" s="116">
        <v>313.8</v>
      </c>
      <c r="E2009" s="116">
        <v>319.5</v>
      </c>
      <c r="F2009" s="116">
        <v>318.35000000000002</v>
      </c>
      <c r="G2009">
        <v>106443</v>
      </c>
      <c r="H2009" s="116"/>
      <c r="I2009" s="116"/>
      <c r="L2009" s="170">
        <v>44960</v>
      </c>
      <c r="M2009" s="116">
        <v>318.25</v>
      </c>
      <c r="N2009" s="116">
        <v>320.39999999999998</v>
      </c>
      <c r="O2009" s="116">
        <v>313.7</v>
      </c>
      <c r="P2009" s="116">
        <v>318</v>
      </c>
      <c r="Q2009" s="116">
        <v>318.25</v>
      </c>
      <c r="R2009">
        <v>3399231</v>
      </c>
    </row>
    <row r="2010" spans="1:18" x14ac:dyDescent="0.25">
      <c r="A2010" s="170">
        <v>44963</v>
      </c>
      <c r="B2010" s="116">
        <v>319.35000000000002</v>
      </c>
      <c r="C2010" s="116">
        <v>314.8</v>
      </c>
      <c r="D2010" s="116">
        <v>311.3</v>
      </c>
      <c r="E2010" s="116">
        <v>318</v>
      </c>
      <c r="F2010" s="116">
        <v>314.8</v>
      </c>
      <c r="G2010">
        <v>173084</v>
      </c>
      <c r="H2010" s="116"/>
      <c r="I2010" s="116"/>
      <c r="L2010" s="170">
        <v>44963</v>
      </c>
      <c r="M2010" s="116">
        <v>314.75</v>
      </c>
      <c r="N2010" s="116">
        <v>319.7</v>
      </c>
      <c r="O2010" s="116">
        <v>311.14999999999998</v>
      </c>
      <c r="P2010" s="116">
        <v>318.25</v>
      </c>
      <c r="Q2010" s="116">
        <v>314.75</v>
      </c>
      <c r="R2010">
        <v>3217356</v>
      </c>
    </row>
    <row r="2011" spans="1:18" x14ac:dyDescent="0.25">
      <c r="A2011" s="170">
        <v>44964</v>
      </c>
      <c r="B2011" s="116">
        <v>317.39999999999998</v>
      </c>
      <c r="C2011" s="116">
        <v>316.45</v>
      </c>
      <c r="D2011" s="116">
        <v>311.3</v>
      </c>
      <c r="E2011" s="116">
        <v>314.10000000000002</v>
      </c>
      <c r="F2011" s="116">
        <v>316.45</v>
      </c>
      <c r="G2011">
        <v>113416</v>
      </c>
      <c r="H2011" s="116"/>
      <c r="I2011" s="116"/>
      <c r="L2011" s="170">
        <v>44964</v>
      </c>
      <c r="M2011" s="116">
        <v>316.45</v>
      </c>
      <c r="N2011" s="116">
        <v>317.45</v>
      </c>
      <c r="O2011" s="116">
        <v>311.25</v>
      </c>
      <c r="P2011" s="116">
        <v>314.75</v>
      </c>
      <c r="Q2011" s="116">
        <v>316.45</v>
      </c>
      <c r="R2011">
        <v>2319895</v>
      </c>
    </row>
    <row r="2012" spans="1:18" x14ac:dyDescent="0.25">
      <c r="A2012" s="170">
        <v>44965</v>
      </c>
      <c r="B2012" s="116">
        <v>319.85000000000002</v>
      </c>
      <c r="C2012" s="116">
        <v>318.35000000000002</v>
      </c>
      <c r="D2012" s="116">
        <v>314</v>
      </c>
      <c r="E2012" s="116">
        <v>319.64999999999998</v>
      </c>
      <c r="F2012" s="116">
        <v>318.35000000000002</v>
      </c>
      <c r="G2012">
        <v>135432</v>
      </c>
      <c r="H2012" s="116"/>
      <c r="I2012" s="116"/>
      <c r="L2012" s="170">
        <v>44965</v>
      </c>
      <c r="M2012" s="116">
        <v>318.45</v>
      </c>
      <c r="N2012" s="116">
        <v>320</v>
      </c>
      <c r="O2012" s="116">
        <v>314</v>
      </c>
      <c r="P2012" s="116">
        <v>317.45</v>
      </c>
      <c r="Q2012" s="116">
        <v>318.45</v>
      </c>
      <c r="R2012">
        <v>3828635</v>
      </c>
    </row>
    <row r="2013" spans="1:18" x14ac:dyDescent="0.25">
      <c r="A2013" s="170">
        <v>44966</v>
      </c>
      <c r="B2013" s="116">
        <v>322.14999999999998</v>
      </c>
      <c r="C2013" s="116">
        <v>319.7</v>
      </c>
      <c r="D2013" s="116">
        <v>317.64999999999998</v>
      </c>
      <c r="E2013" s="116">
        <v>318.64999999999998</v>
      </c>
      <c r="F2013" s="116">
        <v>319.7</v>
      </c>
      <c r="G2013">
        <v>69335</v>
      </c>
      <c r="H2013" s="116"/>
      <c r="I2013" s="116"/>
      <c r="L2013" s="170">
        <v>44966</v>
      </c>
      <c r="M2013" s="116">
        <v>319.64999999999998</v>
      </c>
      <c r="N2013" s="116">
        <v>322.10000000000002</v>
      </c>
      <c r="O2013" s="116">
        <v>317.60000000000002</v>
      </c>
      <c r="P2013" s="116">
        <v>319</v>
      </c>
      <c r="Q2013" s="116">
        <v>319.64999999999998</v>
      </c>
      <c r="R2013">
        <v>2454873</v>
      </c>
    </row>
    <row r="2014" spans="1:18" x14ac:dyDescent="0.25">
      <c r="A2014" s="170">
        <v>44967</v>
      </c>
      <c r="B2014" s="116">
        <v>324.95</v>
      </c>
      <c r="C2014" s="116">
        <v>323.55</v>
      </c>
      <c r="D2014" s="116">
        <v>317.95</v>
      </c>
      <c r="E2014" s="116">
        <v>319.64999999999998</v>
      </c>
      <c r="F2014" s="116">
        <v>323.55</v>
      </c>
      <c r="G2014">
        <v>129527</v>
      </c>
      <c r="H2014" s="116"/>
      <c r="I2014" s="116"/>
      <c r="L2014" s="170">
        <v>44967</v>
      </c>
      <c r="M2014" s="116">
        <v>323.75</v>
      </c>
      <c r="N2014" s="116">
        <v>325</v>
      </c>
      <c r="O2014" s="116">
        <v>318.05</v>
      </c>
      <c r="P2014" s="116">
        <v>318.75</v>
      </c>
      <c r="Q2014" s="116">
        <v>323.75</v>
      </c>
      <c r="R2014">
        <v>2013698</v>
      </c>
    </row>
    <row r="2015" spans="1:18" x14ac:dyDescent="0.25">
      <c r="A2015" s="170">
        <v>44970</v>
      </c>
      <c r="B2015" s="116">
        <v>323.75</v>
      </c>
      <c r="C2015" s="116">
        <v>317.64999999999998</v>
      </c>
      <c r="D2015" s="116">
        <v>316.2</v>
      </c>
      <c r="E2015" s="116">
        <v>323.55</v>
      </c>
      <c r="F2015" s="116">
        <v>317.64999999999998</v>
      </c>
      <c r="G2015">
        <v>60677</v>
      </c>
      <c r="H2015" s="116"/>
      <c r="I2015" s="116"/>
      <c r="L2015" s="170">
        <v>44970</v>
      </c>
      <c r="M2015" s="116">
        <v>317.39999999999998</v>
      </c>
      <c r="N2015" s="116">
        <v>323.89999999999998</v>
      </c>
      <c r="O2015" s="116">
        <v>316.05</v>
      </c>
      <c r="P2015" s="116">
        <v>323.75</v>
      </c>
      <c r="Q2015" s="116">
        <v>317.39999999999998</v>
      </c>
      <c r="R2015">
        <v>1552198</v>
      </c>
    </row>
    <row r="2016" spans="1:18" x14ac:dyDescent="0.25">
      <c r="A2016" s="170">
        <v>44971</v>
      </c>
      <c r="B2016" s="116">
        <v>319</v>
      </c>
      <c r="C2016" s="116">
        <v>314.14999999999998</v>
      </c>
      <c r="D2016" s="116">
        <v>310.64999999999998</v>
      </c>
      <c r="E2016" s="116">
        <v>319</v>
      </c>
      <c r="F2016" s="116">
        <v>314.14999999999998</v>
      </c>
      <c r="G2016">
        <v>114873</v>
      </c>
      <c r="H2016" s="116"/>
      <c r="I2016" s="116"/>
      <c r="L2016" s="170">
        <v>44971</v>
      </c>
      <c r="M2016" s="116">
        <v>314.25</v>
      </c>
      <c r="N2016" s="116">
        <v>318.14999999999998</v>
      </c>
      <c r="O2016" s="116">
        <v>310.60000000000002</v>
      </c>
      <c r="P2016" s="116">
        <v>317.39999999999998</v>
      </c>
      <c r="Q2016" s="116">
        <v>314.25</v>
      </c>
      <c r="R2016">
        <v>2393767</v>
      </c>
    </row>
    <row r="2017" spans="1:18" x14ac:dyDescent="0.25">
      <c r="A2017" s="170">
        <v>44972</v>
      </c>
      <c r="B2017" s="116">
        <v>317.39999999999998</v>
      </c>
      <c r="C2017" s="116">
        <v>315.05</v>
      </c>
      <c r="D2017" s="116">
        <v>311.7</v>
      </c>
      <c r="E2017" s="116">
        <v>313.85000000000002</v>
      </c>
      <c r="F2017" s="116">
        <v>315.05</v>
      </c>
      <c r="G2017">
        <v>35403</v>
      </c>
      <c r="H2017" s="116"/>
      <c r="I2017" s="116"/>
      <c r="L2017" s="170">
        <v>44972</v>
      </c>
      <c r="M2017" s="116">
        <v>315.05</v>
      </c>
      <c r="N2017" s="116">
        <v>317.45</v>
      </c>
      <c r="O2017" s="116">
        <v>311.64999999999998</v>
      </c>
      <c r="P2017" s="116">
        <v>312.7</v>
      </c>
      <c r="Q2017" s="116">
        <v>315.05</v>
      </c>
      <c r="R2017">
        <v>1353334</v>
      </c>
    </row>
    <row r="2018" spans="1:18" x14ac:dyDescent="0.25">
      <c r="A2018" s="170">
        <v>44973</v>
      </c>
      <c r="B2018" s="116">
        <v>323.3</v>
      </c>
      <c r="C2018" s="116">
        <v>321.89999999999998</v>
      </c>
      <c r="D2018" s="116">
        <v>315.85000000000002</v>
      </c>
      <c r="E2018" s="116">
        <v>317.95</v>
      </c>
      <c r="F2018" s="116">
        <v>321.89999999999998</v>
      </c>
      <c r="G2018">
        <v>135740</v>
      </c>
      <c r="H2018" s="116"/>
      <c r="I2018" s="116"/>
      <c r="L2018" s="170">
        <v>44973</v>
      </c>
      <c r="M2018" s="116">
        <v>321.95</v>
      </c>
      <c r="N2018" s="116">
        <v>323.39999999999998</v>
      </c>
      <c r="O2018" s="116">
        <v>316.05</v>
      </c>
      <c r="P2018" s="116">
        <v>316.60000000000002</v>
      </c>
      <c r="Q2018" s="116">
        <v>321.95</v>
      </c>
      <c r="R2018">
        <v>3051073</v>
      </c>
    </row>
    <row r="2019" spans="1:18" x14ac:dyDescent="0.25">
      <c r="A2019" s="170">
        <v>44974</v>
      </c>
      <c r="B2019" s="116">
        <v>324.89999999999998</v>
      </c>
      <c r="C2019" s="116">
        <v>318.14999999999998</v>
      </c>
      <c r="D2019" s="116">
        <v>317.5</v>
      </c>
      <c r="E2019" s="116">
        <v>321.05</v>
      </c>
      <c r="F2019" s="116">
        <v>318.14999999999998</v>
      </c>
      <c r="G2019">
        <v>50818</v>
      </c>
      <c r="H2019" s="116"/>
      <c r="I2019" s="116"/>
      <c r="L2019" s="170">
        <v>44974</v>
      </c>
      <c r="M2019" s="116">
        <v>318.10000000000002</v>
      </c>
      <c r="N2019" s="116">
        <v>325</v>
      </c>
      <c r="O2019" s="116">
        <v>317.05</v>
      </c>
      <c r="P2019" s="116">
        <v>322</v>
      </c>
      <c r="Q2019" s="116">
        <v>318.10000000000002</v>
      </c>
      <c r="R2019">
        <v>1755117</v>
      </c>
    </row>
    <row r="2020" spans="1:18" x14ac:dyDescent="0.25">
      <c r="A2020" s="170">
        <v>44977</v>
      </c>
      <c r="B2020" s="116">
        <v>319.95</v>
      </c>
      <c r="C2020" s="116">
        <v>314.75</v>
      </c>
      <c r="D2020" s="116">
        <v>314.2</v>
      </c>
      <c r="E2020" s="116">
        <v>318.2</v>
      </c>
      <c r="F2020" s="116">
        <v>314.75</v>
      </c>
      <c r="G2020">
        <v>78288</v>
      </c>
      <c r="H2020" s="116"/>
      <c r="I2020" s="116"/>
      <c r="L2020" s="170">
        <v>44977</v>
      </c>
      <c r="M2020" s="116">
        <v>314.75</v>
      </c>
      <c r="N2020" s="116">
        <v>319.89999999999998</v>
      </c>
      <c r="O2020" s="116">
        <v>314.2</v>
      </c>
      <c r="P2020" s="116">
        <v>318.8</v>
      </c>
      <c r="Q2020" s="116">
        <v>314.75</v>
      </c>
      <c r="R2020">
        <v>1122331</v>
      </c>
    </row>
    <row r="2021" spans="1:18" x14ac:dyDescent="0.25">
      <c r="A2021" s="170">
        <v>44978</v>
      </c>
      <c r="B2021" s="116">
        <v>316.25</v>
      </c>
      <c r="C2021" s="116">
        <v>309.60000000000002</v>
      </c>
      <c r="D2021" s="116">
        <v>308.60000000000002</v>
      </c>
      <c r="E2021" s="116">
        <v>315.10000000000002</v>
      </c>
      <c r="F2021" s="116">
        <v>309.60000000000002</v>
      </c>
      <c r="G2021">
        <v>105605</v>
      </c>
      <c r="H2021" s="116"/>
      <c r="I2021" s="116"/>
      <c r="L2021" s="170">
        <v>44978</v>
      </c>
      <c r="M2021" s="116">
        <v>309.85000000000002</v>
      </c>
      <c r="N2021" s="116">
        <v>316.7</v>
      </c>
      <c r="O2021" s="116">
        <v>308.7</v>
      </c>
      <c r="P2021" s="116">
        <v>316</v>
      </c>
      <c r="Q2021" s="116">
        <v>309.85000000000002</v>
      </c>
      <c r="R2021">
        <v>2178497</v>
      </c>
    </row>
    <row r="2022" spans="1:18" x14ac:dyDescent="0.25">
      <c r="A2022" s="170">
        <v>44979</v>
      </c>
      <c r="B2022" s="116">
        <v>309</v>
      </c>
      <c r="C2022" s="116">
        <v>299.64999999999998</v>
      </c>
      <c r="D2022" s="116">
        <v>298.2</v>
      </c>
      <c r="E2022" s="116">
        <v>309</v>
      </c>
      <c r="F2022" s="116">
        <v>299.64999999999998</v>
      </c>
      <c r="G2022">
        <v>86999</v>
      </c>
      <c r="H2022" s="116"/>
      <c r="I2022" s="116"/>
      <c r="L2022" s="170">
        <v>44979</v>
      </c>
      <c r="M2022" s="116">
        <v>299.60000000000002</v>
      </c>
      <c r="N2022" s="116">
        <v>309.2</v>
      </c>
      <c r="O2022" s="116">
        <v>298.2</v>
      </c>
      <c r="P2022" s="116">
        <v>308</v>
      </c>
      <c r="Q2022" s="116">
        <v>299.60000000000002</v>
      </c>
      <c r="R2022">
        <v>4232835</v>
      </c>
    </row>
    <row r="2023" spans="1:18" x14ac:dyDescent="0.25">
      <c r="A2023" s="170">
        <v>44980</v>
      </c>
      <c r="B2023" s="116">
        <v>309.64999999999998</v>
      </c>
      <c r="C2023" s="116">
        <v>308.3</v>
      </c>
      <c r="D2023" s="116">
        <v>300</v>
      </c>
      <c r="E2023" s="116">
        <v>300.05</v>
      </c>
      <c r="F2023" s="116">
        <v>308.3</v>
      </c>
      <c r="G2023">
        <v>136749</v>
      </c>
      <c r="H2023" s="116"/>
      <c r="I2023" s="116"/>
      <c r="L2023" s="170">
        <v>44980</v>
      </c>
      <c r="M2023" s="116">
        <v>308.3</v>
      </c>
      <c r="N2023" s="116">
        <v>309.8</v>
      </c>
      <c r="O2023" s="116">
        <v>300</v>
      </c>
      <c r="P2023" s="116">
        <v>301.10000000000002</v>
      </c>
      <c r="Q2023" s="116">
        <v>308.3</v>
      </c>
      <c r="R2023">
        <v>4408387</v>
      </c>
    </row>
    <row r="2024" spans="1:18" x14ac:dyDescent="0.25">
      <c r="A2024" s="170">
        <v>44981</v>
      </c>
      <c r="B2024" s="116">
        <v>314.39999999999998</v>
      </c>
      <c r="C2024" s="116">
        <v>309.64999999999998</v>
      </c>
      <c r="D2024" s="116">
        <v>308.2</v>
      </c>
      <c r="E2024" s="116">
        <v>310.55</v>
      </c>
      <c r="F2024" s="116">
        <v>309.64999999999998</v>
      </c>
      <c r="G2024">
        <v>135424</v>
      </c>
      <c r="H2024" s="116"/>
      <c r="I2024" s="116"/>
      <c r="L2024" s="170">
        <v>44981</v>
      </c>
      <c r="M2024" s="116">
        <v>309.60000000000002</v>
      </c>
      <c r="N2024" s="116">
        <v>314.39999999999998</v>
      </c>
      <c r="O2024" s="116">
        <v>308.14999999999998</v>
      </c>
      <c r="P2024" s="116">
        <v>309.45</v>
      </c>
      <c r="Q2024" s="116">
        <v>309.60000000000002</v>
      </c>
      <c r="R2024">
        <v>3867681</v>
      </c>
    </row>
    <row r="2025" spans="1:18" x14ac:dyDescent="0.25">
      <c r="A2025" s="170">
        <v>44984</v>
      </c>
      <c r="B2025" s="116">
        <v>316</v>
      </c>
      <c r="C2025" s="116">
        <v>314.75</v>
      </c>
      <c r="D2025" s="116">
        <v>307.39999999999998</v>
      </c>
      <c r="E2025" s="116">
        <v>310.8</v>
      </c>
      <c r="F2025" s="116">
        <v>314.75</v>
      </c>
      <c r="G2025">
        <v>149958</v>
      </c>
      <c r="H2025" s="116"/>
      <c r="I2025" s="116"/>
      <c r="L2025" s="170">
        <v>44984</v>
      </c>
      <c r="M2025" s="116">
        <v>315.10000000000002</v>
      </c>
      <c r="N2025" s="116">
        <v>318</v>
      </c>
      <c r="O2025" s="116">
        <v>307.45</v>
      </c>
      <c r="P2025" s="116">
        <v>310.10000000000002</v>
      </c>
      <c r="Q2025" s="116">
        <v>315.10000000000002</v>
      </c>
      <c r="R2025">
        <v>2772486</v>
      </c>
    </row>
    <row r="2026" spans="1:18" x14ac:dyDescent="0.25">
      <c r="A2026" s="170">
        <v>44985</v>
      </c>
      <c r="B2026" s="116">
        <v>318.95</v>
      </c>
      <c r="C2026" s="116">
        <v>310.60000000000002</v>
      </c>
      <c r="D2026" s="116">
        <v>308.95</v>
      </c>
      <c r="E2026" s="116">
        <v>318.95</v>
      </c>
      <c r="F2026" s="116">
        <v>310.60000000000002</v>
      </c>
      <c r="G2026">
        <v>76442</v>
      </c>
      <c r="H2026" s="116"/>
      <c r="I2026" s="116"/>
      <c r="L2026" s="170">
        <v>44985</v>
      </c>
      <c r="M2026" s="116">
        <v>310.75</v>
      </c>
      <c r="N2026" s="116">
        <v>318.35000000000002</v>
      </c>
      <c r="O2026" s="116">
        <v>308.7</v>
      </c>
      <c r="P2026" s="116">
        <v>316.45</v>
      </c>
      <c r="Q2026" s="116">
        <v>310.75</v>
      </c>
      <c r="R2026">
        <v>6413231</v>
      </c>
    </row>
    <row r="2027" spans="1:18" x14ac:dyDescent="0.25">
      <c r="A2027" s="170">
        <v>44986</v>
      </c>
      <c r="B2027" s="116">
        <v>316.95</v>
      </c>
      <c r="C2027" s="116">
        <v>314.85000000000002</v>
      </c>
      <c r="D2027" s="116">
        <v>309.39999999999998</v>
      </c>
      <c r="E2027" s="116">
        <v>310.95</v>
      </c>
      <c r="F2027" s="116">
        <v>314.85000000000002</v>
      </c>
      <c r="G2027">
        <v>41257</v>
      </c>
      <c r="H2027" s="116"/>
      <c r="I2027" s="116"/>
      <c r="L2027" s="170">
        <v>44986</v>
      </c>
      <c r="M2027" s="116">
        <v>315</v>
      </c>
      <c r="N2027" s="116">
        <v>316.89999999999998</v>
      </c>
      <c r="O2027" s="116">
        <v>309.35000000000002</v>
      </c>
      <c r="P2027" s="116">
        <v>312</v>
      </c>
      <c r="Q2027" s="116">
        <v>315</v>
      </c>
      <c r="R2027">
        <v>1756767</v>
      </c>
    </row>
    <row r="2028" spans="1:18" x14ac:dyDescent="0.25">
      <c r="A2028" s="170">
        <v>44987</v>
      </c>
      <c r="B2028" s="116">
        <v>318.39999999999998</v>
      </c>
      <c r="C2028" s="116">
        <v>314.95</v>
      </c>
      <c r="D2028" s="116">
        <v>313.60000000000002</v>
      </c>
      <c r="E2028" s="116">
        <v>316</v>
      </c>
      <c r="F2028" s="116">
        <v>314.95</v>
      </c>
      <c r="G2028">
        <v>41087</v>
      </c>
      <c r="H2028" s="116"/>
      <c r="I2028" s="116"/>
      <c r="L2028" s="170">
        <v>44987</v>
      </c>
      <c r="M2028" s="116">
        <v>315.10000000000002</v>
      </c>
      <c r="N2028" s="116">
        <v>318.5</v>
      </c>
      <c r="O2028" s="116">
        <v>313.64999999999998</v>
      </c>
      <c r="P2028" s="116">
        <v>315.8</v>
      </c>
      <c r="Q2028" s="116">
        <v>315.10000000000002</v>
      </c>
      <c r="R2028">
        <v>1906846</v>
      </c>
    </row>
    <row r="2029" spans="1:18" x14ac:dyDescent="0.25">
      <c r="A2029" s="170">
        <v>44988</v>
      </c>
      <c r="B2029" s="116">
        <v>319.95</v>
      </c>
      <c r="C2029" s="116">
        <v>318</v>
      </c>
      <c r="D2029" s="116">
        <v>315</v>
      </c>
      <c r="E2029" s="116">
        <v>315</v>
      </c>
      <c r="F2029" s="116">
        <v>318</v>
      </c>
      <c r="G2029">
        <v>95615</v>
      </c>
      <c r="H2029" s="116"/>
      <c r="I2029" s="116"/>
      <c r="L2029" s="170">
        <v>44988</v>
      </c>
      <c r="M2029" s="116">
        <v>318.05</v>
      </c>
      <c r="N2029" s="116">
        <v>320</v>
      </c>
      <c r="O2029" s="116">
        <v>315.5</v>
      </c>
      <c r="P2029" s="116">
        <v>316.05</v>
      </c>
      <c r="Q2029" s="116">
        <v>318.05</v>
      </c>
      <c r="R2029">
        <v>2452201</v>
      </c>
    </row>
    <row r="2030" spans="1:18" x14ac:dyDescent="0.25">
      <c r="A2030" s="170">
        <v>44991</v>
      </c>
      <c r="B2030" s="116">
        <v>322.39999999999998</v>
      </c>
      <c r="C2030" s="116">
        <v>319.89999999999998</v>
      </c>
      <c r="D2030" s="116">
        <v>317.39999999999998</v>
      </c>
      <c r="E2030" s="116">
        <v>319.85000000000002</v>
      </c>
      <c r="F2030" s="116">
        <v>319.89999999999998</v>
      </c>
      <c r="G2030">
        <v>74651</v>
      </c>
      <c r="H2030" s="116"/>
      <c r="I2030" s="116"/>
      <c r="L2030" s="170">
        <v>44991</v>
      </c>
      <c r="M2030" s="116">
        <v>319.7</v>
      </c>
      <c r="N2030" s="116">
        <v>322.5</v>
      </c>
      <c r="O2030" s="116">
        <v>317.3</v>
      </c>
      <c r="P2030" s="116">
        <v>319.3</v>
      </c>
      <c r="Q2030" s="116">
        <v>319.7</v>
      </c>
      <c r="R2030">
        <v>2872021</v>
      </c>
    </row>
    <row r="2031" spans="1:18" x14ac:dyDescent="0.25">
      <c r="A2031" s="170">
        <v>44993</v>
      </c>
      <c r="B2031" s="116">
        <v>327.5</v>
      </c>
      <c r="C2031" s="116">
        <v>326.85000000000002</v>
      </c>
      <c r="D2031" s="116">
        <v>318</v>
      </c>
      <c r="E2031" s="116">
        <v>318</v>
      </c>
      <c r="F2031" s="116">
        <v>326.85000000000002</v>
      </c>
      <c r="G2031">
        <v>159127</v>
      </c>
      <c r="H2031" s="116"/>
      <c r="I2031" s="116"/>
      <c r="L2031" s="170">
        <v>44993</v>
      </c>
      <c r="M2031" s="116">
        <v>327</v>
      </c>
      <c r="N2031" s="116">
        <v>327.75</v>
      </c>
      <c r="O2031" s="116">
        <v>318.05</v>
      </c>
      <c r="P2031" s="116">
        <v>319.7</v>
      </c>
      <c r="Q2031" s="116">
        <v>327</v>
      </c>
      <c r="R2031">
        <v>2310325</v>
      </c>
    </row>
    <row r="2032" spans="1:18" x14ac:dyDescent="0.25">
      <c r="A2032" s="170">
        <v>44994</v>
      </c>
      <c r="B2032" s="116">
        <v>330.6</v>
      </c>
      <c r="C2032" s="116">
        <v>321.64999999999998</v>
      </c>
      <c r="D2032" s="116">
        <v>321</v>
      </c>
      <c r="E2032" s="116">
        <v>325.25</v>
      </c>
      <c r="F2032" s="116">
        <v>321.64999999999998</v>
      </c>
      <c r="G2032">
        <v>122847</v>
      </c>
      <c r="H2032" s="116"/>
      <c r="I2032" s="116"/>
      <c r="L2032" s="170">
        <v>44994</v>
      </c>
      <c r="M2032" s="116">
        <v>321.8</v>
      </c>
      <c r="N2032" s="116">
        <v>330.7</v>
      </c>
      <c r="O2032" s="116">
        <v>321.05</v>
      </c>
      <c r="P2032" s="116">
        <v>327.2</v>
      </c>
      <c r="Q2032" s="116">
        <v>321.8</v>
      </c>
      <c r="R2032">
        <v>3685557</v>
      </c>
    </row>
    <row r="2033" spans="1:18" x14ac:dyDescent="0.25">
      <c r="A2033" s="170">
        <v>44995</v>
      </c>
      <c r="B2033" s="116">
        <v>321.14999999999998</v>
      </c>
      <c r="C2033" s="116">
        <v>317.10000000000002</v>
      </c>
      <c r="D2033" s="116">
        <v>313.45</v>
      </c>
      <c r="E2033" s="116">
        <v>320</v>
      </c>
      <c r="F2033" s="116">
        <v>317.10000000000002</v>
      </c>
      <c r="G2033">
        <v>67549</v>
      </c>
      <c r="H2033" s="116"/>
      <c r="I2033" s="116"/>
      <c r="L2033" s="170">
        <v>44995</v>
      </c>
      <c r="M2033" s="116">
        <v>317.35000000000002</v>
      </c>
      <c r="N2033" s="116">
        <v>321.5</v>
      </c>
      <c r="O2033" s="116">
        <v>313.39999999999998</v>
      </c>
      <c r="P2033" s="116">
        <v>321.5</v>
      </c>
      <c r="Q2033" s="116">
        <v>317.35000000000002</v>
      </c>
      <c r="R2033">
        <v>1983100</v>
      </c>
    </row>
    <row r="2034" spans="1:18" x14ac:dyDescent="0.25">
      <c r="A2034" s="170">
        <v>44998</v>
      </c>
      <c r="B2034" s="116">
        <v>318</v>
      </c>
      <c r="C2034" s="116">
        <v>312.2</v>
      </c>
      <c r="D2034" s="116">
        <v>310.60000000000002</v>
      </c>
      <c r="E2034" s="116">
        <v>315.05</v>
      </c>
      <c r="F2034" s="116">
        <v>312.2</v>
      </c>
      <c r="G2034">
        <v>92159</v>
      </c>
      <c r="H2034" s="116"/>
      <c r="I2034" s="116"/>
      <c r="L2034" s="170">
        <v>44998</v>
      </c>
      <c r="M2034" s="116">
        <v>312.14999999999998</v>
      </c>
      <c r="N2034" s="116">
        <v>318.3</v>
      </c>
      <c r="O2034" s="116">
        <v>310.55</v>
      </c>
      <c r="P2034" s="116">
        <v>317.35000000000002</v>
      </c>
      <c r="Q2034" s="116">
        <v>312.14999999999998</v>
      </c>
      <c r="R2034">
        <v>2251942</v>
      </c>
    </row>
    <row r="2035" spans="1:18" x14ac:dyDescent="0.25">
      <c r="A2035" s="170">
        <v>44999</v>
      </c>
      <c r="B2035" s="116">
        <v>316.3</v>
      </c>
      <c r="C2035" s="116">
        <v>315.5</v>
      </c>
      <c r="D2035" s="116">
        <v>306.89999999999998</v>
      </c>
      <c r="E2035" s="116">
        <v>310.5</v>
      </c>
      <c r="F2035" s="116">
        <v>315.5</v>
      </c>
      <c r="G2035">
        <v>134504</v>
      </c>
      <c r="H2035" s="116"/>
      <c r="I2035" s="116"/>
      <c r="L2035" s="170">
        <v>44999</v>
      </c>
      <c r="M2035" s="116">
        <v>315.64999999999998</v>
      </c>
      <c r="N2035" s="116">
        <v>316.75</v>
      </c>
      <c r="O2035" s="116">
        <v>306.7</v>
      </c>
      <c r="P2035" s="116">
        <v>312.10000000000002</v>
      </c>
      <c r="Q2035" s="116">
        <v>315.64999999999998</v>
      </c>
      <c r="R2035">
        <v>2813465</v>
      </c>
    </row>
    <row r="2036" spans="1:18" x14ac:dyDescent="0.25">
      <c r="A2036" s="170">
        <v>45000</v>
      </c>
      <c r="B2036" s="116">
        <v>319</v>
      </c>
      <c r="C2036" s="116">
        <v>315.55</v>
      </c>
      <c r="D2036" s="116">
        <v>314.10000000000002</v>
      </c>
      <c r="E2036" s="116">
        <v>319</v>
      </c>
      <c r="F2036" s="116">
        <v>315.55</v>
      </c>
      <c r="G2036">
        <v>46794</v>
      </c>
      <c r="H2036" s="116"/>
      <c r="I2036" s="116"/>
      <c r="L2036" s="170">
        <v>45000</v>
      </c>
      <c r="M2036" s="116">
        <v>315.64999999999998</v>
      </c>
      <c r="N2036" s="116">
        <v>318.95</v>
      </c>
      <c r="O2036" s="116">
        <v>314</v>
      </c>
      <c r="P2036" s="116">
        <v>317</v>
      </c>
      <c r="Q2036" s="116">
        <v>315.64999999999998</v>
      </c>
      <c r="R2036">
        <v>1572618</v>
      </c>
    </row>
    <row r="2037" spans="1:18" x14ac:dyDescent="0.25">
      <c r="A2037" s="170">
        <v>45001</v>
      </c>
      <c r="B2037" s="116">
        <v>321.75</v>
      </c>
      <c r="C2037" s="116">
        <v>320.8</v>
      </c>
      <c r="D2037" s="116">
        <v>312.25</v>
      </c>
      <c r="E2037" s="116">
        <v>314.95</v>
      </c>
      <c r="F2037" s="116">
        <v>320.8</v>
      </c>
      <c r="G2037">
        <v>43146</v>
      </c>
      <c r="H2037" s="116"/>
      <c r="I2037" s="116"/>
      <c r="L2037" s="170">
        <v>45001</v>
      </c>
      <c r="M2037" s="116">
        <v>320.89999999999998</v>
      </c>
      <c r="N2037" s="116">
        <v>321.89999999999998</v>
      </c>
      <c r="O2037" s="116">
        <v>312.14999999999998</v>
      </c>
      <c r="P2037" s="116">
        <v>313.14999999999998</v>
      </c>
      <c r="Q2037" s="116">
        <v>320.89999999999998</v>
      </c>
      <c r="R2037">
        <v>2239532</v>
      </c>
    </row>
    <row r="2038" spans="1:18" x14ac:dyDescent="0.25">
      <c r="A2038" s="170">
        <v>45002</v>
      </c>
      <c r="B2038" s="116">
        <v>323.75</v>
      </c>
      <c r="C2038" s="116">
        <v>321.75</v>
      </c>
      <c r="D2038" s="116">
        <v>319.10000000000002</v>
      </c>
      <c r="E2038" s="116">
        <v>322</v>
      </c>
      <c r="F2038" s="116">
        <v>321.75</v>
      </c>
      <c r="G2038">
        <v>43024</v>
      </c>
      <c r="H2038" s="116"/>
      <c r="I2038" s="116"/>
      <c r="L2038" s="170">
        <v>45002</v>
      </c>
      <c r="M2038" s="116">
        <v>321.85000000000002</v>
      </c>
      <c r="N2038" s="116">
        <v>324.2</v>
      </c>
      <c r="O2038" s="116">
        <v>319.05</v>
      </c>
      <c r="P2038" s="116">
        <v>322.55</v>
      </c>
      <c r="Q2038" s="116">
        <v>321.85000000000002</v>
      </c>
      <c r="R2038">
        <v>3180834</v>
      </c>
    </row>
    <row r="2039" spans="1:18" x14ac:dyDescent="0.25">
      <c r="A2039" s="170">
        <v>45005</v>
      </c>
      <c r="B2039" s="116">
        <v>321.95</v>
      </c>
      <c r="C2039" s="116">
        <v>315.2</v>
      </c>
      <c r="D2039" s="116">
        <v>311.55</v>
      </c>
      <c r="E2039" s="116">
        <v>321.8</v>
      </c>
      <c r="F2039" s="116">
        <v>315.2</v>
      </c>
      <c r="G2039">
        <v>72993</v>
      </c>
      <c r="H2039" s="116"/>
      <c r="I2039" s="116"/>
      <c r="L2039" s="170">
        <v>45005</v>
      </c>
      <c r="M2039" s="116">
        <v>315.10000000000002</v>
      </c>
      <c r="N2039" s="116">
        <v>324.39999999999998</v>
      </c>
      <c r="O2039" s="116">
        <v>311.45</v>
      </c>
      <c r="P2039" s="116">
        <v>324.39999999999998</v>
      </c>
      <c r="Q2039" s="116">
        <v>315.10000000000002</v>
      </c>
      <c r="R2039">
        <v>1947923</v>
      </c>
    </row>
    <row r="2040" spans="1:18" x14ac:dyDescent="0.25">
      <c r="A2040" s="170">
        <v>45006</v>
      </c>
      <c r="B2040" s="116">
        <v>319.85000000000002</v>
      </c>
      <c r="C2040" s="116">
        <v>317.75</v>
      </c>
      <c r="D2040" s="116">
        <v>316.05</v>
      </c>
      <c r="E2040" s="116">
        <v>316.5</v>
      </c>
      <c r="F2040" s="116">
        <v>317.75</v>
      </c>
      <c r="G2040">
        <v>159712</v>
      </c>
      <c r="H2040" s="116"/>
      <c r="I2040" s="116"/>
      <c r="L2040" s="170">
        <v>45006</v>
      </c>
      <c r="M2040" s="116">
        <v>317.85000000000002</v>
      </c>
      <c r="N2040" s="116">
        <v>319.89999999999998</v>
      </c>
      <c r="O2040" s="116">
        <v>315.95</v>
      </c>
      <c r="P2040" s="116">
        <v>316.7</v>
      </c>
      <c r="Q2040" s="116">
        <v>317.85000000000002</v>
      </c>
      <c r="R2040">
        <v>1793808</v>
      </c>
    </row>
    <row r="2041" spans="1:18" x14ac:dyDescent="0.25">
      <c r="A2041" s="170">
        <v>45007</v>
      </c>
      <c r="B2041" s="116">
        <v>319.8</v>
      </c>
      <c r="C2041" s="116">
        <v>315.10000000000002</v>
      </c>
      <c r="D2041" s="116">
        <v>312.95</v>
      </c>
      <c r="E2041" s="116">
        <v>318</v>
      </c>
      <c r="F2041" s="116">
        <v>315.10000000000002</v>
      </c>
      <c r="G2041">
        <v>50015</v>
      </c>
      <c r="H2041" s="116"/>
      <c r="I2041" s="116"/>
      <c r="L2041" s="170">
        <v>45007</v>
      </c>
      <c r="M2041" s="116">
        <v>315.10000000000002</v>
      </c>
      <c r="N2041" s="116">
        <v>319.75</v>
      </c>
      <c r="O2041" s="116">
        <v>312.64999999999998</v>
      </c>
      <c r="P2041" s="116">
        <v>318.85000000000002</v>
      </c>
      <c r="Q2041" s="116">
        <v>315.10000000000002</v>
      </c>
      <c r="R2041">
        <v>1524897</v>
      </c>
    </row>
    <row r="2042" spans="1:18" x14ac:dyDescent="0.25">
      <c r="A2042" s="170">
        <v>45008</v>
      </c>
      <c r="B2042" s="116">
        <v>318.35000000000002</v>
      </c>
      <c r="C2042" s="116">
        <v>313.95</v>
      </c>
      <c r="D2042" s="116">
        <v>313.35000000000002</v>
      </c>
      <c r="E2042" s="116">
        <v>315.95</v>
      </c>
      <c r="F2042" s="116">
        <v>313.95</v>
      </c>
      <c r="G2042">
        <v>65194</v>
      </c>
      <c r="H2042" s="116"/>
      <c r="I2042" s="116"/>
      <c r="L2042" s="170">
        <v>45008</v>
      </c>
      <c r="M2042" s="116">
        <v>314.05</v>
      </c>
      <c r="N2042" s="116">
        <v>318.3</v>
      </c>
      <c r="O2042" s="116">
        <v>313.39999999999998</v>
      </c>
      <c r="P2042" s="116">
        <v>315.05</v>
      </c>
      <c r="Q2042" s="116">
        <v>314.05</v>
      </c>
      <c r="R2042">
        <v>1778728</v>
      </c>
    </row>
    <row r="2043" spans="1:18" x14ac:dyDescent="0.25">
      <c r="A2043" s="170">
        <v>45009</v>
      </c>
      <c r="B2043" s="116">
        <v>315.8</v>
      </c>
      <c r="C2043" s="116">
        <v>310.2</v>
      </c>
      <c r="D2043" s="116">
        <v>309.5</v>
      </c>
      <c r="E2043" s="116">
        <v>315.75</v>
      </c>
      <c r="F2043" s="116">
        <v>310.2</v>
      </c>
      <c r="G2043">
        <v>32446</v>
      </c>
      <c r="H2043" s="116"/>
      <c r="I2043" s="116"/>
      <c r="L2043" s="170">
        <v>45009</v>
      </c>
      <c r="M2043" s="116">
        <v>310.45</v>
      </c>
      <c r="N2043" s="116">
        <v>315.95</v>
      </c>
      <c r="O2043" s="116">
        <v>309.39999999999998</v>
      </c>
      <c r="P2043" s="116">
        <v>314</v>
      </c>
      <c r="Q2043" s="116">
        <v>310.45</v>
      </c>
      <c r="R2043">
        <v>1383891</v>
      </c>
    </row>
    <row r="2044" spans="1:18" x14ac:dyDescent="0.25">
      <c r="A2044" s="170">
        <v>45012</v>
      </c>
      <c r="B2044" s="116">
        <v>310.45</v>
      </c>
      <c r="C2044" s="116">
        <v>304.8</v>
      </c>
      <c r="D2044" s="116">
        <v>303.10000000000002</v>
      </c>
      <c r="E2044" s="116">
        <v>309.05</v>
      </c>
      <c r="F2044" s="116">
        <v>304.8</v>
      </c>
      <c r="G2044">
        <v>48173</v>
      </c>
      <c r="H2044" s="116"/>
      <c r="I2044" s="116"/>
      <c r="L2044" s="170">
        <v>45012</v>
      </c>
      <c r="M2044" s="116">
        <v>304.95</v>
      </c>
      <c r="N2044" s="116">
        <v>311.8</v>
      </c>
      <c r="O2044" s="116">
        <v>303</v>
      </c>
      <c r="P2044" s="116">
        <v>310.45</v>
      </c>
      <c r="Q2044" s="116">
        <v>304.95</v>
      </c>
      <c r="R2044">
        <v>2877356</v>
      </c>
    </row>
    <row r="2045" spans="1:18" x14ac:dyDescent="0.25">
      <c r="A2045" s="170">
        <v>45013</v>
      </c>
      <c r="B2045" s="116">
        <v>313.2</v>
      </c>
      <c r="C2045" s="116">
        <v>312.5</v>
      </c>
      <c r="D2045" s="116">
        <v>302.3</v>
      </c>
      <c r="E2045" s="116">
        <v>310</v>
      </c>
      <c r="F2045" s="116">
        <v>312.5</v>
      </c>
      <c r="G2045">
        <v>61828</v>
      </c>
      <c r="H2045" s="116"/>
      <c r="I2045" s="116"/>
      <c r="L2045" s="170">
        <v>45013</v>
      </c>
      <c r="M2045" s="116">
        <v>312.10000000000002</v>
      </c>
      <c r="N2045" s="116">
        <v>313.5</v>
      </c>
      <c r="O2045" s="116">
        <v>302.10000000000002</v>
      </c>
      <c r="P2045" s="116">
        <v>306.5</v>
      </c>
      <c r="Q2045" s="116">
        <v>312.10000000000002</v>
      </c>
      <c r="R2045">
        <v>3338848</v>
      </c>
    </row>
    <row r="2046" spans="1:18" x14ac:dyDescent="0.25">
      <c r="A2046" s="170">
        <v>45014</v>
      </c>
      <c r="B2046" s="116">
        <v>319.89999999999998</v>
      </c>
      <c r="C2046" s="116">
        <v>319.05</v>
      </c>
      <c r="D2046" s="116">
        <v>310</v>
      </c>
      <c r="E2046" s="116">
        <v>312.85000000000002</v>
      </c>
      <c r="F2046" s="116">
        <v>319.05</v>
      </c>
      <c r="G2046">
        <v>199871</v>
      </c>
      <c r="H2046" s="116"/>
      <c r="I2046" s="116"/>
      <c r="L2046" s="170">
        <v>45014</v>
      </c>
      <c r="M2046" s="116">
        <v>319.05</v>
      </c>
      <c r="N2046" s="116">
        <v>319.8</v>
      </c>
      <c r="O2046" s="116">
        <v>310</v>
      </c>
      <c r="P2046" s="116">
        <v>312</v>
      </c>
      <c r="Q2046" s="116">
        <v>319.05</v>
      </c>
      <c r="R2046">
        <v>3193116</v>
      </c>
    </row>
    <row r="2047" spans="1:18" x14ac:dyDescent="0.25">
      <c r="A2047" s="170">
        <v>45016</v>
      </c>
      <c r="B2047" s="116">
        <v>326.60000000000002</v>
      </c>
      <c r="C2047" s="116">
        <v>324.39999999999998</v>
      </c>
      <c r="D2047" s="116">
        <v>318.14999999999998</v>
      </c>
      <c r="E2047" s="116">
        <v>318.14999999999998</v>
      </c>
      <c r="F2047" s="116">
        <v>324.39999999999998</v>
      </c>
      <c r="G2047">
        <v>244458</v>
      </c>
      <c r="H2047" s="116"/>
      <c r="I2047" s="116"/>
      <c r="L2047" s="170">
        <v>45016</v>
      </c>
      <c r="M2047" s="116">
        <v>324.35000000000002</v>
      </c>
      <c r="N2047" s="116">
        <v>326.8</v>
      </c>
      <c r="O2047" s="116">
        <v>318.85000000000002</v>
      </c>
      <c r="P2047" s="116">
        <v>320.5</v>
      </c>
      <c r="Q2047" s="116">
        <v>324.35000000000002</v>
      </c>
      <c r="R2047">
        <v>3928162</v>
      </c>
    </row>
    <row r="2048" spans="1:18" x14ac:dyDescent="0.25">
      <c r="A2048" s="170">
        <v>45019</v>
      </c>
      <c r="B2048" s="116">
        <v>325</v>
      </c>
      <c r="C2048" s="116">
        <v>321</v>
      </c>
      <c r="D2048" s="116">
        <v>319.14999999999998</v>
      </c>
      <c r="E2048" s="116">
        <v>324.3</v>
      </c>
      <c r="F2048" s="116">
        <v>321</v>
      </c>
      <c r="G2048">
        <v>181123</v>
      </c>
      <c r="H2048" s="116"/>
      <c r="I2048" s="116"/>
      <c r="L2048" s="170">
        <v>45019</v>
      </c>
      <c r="M2048" s="116">
        <v>321.05</v>
      </c>
      <c r="N2048" s="116">
        <v>325</v>
      </c>
      <c r="O2048" s="116">
        <v>319.14999999999998</v>
      </c>
      <c r="P2048" s="116">
        <v>324.8</v>
      </c>
      <c r="Q2048" s="116">
        <v>321.05</v>
      </c>
      <c r="R2048">
        <v>4349256</v>
      </c>
    </row>
    <row r="2049" spans="1:18" x14ac:dyDescent="0.25">
      <c r="A2049" s="170">
        <v>45021</v>
      </c>
      <c r="B2049" s="116">
        <v>324.60000000000002</v>
      </c>
      <c r="C2049" s="116">
        <v>323.89999999999998</v>
      </c>
      <c r="D2049" s="116">
        <v>318.3</v>
      </c>
      <c r="E2049" s="116">
        <v>320</v>
      </c>
      <c r="F2049" s="116">
        <v>323.89999999999998</v>
      </c>
      <c r="G2049">
        <v>46408</v>
      </c>
      <c r="H2049" s="116"/>
      <c r="I2049" s="116"/>
      <c r="L2049" s="170">
        <v>45021</v>
      </c>
      <c r="M2049" s="116">
        <v>323.89999999999998</v>
      </c>
      <c r="N2049" s="116">
        <v>324.64999999999998</v>
      </c>
      <c r="O2049" s="116">
        <v>318.10000000000002</v>
      </c>
      <c r="P2049" s="116">
        <v>320</v>
      </c>
      <c r="Q2049" s="116">
        <v>323.89999999999998</v>
      </c>
      <c r="R2049">
        <v>2016527</v>
      </c>
    </row>
    <row r="2050" spans="1:18" x14ac:dyDescent="0.25">
      <c r="A2050" s="170">
        <v>45022</v>
      </c>
      <c r="B2050" s="116">
        <v>330.3</v>
      </c>
      <c r="C2050" s="116">
        <v>326.75</v>
      </c>
      <c r="D2050" s="116">
        <v>322.45</v>
      </c>
      <c r="E2050" s="116">
        <v>323.89999999999998</v>
      </c>
      <c r="F2050" s="116">
        <v>326.75</v>
      </c>
      <c r="G2050">
        <v>136986</v>
      </c>
      <c r="H2050" s="116"/>
      <c r="I2050" s="116"/>
      <c r="L2050" s="170">
        <v>45022</v>
      </c>
      <c r="M2050" s="116">
        <v>326.75</v>
      </c>
      <c r="N2050" s="116">
        <v>330.3</v>
      </c>
      <c r="O2050" s="116">
        <v>322.55</v>
      </c>
      <c r="P2050" s="116">
        <v>323.89999999999998</v>
      </c>
      <c r="Q2050" s="116">
        <v>326.75</v>
      </c>
      <c r="R2050">
        <v>3880533</v>
      </c>
    </row>
    <row r="2051" spans="1:18" x14ac:dyDescent="0.25">
      <c r="A2051" s="170">
        <v>45026</v>
      </c>
      <c r="B2051" s="116">
        <v>332.2</v>
      </c>
      <c r="C2051" s="116">
        <v>328</v>
      </c>
      <c r="D2051" s="116">
        <v>324.5</v>
      </c>
      <c r="E2051" s="116">
        <v>327.95</v>
      </c>
      <c r="F2051" s="116">
        <v>328</v>
      </c>
      <c r="G2051">
        <v>191259</v>
      </c>
      <c r="H2051" s="116"/>
      <c r="I2051" s="116"/>
      <c r="L2051" s="170">
        <v>45026</v>
      </c>
      <c r="M2051" s="116">
        <v>328</v>
      </c>
      <c r="N2051" s="116">
        <v>332.25</v>
      </c>
      <c r="O2051" s="116">
        <v>324.64999999999998</v>
      </c>
      <c r="P2051" s="116">
        <v>327.5</v>
      </c>
      <c r="Q2051" s="116">
        <v>328</v>
      </c>
      <c r="R2051">
        <v>3406679</v>
      </c>
    </row>
    <row r="2052" spans="1:18" x14ac:dyDescent="0.25">
      <c r="A2052" s="170">
        <v>45027</v>
      </c>
      <c r="B2052" s="116">
        <v>330.6</v>
      </c>
      <c r="C2052" s="116">
        <v>327.25</v>
      </c>
      <c r="D2052" s="116">
        <v>324.64999999999998</v>
      </c>
      <c r="E2052" s="116">
        <v>329</v>
      </c>
      <c r="F2052" s="116">
        <v>327.25</v>
      </c>
      <c r="G2052">
        <v>146622</v>
      </c>
      <c r="H2052" s="116"/>
      <c r="I2052" s="116"/>
      <c r="L2052" s="170">
        <v>45027</v>
      </c>
      <c r="M2052" s="116">
        <v>327.35000000000002</v>
      </c>
      <c r="N2052" s="116">
        <v>330.5</v>
      </c>
      <c r="O2052" s="116">
        <v>324.7</v>
      </c>
      <c r="P2052" s="116">
        <v>328.9</v>
      </c>
      <c r="Q2052" s="116">
        <v>327.35000000000002</v>
      </c>
      <c r="R2052">
        <v>4266651</v>
      </c>
    </row>
    <row r="2053" spans="1:18" x14ac:dyDescent="0.25">
      <c r="A2053" s="170">
        <v>45028</v>
      </c>
      <c r="B2053" s="116">
        <v>331.85</v>
      </c>
      <c r="C2053" s="116">
        <v>330.95</v>
      </c>
      <c r="D2053" s="116">
        <v>325.5</v>
      </c>
      <c r="E2053" s="116">
        <v>327.25</v>
      </c>
      <c r="F2053" s="116">
        <v>330.95</v>
      </c>
      <c r="G2053">
        <v>51768</v>
      </c>
      <c r="H2053" s="116"/>
      <c r="I2053" s="116"/>
      <c r="L2053" s="170">
        <v>45028</v>
      </c>
      <c r="M2053" s="116">
        <v>330.75</v>
      </c>
      <c r="N2053" s="116">
        <v>331.85</v>
      </c>
      <c r="O2053" s="116">
        <v>325.25</v>
      </c>
      <c r="P2053" s="116">
        <v>327.39999999999998</v>
      </c>
      <c r="Q2053" s="116">
        <v>330.75</v>
      </c>
      <c r="R2053">
        <v>2710628</v>
      </c>
    </row>
    <row r="2054" spans="1:18" x14ac:dyDescent="0.25">
      <c r="A2054" s="170">
        <v>45029</v>
      </c>
      <c r="B2054" s="116">
        <v>333</v>
      </c>
      <c r="C2054" s="116">
        <v>327.9</v>
      </c>
      <c r="D2054" s="116">
        <v>325.5</v>
      </c>
      <c r="E2054" s="116">
        <v>330.95</v>
      </c>
      <c r="F2054" s="116">
        <v>327.9</v>
      </c>
      <c r="G2054">
        <v>118875</v>
      </c>
      <c r="H2054" s="116"/>
      <c r="I2054" s="116"/>
      <c r="L2054" s="170">
        <v>45029</v>
      </c>
      <c r="M2054" s="116">
        <v>328.05</v>
      </c>
      <c r="N2054" s="116">
        <v>333.1</v>
      </c>
      <c r="O2054" s="116">
        <v>325.45</v>
      </c>
      <c r="P2054" s="116">
        <v>331.7</v>
      </c>
      <c r="Q2054" s="116">
        <v>328.05</v>
      </c>
      <c r="R2054">
        <v>3140060</v>
      </c>
    </row>
    <row r="2055" spans="1:18" x14ac:dyDescent="0.25">
      <c r="A2055" s="170">
        <v>45033</v>
      </c>
      <c r="B2055" s="116">
        <v>333.3</v>
      </c>
      <c r="C2055" s="116">
        <v>332.25</v>
      </c>
      <c r="D2055" s="116">
        <v>326.05</v>
      </c>
      <c r="E2055" s="116">
        <v>328.6</v>
      </c>
      <c r="F2055" s="116">
        <v>332.25</v>
      </c>
      <c r="G2055">
        <v>49939</v>
      </c>
      <c r="H2055" s="116"/>
      <c r="I2055" s="116"/>
      <c r="L2055" s="170">
        <v>45033</v>
      </c>
      <c r="M2055" s="116">
        <v>332.4</v>
      </c>
      <c r="N2055" s="116">
        <v>333.5</v>
      </c>
      <c r="O2055" s="116">
        <v>326.25</v>
      </c>
      <c r="P2055" s="116">
        <v>327.5</v>
      </c>
      <c r="Q2055" s="116">
        <v>332.4</v>
      </c>
      <c r="R2055">
        <v>3574529</v>
      </c>
    </row>
    <row r="2056" spans="1:18" x14ac:dyDescent="0.25">
      <c r="A2056" s="170">
        <v>45034</v>
      </c>
      <c r="B2056" s="116">
        <v>334.4</v>
      </c>
      <c r="C2056" s="116">
        <v>330.5</v>
      </c>
      <c r="D2056" s="116">
        <v>326.55</v>
      </c>
      <c r="E2056" s="116">
        <v>332.45</v>
      </c>
      <c r="F2056" s="116">
        <v>330.5</v>
      </c>
      <c r="G2056">
        <v>113605</v>
      </c>
      <c r="H2056" s="116"/>
      <c r="I2056" s="116"/>
      <c r="L2056" s="170">
        <v>45034</v>
      </c>
      <c r="M2056" s="116">
        <v>330.4</v>
      </c>
      <c r="N2056" s="116">
        <v>334.4</v>
      </c>
      <c r="O2056" s="116">
        <v>326.5</v>
      </c>
      <c r="P2056" s="116">
        <v>334</v>
      </c>
      <c r="Q2056" s="116">
        <v>330.4</v>
      </c>
      <c r="R2056">
        <v>2741843</v>
      </c>
    </row>
    <row r="2057" spans="1:18" x14ac:dyDescent="0.25">
      <c r="A2057" s="170">
        <v>45035</v>
      </c>
      <c r="B2057" s="116">
        <v>334.75</v>
      </c>
      <c r="C2057" s="116">
        <v>330.55</v>
      </c>
      <c r="D2057" s="116">
        <v>328.6</v>
      </c>
      <c r="E2057" s="116">
        <v>330.55</v>
      </c>
      <c r="F2057" s="116">
        <v>330.55</v>
      </c>
      <c r="G2057">
        <v>201290</v>
      </c>
      <c r="H2057" s="116"/>
      <c r="I2057" s="116"/>
      <c r="L2057" s="170">
        <v>45035</v>
      </c>
      <c r="M2057" s="116">
        <v>330.55</v>
      </c>
      <c r="N2057" s="116">
        <v>334.95</v>
      </c>
      <c r="O2057" s="116">
        <v>328.65</v>
      </c>
      <c r="P2057" s="116">
        <v>332.45</v>
      </c>
      <c r="Q2057" s="116">
        <v>330.55</v>
      </c>
      <c r="R2057">
        <v>2359012</v>
      </c>
    </row>
    <row r="2058" spans="1:18" x14ac:dyDescent="0.25">
      <c r="A2058" s="170">
        <v>45036</v>
      </c>
      <c r="B2058" s="116">
        <v>336</v>
      </c>
      <c r="C2058" s="116">
        <v>335.05</v>
      </c>
      <c r="D2058" s="116">
        <v>329.85</v>
      </c>
      <c r="E2058" s="116">
        <v>330.55</v>
      </c>
      <c r="F2058" s="116">
        <v>335.05</v>
      </c>
      <c r="G2058">
        <v>168535</v>
      </c>
      <c r="H2058" s="116"/>
      <c r="I2058" s="116"/>
      <c r="L2058" s="170">
        <v>45036</v>
      </c>
      <c r="M2058" s="116">
        <v>335.1</v>
      </c>
      <c r="N2058" s="116">
        <v>336.25</v>
      </c>
      <c r="O2058" s="116">
        <v>329.6</v>
      </c>
      <c r="P2058" s="116">
        <v>330.55</v>
      </c>
      <c r="Q2058" s="116">
        <v>335.1</v>
      </c>
      <c r="R2058">
        <v>2903755</v>
      </c>
    </row>
    <row r="2059" spans="1:18" x14ac:dyDescent="0.25">
      <c r="A2059" s="170">
        <v>45037</v>
      </c>
      <c r="B2059" s="116">
        <v>338.4</v>
      </c>
      <c r="C2059" s="116">
        <v>336.65</v>
      </c>
      <c r="D2059" s="116">
        <v>333.3</v>
      </c>
      <c r="E2059" s="116">
        <v>337.95</v>
      </c>
      <c r="F2059" s="116">
        <v>336.65</v>
      </c>
      <c r="G2059">
        <v>141594</v>
      </c>
      <c r="H2059" s="116"/>
      <c r="I2059" s="116"/>
      <c r="L2059" s="170">
        <v>45037</v>
      </c>
      <c r="M2059" s="116">
        <v>336.75</v>
      </c>
      <c r="N2059" s="116">
        <v>338.6</v>
      </c>
      <c r="O2059" s="116">
        <v>333.15</v>
      </c>
      <c r="P2059" s="116">
        <v>337</v>
      </c>
      <c r="Q2059" s="116">
        <v>336.75</v>
      </c>
      <c r="R2059">
        <v>3418976</v>
      </c>
    </row>
    <row r="2060" spans="1:18" x14ac:dyDescent="0.25">
      <c r="A2060" s="170">
        <v>45040</v>
      </c>
      <c r="B2060" s="116">
        <v>339.9</v>
      </c>
      <c r="C2060" s="116">
        <v>338.9</v>
      </c>
      <c r="D2060" s="116">
        <v>331.1</v>
      </c>
      <c r="E2060" s="116">
        <v>336.65</v>
      </c>
      <c r="F2060" s="116">
        <v>338.9</v>
      </c>
      <c r="G2060">
        <v>142988</v>
      </c>
      <c r="H2060" s="116"/>
      <c r="I2060" s="116"/>
      <c r="L2060" s="170">
        <v>45040</v>
      </c>
      <c r="M2060" s="116">
        <v>339</v>
      </c>
      <c r="N2060" s="116">
        <v>339.9</v>
      </c>
      <c r="O2060" s="116">
        <v>330.95</v>
      </c>
      <c r="P2060" s="116">
        <v>336.75</v>
      </c>
      <c r="Q2060" s="116">
        <v>339</v>
      </c>
      <c r="R2060">
        <v>2999129</v>
      </c>
    </row>
    <row r="2061" spans="1:18" x14ac:dyDescent="0.25">
      <c r="A2061" s="170">
        <v>45041</v>
      </c>
      <c r="B2061" s="116">
        <v>341</v>
      </c>
      <c r="C2061" s="116">
        <v>338.75</v>
      </c>
      <c r="D2061" s="116">
        <v>335.15</v>
      </c>
      <c r="E2061" s="116">
        <v>335.15</v>
      </c>
      <c r="F2061" s="116">
        <v>338.75</v>
      </c>
      <c r="G2061">
        <v>47636</v>
      </c>
      <c r="H2061" s="116"/>
      <c r="I2061" s="116"/>
      <c r="L2061" s="170">
        <v>45041</v>
      </c>
      <c r="M2061" s="116">
        <v>338.85</v>
      </c>
      <c r="N2061" s="116">
        <v>341</v>
      </c>
      <c r="O2061" s="116">
        <v>337.55</v>
      </c>
      <c r="P2061" s="116">
        <v>338.45</v>
      </c>
      <c r="Q2061" s="116">
        <v>338.85</v>
      </c>
      <c r="R2061">
        <v>1573448</v>
      </c>
    </row>
    <row r="2062" spans="1:18" x14ac:dyDescent="0.25">
      <c r="A2062" s="170">
        <v>45042</v>
      </c>
      <c r="B2062" s="116">
        <v>345.75</v>
      </c>
      <c r="C2062" s="116">
        <v>340.85</v>
      </c>
      <c r="D2062" s="116">
        <v>338.8</v>
      </c>
      <c r="E2062" s="116">
        <v>338.8</v>
      </c>
      <c r="F2062" s="116">
        <v>340.85</v>
      </c>
      <c r="G2062">
        <v>175363</v>
      </c>
      <c r="H2062" s="116"/>
      <c r="I2062" s="116"/>
      <c r="L2062" s="170">
        <v>45042</v>
      </c>
      <c r="M2062" s="116">
        <v>340.95</v>
      </c>
      <c r="N2062" s="116">
        <v>345.8</v>
      </c>
      <c r="O2062" s="116">
        <v>339.45</v>
      </c>
      <c r="P2062" s="116">
        <v>340</v>
      </c>
      <c r="Q2062" s="116">
        <v>340.95</v>
      </c>
      <c r="R2062">
        <v>4497928</v>
      </c>
    </row>
    <row r="2063" spans="1:18" x14ac:dyDescent="0.25">
      <c r="A2063" s="170">
        <v>45043</v>
      </c>
      <c r="B2063" s="116">
        <v>343.9</v>
      </c>
      <c r="C2063" s="116">
        <v>339.9</v>
      </c>
      <c r="D2063" s="116">
        <v>336.7</v>
      </c>
      <c r="E2063" s="116">
        <v>343.9</v>
      </c>
      <c r="F2063" s="116">
        <v>339.9</v>
      </c>
      <c r="G2063">
        <v>119974</v>
      </c>
      <c r="H2063" s="116"/>
      <c r="I2063" s="116"/>
      <c r="L2063" s="170">
        <v>45043</v>
      </c>
      <c r="M2063" s="116">
        <v>340</v>
      </c>
      <c r="N2063" s="116">
        <v>343.4</v>
      </c>
      <c r="O2063" s="116">
        <v>336.65</v>
      </c>
      <c r="P2063" s="116">
        <v>342</v>
      </c>
      <c r="Q2063" s="116">
        <v>340</v>
      </c>
      <c r="R2063">
        <v>3883042</v>
      </c>
    </row>
    <row r="2064" spans="1:18" x14ac:dyDescent="0.25">
      <c r="A2064" s="170">
        <v>45044</v>
      </c>
      <c r="B2064" s="116">
        <v>348.45</v>
      </c>
      <c r="C2064" s="116">
        <v>338.95</v>
      </c>
      <c r="D2064" s="116">
        <v>336.6</v>
      </c>
      <c r="E2064" s="116">
        <v>348.45</v>
      </c>
      <c r="F2064" s="116">
        <v>338.95</v>
      </c>
      <c r="G2064">
        <v>388104</v>
      </c>
      <c r="H2064" s="116"/>
      <c r="I2064" s="116"/>
      <c r="L2064" s="170">
        <v>45044</v>
      </c>
      <c r="M2064" s="116">
        <v>339.1</v>
      </c>
      <c r="N2064" s="116">
        <v>348</v>
      </c>
      <c r="O2064" s="116">
        <v>336.6</v>
      </c>
      <c r="P2064" s="116">
        <v>348</v>
      </c>
      <c r="Q2064" s="116">
        <v>339.1</v>
      </c>
      <c r="R2064">
        <v>13144055</v>
      </c>
    </row>
    <row r="2065" spans="1:18" x14ac:dyDescent="0.25">
      <c r="A2065" s="170">
        <v>45048</v>
      </c>
      <c r="B2065" s="116">
        <v>350.65</v>
      </c>
      <c r="C2065" s="116">
        <v>347.8</v>
      </c>
      <c r="D2065" s="116">
        <v>340.1</v>
      </c>
      <c r="E2065" s="116">
        <v>340.1</v>
      </c>
      <c r="F2065" s="116">
        <v>347.8</v>
      </c>
      <c r="G2065">
        <v>272874</v>
      </c>
      <c r="H2065" s="116"/>
      <c r="I2065" s="116"/>
      <c r="L2065" s="170">
        <v>45048</v>
      </c>
      <c r="M2065" s="116">
        <v>347.45</v>
      </c>
      <c r="N2065" s="116">
        <v>350.6</v>
      </c>
      <c r="O2065" s="116">
        <v>340.3</v>
      </c>
      <c r="P2065" s="116">
        <v>342.2</v>
      </c>
      <c r="Q2065" s="116">
        <v>347.45</v>
      </c>
      <c r="R2065">
        <v>9032408</v>
      </c>
    </row>
    <row r="2066" spans="1:18" x14ac:dyDescent="0.25">
      <c r="A2066" s="170">
        <v>45049</v>
      </c>
      <c r="B2066" s="116">
        <v>363</v>
      </c>
      <c r="C2066" s="116">
        <v>354.75</v>
      </c>
      <c r="D2066" s="116">
        <v>347.5</v>
      </c>
      <c r="E2066" s="116">
        <v>349.9</v>
      </c>
      <c r="F2066" s="116">
        <v>354.75</v>
      </c>
      <c r="G2066">
        <v>648791</v>
      </c>
      <c r="H2066" s="116"/>
      <c r="I2066" s="116"/>
      <c r="L2066" s="170">
        <v>45049</v>
      </c>
      <c r="M2066" s="116">
        <v>354.9</v>
      </c>
      <c r="N2066" s="116">
        <v>363</v>
      </c>
      <c r="O2066" s="116">
        <v>346.8</v>
      </c>
      <c r="P2066" s="116">
        <v>348.4</v>
      </c>
      <c r="Q2066" s="116">
        <v>354.9</v>
      </c>
      <c r="R2066">
        <v>13208635</v>
      </c>
    </row>
    <row r="2067" spans="1:18" x14ac:dyDescent="0.25">
      <c r="A2067" s="170">
        <v>45050</v>
      </c>
      <c r="B2067" s="116">
        <v>359.5</v>
      </c>
      <c r="C2067" s="116">
        <v>356.6</v>
      </c>
      <c r="D2067" s="116">
        <v>352.8</v>
      </c>
      <c r="E2067" s="116">
        <v>357</v>
      </c>
      <c r="F2067" s="116">
        <v>356.6</v>
      </c>
      <c r="G2067">
        <v>117052</v>
      </c>
      <c r="H2067" s="116"/>
      <c r="I2067" s="116"/>
      <c r="L2067" s="170">
        <v>45050</v>
      </c>
      <c r="M2067" s="116">
        <v>357.2</v>
      </c>
      <c r="N2067" s="116">
        <v>359.5</v>
      </c>
      <c r="O2067" s="116">
        <v>352.5</v>
      </c>
      <c r="P2067" s="116">
        <v>357.2</v>
      </c>
      <c r="Q2067" s="116">
        <v>357.2</v>
      </c>
      <c r="R2067">
        <v>4601660</v>
      </c>
    </row>
    <row r="2068" spans="1:18" x14ac:dyDescent="0.25">
      <c r="A2068" s="170">
        <v>45051</v>
      </c>
      <c r="B2068" s="116">
        <v>364.2</v>
      </c>
      <c r="C2068" s="116">
        <v>358.6</v>
      </c>
      <c r="D2068" s="116">
        <v>357.25</v>
      </c>
      <c r="E2068" s="116">
        <v>359.95</v>
      </c>
      <c r="F2068" s="116">
        <v>358.6</v>
      </c>
      <c r="G2068">
        <v>131550</v>
      </c>
      <c r="H2068" s="116"/>
      <c r="I2068" s="116"/>
      <c r="L2068" s="170">
        <v>45051</v>
      </c>
      <c r="M2068" s="116">
        <v>358.7</v>
      </c>
      <c r="N2068" s="116">
        <v>364.35</v>
      </c>
      <c r="O2068" s="116">
        <v>357</v>
      </c>
      <c r="P2068" s="116">
        <v>358.5</v>
      </c>
      <c r="Q2068" s="116">
        <v>358.7</v>
      </c>
      <c r="R2068">
        <v>4722961</v>
      </c>
    </row>
    <row r="2069" spans="1:18" x14ac:dyDescent="0.25">
      <c r="A2069" s="170">
        <v>45054</v>
      </c>
      <c r="B2069" s="116">
        <v>373.95</v>
      </c>
      <c r="C2069" s="116">
        <v>370.1</v>
      </c>
      <c r="D2069" s="116">
        <v>360.8</v>
      </c>
      <c r="E2069" s="116">
        <v>360.8</v>
      </c>
      <c r="F2069" s="116">
        <v>370.1</v>
      </c>
      <c r="G2069">
        <v>283437</v>
      </c>
      <c r="H2069" s="116"/>
      <c r="I2069" s="116"/>
      <c r="L2069" s="170">
        <v>45054</v>
      </c>
      <c r="M2069" s="116">
        <v>370.1</v>
      </c>
      <c r="N2069" s="116">
        <v>374</v>
      </c>
      <c r="O2069" s="116">
        <v>361.85</v>
      </c>
      <c r="P2069" s="116">
        <v>363</v>
      </c>
      <c r="Q2069" s="116">
        <v>370.1</v>
      </c>
      <c r="R2069">
        <v>10283508</v>
      </c>
    </row>
    <row r="2070" spans="1:18" x14ac:dyDescent="0.25">
      <c r="A2070" s="170">
        <v>45055</v>
      </c>
      <c r="B2070" s="116">
        <v>377.8</v>
      </c>
      <c r="C2070" s="116">
        <v>374.2</v>
      </c>
      <c r="D2070" s="116">
        <v>371.15</v>
      </c>
      <c r="E2070" s="116">
        <v>371.15</v>
      </c>
      <c r="F2070" s="116">
        <v>374.2</v>
      </c>
      <c r="G2070">
        <v>242933</v>
      </c>
      <c r="H2070" s="116"/>
      <c r="I2070" s="116"/>
      <c r="L2070" s="170">
        <v>45055</v>
      </c>
      <c r="M2070" s="116">
        <v>374.25</v>
      </c>
      <c r="N2070" s="116">
        <v>377.95</v>
      </c>
      <c r="O2070" s="116">
        <v>371.1</v>
      </c>
      <c r="P2070" s="116">
        <v>371.95</v>
      </c>
      <c r="Q2070" s="116">
        <v>374.25</v>
      </c>
      <c r="R2070">
        <v>7795963</v>
      </c>
    </row>
    <row r="2071" spans="1:18" x14ac:dyDescent="0.25">
      <c r="A2071" s="170">
        <v>45056</v>
      </c>
      <c r="B2071" s="116">
        <v>375.9</v>
      </c>
      <c r="C2071" s="116">
        <v>371.25</v>
      </c>
      <c r="D2071" s="116">
        <v>367.4</v>
      </c>
      <c r="E2071" s="116">
        <v>374.2</v>
      </c>
      <c r="F2071" s="116">
        <v>371.25</v>
      </c>
      <c r="G2071">
        <v>83784</v>
      </c>
      <c r="H2071" s="116"/>
      <c r="I2071" s="116"/>
      <c r="L2071" s="170">
        <v>45056</v>
      </c>
      <c r="M2071" s="116">
        <v>371.35</v>
      </c>
      <c r="N2071" s="116">
        <v>375.95</v>
      </c>
      <c r="O2071" s="116">
        <v>367.3</v>
      </c>
      <c r="P2071" s="116">
        <v>374.2</v>
      </c>
      <c r="Q2071" s="116">
        <v>371.35</v>
      </c>
      <c r="R2071">
        <v>3464915</v>
      </c>
    </row>
    <row r="2072" spans="1:18" x14ac:dyDescent="0.25">
      <c r="A2072" s="170">
        <v>45057</v>
      </c>
      <c r="B2072" s="116">
        <v>374.85</v>
      </c>
      <c r="C2072" s="116">
        <v>365.55</v>
      </c>
      <c r="D2072" s="116">
        <v>364.9</v>
      </c>
      <c r="E2072" s="116">
        <v>370.9</v>
      </c>
      <c r="F2072" s="116">
        <v>365.55</v>
      </c>
      <c r="G2072">
        <v>92767</v>
      </c>
      <c r="H2072" s="116"/>
      <c r="I2072" s="116"/>
      <c r="L2072" s="170">
        <v>45057</v>
      </c>
      <c r="M2072" s="116">
        <v>365.55</v>
      </c>
      <c r="N2072" s="116">
        <v>375</v>
      </c>
      <c r="O2072" s="116">
        <v>364.45</v>
      </c>
      <c r="P2072" s="116">
        <v>370</v>
      </c>
      <c r="Q2072" s="116">
        <v>365.55</v>
      </c>
      <c r="R2072">
        <v>3099638</v>
      </c>
    </row>
    <row r="2073" spans="1:18" x14ac:dyDescent="0.25">
      <c r="A2073" s="170">
        <v>45058</v>
      </c>
      <c r="B2073" s="116">
        <v>368.5</v>
      </c>
      <c r="C2073" s="116">
        <v>357.65</v>
      </c>
      <c r="D2073" s="116">
        <v>353.6</v>
      </c>
      <c r="E2073" s="116">
        <v>368.5</v>
      </c>
      <c r="F2073" s="116">
        <v>357.65</v>
      </c>
      <c r="G2073">
        <v>740067</v>
      </c>
      <c r="H2073" s="116"/>
      <c r="I2073" s="116"/>
      <c r="L2073" s="170">
        <v>45058</v>
      </c>
      <c r="M2073" s="116">
        <v>357.6</v>
      </c>
      <c r="N2073" s="116">
        <v>367</v>
      </c>
      <c r="O2073" s="116">
        <v>353.5</v>
      </c>
      <c r="P2073" s="116">
        <v>367</v>
      </c>
      <c r="Q2073" s="116">
        <v>357.6</v>
      </c>
      <c r="R2073">
        <v>12291661</v>
      </c>
    </row>
    <row r="2074" spans="1:18" x14ac:dyDescent="0.25">
      <c r="A2074" s="170">
        <v>45061</v>
      </c>
      <c r="B2074" s="116">
        <v>359</v>
      </c>
      <c r="C2074" s="116">
        <v>353.2</v>
      </c>
      <c r="D2074" s="116">
        <v>350.45</v>
      </c>
      <c r="E2074" s="116">
        <v>359</v>
      </c>
      <c r="F2074" s="116">
        <v>353.2</v>
      </c>
      <c r="G2074">
        <v>169000</v>
      </c>
      <c r="H2074" s="116"/>
      <c r="I2074" s="116"/>
      <c r="L2074" s="170">
        <v>45061</v>
      </c>
      <c r="M2074" s="116">
        <v>353.35</v>
      </c>
      <c r="N2074" s="116">
        <v>358.65</v>
      </c>
      <c r="O2074" s="116">
        <v>350.5</v>
      </c>
      <c r="P2074" s="116">
        <v>358.5</v>
      </c>
      <c r="Q2074" s="116">
        <v>353.35</v>
      </c>
      <c r="R2074">
        <v>4013236</v>
      </c>
    </row>
    <row r="2075" spans="1:18" x14ac:dyDescent="0.25">
      <c r="A2075" s="170">
        <v>45062</v>
      </c>
      <c r="B2075" s="116">
        <v>371.6</v>
      </c>
      <c r="C2075" s="116">
        <v>363.6</v>
      </c>
      <c r="D2075" s="116">
        <v>353.3</v>
      </c>
      <c r="E2075" s="116">
        <v>353.3</v>
      </c>
      <c r="F2075" s="116">
        <v>363.6</v>
      </c>
      <c r="G2075">
        <v>248514</v>
      </c>
      <c r="H2075" s="116"/>
      <c r="I2075" s="116"/>
      <c r="L2075" s="170">
        <v>45062</v>
      </c>
      <c r="M2075" s="116">
        <v>363.75</v>
      </c>
      <c r="N2075" s="116">
        <v>371.6</v>
      </c>
      <c r="O2075" s="116">
        <v>355</v>
      </c>
      <c r="P2075" s="116">
        <v>355</v>
      </c>
      <c r="Q2075" s="116">
        <v>363.75</v>
      </c>
      <c r="R2075">
        <v>10241550</v>
      </c>
    </row>
    <row r="2076" spans="1:18" x14ac:dyDescent="0.25">
      <c r="A2076" s="170">
        <v>45063</v>
      </c>
      <c r="B2076" s="116">
        <v>376.3</v>
      </c>
      <c r="C2076" s="116">
        <v>367.45</v>
      </c>
      <c r="D2076" s="116">
        <v>363.1</v>
      </c>
      <c r="E2076" s="116">
        <v>363.1</v>
      </c>
      <c r="F2076" s="116">
        <v>367.45</v>
      </c>
      <c r="G2076">
        <v>925229</v>
      </c>
      <c r="H2076" s="116"/>
      <c r="I2076" s="116"/>
      <c r="L2076" s="170">
        <v>45063</v>
      </c>
      <c r="M2076" s="116">
        <v>367.5</v>
      </c>
      <c r="N2076" s="116">
        <v>376.4</v>
      </c>
      <c r="O2076" s="116">
        <v>364.25</v>
      </c>
      <c r="P2076" s="116">
        <v>366</v>
      </c>
      <c r="Q2076" s="116">
        <v>367.5</v>
      </c>
      <c r="R2076">
        <v>10649382</v>
      </c>
    </row>
    <row r="2077" spans="1:18" x14ac:dyDescent="0.25">
      <c r="A2077" s="170">
        <v>45064</v>
      </c>
      <c r="B2077" s="116">
        <v>372.5</v>
      </c>
      <c r="C2077" s="116">
        <v>366.55</v>
      </c>
      <c r="D2077" s="116">
        <v>366</v>
      </c>
      <c r="E2077" s="116">
        <v>370.75</v>
      </c>
      <c r="F2077" s="116">
        <v>366.55</v>
      </c>
      <c r="G2077">
        <v>97641</v>
      </c>
      <c r="H2077" s="116"/>
      <c r="I2077" s="116"/>
      <c r="L2077" s="170">
        <v>45064</v>
      </c>
      <c r="M2077" s="116">
        <v>366.6</v>
      </c>
      <c r="N2077" s="116">
        <v>372.5</v>
      </c>
      <c r="O2077" s="116">
        <v>365.25</v>
      </c>
      <c r="P2077" s="116">
        <v>369.45</v>
      </c>
      <c r="Q2077" s="116">
        <v>366.6</v>
      </c>
      <c r="R2077">
        <v>4462806</v>
      </c>
    </row>
    <row r="2078" spans="1:18" x14ac:dyDescent="0.25">
      <c r="A2078" s="170">
        <v>45065</v>
      </c>
      <c r="B2078" s="116">
        <v>376.3</v>
      </c>
      <c r="C2078" s="116">
        <v>372.15</v>
      </c>
      <c r="D2078" s="116">
        <v>365.4</v>
      </c>
      <c r="E2078" s="116">
        <v>365.4</v>
      </c>
      <c r="F2078" s="116">
        <v>372.15</v>
      </c>
      <c r="G2078">
        <v>111012</v>
      </c>
      <c r="H2078" s="116"/>
      <c r="I2078" s="116"/>
      <c r="L2078" s="170">
        <v>45065</v>
      </c>
      <c r="M2078" s="116">
        <v>372.35</v>
      </c>
      <c r="N2078" s="116">
        <v>376.5</v>
      </c>
      <c r="O2078" s="116">
        <v>366.95</v>
      </c>
      <c r="P2078" s="116">
        <v>367.4</v>
      </c>
      <c r="Q2078" s="116">
        <v>372.35</v>
      </c>
      <c r="R2078">
        <v>7034650</v>
      </c>
    </row>
    <row r="2079" spans="1:18" x14ac:dyDescent="0.25">
      <c r="A2079" s="170">
        <v>45068</v>
      </c>
      <c r="B2079" s="116">
        <v>375.4</v>
      </c>
      <c r="C2079" s="116">
        <v>371.4</v>
      </c>
      <c r="D2079" s="116">
        <v>369.45</v>
      </c>
      <c r="E2079" s="116">
        <v>372.15</v>
      </c>
      <c r="F2079" s="116">
        <v>371.4</v>
      </c>
      <c r="G2079">
        <v>65186</v>
      </c>
      <c r="H2079" s="116"/>
      <c r="I2079" s="116"/>
      <c r="L2079" s="170">
        <v>45068</v>
      </c>
      <c r="M2079" s="116">
        <v>371.2</v>
      </c>
      <c r="N2079" s="116">
        <v>375.4</v>
      </c>
      <c r="O2079" s="116">
        <v>369.2</v>
      </c>
      <c r="P2079" s="116">
        <v>371.75</v>
      </c>
      <c r="Q2079" s="116">
        <v>371.2</v>
      </c>
      <c r="R2079">
        <v>2920212</v>
      </c>
    </row>
    <row r="2080" spans="1:18" x14ac:dyDescent="0.25">
      <c r="A2080" s="170">
        <v>45069</v>
      </c>
      <c r="B2080" s="116">
        <v>375.5</v>
      </c>
      <c r="C2080" s="116">
        <v>370.85</v>
      </c>
      <c r="D2080" s="116">
        <v>368.45</v>
      </c>
      <c r="E2080" s="116">
        <v>369.4</v>
      </c>
      <c r="F2080" s="116">
        <v>370.85</v>
      </c>
      <c r="G2080">
        <v>102682</v>
      </c>
      <c r="H2080" s="116"/>
      <c r="I2080" s="116"/>
      <c r="L2080" s="170">
        <v>45069</v>
      </c>
      <c r="M2080" s="116">
        <v>371</v>
      </c>
      <c r="N2080" s="116">
        <v>375.95</v>
      </c>
      <c r="O2080" s="116">
        <v>368.4</v>
      </c>
      <c r="P2080" s="116">
        <v>372</v>
      </c>
      <c r="Q2080" s="116">
        <v>371</v>
      </c>
      <c r="R2080">
        <v>3058696</v>
      </c>
    </row>
    <row r="2081" spans="1:18" x14ac:dyDescent="0.25">
      <c r="A2081" s="170">
        <v>45070</v>
      </c>
      <c r="B2081" s="116">
        <v>377.25</v>
      </c>
      <c r="C2081" s="116">
        <v>375.3</v>
      </c>
      <c r="D2081" s="116">
        <v>369</v>
      </c>
      <c r="E2081" s="116">
        <v>370.85</v>
      </c>
      <c r="F2081" s="116">
        <v>375.3</v>
      </c>
      <c r="G2081">
        <v>106996</v>
      </c>
      <c r="H2081" s="116"/>
      <c r="I2081" s="116"/>
      <c r="L2081" s="170">
        <v>45070</v>
      </c>
      <c r="M2081" s="116">
        <v>375.25</v>
      </c>
      <c r="N2081" s="116">
        <v>377.45</v>
      </c>
      <c r="O2081" s="116">
        <v>369.2</v>
      </c>
      <c r="P2081" s="116">
        <v>371.05</v>
      </c>
      <c r="Q2081" s="116">
        <v>375.25</v>
      </c>
      <c r="R2081">
        <v>4692522</v>
      </c>
    </row>
    <row r="2082" spans="1:18" x14ac:dyDescent="0.25">
      <c r="A2082" s="170">
        <v>45071</v>
      </c>
      <c r="B2082" s="116">
        <v>389.2</v>
      </c>
      <c r="C2082" s="116">
        <v>380.5</v>
      </c>
      <c r="D2082" s="116">
        <v>374.05</v>
      </c>
      <c r="E2082" s="116">
        <v>376.95</v>
      </c>
      <c r="F2082" s="116">
        <v>380.5</v>
      </c>
      <c r="G2082">
        <v>462072</v>
      </c>
      <c r="H2082" s="116"/>
      <c r="I2082" s="116"/>
      <c r="L2082" s="170">
        <v>45071</v>
      </c>
      <c r="M2082" s="116">
        <v>380.6</v>
      </c>
      <c r="N2082" s="116">
        <v>389.4</v>
      </c>
      <c r="O2082" s="116">
        <v>374.3</v>
      </c>
      <c r="P2082" s="116">
        <v>375.3</v>
      </c>
      <c r="Q2082" s="116">
        <v>380.6</v>
      </c>
      <c r="R2082">
        <v>9253281</v>
      </c>
    </row>
    <row r="2083" spans="1:18" x14ac:dyDescent="0.25">
      <c r="A2083" s="170">
        <v>45072</v>
      </c>
      <c r="B2083" s="116">
        <v>386.05</v>
      </c>
      <c r="C2083" s="116">
        <v>383.9</v>
      </c>
      <c r="D2083" s="116">
        <v>381.3</v>
      </c>
      <c r="E2083" s="116">
        <v>384.45</v>
      </c>
      <c r="F2083" s="116">
        <v>383.9</v>
      </c>
      <c r="G2083">
        <v>107860</v>
      </c>
      <c r="H2083" s="116"/>
      <c r="I2083" s="116"/>
      <c r="L2083" s="170">
        <v>45072</v>
      </c>
      <c r="M2083" s="116">
        <v>383.95</v>
      </c>
      <c r="N2083" s="116">
        <v>386</v>
      </c>
      <c r="O2083" s="116">
        <v>381.1</v>
      </c>
      <c r="P2083" s="116">
        <v>381.8</v>
      </c>
      <c r="Q2083" s="116">
        <v>383.95</v>
      </c>
      <c r="R2083">
        <v>2607569</v>
      </c>
    </row>
    <row r="2084" spans="1:18" x14ac:dyDescent="0.25">
      <c r="A2084" s="170">
        <v>45075</v>
      </c>
      <c r="B2084" s="116">
        <v>386.85</v>
      </c>
      <c r="C2084" s="116">
        <v>379.85</v>
      </c>
      <c r="D2084" s="116">
        <v>377.65</v>
      </c>
      <c r="E2084" s="116">
        <v>385.6</v>
      </c>
      <c r="F2084" s="116">
        <v>379.85</v>
      </c>
      <c r="G2084">
        <v>123042</v>
      </c>
      <c r="H2084" s="116"/>
      <c r="I2084" s="116"/>
      <c r="L2084" s="170">
        <v>45075</v>
      </c>
      <c r="M2084" s="116">
        <v>380</v>
      </c>
      <c r="N2084" s="116">
        <v>386.95</v>
      </c>
      <c r="O2084" s="116">
        <v>377.5</v>
      </c>
      <c r="P2084" s="116">
        <v>385</v>
      </c>
      <c r="Q2084" s="116">
        <v>380</v>
      </c>
      <c r="R2084">
        <v>4011007</v>
      </c>
    </row>
    <row r="2085" spans="1:18" x14ac:dyDescent="0.25">
      <c r="A2085" s="170">
        <v>45076</v>
      </c>
      <c r="B2085" s="116">
        <v>385.9</v>
      </c>
      <c r="C2085" s="116">
        <v>385</v>
      </c>
      <c r="D2085" s="116">
        <v>379</v>
      </c>
      <c r="E2085" s="116">
        <v>379.9</v>
      </c>
      <c r="F2085" s="116">
        <v>385</v>
      </c>
      <c r="G2085">
        <v>69540</v>
      </c>
      <c r="H2085" s="116"/>
      <c r="I2085" s="116"/>
      <c r="L2085" s="170">
        <v>45076</v>
      </c>
      <c r="M2085" s="116">
        <v>385.45</v>
      </c>
      <c r="N2085" s="116">
        <v>386</v>
      </c>
      <c r="O2085" s="116">
        <v>379.25</v>
      </c>
      <c r="P2085" s="116">
        <v>380.85</v>
      </c>
      <c r="Q2085" s="116">
        <v>385.45</v>
      </c>
      <c r="R2085">
        <v>2980523</v>
      </c>
    </row>
    <row r="2086" spans="1:18" x14ac:dyDescent="0.25">
      <c r="A2086" s="170">
        <v>45077</v>
      </c>
      <c r="B2086" s="116">
        <v>394.95</v>
      </c>
      <c r="C2086" s="116">
        <v>389.25</v>
      </c>
      <c r="D2086" s="116">
        <v>381.25</v>
      </c>
      <c r="E2086" s="116">
        <v>385</v>
      </c>
      <c r="F2086" s="116">
        <v>389.25</v>
      </c>
      <c r="G2086">
        <v>252731</v>
      </c>
      <c r="H2086" s="116"/>
      <c r="I2086" s="116"/>
      <c r="L2086" s="170">
        <v>45077</v>
      </c>
      <c r="M2086" s="116">
        <v>389.7</v>
      </c>
      <c r="N2086" s="116">
        <v>395</v>
      </c>
      <c r="O2086" s="116">
        <v>381.2</v>
      </c>
      <c r="P2086" s="116">
        <v>385</v>
      </c>
      <c r="Q2086" s="116">
        <v>389.7</v>
      </c>
      <c r="R2086">
        <v>17417007</v>
      </c>
    </row>
    <row r="2087" spans="1:18" x14ac:dyDescent="0.25">
      <c r="A2087" s="170">
        <v>45078</v>
      </c>
      <c r="B2087" s="116">
        <v>396.25</v>
      </c>
      <c r="C2087" s="116">
        <v>395.45</v>
      </c>
      <c r="D2087" s="116">
        <v>386.2</v>
      </c>
      <c r="E2087" s="116">
        <v>389.25</v>
      </c>
      <c r="F2087" s="116">
        <v>395.45</v>
      </c>
      <c r="G2087">
        <v>75830</v>
      </c>
      <c r="H2087" s="116"/>
      <c r="I2087" s="116"/>
      <c r="L2087" s="170">
        <v>45078</v>
      </c>
      <c r="M2087" s="116">
        <v>395.7</v>
      </c>
      <c r="N2087" s="116">
        <v>396.4</v>
      </c>
      <c r="O2087" s="116">
        <v>386.2</v>
      </c>
      <c r="P2087" s="116">
        <v>389.7</v>
      </c>
      <c r="Q2087" s="116">
        <v>395.7</v>
      </c>
      <c r="R2087">
        <v>5081690</v>
      </c>
    </row>
    <row r="2088" spans="1:18" x14ac:dyDescent="0.25">
      <c r="A2088" s="170">
        <v>45079</v>
      </c>
      <c r="B2088" s="116">
        <v>399.4</v>
      </c>
      <c r="C2088" s="116">
        <v>395.65</v>
      </c>
      <c r="D2088" s="116">
        <v>394.5</v>
      </c>
      <c r="E2088" s="116">
        <v>396.05</v>
      </c>
      <c r="F2088" s="116">
        <v>395.65</v>
      </c>
      <c r="G2088">
        <v>88201</v>
      </c>
      <c r="H2088" s="116"/>
      <c r="I2088" s="116"/>
      <c r="L2088" s="170">
        <v>45079</v>
      </c>
      <c r="M2088" s="116">
        <v>395.65</v>
      </c>
      <c r="N2088" s="116">
        <v>399.3</v>
      </c>
      <c r="O2088" s="116">
        <v>394.45</v>
      </c>
      <c r="P2088" s="116">
        <v>397.3</v>
      </c>
      <c r="Q2088" s="116">
        <v>395.65</v>
      </c>
      <c r="R2088">
        <v>4398205</v>
      </c>
    </row>
    <row r="2089" spans="1:18" x14ac:dyDescent="0.25">
      <c r="A2089" s="170">
        <v>45082</v>
      </c>
      <c r="B2089" s="116">
        <v>399.15</v>
      </c>
      <c r="C2089" s="116">
        <v>389.7</v>
      </c>
      <c r="D2089" s="116">
        <v>388.1</v>
      </c>
      <c r="E2089" s="116">
        <v>395.65</v>
      </c>
      <c r="F2089" s="116">
        <v>389.7</v>
      </c>
      <c r="G2089">
        <v>252453</v>
      </c>
      <c r="H2089" s="116"/>
      <c r="I2089" s="116"/>
      <c r="L2089" s="170">
        <v>45082</v>
      </c>
      <c r="M2089" s="116">
        <v>389.8</v>
      </c>
      <c r="N2089" s="116">
        <v>399.25</v>
      </c>
      <c r="O2089" s="116">
        <v>388.25</v>
      </c>
      <c r="P2089" s="116">
        <v>396</v>
      </c>
      <c r="Q2089" s="116">
        <v>389.8</v>
      </c>
      <c r="R2089">
        <v>4593591</v>
      </c>
    </row>
    <row r="2090" spans="1:18" x14ac:dyDescent="0.25">
      <c r="A2090" s="170">
        <v>45083</v>
      </c>
      <c r="B2090" s="116">
        <v>393.8</v>
      </c>
      <c r="C2090" s="116">
        <v>389.1</v>
      </c>
      <c r="D2090" s="116">
        <v>385.1</v>
      </c>
      <c r="E2090" s="116">
        <v>390.05</v>
      </c>
      <c r="F2090" s="116">
        <v>389.1</v>
      </c>
      <c r="G2090">
        <v>89007</v>
      </c>
      <c r="H2090" s="116"/>
      <c r="I2090" s="116"/>
      <c r="L2090" s="170">
        <v>45083</v>
      </c>
      <c r="M2090" s="116">
        <v>389.25</v>
      </c>
      <c r="N2090" s="116">
        <v>393.9</v>
      </c>
      <c r="O2090" s="116">
        <v>385.1</v>
      </c>
      <c r="P2090" s="116">
        <v>391.75</v>
      </c>
      <c r="Q2090" s="116">
        <v>389.25</v>
      </c>
      <c r="R2090">
        <v>5116106</v>
      </c>
    </row>
    <row r="2091" spans="1:18" x14ac:dyDescent="0.25">
      <c r="A2091" s="170">
        <v>45084</v>
      </c>
      <c r="B2091" s="116">
        <v>397.2</v>
      </c>
      <c r="C2091" s="116">
        <v>395.9</v>
      </c>
      <c r="D2091" s="116">
        <v>389.7</v>
      </c>
      <c r="E2091" s="116">
        <v>390.25</v>
      </c>
      <c r="F2091" s="116">
        <v>395.9</v>
      </c>
      <c r="G2091">
        <v>57582</v>
      </c>
      <c r="H2091" s="116"/>
      <c r="I2091" s="116"/>
      <c r="L2091" s="170">
        <v>45084</v>
      </c>
      <c r="M2091" s="116">
        <v>395.85</v>
      </c>
      <c r="N2091" s="116">
        <v>397.25</v>
      </c>
      <c r="O2091" s="116">
        <v>389.45</v>
      </c>
      <c r="P2091" s="116">
        <v>392</v>
      </c>
      <c r="Q2091" s="116">
        <v>395.85</v>
      </c>
      <c r="R2091">
        <v>2834627</v>
      </c>
    </row>
    <row r="2092" spans="1:18" x14ac:dyDescent="0.25">
      <c r="A2092" s="170">
        <v>45085</v>
      </c>
      <c r="B2092" s="116">
        <v>398.7</v>
      </c>
      <c r="C2092" s="116">
        <v>381</v>
      </c>
      <c r="D2092" s="116">
        <v>380</v>
      </c>
      <c r="E2092" s="116">
        <v>395.9</v>
      </c>
      <c r="F2092" s="116">
        <v>381</v>
      </c>
      <c r="G2092">
        <v>200103</v>
      </c>
      <c r="H2092" s="116"/>
      <c r="I2092" s="116"/>
      <c r="L2092" s="170">
        <v>45085</v>
      </c>
      <c r="M2092" s="116">
        <v>380.8</v>
      </c>
      <c r="N2092" s="116">
        <v>398.6</v>
      </c>
      <c r="O2092" s="116">
        <v>380</v>
      </c>
      <c r="P2092" s="116">
        <v>396</v>
      </c>
      <c r="Q2092" s="116">
        <v>380.8</v>
      </c>
      <c r="R2092">
        <v>4946671</v>
      </c>
    </row>
    <row r="2093" spans="1:18" x14ac:dyDescent="0.25">
      <c r="A2093" s="170">
        <v>45086</v>
      </c>
      <c r="B2093" s="116">
        <v>386</v>
      </c>
      <c r="C2093" s="116">
        <v>381.9</v>
      </c>
      <c r="D2093" s="116">
        <v>381.05</v>
      </c>
      <c r="E2093" s="116">
        <v>383.95</v>
      </c>
      <c r="F2093" s="116">
        <v>381.9</v>
      </c>
      <c r="G2093">
        <v>103051</v>
      </c>
      <c r="H2093" s="116"/>
      <c r="I2093" s="116"/>
      <c r="L2093" s="170">
        <v>45086</v>
      </c>
      <c r="M2093" s="116">
        <v>381.95</v>
      </c>
      <c r="N2093" s="116">
        <v>386.05</v>
      </c>
      <c r="O2093" s="116">
        <v>381</v>
      </c>
      <c r="P2093" s="116">
        <v>383</v>
      </c>
      <c r="Q2093" s="116">
        <v>381.95</v>
      </c>
      <c r="R2093">
        <v>4212790</v>
      </c>
    </row>
    <row r="2094" spans="1:18" x14ac:dyDescent="0.25">
      <c r="A2094" s="170">
        <v>45089</v>
      </c>
      <c r="B2094" s="116">
        <v>388.8</v>
      </c>
      <c r="C2094" s="116">
        <v>387.85</v>
      </c>
      <c r="D2094" s="116">
        <v>380.75</v>
      </c>
      <c r="E2094" s="116">
        <v>382.05</v>
      </c>
      <c r="F2094" s="116">
        <v>387.85</v>
      </c>
      <c r="G2094">
        <v>62234</v>
      </c>
      <c r="H2094" s="116"/>
      <c r="I2094" s="116"/>
      <c r="L2094" s="170">
        <v>45089</v>
      </c>
      <c r="M2094" s="116">
        <v>387.7</v>
      </c>
      <c r="N2094" s="116">
        <v>389</v>
      </c>
      <c r="O2094" s="116">
        <v>380.6</v>
      </c>
      <c r="P2094" s="116">
        <v>383.05</v>
      </c>
      <c r="Q2094" s="116">
        <v>387.7</v>
      </c>
      <c r="R2094">
        <v>3749939</v>
      </c>
    </row>
    <row r="2095" spans="1:18" x14ac:dyDescent="0.25">
      <c r="A2095" s="170">
        <v>45090</v>
      </c>
      <c r="B2095" s="116">
        <v>394.5</v>
      </c>
      <c r="C2095" s="116">
        <v>393.35</v>
      </c>
      <c r="D2095" s="116">
        <v>388.5</v>
      </c>
      <c r="E2095" s="116">
        <v>390.75</v>
      </c>
      <c r="F2095" s="116">
        <v>393.35</v>
      </c>
      <c r="G2095">
        <v>121882</v>
      </c>
      <c r="H2095" s="116"/>
      <c r="I2095" s="116"/>
      <c r="L2095" s="170">
        <v>45090</v>
      </c>
      <c r="M2095" s="116">
        <v>393.35</v>
      </c>
      <c r="N2095" s="116">
        <v>394.6</v>
      </c>
      <c r="O2095" s="116">
        <v>388.4</v>
      </c>
      <c r="P2095" s="116">
        <v>389.25</v>
      </c>
      <c r="Q2095" s="116">
        <v>393.35</v>
      </c>
      <c r="R2095">
        <v>3811857</v>
      </c>
    </row>
    <row r="2096" spans="1:18" x14ac:dyDescent="0.25">
      <c r="A2096" s="170">
        <v>45091</v>
      </c>
      <c r="B2096" s="116">
        <v>397.25</v>
      </c>
      <c r="C2096" s="116">
        <v>391.55</v>
      </c>
      <c r="D2096" s="116">
        <v>390</v>
      </c>
      <c r="E2096" s="116">
        <v>391.6</v>
      </c>
      <c r="F2096" s="116">
        <v>391.55</v>
      </c>
      <c r="G2096">
        <v>103772</v>
      </c>
      <c r="H2096" s="116"/>
      <c r="I2096" s="116"/>
      <c r="L2096" s="170">
        <v>45091</v>
      </c>
      <c r="M2096" s="116">
        <v>391.3</v>
      </c>
      <c r="N2096" s="116">
        <v>397.25</v>
      </c>
      <c r="O2096" s="116">
        <v>389.9</v>
      </c>
      <c r="P2096" s="116">
        <v>393.45</v>
      </c>
      <c r="Q2096" s="116">
        <v>391.3</v>
      </c>
      <c r="R2096">
        <v>2881178</v>
      </c>
    </row>
    <row r="2097" spans="1:18" x14ac:dyDescent="0.25">
      <c r="A2097" s="170">
        <v>45092</v>
      </c>
      <c r="B2097" s="116">
        <v>395.9</v>
      </c>
      <c r="C2097" s="116">
        <v>393.4</v>
      </c>
      <c r="D2097" s="116">
        <v>391.1</v>
      </c>
      <c r="E2097" s="116">
        <v>392.25</v>
      </c>
      <c r="F2097" s="116">
        <v>393.4</v>
      </c>
      <c r="G2097">
        <v>75021</v>
      </c>
      <c r="H2097" s="116"/>
      <c r="I2097" s="116"/>
      <c r="L2097" s="170">
        <v>45092</v>
      </c>
      <c r="M2097" s="116">
        <v>393.45</v>
      </c>
      <c r="N2097" s="116">
        <v>395.95</v>
      </c>
      <c r="O2097" s="116">
        <v>391.2</v>
      </c>
      <c r="P2097" s="116">
        <v>393.1</v>
      </c>
      <c r="Q2097" s="116">
        <v>393.45</v>
      </c>
      <c r="R2097">
        <v>2576653</v>
      </c>
    </row>
    <row r="2098" spans="1:18" x14ac:dyDescent="0.25">
      <c r="A2098" s="170">
        <v>45093</v>
      </c>
      <c r="B2098" s="116">
        <v>404.25</v>
      </c>
      <c r="C2098" s="116">
        <v>403.45</v>
      </c>
      <c r="D2098" s="116">
        <v>393.25</v>
      </c>
      <c r="E2098" s="116">
        <v>394</v>
      </c>
      <c r="F2098" s="116">
        <v>403.45</v>
      </c>
      <c r="G2098">
        <v>169818</v>
      </c>
      <c r="H2098" s="116"/>
      <c r="I2098" s="116"/>
      <c r="L2098" s="170">
        <v>45093</v>
      </c>
      <c r="M2098" s="116">
        <v>403.25</v>
      </c>
      <c r="N2098" s="116">
        <v>404.2</v>
      </c>
      <c r="O2098" s="116">
        <v>393.15</v>
      </c>
      <c r="P2098" s="116">
        <v>394.7</v>
      </c>
      <c r="Q2098" s="116">
        <v>403.25</v>
      </c>
      <c r="R2098">
        <v>4845961</v>
      </c>
    </row>
    <row r="2099" spans="1:18" x14ac:dyDescent="0.25">
      <c r="A2099" s="170">
        <v>45096</v>
      </c>
      <c r="B2099" s="116">
        <v>405.2</v>
      </c>
      <c r="C2099" s="116">
        <v>396.1</v>
      </c>
      <c r="D2099" s="116">
        <v>393.6</v>
      </c>
      <c r="E2099" s="116">
        <v>404.2</v>
      </c>
      <c r="F2099" s="116">
        <v>396.1</v>
      </c>
      <c r="G2099">
        <v>164596</v>
      </c>
      <c r="H2099" s="116"/>
      <c r="I2099" s="116"/>
      <c r="L2099" s="170">
        <v>45096</v>
      </c>
      <c r="M2099" s="116">
        <v>396.15</v>
      </c>
      <c r="N2099" s="116">
        <v>406</v>
      </c>
      <c r="O2099" s="116">
        <v>393.5</v>
      </c>
      <c r="P2099" s="116">
        <v>406</v>
      </c>
      <c r="Q2099" s="116">
        <v>396.15</v>
      </c>
      <c r="R2099">
        <v>2891291</v>
      </c>
    </row>
    <row r="2100" spans="1:18" x14ac:dyDescent="0.25">
      <c r="A2100" s="170">
        <v>45097</v>
      </c>
      <c r="B2100" s="116">
        <v>397.1</v>
      </c>
      <c r="C2100" s="116">
        <v>394.35</v>
      </c>
      <c r="D2100" s="116">
        <v>392.3</v>
      </c>
      <c r="E2100" s="116">
        <v>396.65</v>
      </c>
      <c r="F2100" s="116">
        <v>394.35</v>
      </c>
      <c r="G2100">
        <v>42984</v>
      </c>
      <c r="H2100" s="116"/>
      <c r="I2100" s="116"/>
      <c r="L2100" s="170">
        <v>45097</v>
      </c>
      <c r="M2100" s="116">
        <v>394.5</v>
      </c>
      <c r="N2100" s="116">
        <v>397.25</v>
      </c>
      <c r="O2100" s="116">
        <v>392</v>
      </c>
      <c r="P2100" s="116">
        <v>396.5</v>
      </c>
      <c r="Q2100" s="116">
        <v>394.5</v>
      </c>
      <c r="R2100">
        <v>5053569</v>
      </c>
    </row>
    <row r="2101" spans="1:18" x14ac:dyDescent="0.25">
      <c r="A2101" s="170">
        <v>45098</v>
      </c>
      <c r="B2101" s="116">
        <v>402.95</v>
      </c>
      <c r="C2101" s="116">
        <v>396.7</v>
      </c>
      <c r="D2101" s="116">
        <v>394.15</v>
      </c>
      <c r="E2101" s="116">
        <v>396.05</v>
      </c>
      <c r="F2101" s="116">
        <v>396.7</v>
      </c>
      <c r="G2101">
        <v>58643</v>
      </c>
      <c r="H2101" s="116"/>
      <c r="I2101" s="116"/>
      <c r="L2101" s="170">
        <v>45098</v>
      </c>
      <c r="M2101" s="116">
        <v>396.8</v>
      </c>
      <c r="N2101" s="116">
        <v>403</v>
      </c>
      <c r="O2101" s="116">
        <v>394.1</v>
      </c>
      <c r="P2101" s="116">
        <v>397</v>
      </c>
      <c r="Q2101" s="116">
        <v>396.8</v>
      </c>
      <c r="R2101">
        <v>5324374</v>
      </c>
    </row>
    <row r="2102" spans="1:18" x14ac:dyDescent="0.25">
      <c r="A2102" s="170">
        <v>45099</v>
      </c>
      <c r="B2102" s="116">
        <v>396.85</v>
      </c>
      <c r="C2102" s="116">
        <v>382.6</v>
      </c>
      <c r="D2102" s="116">
        <v>381.6</v>
      </c>
      <c r="E2102" s="116">
        <v>396.7</v>
      </c>
      <c r="F2102" s="116">
        <v>382.6</v>
      </c>
      <c r="G2102">
        <v>94213</v>
      </c>
      <c r="H2102" s="116"/>
      <c r="I2102" s="116"/>
      <c r="L2102" s="170">
        <v>45099</v>
      </c>
      <c r="M2102" s="116">
        <v>382.65</v>
      </c>
      <c r="N2102" s="116">
        <v>396.95</v>
      </c>
      <c r="O2102" s="116">
        <v>381.6</v>
      </c>
      <c r="P2102" s="116">
        <v>396.95</v>
      </c>
      <c r="Q2102" s="116">
        <v>382.65</v>
      </c>
      <c r="R2102">
        <v>3244877</v>
      </c>
    </row>
    <row r="2103" spans="1:18" x14ac:dyDescent="0.25">
      <c r="A2103" s="170">
        <v>45100</v>
      </c>
      <c r="B2103" s="116">
        <v>386.5</v>
      </c>
      <c r="C2103" s="116">
        <v>380.4</v>
      </c>
      <c r="D2103" s="116">
        <v>378.4</v>
      </c>
      <c r="E2103" s="116">
        <v>382.7</v>
      </c>
      <c r="F2103" s="116">
        <v>380.4</v>
      </c>
      <c r="G2103">
        <v>100225</v>
      </c>
      <c r="H2103" s="116"/>
      <c r="I2103" s="116"/>
      <c r="L2103" s="170">
        <v>45100</v>
      </c>
      <c r="M2103" s="116">
        <v>380.4</v>
      </c>
      <c r="N2103" s="116">
        <v>386.55</v>
      </c>
      <c r="O2103" s="116">
        <v>378.45</v>
      </c>
      <c r="P2103" s="116">
        <v>383.4</v>
      </c>
      <c r="Q2103" s="116">
        <v>380.4</v>
      </c>
      <c r="R2103">
        <v>3902114</v>
      </c>
    </row>
    <row r="2104" spans="1:18" x14ac:dyDescent="0.25">
      <c r="A2104" s="170">
        <v>45103</v>
      </c>
      <c r="B2104" s="116">
        <v>386.05</v>
      </c>
      <c r="C2104" s="116">
        <v>383.55</v>
      </c>
      <c r="D2104" s="116">
        <v>379</v>
      </c>
      <c r="E2104" s="116">
        <v>379</v>
      </c>
      <c r="F2104" s="116">
        <v>383.55</v>
      </c>
      <c r="G2104">
        <v>82568</v>
      </c>
      <c r="H2104" s="116"/>
      <c r="I2104" s="116"/>
      <c r="L2104" s="170">
        <v>45103</v>
      </c>
      <c r="M2104" s="116">
        <v>383.6</v>
      </c>
      <c r="N2104" s="116">
        <v>386</v>
      </c>
      <c r="O2104" s="116">
        <v>379.15</v>
      </c>
      <c r="P2104" s="116">
        <v>380.35</v>
      </c>
      <c r="Q2104" s="116">
        <v>383.6</v>
      </c>
      <c r="R2104">
        <v>2261966</v>
      </c>
    </row>
    <row r="2105" spans="1:18" x14ac:dyDescent="0.25">
      <c r="A2105" s="170">
        <v>45104</v>
      </c>
      <c r="B2105" s="116">
        <v>386</v>
      </c>
      <c r="C2105" s="116">
        <v>383.45</v>
      </c>
      <c r="D2105" s="116">
        <v>379</v>
      </c>
      <c r="E2105" s="116">
        <v>385</v>
      </c>
      <c r="F2105" s="116">
        <v>383.45</v>
      </c>
      <c r="G2105">
        <v>59763</v>
      </c>
      <c r="H2105" s="116"/>
      <c r="I2105" s="116"/>
      <c r="L2105" s="170">
        <v>45104</v>
      </c>
      <c r="M2105" s="116">
        <v>383.55</v>
      </c>
      <c r="N2105" s="116">
        <v>386.5</v>
      </c>
      <c r="O2105" s="116">
        <v>378.85</v>
      </c>
      <c r="P2105" s="116">
        <v>386</v>
      </c>
      <c r="Q2105" s="116">
        <v>383.55</v>
      </c>
      <c r="R2105">
        <v>3555619</v>
      </c>
    </row>
    <row r="2106" spans="1:18" x14ac:dyDescent="0.25">
      <c r="A2106" s="170">
        <v>45105</v>
      </c>
      <c r="B2106" s="116">
        <v>398.35</v>
      </c>
      <c r="C2106" s="116">
        <v>396.3</v>
      </c>
      <c r="D2106" s="116">
        <v>384.2</v>
      </c>
      <c r="E2106" s="116">
        <v>384.4</v>
      </c>
      <c r="F2106" s="116">
        <v>396.3</v>
      </c>
      <c r="G2106">
        <v>145475</v>
      </c>
      <c r="H2106" s="116"/>
      <c r="I2106" s="116"/>
      <c r="L2106" s="170">
        <v>45105</v>
      </c>
      <c r="M2106" s="116">
        <v>396.45</v>
      </c>
      <c r="N2106" s="116">
        <v>398.25</v>
      </c>
      <c r="O2106" s="116">
        <v>384.35</v>
      </c>
      <c r="P2106" s="116">
        <v>385</v>
      </c>
      <c r="Q2106" s="116">
        <v>396.45</v>
      </c>
      <c r="R2106">
        <v>7311704</v>
      </c>
    </row>
    <row r="2107" spans="1:18" x14ac:dyDescent="0.25">
      <c r="A2107" s="170">
        <v>45107</v>
      </c>
      <c r="B2107" s="116">
        <v>398.35</v>
      </c>
      <c r="C2107" s="116">
        <v>392.55</v>
      </c>
      <c r="D2107" s="116">
        <v>390.8</v>
      </c>
      <c r="E2107" s="116">
        <v>397.05</v>
      </c>
      <c r="F2107" s="116">
        <v>392.55</v>
      </c>
      <c r="G2107">
        <v>73152</v>
      </c>
      <c r="H2107" s="116"/>
      <c r="I2107" s="116"/>
      <c r="L2107" s="170">
        <v>45107</v>
      </c>
      <c r="M2107" s="116">
        <v>392.5</v>
      </c>
      <c r="N2107" s="116">
        <v>398.5</v>
      </c>
      <c r="O2107" s="116">
        <v>390.65</v>
      </c>
      <c r="P2107" s="116">
        <v>398</v>
      </c>
      <c r="Q2107" s="116">
        <v>392.5</v>
      </c>
      <c r="R2107">
        <v>4804430</v>
      </c>
    </row>
    <row r="2108" spans="1:18" x14ac:dyDescent="0.25">
      <c r="A2108" s="170">
        <v>45110</v>
      </c>
      <c r="B2108" s="116">
        <v>396.95</v>
      </c>
      <c r="C2108" s="116">
        <v>390.1</v>
      </c>
      <c r="D2108" s="116">
        <v>388</v>
      </c>
      <c r="E2108" s="116">
        <v>393.15</v>
      </c>
      <c r="F2108" s="116">
        <v>390.1</v>
      </c>
      <c r="G2108">
        <v>95533</v>
      </c>
      <c r="H2108" s="116"/>
      <c r="I2108" s="116"/>
      <c r="L2108" s="170">
        <v>45110</v>
      </c>
      <c r="M2108" s="116">
        <v>390.4</v>
      </c>
      <c r="N2108" s="116">
        <v>395</v>
      </c>
      <c r="O2108" s="116">
        <v>388</v>
      </c>
      <c r="P2108" s="116">
        <v>394.9</v>
      </c>
      <c r="Q2108" s="116">
        <v>390.4</v>
      </c>
      <c r="R2108">
        <v>1522979</v>
      </c>
    </row>
    <row r="2109" spans="1:18" x14ac:dyDescent="0.25">
      <c r="A2109" s="170">
        <v>45111</v>
      </c>
      <c r="B2109" s="116">
        <v>393.6</v>
      </c>
      <c r="C2109" s="116">
        <v>380.55</v>
      </c>
      <c r="D2109" s="116">
        <v>380</v>
      </c>
      <c r="E2109" s="116">
        <v>388.1</v>
      </c>
      <c r="F2109" s="116">
        <v>380.55</v>
      </c>
      <c r="G2109">
        <v>94904</v>
      </c>
      <c r="H2109" s="116"/>
      <c r="I2109" s="116"/>
      <c r="L2109" s="170">
        <v>45111</v>
      </c>
      <c r="M2109" s="116">
        <v>380.75</v>
      </c>
      <c r="N2109" s="116">
        <v>393.7</v>
      </c>
      <c r="O2109" s="116">
        <v>380</v>
      </c>
      <c r="P2109" s="116">
        <v>390.4</v>
      </c>
      <c r="Q2109" s="116">
        <v>380.75</v>
      </c>
      <c r="R2109">
        <v>2355595</v>
      </c>
    </row>
    <row r="2110" spans="1:18" x14ac:dyDescent="0.25">
      <c r="A2110" s="170">
        <v>45112</v>
      </c>
      <c r="B2110" s="116">
        <v>383.85</v>
      </c>
      <c r="C2110" s="116">
        <v>379.85</v>
      </c>
      <c r="D2110" s="116">
        <v>376.85</v>
      </c>
      <c r="E2110" s="116">
        <v>382.9</v>
      </c>
      <c r="F2110" s="116">
        <v>379.85</v>
      </c>
      <c r="G2110">
        <v>625306</v>
      </c>
      <c r="H2110" s="116"/>
      <c r="I2110" s="116"/>
      <c r="L2110" s="170">
        <v>45112</v>
      </c>
      <c r="M2110" s="116">
        <v>380.35</v>
      </c>
      <c r="N2110" s="116">
        <v>383.8</v>
      </c>
      <c r="O2110" s="116">
        <v>376.65</v>
      </c>
      <c r="P2110" s="116">
        <v>381.15</v>
      </c>
      <c r="Q2110" s="116">
        <v>380.35</v>
      </c>
      <c r="R2110">
        <v>3591448</v>
      </c>
    </row>
    <row r="2111" spans="1:18" x14ac:dyDescent="0.25">
      <c r="A2111" s="170">
        <v>45113</v>
      </c>
      <c r="B2111" s="116">
        <v>386.1</v>
      </c>
      <c r="C2111" s="116">
        <v>385.05</v>
      </c>
      <c r="D2111" s="116">
        <v>378.1</v>
      </c>
      <c r="E2111" s="116">
        <v>382.2</v>
      </c>
      <c r="F2111" s="116">
        <v>385.05</v>
      </c>
      <c r="G2111">
        <v>79201</v>
      </c>
      <c r="H2111" s="116"/>
      <c r="I2111" s="116"/>
      <c r="L2111" s="170">
        <v>45113</v>
      </c>
      <c r="M2111" s="116">
        <v>385.15</v>
      </c>
      <c r="N2111" s="116">
        <v>386.45</v>
      </c>
      <c r="O2111" s="116">
        <v>378</v>
      </c>
      <c r="P2111" s="116">
        <v>379.95</v>
      </c>
      <c r="Q2111" s="116">
        <v>385.15</v>
      </c>
      <c r="R2111">
        <v>2965148</v>
      </c>
    </row>
    <row r="2112" spans="1:18" x14ac:dyDescent="0.25">
      <c r="A2112" s="170">
        <v>45114</v>
      </c>
      <c r="B2112" s="116">
        <v>392.6</v>
      </c>
      <c r="C2112" s="116">
        <v>382.3</v>
      </c>
      <c r="D2112" s="116">
        <v>380.4</v>
      </c>
      <c r="E2112" s="116">
        <v>385.15</v>
      </c>
      <c r="F2112" s="116">
        <v>382.3</v>
      </c>
      <c r="G2112">
        <v>161292</v>
      </c>
      <c r="H2112" s="116"/>
      <c r="I2112" s="116"/>
      <c r="L2112" s="170">
        <v>45114</v>
      </c>
      <c r="M2112" s="116">
        <v>382.45</v>
      </c>
      <c r="N2112" s="116">
        <v>392.55</v>
      </c>
      <c r="O2112" s="116">
        <v>380.35</v>
      </c>
      <c r="P2112" s="116">
        <v>386.85</v>
      </c>
      <c r="Q2112" s="116">
        <v>382.45</v>
      </c>
      <c r="R2112">
        <v>4322916</v>
      </c>
    </row>
    <row r="2113" spans="1:18" x14ac:dyDescent="0.25">
      <c r="A2113" s="170">
        <v>45117</v>
      </c>
      <c r="B2113" s="116">
        <v>387.3</v>
      </c>
      <c r="C2113" s="116">
        <v>384.6</v>
      </c>
      <c r="D2113" s="116">
        <v>381.5</v>
      </c>
      <c r="E2113" s="116">
        <v>382.5</v>
      </c>
      <c r="F2113" s="116">
        <v>384.6</v>
      </c>
      <c r="G2113">
        <v>82562</v>
      </c>
      <c r="H2113" s="116"/>
      <c r="I2113" s="116"/>
      <c r="L2113" s="170">
        <v>45117</v>
      </c>
      <c r="M2113" s="116">
        <v>384.85</v>
      </c>
      <c r="N2113" s="116">
        <v>387.5</v>
      </c>
      <c r="O2113" s="116">
        <v>381.25</v>
      </c>
      <c r="P2113" s="116">
        <v>384</v>
      </c>
      <c r="Q2113" s="116">
        <v>384.85</v>
      </c>
      <c r="R2113">
        <v>1888465</v>
      </c>
    </row>
    <row r="2114" spans="1:18" x14ac:dyDescent="0.25">
      <c r="A2114" s="170">
        <v>45118</v>
      </c>
      <c r="B2114" s="116">
        <v>394.7</v>
      </c>
      <c r="C2114" s="116">
        <v>391.75</v>
      </c>
      <c r="D2114" s="116">
        <v>385.85</v>
      </c>
      <c r="E2114" s="116">
        <v>386</v>
      </c>
      <c r="F2114" s="116">
        <v>391.75</v>
      </c>
      <c r="G2114">
        <v>204586</v>
      </c>
      <c r="H2114" s="116"/>
      <c r="I2114" s="116"/>
      <c r="L2114" s="170">
        <v>45118</v>
      </c>
      <c r="M2114" s="116">
        <v>391.95</v>
      </c>
      <c r="N2114" s="116">
        <v>394.8</v>
      </c>
      <c r="O2114" s="116">
        <v>385.4</v>
      </c>
      <c r="P2114" s="116">
        <v>386</v>
      </c>
      <c r="Q2114" s="116">
        <v>391.95</v>
      </c>
      <c r="R2114">
        <v>5866374</v>
      </c>
    </row>
    <row r="2115" spans="1:18" x14ac:dyDescent="0.25">
      <c r="A2115" s="170">
        <v>45119</v>
      </c>
      <c r="B2115" s="116">
        <v>397.9</v>
      </c>
      <c r="C2115" s="116">
        <v>392.4</v>
      </c>
      <c r="D2115" s="116">
        <v>390.9</v>
      </c>
      <c r="E2115" s="116">
        <v>391.8</v>
      </c>
      <c r="F2115" s="116">
        <v>392.4</v>
      </c>
      <c r="G2115">
        <v>72192</v>
      </c>
      <c r="H2115" s="116"/>
      <c r="I2115" s="116"/>
      <c r="L2115" s="170">
        <v>45119</v>
      </c>
      <c r="M2115" s="116">
        <v>392.3</v>
      </c>
      <c r="N2115" s="116">
        <v>397.85</v>
      </c>
      <c r="O2115" s="116">
        <v>390.55</v>
      </c>
      <c r="P2115" s="116">
        <v>393.3</v>
      </c>
      <c r="Q2115" s="116">
        <v>392.3</v>
      </c>
      <c r="R2115">
        <v>4704057</v>
      </c>
    </row>
    <row r="2116" spans="1:18" x14ac:dyDescent="0.25">
      <c r="A2116" s="170">
        <v>45120</v>
      </c>
      <c r="B2116" s="116">
        <v>395.9</v>
      </c>
      <c r="C2116" s="116">
        <v>387.4</v>
      </c>
      <c r="D2116" s="116">
        <v>386.1</v>
      </c>
      <c r="E2116" s="116">
        <v>392.4</v>
      </c>
      <c r="F2116" s="116">
        <v>387.4</v>
      </c>
      <c r="G2116">
        <v>112781</v>
      </c>
      <c r="H2116" s="116"/>
      <c r="I2116" s="116"/>
      <c r="L2116" s="170">
        <v>45120</v>
      </c>
      <c r="M2116" s="116">
        <v>387.45</v>
      </c>
      <c r="N2116" s="116">
        <v>396</v>
      </c>
      <c r="O2116" s="116">
        <v>386.3</v>
      </c>
      <c r="P2116" s="116">
        <v>394.8</v>
      </c>
      <c r="Q2116" s="116">
        <v>387.45</v>
      </c>
      <c r="R2116">
        <v>3948469</v>
      </c>
    </row>
    <row r="2117" spans="1:18" x14ac:dyDescent="0.25">
      <c r="A2117" s="170">
        <v>45121</v>
      </c>
      <c r="B2117" s="116">
        <v>391.6</v>
      </c>
      <c r="C2117" s="116">
        <v>389.3</v>
      </c>
      <c r="D2117" s="116">
        <v>384.55</v>
      </c>
      <c r="E2117" s="116">
        <v>388</v>
      </c>
      <c r="F2117" s="116">
        <v>389.3</v>
      </c>
      <c r="G2117">
        <v>33142</v>
      </c>
      <c r="H2117" s="116"/>
      <c r="I2117" s="116"/>
      <c r="L2117" s="170">
        <v>45121</v>
      </c>
      <c r="M2117" s="116">
        <v>389.65</v>
      </c>
      <c r="N2117" s="116">
        <v>391.85</v>
      </c>
      <c r="O2117" s="116">
        <v>384.55</v>
      </c>
      <c r="P2117" s="116">
        <v>389.5</v>
      </c>
      <c r="Q2117" s="116">
        <v>389.65</v>
      </c>
      <c r="R2117">
        <v>2523610</v>
      </c>
    </row>
    <row r="2118" spans="1:18" x14ac:dyDescent="0.25">
      <c r="A2118" s="170">
        <v>45124</v>
      </c>
      <c r="B2118" s="116">
        <v>393.9</v>
      </c>
      <c r="C2118" s="116">
        <v>390.1</v>
      </c>
      <c r="D2118" s="116">
        <v>387.9</v>
      </c>
      <c r="E2118" s="116">
        <v>390.55</v>
      </c>
      <c r="F2118" s="116">
        <v>390.1</v>
      </c>
      <c r="G2118">
        <v>31321</v>
      </c>
      <c r="H2118" s="116"/>
      <c r="I2118" s="116"/>
      <c r="L2118" s="170">
        <v>45124</v>
      </c>
      <c r="M2118" s="116">
        <v>390.1</v>
      </c>
      <c r="N2118" s="116">
        <v>393.95</v>
      </c>
      <c r="O2118" s="116">
        <v>388</v>
      </c>
      <c r="P2118" s="116">
        <v>391.2</v>
      </c>
      <c r="Q2118" s="116">
        <v>390.1</v>
      </c>
      <c r="R2118">
        <v>2677870</v>
      </c>
    </row>
    <row r="2119" spans="1:18" x14ac:dyDescent="0.25">
      <c r="A2119" s="170">
        <v>45125</v>
      </c>
      <c r="B2119" s="116">
        <v>395</v>
      </c>
      <c r="C2119" s="116">
        <v>388.05</v>
      </c>
      <c r="D2119" s="116">
        <v>385</v>
      </c>
      <c r="E2119" s="116">
        <v>395</v>
      </c>
      <c r="F2119" s="116">
        <v>388.05</v>
      </c>
      <c r="G2119">
        <v>130506</v>
      </c>
      <c r="H2119" s="116"/>
      <c r="I2119" s="116"/>
      <c r="L2119" s="170">
        <v>45125</v>
      </c>
      <c r="M2119" s="116">
        <v>388.3</v>
      </c>
      <c r="N2119" s="116">
        <v>394</v>
      </c>
      <c r="O2119" s="116">
        <v>384.85</v>
      </c>
      <c r="P2119" s="116">
        <v>393.95</v>
      </c>
      <c r="Q2119" s="116">
        <v>388.3</v>
      </c>
      <c r="R2119">
        <v>2728824</v>
      </c>
    </row>
    <row r="2120" spans="1:18" x14ac:dyDescent="0.25">
      <c r="A2120" s="170">
        <v>45126</v>
      </c>
      <c r="B2120" s="116">
        <v>402.7</v>
      </c>
      <c r="C2120" s="116">
        <v>400.1</v>
      </c>
      <c r="D2120" s="116">
        <v>388.1</v>
      </c>
      <c r="E2120" s="116">
        <v>388.1</v>
      </c>
      <c r="F2120" s="116">
        <v>400.1</v>
      </c>
      <c r="G2120">
        <v>106976</v>
      </c>
      <c r="H2120" s="116"/>
      <c r="I2120" s="116"/>
      <c r="L2120" s="170">
        <v>45126</v>
      </c>
      <c r="M2120" s="116">
        <v>400.25</v>
      </c>
      <c r="N2120" s="116">
        <v>403</v>
      </c>
      <c r="O2120" s="116">
        <v>388.3</v>
      </c>
      <c r="P2120" s="116">
        <v>388.95</v>
      </c>
      <c r="Q2120" s="116">
        <v>400.25</v>
      </c>
      <c r="R2120">
        <v>4318029</v>
      </c>
    </row>
    <row r="2121" spans="1:18" x14ac:dyDescent="0.25">
      <c r="A2121" s="170">
        <v>45127</v>
      </c>
      <c r="B2121" s="116">
        <v>405</v>
      </c>
      <c r="C2121" s="116">
        <v>398.6</v>
      </c>
      <c r="D2121" s="116">
        <v>396.5</v>
      </c>
      <c r="E2121" s="116">
        <v>405</v>
      </c>
      <c r="F2121" s="116">
        <v>398.6</v>
      </c>
      <c r="G2121">
        <v>158061</v>
      </c>
      <c r="H2121" s="116"/>
      <c r="I2121" s="116"/>
      <c r="L2121" s="170">
        <v>45127</v>
      </c>
      <c r="M2121" s="116">
        <v>398.6</v>
      </c>
      <c r="N2121" s="116">
        <v>405.8</v>
      </c>
      <c r="O2121" s="116">
        <v>396.45</v>
      </c>
      <c r="P2121" s="116">
        <v>405</v>
      </c>
      <c r="Q2121" s="116">
        <v>398.6</v>
      </c>
      <c r="R2121">
        <v>4567515</v>
      </c>
    </row>
    <row r="2122" spans="1:18" x14ac:dyDescent="0.25">
      <c r="A2122" s="170">
        <v>45128</v>
      </c>
      <c r="B2122" s="116">
        <v>401.1</v>
      </c>
      <c r="C2122" s="116">
        <v>393.35</v>
      </c>
      <c r="D2122" s="116">
        <v>390.95</v>
      </c>
      <c r="E2122" s="116">
        <v>398.65</v>
      </c>
      <c r="F2122" s="116">
        <v>393.35</v>
      </c>
      <c r="G2122">
        <v>138340</v>
      </c>
      <c r="H2122" s="116"/>
      <c r="I2122" s="116"/>
      <c r="L2122" s="170">
        <v>45128</v>
      </c>
      <c r="M2122" s="116">
        <v>393.75</v>
      </c>
      <c r="N2122" s="116">
        <v>401.35</v>
      </c>
      <c r="O2122" s="116">
        <v>390.6</v>
      </c>
      <c r="P2122" s="116">
        <v>399.5</v>
      </c>
      <c r="Q2122" s="116">
        <v>393.75</v>
      </c>
      <c r="R2122">
        <v>2856935</v>
      </c>
    </row>
    <row r="2123" spans="1:18" x14ac:dyDescent="0.25">
      <c r="A2123" s="170">
        <v>45131</v>
      </c>
      <c r="B2123" s="116">
        <v>395.15</v>
      </c>
      <c r="C2123" s="116">
        <v>391.95</v>
      </c>
      <c r="D2123" s="116">
        <v>387.1</v>
      </c>
      <c r="E2123" s="116">
        <v>395</v>
      </c>
      <c r="F2123" s="116">
        <v>391.95</v>
      </c>
      <c r="G2123">
        <v>87712</v>
      </c>
      <c r="H2123" s="116"/>
      <c r="I2123" s="116"/>
      <c r="L2123" s="170">
        <v>45131</v>
      </c>
      <c r="M2123" s="116">
        <v>391.6</v>
      </c>
      <c r="N2123" s="116">
        <v>395.2</v>
      </c>
      <c r="O2123" s="116">
        <v>387</v>
      </c>
      <c r="P2123" s="116">
        <v>395</v>
      </c>
      <c r="Q2123" s="116">
        <v>391.6</v>
      </c>
      <c r="R2123">
        <v>3130735</v>
      </c>
    </row>
    <row r="2124" spans="1:18" x14ac:dyDescent="0.25">
      <c r="A2124" s="170">
        <v>45132</v>
      </c>
      <c r="B2124" s="116">
        <v>396.2</v>
      </c>
      <c r="C2124" s="116">
        <v>392</v>
      </c>
      <c r="D2124" s="116">
        <v>388</v>
      </c>
      <c r="E2124" s="116">
        <v>391.95</v>
      </c>
      <c r="F2124" s="116">
        <v>392</v>
      </c>
      <c r="G2124">
        <v>136172</v>
      </c>
      <c r="H2124" s="116"/>
      <c r="I2124" s="116"/>
      <c r="L2124" s="170">
        <v>45132</v>
      </c>
      <c r="M2124" s="116">
        <v>392.15</v>
      </c>
      <c r="N2124" s="116">
        <v>396.35</v>
      </c>
      <c r="O2124" s="116">
        <v>388</v>
      </c>
      <c r="P2124" s="116">
        <v>392.4</v>
      </c>
      <c r="Q2124" s="116">
        <v>392.15</v>
      </c>
      <c r="R2124">
        <v>2450471</v>
      </c>
    </row>
    <row r="2125" spans="1:18" x14ac:dyDescent="0.25">
      <c r="A2125" s="170">
        <v>45133</v>
      </c>
      <c r="B2125" s="116">
        <v>395.7</v>
      </c>
      <c r="C2125" s="116">
        <v>390.25</v>
      </c>
      <c r="D2125" s="116">
        <v>389.6</v>
      </c>
      <c r="E2125" s="116">
        <v>392.05</v>
      </c>
      <c r="F2125" s="116">
        <v>390.25</v>
      </c>
      <c r="G2125">
        <v>58910</v>
      </c>
      <c r="H2125" s="116"/>
      <c r="I2125" s="116"/>
      <c r="L2125" s="170">
        <v>45133</v>
      </c>
      <c r="M2125" s="116">
        <v>390.2</v>
      </c>
      <c r="N2125" s="116">
        <v>395.8</v>
      </c>
      <c r="O2125" s="116">
        <v>389.1</v>
      </c>
      <c r="P2125" s="116">
        <v>393.3</v>
      </c>
      <c r="Q2125" s="116">
        <v>390.2</v>
      </c>
      <c r="R2125">
        <v>2307085</v>
      </c>
    </row>
    <row r="2126" spans="1:18" x14ac:dyDescent="0.25">
      <c r="A2126" s="170">
        <v>45134</v>
      </c>
      <c r="B2126" s="116">
        <v>394.95</v>
      </c>
      <c r="C2126" s="116">
        <v>385</v>
      </c>
      <c r="D2126" s="116">
        <v>384</v>
      </c>
      <c r="E2126" s="116">
        <v>394.95</v>
      </c>
      <c r="F2126" s="116">
        <v>385</v>
      </c>
      <c r="G2126">
        <v>174946</v>
      </c>
      <c r="H2126" s="116"/>
      <c r="I2126" s="116"/>
      <c r="L2126" s="170">
        <v>45134</v>
      </c>
      <c r="M2126" s="116">
        <v>384.95</v>
      </c>
      <c r="N2126" s="116">
        <v>392.65</v>
      </c>
      <c r="O2126" s="116">
        <v>383.8</v>
      </c>
      <c r="P2126" s="116">
        <v>391.95</v>
      </c>
      <c r="Q2126" s="116">
        <v>384.95</v>
      </c>
      <c r="R2126">
        <v>3689432</v>
      </c>
    </row>
    <row r="2127" spans="1:18" x14ac:dyDescent="0.25">
      <c r="A2127" s="170">
        <v>45135</v>
      </c>
      <c r="B2127" s="116">
        <v>393.75</v>
      </c>
      <c r="C2127" s="116">
        <v>391.6</v>
      </c>
      <c r="D2127" s="116">
        <v>378.8</v>
      </c>
      <c r="E2127" s="116">
        <v>380.45</v>
      </c>
      <c r="F2127" s="116">
        <v>391.6</v>
      </c>
      <c r="G2127">
        <v>244513</v>
      </c>
      <c r="H2127" s="116"/>
      <c r="I2127" s="116"/>
      <c r="L2127" s="170">
        <v>45135</v>
      </c>
      <c r="M2127" s="116">
        <v>391.65</v>
      </c>
      <c r="N2127" s="116">
        <v>393.65</v>
      </c>
      <c r="O2127" s="116">
        <v>378.55</v>
      </c>
      <c r="P2127" s="116">
        <v>379</v>
      </c>
      <c r="Q2127" s="116">
        <v>391.65</v>
      </c>
      <c r="R2127">
        <v>5986681</v>
      </c>
    </row>
    <row r="2128" spans="1:18" x14ac:dyDescent="0.25">
      <c r="A2128" s="170">
        <v>45138</v>
      </c>
      <c r="B2128" s="116">
        <v>395.95</v>
      </c>
      <c r="C2128" s="116">
        <v>395.05</v>
      </c>
      <c r="D2128" s="116">
        <v>390.9</v>
      </c>
      <c r="E2128" s="116">
        <v>392.95</v>
      </c>
      <c r="F2128" s="116">
        <v>395.05</v>
      </c>
      <c r="G2128">
        <v>82000</v>
      </c>
      <c r="H2128" s="116"/>
      <c r="I2128" s="116"/>
      <c r="L2128" s="170">
        <v>45138</v>
      </c>
      <c r="M2128" s="116">
        <v>395.1</v>
      </c>
      <c r="N2128" s="116">
        <v>395.9</v>
      </c>
      <c r="O2128" s="116">
        <v>390.7</v>
      </c>
      <c r="P2128" s="116">
        <v>392.2</v>
      </c>
      <c r="Q2128" s="116">
        <v>395.1</v>
      </c>
      <c r="R2128">
        <v>2423957</v>
      </c>
    </row>
    <row r="2129" spans="1:18" x14ac:dyDescent="0.25">
      <c r="A2129" s="170">
        <v>45139</v>
      </c>
      <c r="B2129" s="116">
        <v>401.9</v>
      </c>
      <c r="C2129" s="116">
        <v>396.45</v>
      </c>
      <c r="D2129" s="116">
        <v>394.65</v>
      </c>
      <c r="E2129" s="116">
        <v>395</v>
      </c>
      <c r="F2129" s="116">
        <v>396.45</v>
      </c>
      <c r="G2129">
        <v>108033</v>
      </c>
      <c r="H2129" s="116"/>
      <c r="I2129" s="116"/>
      <c r="L2129" s="170">
        <v>45139</v>
      </c>
      <c r="M2129" s="116">
        <v>396.45</v>
      </c>
      <c r="N2129" s="116">
        <v>401.9</v>
      </c>
      <c r="O2129" s="116">
        <v>394.35</v>
      </c>
      <c r="P2129" s="116">
        <v>395</v>
      </c>
      <c r="Q2129" s="116">
        <v>396.45</v>
      </c>
      <c r="R2129">
        <v>1862465</v>
      </c>
    </row>
    <row r="2130" spans="1:18" x14ac:dyDescent="0.25">
      <c r="A2130" s="170">
        <v>45140</v>
      </c>
      <c r="B2130" s="116">
        <v>400.65</v>
      </c>
      <c r="C2130" s="116">
        <v>395.55</v>
      </c>
      <c r="D2130" s="116">
        <v>390.65</v>
      </c>
      <c r="E2130" s="116">
        <v>396</v>
      </c>
      <c r="F2130" s="116">
        <v>395.55</v>
      </c>
      <c r="G2130">
        <v>78427</v>
      </c>
      <c r="H2130" s="116"/>
      <c r="I2130" s="116"/>
      <c r="L2130" s="170">
        <v>45140</v>
      </c>
      <c r="M2130" s="116">
        <v>395.75</v>
      </c>
      <c r="N2130" s="116">
        <v>400.7</v>
      </c>
      <c r="O2130" s="116">
        <v>390.5</v>
      </c>
      <c r="P2130" s="116">
        <v>395.55</v>
      </c>
      <c r="Q2130" s="116">
        <v>395.75</v>
      </c>
      <c r="R2130">
        <v>3668591</v>
      </c>
    </row>
    <row r="2131" spans="1:18" x14ac:dyDescent="0.25">
      <c r="A2131" s="170">
        <v>45141</v>
      </c>
      <c r="B2131" s="116">
        <v>397.05</v>
      </c>
      <c r="C2131" s="116">
        <v>393.85</v>
      </c>
      <c r="D2131" s="116">
        <v>391.35</v>
      </c>
      <c r="E2131" s="116">
        <v>395</v>
      </c>
      <c r="F2131" s="116">
        <v>393.85</v>
      </c>
      <c r="G2131">
        <v>53390</v>
      </c>
      <c r="H2131" s="116"/>
      <c r="I2131" s="116"/>
      <c r="L2131" s="170">
        <v>45141</v>
      </c>
      <c r="M2131" s="116">
        <v>393.7</v>
      </c>
      <c r="N2131" s="116">
        <v>397.25</v>
      </c>
      <c r="O2131" s="116">
        <v>391.2</v>
      </c>
      <c r="P2131" s="116">
        <v>395</v>
      </c>
      <c r="Q2131" s="116">
        <v>393.7</v>
      </c>
      <c r="R2131">
        <v>1444757</v>
      </c>
    </row>
    <row r="2132" spans="1:18" x14ac:dyDescent="0.25">
      <c r="A2132" s="170">
        <v>45142</v>
      </c>
      <c r="B2132" s="116">
        <v>401.3</v>
      </c>
      <c r="C2132" s="116">
        <v>395.85</v>
      </c>
      <c r="D2132" s="116">
        <v>393</v>
      </c>
      <c r="E2132" s="116">
        <v>393</v>
      </c>
      <c r="F2132" s="116">
        <v>395.85</v>
      </c>
      <c r="G2132">
        <v>146463</v>
      </c>
      <c r="H2132" s="116"/>
      <c r="I2132" s="116"/>
      <c r="L2132" s="170">
        <v>45142</v>
      </c>
      <c r="M2132" s="116">
        <v>395.85</v>
      </c>
      <c r="N2132" s="116">
        <v>401.45</v>
      </c>
      <c r="O2132" s="116">
        <v>394.45</v>
      </c>
      <c r="P2132" s="116">
        <v>394.95</v>
      </c>
      <c r="Q2132" s="116">
        <v>395.85</v>
      </c>
      <c r="R2132">
        <v>2799723</v>
      </c>
    </row>
    <row r="2133" spans="1:18" x14ac:dyDescent="0.25">
      <c r="A2133" s="170">
        <v>45145</v>
      </c>
      <c r="B2133" s="116">
        <v>399.35</v>
      </c>
      <c r="C2133" s="116">
        <v>394.3</v>
      </c>
      <c r="D2133" s="116">
        <v>392.9</v>
      </c>
      <c r="E2133" s="116">
        <v>396.05</v>
      </c>
      <c r="F2133" s="116">
        <v>394.3</v>
      </c>
      <c r="G2133">
        <v>87010</v>
      </c>
      <c r="H2133" s="116"/>
      <c r="I2133" s="116"/>
      <c r="L2133" s="170">
        <v>45145</v>
      </c>
      <c r="M2133" s="116">
        <v>394.4</v>
      </c>
      <c r="N2133" s="116">
        <v>399.25</v>
      </c>
      <c r="O2133" s="116">
        <v>392.75</v>
      </c>
      <c r="P2133" s="116">
        <v>397.95</v>
      </c>
      <c r="Q2133" s="116">
        <v>394.4</v>
      </c>
      <c r="R2133">
        <v>1106933</v>
      </c>
    </row>
    <row r="2134" spans="1:18" x14ac:dyDescent="0.25">
      <c r="A2134" s="170">
        <v>45146</v>
      </c>
      <c r="B2134" s="116">
        <v>396</v>
      </c>
      <c r="C2134" s="116">
        <v>388.65</v>
      </c>
      <c r="D2134" s="116">
        <v>384.6</v>
      </c>
      <c r="E2134" s="116">
        <v>396</v>
      </c>
      <c r="F2134" s="116">
        <v>388.65</v>
      </c>
      <c r="G2134">
        <v>63885</v>
      </c>
      <c r="H2134" s="116"/>
      <c r="I2134" s="116"/>
      <c r="L2134" s="170">
        <v>45146</v>
      </c>
      <c r="M2134" s="116">
        <v>388.65</v>
      </c>
      <c r="N2134" s="116">
        <v>396.3</v>
      </c>
      <c r="O2134" s="116">
        <v>384.7</v>
      </c>
      <c r="P2134" s="116">
        <v>395</v>
      </c>
      <c r="Q2134" s="116">
        <v>388.65</v>
      </c>
      <c r="R2134">
        <v>2362513</v>
      </c>
    </row>
    <row r="2135" spans="1:18" x14ac:dyDescent="0.25">
      <c r="A2135" s="170">
        <v>45147</v>
      </c>
      <c r="B2135" s="116">
        <v>388.85</v>
      </c>
      <c r="C2135" s="116">
        <v>386.3</v>
      </c>
      <c r="D2135" s="116">
        <v>384</v>
      </c>
      <c r="E2135" s="116">
        <v>388.65</v>
      </c>
      <c r="F2135" s="116">
        <v>386.3</v>
      </c>
      <c r="G2135">
        <v>96004</v>
      </c>
      <c r="H2135" s="116"/>
      <c r="I2135" s="116"/>
      <c r="L2135" s="170">
        <v>45147</v>
      </c>
      <c r="M2135" s="116">
        <v>386.35</v>
      </c>
      <c r="N2135" s="116">
        <v>390</v>
      </c>
      <c r="O2135" s="116">
        <v>383.85</v>
      </c>
      <c r="P2135" s="116">
        <v>388.7</v>
      </c>
      <c r="Q2135" s="116">
        <v>386.35</v>
      </c>
      <c r="R2135">
        <v>2699907</v>
      </c>
    </row>
    <row r="2136" spans="1:18" x14ac:dyDescent="0.25">
      <c r="A2136" s="170">
        <v>45148</v>
      </c>
      <c r="B2136" s="116">
        <v>387.95</v>
      </c>
      <c r="C2136" s="116">
        <v>382.5</v>
      </c>
      <c r="D2136" s="116">
        <v>381.65</v>
      </c>
      <c r="E2136" s="116">
        <v>387.95</v>
      </c>
      <c r="F2136" s="116">
        <v>382.5</v>
      </c>
      <c r="G2136">
        <v>38422</v>
      </c>
      <c r="H2136" s="116"/>
      <c r="I2136" s="116"/>
      <c r="L2136" s="170">
        <v>45148</v>
      </c>
      <c r="M2136" s="116">
        <v>382.55</v>
      </c>
      <c r="N2136" s="116">
        <v>387</v>
      </c>
      <c r="O2136" s="116">
        <v>381.5</v>
      </c>
      <c r="P2136" s="116">
        <v>387</v>
      </c>
      <c r="Q2136" s="116">
        <v>382.55</v>
      </c>
      <c r="R2136">
        <v>1630569</v>
      </c>
    </row>
    <row r="2137" spans="1:18" x14ac:dyDescent="0.25">
      <c r="A2137" s="170">
        <v>45149</v>
      </c>
      <c r="B2137" s="116">
        <v>389.15</v>
      </c>
      <c r="C2137" s="116">
        <v>387</v>
      </c>
      <c r="D2137" s="116">
        <v>381.5</v>
      </c>
      <c r="E2137" s="116">
        <v>384</v>
      </c>
      <c r="F2137" s="116">
        <v>387</v>
      </c>
      <c r="G2137">
        <v>39478</v>
      </c>
      <c r="H2137" s="116"/>
      <c r="I2137" s="116"/>
      <c r="L2137" s="170">
        <v>45149</v>
      </c>
      <c r="M2137" s="116">
        <v>387.05</v>
      </c>
      <c r="N2137" s="116">
        <v>389.25</v>
      </c>
      <c r="O2137" s="116">
        <v>381.65</v>
      </c>
      <c r="P2137" s="116">
        <v>383</v>
      </c>
      <c r="Q2137" s="116">
        <v>387.05</v>
      </c>
      <c r="R2137">
        <v>1707604</v>
      </c>
    </row>
    <row r="2138" spans="1:18" x14ac:dyDescent="0.25">
      <c r="A2138" s="170">
        <v>45152</v>
      </c>
      <c r="B2138" s="116">
        <v>388</v>
      </c>
      <c r="C2138" s="116">
        <v>383.3</v>
      </c>
      <c r="D2138" s="116">
        <v>380.35</v>
      </c>
      <c r="E2138" s="116">
        <v>388</v>
      </c>
      <c r="F2138" s="116">
        <v>383.3</v>
      </c>
      <c r="G2138">
        <v>51027</v>
      </c>
      <c r="H2138" s="116"/>
      <c r="I2138" s="116"/>
      <c r="L2138" s="170">
        <v>45152</v>
      </c>
      <c r="M2138" s="116">
        <v>383.15</v>
      </c>
      <c r="N2138" s="116">
        <v>387.5</v>
      </c>
      <c r="O2138" s="116">
        <v>380.2</v>
      </c>
      <c r="P2138" s="116">
        <v>386.9</v>
      </c>
      <c r="Q2138" s="116">
        <v>383.15</v>
      </c>
      <c r="R2138">
        <v>1515586</v>
      </c>
    </row>
    <row r="2139" spans="1:18" x14ac:dyDescent="0.25">
      <c r="A2139" s="170">
        <v>45154</v>
      </c>
      <c r="B2139" s="116">
        <v>384.8</v>
      </c>
      <c r="C2139" s="116">
        <v>383.1</v>
      </c>
      <c r="D2139" s="116">
        <v>378</v>
      </c>
      <c r="E2139" s="116">
        <v>380.05</v>
      </c>
      <c r="F2139" s="116">
        <v>383.1</v>
      </c>
      <c r="G2139">
        <v>104863</v>
      </c>
      <c r="H2139" s="116"/>
      <c r="I2139" s="116"/>
      <c r="L2139" s="170">
        <v>45154</v>
      </c>
      <c r="M2139" s="116">
        <v>383.2</v>
      </c>
      <c r="N2139" s="116">
        <v>384.9</v>
      </c>
      <c r="O2139" s="116">
        <v>378</v>
      </c>
      <c r="P2139" s="116">
        <v>381</v>
      </c>
      <c r="Q2139" s="116">
        <v>383.2</v>
      </c>
      <c r="R2139">
        <v>2673943</v>
      </c>
    </row>
    <row r="2140" spans="1:18" x14ac:dyDescent="0.25">
      <c r="A2140" s="170">
        <v>45155</v>
      </c>
      <c r="B2140" s="116">
        <v>388</v>
      </c>
      <c r="C2140" s="116">
        <v>382.3</v>
      </c>
      <c r="D2140" s="116">
        <v>381.6</v>
      </c>
      <c r="E2140" s="116">
        <v>383.05</v>
      </c>
      <c r="F2140" s="116">
        <v>382.3</v>
      </c>
      <c r="G2140">
        <v>84730</v>
      </c>
      <c r="H2140" s="116"/>
      <c r="I2140" s="116"/>
      <c r="L2140" s="170">
        <v>45155</v>
      </c>
      <c r="M2140" s="116">
        <v>382.2</v>
      </c>
      <c r="N2140" s="116">
        <v>387.6</v>
      </c>
      <c r="O2140" s="116">
        <v>381.25</v>
      </c>
      <c r="P2140" s="116">
        <v>382</v>
      </c>
      <c r="Q2140" s="116">
        <v>382.2</v>
      </c>
      <c r="R2140">
        <v>2255954</v>
      </c>
    </row>
    <row r="2141" spans="1:18" x14ac:dyDescent="0.25">
      <c r="A2141" s="170">
        <v>45156</v>
      </c>
      <c r="B2141" s="116">
        <v>384</v>
      </c>
      <c r="C2141" s="116">
        <v>381.2</v>
      </c>
      <c r="D2141" s="116">
        <v>376.7</v>
      </c>
      <c r="E2141" s="116">
        <v>381.05</v>
      </c>
      <c r="F2141" s="116">
        <v>381.2</v>
      </c>
      <c r="G2141">
        <v>160971</v>
      </c>
      <c r="H2141" s="116"/>
      <c r="I2141" s="116"/>
      <c r="L2141" s="170">
        <v>45156</v>
      </c>
      <c r="M2141" s="116">
        <v>381.65</v>
      </c>
      <c r="N2141" s="116">
        <v>384</v>
      </c>
      <c r="O2141" s="116">
        <v>376.9</v>
      </c>
      <c r="P2141" s="116">
        <v>381.9</v>
      </c>
      <c r="Q2141" s="116">
        <v>381.65</v>
      </c>
      <c r="R2141">
        <v>3380576</v>
      </c>
    </row>
    <row r="2142" spans="1:18" x14ac:dyDescent="0.25">
      <c r="A2142" s="170">
        <v>45159</v>
      </c>
      <c r="B2142" s="116">
        <v>385.3</v>
      </c>
      <c r="C2142" s="116">
        <v>379.45</v>
      </c>
      <c r="D2142" s="116">
        <v>377.4</v>
      </c>
      <c r="E2142" s="116">
        <v>385.3</v>
      </c>
      <c r="F2142" s="116">
        <v>379.45</v>
      </c>
      <c r="G2142">
        <v>65675</v>
      </c>
      <c r="H2142" s="116"/>
      <c r="I2142" s="116"/>
      <c r="L2142" s="170">
        <v>45159</v>
      </c>
      <c r="M2142" s="116">
        <v>379.4</v>
      </c>
      <c r="N2142" s="116">
        <v>384.35</v>
      </c>
      <c r="O2142" s="116">
        <v>377.4</v>
      </c>
      <c r="P2142" s="116">
        <v>381</v>
      </c>
      <c r="Q2142" s="116">
        <v>379.4</v>
      </c>
      <c r="R2142">
        <v>3783544</v>
      </c>
    </row>
    <row r="2143" spans="1:18" x14ac:dyDescent="0.25">
      <c r="A2143" s="170">
        <v>45160</v>
      </c>
      <c r="B2143" s="116">
        <v>389.2</v>
      </c>
      <c r="C2143" s="116">
        <v>388.3</v>
      </c>
      <c r="D2143" s="116">
        <v>379.45</v>
      </c>
      <c r="E2143" s="116">
        <v>379.45</v>
      </c>
      <c r="F2143" s="116">
        <v>388.3</v>
      </c>
      <c r="G2143">
        <v>164306</v>
      </c>
      <c r="H2143" s="116"/>
      <c r="I2143" s="116"/>
      <c r="L2143" s="170">
        <v>45160</v>
      </c>
      <c r="M2143" s="116">
        <v>388.6</v>
      </c>
      <c r="N2143" s="116">
        <v>389.4</v>
      </c>
      <c r="O2143" s="116">
        <v>379.4</v>
      </c>
      <c r="P2143" s="116">
        <v>379.4</v>
      </c>
      <c r="Q2143" s="116">
        <v>388.6</v>
      </c>
      <c r="R2143">
        <v>3050549</v>
      </c>
    </row>
    <row r="2144" spans="1:18" x14ac:dyDescent="0.25">
      <c r="A2144" s="170">
        <v>45161</v>
      </c>
      <c r="B2144" s="116">
        <v>408.4</v>
      </c>
      <c r="C2144" s="116">
        <v>401.1</v>
      </c>
      <c r="D2144" s="116">
        <v>387.1</v>
      </c>
      <c r="E2144" s="116">
        <v>389.95</v>
      </c>
      <c r="F2144" s="116">
        <v>401.1</v>
      </c>
      <c r="G2144">
        <v>188780</v>
      </c>
      <c r="H2144" s="116"/>
      <c r="I2144" s="116"/>
      <c r="L2144" s="170">
        <v>45161</v>
      </c>
      <c r="M2144" s="116">
        <v>401.1</v>
      </c>
      <c r="N2144" s="116">
        <v>408.45</v>
      </c>
      <c r="O2144" s="116">
        <v>387.25</v>
      </c>
      <c r="P2144" s="116">
        <v>388.35</v>
      </c>
      <c r="Q2144" s="116">
        <v>401.1</v>
      </c>
      <c r="R2144">
        <v>7685814</v>
      </c>
    </row>
    <row r="2145" spans="1:18" x14ac:dyDescent="0.25">
      <c r="A2145" s="170">
        <v>45162</v>
      </c>
      <c r="B2145" s="116">
        <v>407</v>
      </c>
      <c r="C2145" s="116">
        <v>401.85</v>
      </c>
      <c r="D2145" s="116">
        <v>401.25</v>
      </c>
      <c r="E2145" s="116">
        <v>401.35</v>
      </c>
      <c r="F2145" s="116">
        <v>401.85</v>
      </c>
      <c r="G2145">
        <v>124823</v>
      </c>
      <c r="H2145" s="116"/>
      <c r="I2145" s="116"/>
      <c r="L2145" s="170">
        <v>45162</v>
      </c>
      <c r="M2145" s="116">
        <v>401.95</v>
      </c>
      <c r="N2145" s="116">
        <v>407.1</v>
      </c>
      <c r="O2145" s="116">
        <v>401.45</v>
      </c>
      <c r="P2145" s="116">
        <v>404.05</v>
      </c>
      <c r="Q2145" s="116">
        <v>401.95</v>
      </c>
      <c r="R2145">
        <v>3231012</v>
      </c>
    </row>
    <row r="2146" spans="1:18" x14ac:dyDescent="0.25">
      <c r="A2146" s="170">
        <v>45163</v>
      </c>
      <c r="B2146" s="116">
        <v>400.95</v>
      </c>
      <c r="C2146" s="116">
        <v>391.95</v>
      </c>
      <c r="D2146" s="116">
        <v>390.5</v>
      </c>
      <c r="E2146" s="116">
        <v>396.5</v>
      </c>
      <c r="F2146" s="116">
        <v>391.95</v>
      </c>
      <c r="G2146">
        <v>67162</v>
      </c>
      <c r="H2146" s="116"/>
      <c r="I2146" s="116"/>
      <c r="L2146" s="170">
        <v>45163</v>
      </c>
      <c r="M2146" s="116">
        <v>392</v>
      </c>
      <c r="N2146" s="116">
        <v>401.05</v>
      </c>
      <c r="O2146" s="116">
        <v>390.7</v>
      </c>
      <c r="P2146" s="116">
        <v>400.5</v>
      </c>
      <c r="Q2146" s="116">
        <v>392</v>
      </c>
      <c r="R2146">
        <v>2242422</v>
      </c>
    </row>
    <row r="2147" spans="1:18" x14ac:dyDescent="0.25">
      <c r="A2147" s="170">
        <v>45166</v>
      </c>
      <c r="B2147" s="116">
        <v>397.85</v>
      </c>
      <c r="C2147" s="116">
        <v>393.7</v>
      </c>
      <c r="D2147" s="116">
        <v>391.65</v>
      </c>
      <c r="E2147" s="116">
        <v>394.95</v>
      </c>
      <c r="F2147" s="116">
        <v>393.7</v>
      </c>
      <c r="G2147">
        <v>46750</v>
      </c>
      <c r="H2147" s="116"/>
      <c r="I2147" s="116"/>
      <c r="L2147" s="170">
        <v>45166</v>
      </c>
      <c r="M2147" s="116">
        <v>393.8</v>
      </c>
      <c r="N2147" s="116">
        <v>397.8</v>
      </c>
      <c r="O2147" s="116">
        <v>391.55</v>
      </c>
      <c r="P2147" s="116">
        <v>393</v>
      </c>
      <c r="Q2147" s="116">
        <v>393.8</v>
      </c>
      <c r="R2147">
        <v>2570095</v>
      </c>
    </row>
    <row r="2148" spans="1:18" x14ac:dyDescent="0.25">
      <c r="A2148" s="170">
        <v>45167</v>
      </c>
      <c r="B2148" s="116">
        <v>395.7</v>
      </c>
      <c r="C2148" s="116">
        <v>393</v>
      </c>
      <c r="D2148" s="116">
        <v>390.05</v>
      </c>
      <c r="E2148" s="116">
        <v>390.05</v>
      </c>
      <c r="F2148" s="116">
        <v>393</v>
      </c>
      <c r="G2148">
        <v>29599</v>
      </c>
      <c r="H2148" s="116"/>
      <c r="I2148" s="116"/>
      <c r="L2148" s="170">
        <v>45167</v>
      </c>
      <c r="M2148" s="116">
        <v>393.25</v>
      </c>
      <c r="N2148" s="116">
        <v>396.25</v>
      </c>
      <c r="O2148" s="116">
        <v>392.3</v>
      </c>
      <c r="P2148" s="116">
        <v>394.4</v>
      </c>
      <c r="Q2148" s="116">
        <v>393.25</v>
      </c>
      <c r="R2148">
        <v>1175670</v>
      </c>
    </row>
    <row r="2149" spans="1:18" x14ac:dyDescent="0.25">
      <c r="A2149" s="170">
        <v>45168</v>
      </c>
      <c r="B2149" s="116">
        <v>418.55</v>
      </c>
      <c r="C2149" s="116">
        <v>416.6</v>
      </c>
      <c r="D2149" s="116">
        <v>394.9</v>
      </c>
      <c r="E2149" s="116">
        <v>399.85</v>
      </c>
      <c r="F2149" s="116">
        <v>416.6</v>
      </c>
      <c r="G2149">
        <v>392282</v>
      </c>
      <c r="H2149" s="116"/>
      <c r="I2149" s="116"/>
      <c r="L2149" s="170">
        <v>45168</v>
      </c>
      <c r="M2149" s="116">
        <v>416.65</v>
      </c>
      <c r="N2149" s="116">
        <v>418.6</v>
      </c>
      <c r="O2149" s="116">
        <v>393.85</v>
      </c>
      <c r="P2149" s="116">
        <v>394</v>
      </c>
      <c r="Q2149" s="116">
        <v>416.65</v>
      </c>
      <c r="R2149">
        <v>13572441</v>
      </c>
    </row>
    <row r="2150" spans="1:18" x14ac:dyDescent="0.25">
      <c r="A2150" s="170">
        <v>45169</v>
      </c>
      <c r="B2150" s="116">
        <v>425.4</v>
      </c>
      <c r="C2150" s="116">
        <v>421</v>
      </c>
      <c r="D2150" s="116">
        <v>418.7</v>
      </c>
      <c r="E2150" s="116">
        <v>422.75</v>
      </c>
      <c r="F2150" s="116">
        <v>421</v>
      </c>
      <c r="G2150">
        <v>198339</v>
      </c>
      <c r="H2150" s="116"/>
      <c r="I2150" s="116"/>
      <c r="L2150" s="170">
        <v>45169</v>
      </c>
      <c r="M2150" s="116">
        <v>420.9</v>
      </c>
      <c r="N2150" s="116">
        <v>425.5</v>
      </c>
      <c r="O2150" s="116">
        <v>418.8</v>
      </c>
      <c r="P2150" s="116">
        <v>422.2</v>
      </c>
      <c r="Q2150" s="116">
        <v>420.9</v>
      </c>
      <c r="R2150">
        <v>8176611</v>
      </c>
    </row>
    <row r="2151" spans="1:18" x14ac:dyDescent="0.25">
      <c r="A2151" s="170">
        <v>45170</v>
      </c>
      <c r="B2151" s="116">
        <v>427.45</v>
      </c>
      <c r="C2151" s="116">
        <v>424.25</v>
      </c>
      <c r="D2151" s="116">
        <v>415.7</v>
      </c>
      <c r="E2151" s="116">
        <v>424.85</v>
      </c>
      <c r="F2151" s="116">
        <v>424.25</v>
      </c>
      <c r="G2151">
        <v>302779</v>
      </c>
      <c r="H2151" s="116"/>
      <c r="I2151" s="116"/>
      <c r="L2151" s="170">
        <v>45170</v>
      </c>
      <c r="M2151" s="116">
        <v>424.25</v>
      </c>
      <c r="N2151" s="116">
        <v>427.5</v>
      </c>
      <c r="O2151" s="116">
        <v>415.7</v>
      </c>
      <c r="P2151" s="116">
        <v>421.9</v>
      </c>
      <c r="Q2151" s="116">
        <v>424.25</v>
      </c>
      <c r="R2151">
        <v>3552699</v>
      </c>
    </row>
    <row r="2152" spans="1:18" x14ac:dyDescent="0.25">
      <c r="A2152" s="170">
        <v>45173</v>
      </c>
      <c r="B2152" s="116">
        <v>426.75</v>
      </c>
      <c r="C2152" s="116">
        <v>420.75</v>
      </c>
      <c r="D2152" s="116">
        <v>418.35</v>
      </c>
      <c r="E2152" s="116">
        <v>426.7</v>
      </c>
      <c r="F2152" s="116">
        <v>420.75</v>
      </c>
      <c r="G2152">
        <v>69603</v>
      </c>
      <c r="H2152" s="116"/>
      <c r="I2152" s="116"/>
      <c r="L2152" s="170">
        <v>45173</v>
      </c>
      <c r="M2152" s="116">
        <v>420.85</v>
      </c>
      <c r="N2152" s="116">
        <v>427.5</v>
      </c>
      <c r="O2152" s="116">
        <v>418.1</v>
      </c>
      <c r="P2152" s="116">
        <v>424.5</v>
      </c>
      <c r="Q2152" s="116">
        <v>420.85</v>
      </c>
      <c r="R2152">
        <v>3393492</v>
      </c>
    </row>
    <row r="2153" spans="1:18" x14ac:dyDescent="0.25">
      <c r="A2153" s="170">
        <v>45174</v>
      </c>
      <c r="B2153" s="116">
        <v>425.85</v>
      </c>
      <c r="C2153" s="116">
        <v>422.15</v>
      </c>
      <c r="D2153" s="116">
        <v>420</v>
      </c>
      <c r="E2153" s="116">
        <v>421.05</v>
      </c>
      <c r="F2153" s="116">
        <v>422.15</v>
      </c>
      <c r="G2153">
        <v>55372</v>
      </c>
      <c r="H2153" s="116"/>
      <c r="I2153" s="116"/>
      <c r="L2153" s="170">
        <v>45174</v>
      </c>
      <c r="M2153" s="116">
        <v>422.45</v>
      </c>
      <c r="N2153" s="116">
        <v>425.8</v>
      </c>
      <c r="O2153" s="116">
        <v>419.85</v>
      </c>
      <c r="P2153" s="116">
        <v>423.95</v>
      </c>
      <c r="Q2153" s="116">
        <v>422.45</v>
      </c>
      <c r="R2153">
        <v>1917747</v>
      </c>
    </row>
    <row r="2154" spans="1:18" x14ac:dyDescent="0.25">
      <c r="A2154" s="170">
        <v>45175</v>
      </c>
      <c r="B2154" s="116">
        <v>433</v>
      </c>
      <c r="C2154" s="116">
        <v>431.45</v>
      </c>
      <c r="D2154" s="116">
        <v>422.15</v>
      </c>
      <c r="E2154" s="116">
        <v>423</v>
      </c>
      <c r="F2154" s="116">
        <v>431.45</v>
      </c>
      <c r="G2154">
        <v>125139</v>
      </c>
      <c r="H2154" s="116"/>
      <c r="I2154" s="116"/>
      <c r="L2154" s="170">
        <v>45175</v>
      </c>
      <c r="M2154" s="116">
        <v>431.5</v>
      </c>
      <c r="N2154" s="116">
        <v>433.2</v>
      </c>
      <c r="O2154" s="116">
        <v>422.05</v>
      </c>
      <c r="P2154" s="116">
        <v>423.9</v>
      </c>
      <c r="Q2154" s="116">
        <v>431.5</v>
      </c>
      <c r="R2154">
        <v>4575749</v>
      </c>
    </row>
    <row r="2155" spans="1:18" x14ac:dyDescent="0.25">
      <c r="A2155" s="170">
        <v>45176</v>
      </c>
      <c r="B2155" s="116">
        <v>436.25</v>
      </c>
      <c r="C2155" s="116">
        <v>426.9</v>
      </c>
      <c r="D2155" s="116">
        <v>424.85</v>
      </c>
      <c r="E2155" s="116">
        <v>432.95</v>
      </c>
      <c r="F2155" s="116">
        <v>426.9</v>
      </c>
      <c r="G2155">
        <v>146328</v>
      </c>
      <c r="H2155" s="116"/>
      <c r="I2155" s="116"/>
      <c r="L2155" s="170">
        <v>45176</v>
      </c>
      <c r="M2155" s="116">
        <v>427</v>
      </c>
      <c r="N2155" s="116">
        <v>436.45</v>
      </c>
      <c r="O2155" s="116">
        <v>425</v>
      </c>
      <c r="P2155" s="116">
        <v>432</v>
      </c>
      <c r="Q2155" s="116">
        <v>427</v>
      </c>
      <c r="R2155">
        <v>3975992</v>
      </c>
    </row>
    <row r="2156" spans="1:18" x14ac:dyDescent="0.25">
      <c r="A2156" s="170">
        <v>45177</v>
      </c>
      <c r="B2156" s="116">
        <v>432.3</v>
      </c>
      <c r="C2156" s="116">
        <v>429.4</v>
      </c>
      <c r="D2156" s="116">
        <v>428.2</v>
      </c>
      <c r="E2156" s="116">
        <v>431.5</v>
      </c>
      <c r="F2156" s="116">
        <v>429.4</v>
      </c>
      <c r="G2156">
        <v>39654</v>
      </c>
      <c r="H2156" s="116"/>
      <c r="I2156" s="116"/>
      <c r="L2156" s="170">
        <v>45177</v>
      </c>
      <c r="M2156" s="116">
        <v>429.55</v>
      </c>
      <c r="N2156" s="116">
        <v>432.4</v>
      </c>
      <c r="O2156" s="116">
        <v>428</v>
      </c>
      <c r="P2156" s="116">
        <v>429.95</v>
      </c>
      <c r="Q2156" s="116">
        <v>429.55</v>
      </c>
      <c r="R2156">
        <v>2326946</v>
      </c>
    </row>
    <row r="2157" spans="1:18" x14ac:dyDescent="0.25">
      <c r="A2157" s="170">
        <v>45180</v>
      </c>
      <c r="B2157" s="116">
        <v>432.5</v>
      </c>
      <c r="C2157" s="116">
        <v>429.75</v>
      </c>
      <c r="D2157" s="116">
        <v>427.8</v>
      </c>
      <c r="E2157" s="116">
        <v>429.65</v>
      </c>
      <c r="F2157" s="116">
        <v>429.75</v>
      </c>
      <c r="G2157">
        <v>61115</v>
      </c>
      <c r="H2157" s="116"/>
      <c r="I2157" s="116"/>
      <c r="L2157" s="170">
        <v>45180</v>
      </c>
      <c r="M2157" s="116">
        <v>429.95</v>
      </c>
      <c r="N2157" s="116">
        <v>432.65</v>
      </c>
      <c r="O2157" s="116">
        <v>427.75</v>
      </c>
      <c r="P2157" s="116">
        <v>430.45</v>
      </c>
      <c r="Q2157" s="116">
        <v>429.95</v>
      </c>
      <c r="R2157">
        <v>2595165</v>
      </c>
    </row>
    <row r="2158" spans="1:18" x14ac:dyDescent="0.25">
      <c r="A2158" s="170">
        <v>45181</v>
      </c>
      <c r="B2158" s="116">
        <v>433.75</v>
      </c>
      <c r="C2158" s="116">
        <v>420.55</v>
      </c>
      <c r="D2158" s="116">
        <v>419</v>
      </c>
      <c r="E2158" s="116">
        <v>431.95</v>
      </c>
      <c r="F2158" s="116">
        <v>420.55</v>
      </c>
      <c r="G2158">
        <v>104031</v>
      </c>
      <c r="H2158" s="116"/>
      <c r="I2158" s="116"/>
      <c r="L2158" s="170">
        <v>45181</v>
      </c>
      <c r="M2158" s="116">
        <v>420.55</v>
      </c>
      <c r="N2158" s="116">
        <v>433.75</v>
      </c>
      <c r="O2158" s="116">
        <v>419.05</v>
      </c>
      <c r="P2158" s="116">
        <v>431</v>
      </c>
      <c r="Q2158" s="116">
        <v>420.55</v>
      </c>
      <c r="R2158">
        <v>3376588</v>
      </c>
    </row>
    <row r="2159" spans="1:18" x14ac:dyDescent="0.25">
      <c r="A2159" s="170">
        <v>45182</v>
      </c>
      <c r="B2159" s="116">
        <v>420.8</v>
      </c>
      <c r="C2159" s="116">
        <v>414.7</v>
      </c>
      <c r="D2159" s="116">
        <v>407.75</v>
      </c>
      <c r="E2159" s="116">
        <v>418.55</v>
      </c>
      <c r="F2159" s="116">
        <v>414.7</v>
      </c>
      <c r="G2159">
        <v>422063</v>
      </c>
      <c r="H2159" s="116"/>
      <c r="I2159" s="116"/>
      <c r="L2159" s="170">
        <v>45182</v>
      </c>
      <c r="M2159" s="116">
        <v>414.65</v>
      </c>
      <c r="N2159" s="116">
        <v>420.95</v>
      </c>
      <c r="O2159" s="116">
        <v>407.35</v>
      </c>
      <c r="P2159" s="116">
        <v>420</v>
      </c>
      <c r="Q2159" s="116">
        <v>414.65</v>
      </c>
      <c r="R2159">
        <v>4941740</v>
      </c>
    </row>
    <row r="2160" spans="1:18" x14ac:dyDescent="0.25">
      <c r="A2160" s="170">
        <v>45183</v>
      </c>
      <c r="B2160" s="116">
        <v>424.8</v>
      </c>
      <c r="C2160" s="116">
        <v>423.7</v>
      </c>
      <c r="D2160" s="116">
        <v>413.5</v>
      </c>
      <c r="E2160" s="116">
        <v>414.7</v>
      </c>
      <c r="F2160" s="116">
        <v>423.7</v>
      </c>
      <c r="G2160">
        <v>203680</v>
      </c>
      <c r="H2160" s="116"/>
      <c r="I2160" s="116"/>
      <c r="L2160" s="170">
        <v>45183</v>
      </c>
      <c r="M2160" s="116">
        <v>423.65</v>
      </c>
      <c r="N2160" s="116">
        <v>424.7</v>
      </c>
      <c r="O2160" s="116">
        <v>413.7</v>
      </c>
      <c r="P2160" s="116">
        <v>414.7</v>
      </c>
      <c r="Q2160" s="116">
        <v>423.65</v>
      </c>
      <c r="R2160">
        <v>2921406</v>
      </c>
    </row>
    <row r="2161" spans="1:18" x14ac:dyDescent="0.25">
      <c r="A2161" s="170">
        <v>45184</v>
      </c>
      <c r="B2161" s="116">
        <v>431.95</v>
      </c>
      <c r="C2161" s="116">
        <v>416.55</v>
      </c>
      <c r="D2161" s="116">
        <v>415.3</v>
      </c>
      <c r="E2161" s="116">
        <v>428.95</v>
      </c>
      <c r="F2161" s="116">
        <v>416.55</v>
      </c>
      <c r="G2161">
        <v>202618</v>
      </c>
      <c r="H2161" s="116"/>
      <c r="I2161" s="116"/>
      <c r="L2161" s="170">
        <v>45184</v>
      </c>
      <c r="M2161" s="116">
        <v>416.65</v>
      </c>
      <c r="N2161" s="116">
        <v>431.95</v>
      </c>
      <c r="O2161" s="116">
        <v>415.4</v>
      </c>
      <c r="P2161" s="116">
        <v>428</v>
      </c>
      <c r="Q2161" s="116">
        <v>416.65</v>
      </c>
      <c r="R2161">
        <v>5623551</v>
      </c>
    </row>
    <row r="2162" spans="1:18" x14ac:dyDescent="0.25">
      <c r="A2162" s="170">
        <v>45187</v>
      </c>
      <c r="B2162" s="116">
        <v>421.65</v>
      </c>
      <c r="C2162" s="116">
        <v>415.65</v>
      </c>
      <c r="D2162" s="116">
        <v>413.6</v>
      </c>
      <c r="E2162" s="116">
        <v>421.65</v>
      </c>
      <c r="F2162" s="116">
        <v>415.65</v>
      </c>
      <c r="G2162">
        <v>50570</v>
      </c>
      <c r="H2162" s="116"/>
      <c r="I2162" s="116"/>
      <c r="L2162" s="170">
        <v>45187</v>
      </c>
      <c r="M2162" s="116">
        <v>415.75</v>
      </c>
      <c r="N2162" s="116">
        <v>419.8</v>
      </c>
      <c r="O2162" s="116">
        <v>413.5</v>
      </c>
      <c r="P2162" s="116">
        <v>419.8</v>
      </c>
      <c r="Q2162" s="116">
        <v>415.75</v>
      </c>
      <c r="R2162">
        <v>1821991</v>
      </c>
    </row>
    <row r="2163" spans="1:18" x14ac:dyDescent="0.25">
      <c r="A2163" s="170">
        <v>45189</v>
      </c>
      <c r="B2163" s="116">
        <v>421.4</v>
      </c>
      <c r="C2163" s="116">
        <v>417.9</v>
      </c>
      <c r="D2163" s="116">
        <v>413.2</v>
      </c>
      <c r="E2163" s="116">
        <v>417.2</v>
      </c>
      <c r="F2163" s="116">
        <v>417.9</v>
      </c>
      <c r="G2163">
        <v>56678</v>
      </c>
      <c r="H2163" s="116"/>
      <c r="I2163" s="116"/>
      <c r="L2163" s="170">
        <v>45189</v>
      </c>
      <c r="M2163" s="116">
        <v>418</v>
      </c>
      <c r="N2163" s="116">
        <v>421.55</v>
      </c>
      <c r="O2163" s="116">
        <v>413</v>
      </c>
      <c r="P2163" s="116">
        <v>416.25</v>
      </c>
      <c r="Q2163" s="116">
        <v>418</v>
      </c>
      <c r="R2163">
        <v>2329586</v>
      </c>
    </row>
    <row r="2164" spans="1:18" x14ac:dyDescent="0.25">
      <c r="A2164" s="170">
        <v>45190</v>
      </c>
      <c r="B2164" s="116">
        <v>418</v>
      </c>
      <c r="C2164" s="116">
        <v>406.8</v>
      </c>
      <c r="D2164" s="116">
        <v>405.35</v>
      </c>
      <c r="E2164" s="116">
        <v>418</v>
      </c>
      <c r="F2164" s="116">
        <v>406.8</v>
      </c>
      <c r="G2164">
        <v>67760</v>
      </c>
      <c r="H2164" s="116"/>
      <c r="I2164" s="116"/>
      <c r="L2164" s="170">
        <v>45190</v>
      </c>
      <c r="M2164" s="116">
        <v>406.8</v>
      </c>
      <c r="N2164" s="116">
        <v>416.75</v>
      </c>
      <c r="O2164" s="116">
        <v>405.05</v>
      </c>
      <c r="P2164" s="116">
        <v>416.75</v>
      </c>
      <c r="Q2164" s="116">
        <v>406.8</v>
      </c>
      <c r="R2164">
        <v>2460210</v>
      </c>
    </row>
    <row r="2165" spans="1:18" x14ac:dyDescent="0.25">
      <c r="A2165" s="170">
        <v>45191</v>
      </c>
      <c r="B2165" s="116">
        <v>411.3</v>
      </c>
      <c r="C2165" s="116">
        <v>406.1</v>
      </c>
      <c r="D2165" s="116">
        <v>402.45</v>
      </c>
      <c r="E2165" s="116">
        <v>407.2</v>
      </c>
      <c r="F2165" s="116">
        <v>406.1</v>
      </c>
      <c r="G2165">
        <v>112919</v>
      </c>
      <c r="H2165" s="116"/>
      <c r="I2165" s="116"/>
      <c r="L2165" s="170">
        <v>45191</v>
      </c>
      <c r="M2165" s="116">
        <v>406.25</v>
      </c>
      <c r="N2165" s="116">
        <v>411.35</v>
      </c>
      <c r="O2165" s="116">
        <v>402.65</v>
      </c>
      <c r="P2165" s="116">
        <v>407</v>
      </c>
      <c r="Q2165" s="116">
        <v>406.25</v>
      </c>
      <c r="R2165">
        <v>2478833</v>
      </c>
    </row>
    <row r="2166" spans="1:18" x14ac:dyDescent="0.25">
      <c r="A2166" s="170">
        <v>45194</v>
      </c>
      <c r="B2166" s="116">
        <v>410.55</v>
      </c>
      <c r="C2166" s="116">
        <v>408.85</v>
      </c>
      <c r="D2166" s="116">
        <v>400.65</v>
      </c>
      <c r="E2166" s="116">
        <v>403.95</v>
      </c>
      <c r="F2166" s="116">
        <v>408.85</v>
      </c>
      <c r="G2166">
        <v>49265</v>
      </c>
      <c r="H2166" s="116"/>
      <c r="I2166" s="116"/>
      <c r="L2166" s="170">
        <v>45194</v>
      </c>
      <c r="M2166" s="116">
        <v>408.6</v>
      </c>
      <c r="N2166" s="116">
        <v>410.75</v>
      </c>
      <c r="O2166" s="116">
        <v>400.45</v>
      </c>
      <c r="P2166" s="116">
        <v>406.25</v>
      </c>
      <c r="Q2166" s="116">
        <v>408.6</v>
      </c>
      <c r="R2166">
        <v>3601670</v>
      </c>
    </row>
    <row r="2167" spans="1:18" x14ac:dyDescent="0.25">
      <c r="A2167" s="170">
        <v>45195</v>
      </c>
      <c r="B2167" s="116">
        <v>414.3</v>
      </c>
      <c r="C2167" s="116">
        <v>410.35</v>
      </c>
      <c r="D2167" s="116">
        <v>405.65</v>
      </c>
      <c r="E2167" s="116">
        <v>410.95</v>
      </c>
      <c r="F2167" s="116">
        <v>410.35</v>
      </c>
      <c r="G2167">
        <v>72700</v>
      </c>
      <c r="H2167" s="116"/>
      <c r="I2167" s="116"/>
      <c r="L2167" s="170">
        <v>45195</v>
      </c>
      <c r="M2167" s="116">
        <v>410.5</v>
      </c>
      <c r="N2167" s="116">
        <v>414.2</v>
      </c>
      <c r="O2167" s="116">
        <v>405.55</v>
      </c>
      <c r="P2167" s="116">
        <v>408.45</v>
      </c>
      <c r="Q2167" s="116">
        <v>410.5</v>
      </c>
      <c r="R2167">
        <v>1963642</v>
      </c>
    </row>
    <row r="2168" spans="1:18" x14ac:dyDescent="0.25">
      <c r="A2168" s="170">
        <v>45196</v>
      </c>
      <c r="B2168" s="116">
        <v>414.9</v>
      </c>
      <c r="C2168" s="116">
        <v>413.35</v>
      </c>
      <c r="D2168" s="116">
        <v>411.8</v>
      </c>
      <c r="E2168" s="116">
        <v>413.9</v>
      </c>
      <c r="F2168" s="116">
        <v>413.35</v>
      </c>
      <c r="G2168">
        <v>36391</v>
      </c>
      <c r="H2168" s="116"/>
      <c r="I2168" s="116"/>
      <c r="L2168" s="170">
        <v>45196</v>
      </c>
      <c r="M2168" s="116">
        <v>413.15</v>
      </c>
      <c r="N2168" s="116">
        <v>414.9</v>
      </c>
      <c r="O2168" s="116">
        <v>411.4</v>
      </c>
      <c r="P2168" s="116">
        <v>412.95</v>
      </c>
      <c r="Q2168" s="116">
        <v>413.15</v>
      </c>
      <c r="R2168">
        <v>2458909</v>
      </c>
    </row>
    <row r="2169" spans="1:18" x14ac:dyDescent="0.25">
      <c r="A2169" s="170">
        <v>45197</v>
      </c>
      <c r="B2169" s="116">
        <v>416.45</v>
      </c>
      <c r="C2169" s="116">
        <v>405.25</v>
      </c>
      <c r="D2169" s="116">
        <v>404</v>
      </c>
      <c r="E2169" s="116">
        <v>416.45</v>
      </c>
      <c r="F2169" s="116">
        <v>405.25</v>
      </c>
      <c r="G2169">
        <v>104816</v>
      </c>
      <c r="H2169" s="116"/>
      <c r="I2169" s="116"/>
      <c r="L2169" s="170">
        <v>45197</v>
      </c>
      <c r="M2169" s="116">
        <v>405.15</v>
      </c>
      <c r="N2169" s="116">
        <v>414.7</v>
      </c>
      <c r="O2169" s="116">
        <v>404</v>
      </c>
      <c r="P2169" s="116">
        <v>412.95</v>
      </c>
      <c r="Q2169" s="116">
        <v>405.15</v>
      </c>
      <c r="R2169">
        <v>2224890</v>
      </c>
    </row>
    <row r="2170" spans="1:18" x14ac:dyDescent="0.25">
      <c r="A2170" s="170">
        <v>45198</v>
      </c>
      <c r="B2170" s="116">
        <v>412</v>
      </c>
      <c r="C2170" s="116">
        <v>411.1</v>
      </c>
      <c r="D2170" s="116">
        <v>403.5</v>
      </c>
      <c r="E2170" s="116">
        <v>408</v>
      </c>
      <c r="F2170" s="116">
        <v>411.1</v>
      </c>
      <c r="G2170">
        <v>100223</v>
      </c>
      <c r="H2170" s="116"/>
      <c r="I2170" s="116"/>
      <c r="L2170" s="170">
        <v>45198</v>
      </c>
      <c r="M2170" s="116">
        <v>411.1</v>
      </c>
      <c r="N2170" s="116">
        <v>412.25</v>
      </c>
      <c r="O2170" s="116">
        <v>403.3</v>
      </c>
      <c r="P2170" s="116">
        <v>408.9</v>
      </c>
      <c r="Q2170" s="116">
        <v>411.1</v>
      </c>
      <c r="R2170">
        <v>2722052</v>
      </c>
    </row>
    <row r="2171" spans="1:18" x14ac:dyDescent="0.25">
      <c r="A2171" s="170">
        <v>45202</v>
      </c>
      <c r="B2171" s="116">
        <v>416.5</v>
      </c>
      <c r="C2171" s="116">
        <v>413</v>
      </c>
      <c r="D2171" s="116">
        <v>406</v>
      </c>
      <c r="E2171" s="116">
        <v>413.65</v>
      </c>
      <c r="F2171" s="116">
        <v>413</v>
      </c>
      <c r="G2171">
        <v>123312</v>
      </c>
      <c r="H2171" s="116"/>
      <c r="I2171" s="116"/>
      <c r="L2171" s="170">
        <v>45202</v>
      </c>
      <c r="M2171" s="116">
        <v>413</v>
      </c>
      <c r="N2171" s="116">
        <v>416.45</v>
      </c>
      <c r="O2171" s="116">
        <v>406</v>
      </c>
      <c r="P2171" s="116">
        <v>412</v>
      </c>
      <c r="Q2171" s="116">
        <v>413</v>
      </c>
      <c r="R2171">
        <v>3333713</v>
      </c>
    </row>
    <row r="2172" spans="1:18" x14ac:dyDescent="0.25">
      <c r="A2172" s="170">
        <v>45203</v>
      </c>
      <c r="B2172" s="116">
        <v>414.95</v>
      </c>
      <c r="C2172" s="116">
        <v>406.85</v>
      </c>
      <c r="D2172" s="116">
        <v>401.7</v>
      </c>
      <c r="E2172" s="116">
        <v>414.95</v>
      </c>
      <c r="F2172" s="116">
        <v>406.85</v>
      </c>
      <c r="G2172">
        <v>661387</v>
      </c>
      <c r="H2172" s="116"/>
      <c r="I2172" s="116"/>
      <c r="L2172" s="170">
        <v>45203</v>
      </c>
      <c r="M2172" s="116">
        <v>406.55</v>
      </c>
      <c r="N2172" s="116">
        <v>416</v>
      </c>
      <c r="O2172" s="116">
        <v>401.6</v>
      </c>
      <c r="P2172" s="116">
        <v>411.75</v>
      </c>
      <c r="Q2172" s="116">
        <v>406.55</v>
      </c>
      <c r="R2172">
        <v>2906086</v>
      </c>
    </row>
    <row r="2173" spans="1:18" x14ac:dyDescent="0.25">
      <c r="A2173" s="170">
        <v>45204</v>
      </c>
      <c r="B2173" s="116">
        <v>419.2</v>
      </c>
      <c r="C2173" s="116">
        <v>417.4</v>
      </c>
      <c r="D2173" s="116">
        <v>408.05</v>
      </c>
      <c r="E2173" s="116">
        <v>411</v>
      </c>
      <c r="F2173" s="116">
        <v>417.4</v>
      </c>
      <c r="G2173">
        <v>182502</v>
      </c>
      <c r="H2173" s="116"/>
      <c r="I2173" s="116"/>
      <c r="L2173" s="170">
        <v>45204</v>
      </c>
      <c r="M2173" s="116">
        <v>417.5</v>
      </c>
      <c r="N2173" s="116">
        <v>419.3</v>
      </c>
      <c r="O2173" s="116">
        <v>407.9</v>
      </c>
      <c r="P2173" s="116">
        <v>411.1</v>
      </c>
      <c r="Q2173" s="116">
        <v>417.5</v>
      </c>
      <c r="R2173">
        <v>3093788</v>
      </c>
    </row>
    <row r="2174" spans="1:18" x14ac:dyDescent="0.25">
      <c r="A2174" s="170">
        <v>45205</v>
      </c>
      <c r="B2174" s="116">
        <v>424.75</v>
      </c>
      <c r="C2174" s="116">
        <v>422.95</v>
      </c>
      <c r="D2174" s="116">
        <v>418.3</v>
      </c>
      <c r="E2174" s="116">
        <v>419.95</v>
      </c>
      <c r="F2174" s="116">
        <v>422.95</v>
      </c>
      <c r="G2174">
        <v>59671</v>
      </c>
      <c r="H2174" s="116"/>
      <c r="I2174" s="116"/>
      <c r="L2174" s="170">
        <v>45205</v>
      </c>
      <c r="M2174" s="116">
        <v>422.95</v>
      </c>
      <c r="N2174" s="116">
        <v>424.75</v>
      </c>
      <c r="O2174" s="116">
        <v>418.25</v>
      </c>
      <c r="P2174" s="116">
        <v>419.5</v>
      </c>
      <c r="Q2174" s="116">
        <v>422.95</v>
      </c>
      <c r="R2174">
        <v>2577983</v>
      </c>
    </row>
    <row r="2175" spans="1:18" x14ac:dyDescent="0.25">
      <c r="A2175" s="170">
        <v>45208</v>
      </c>
      <c r="B2175" s="116">
        <v>420.5</v>
      </c>
      <c r="C2175" s="116">
        <v>415.15</v>
      </c>
      <c r="D2175" s="116">
        <v>413.4</v>
      </c>
      <c r="E2175" s="116">
        <v>418.65</v>
      </c>
      <c r="F2175" s="116">
        <v>415.15</v>
      </c>
      <c r="G2175">
        <v>174891</v>
      </c>
      <c r="H2175" s="116"/>
      <c r="I2175" s="116"/>
      <c r="L2175" s="170">
        <v>45208</v>
      </c>
      <c r="M2175" s="116">
        <v>415.5</v>
      </c>
      <c r="N2175" s="116">
        <v>420.7</v>
      </c>
      <c r="O2175" s="116">
        <v>413.3</v>
      </c>
      <c r="P2175" s="116">
        <v>420</v>
      </c>
      <c r="Q2175" s="116">
        <v>415.5</v>
      </c>
      <c r="R2175">
        <v>2768044</v>
      </c>
    </row>
    <row r="2176" spans="1:18" x14ac:dyDescent="0.25">
      <c r="A2176" s="170">
        <v>45209</v>
      </c>
      <c r="B2176" s="116">
        <v>422</v>
      </c>
      <c r="C2176" s="116">
        <v>416.2</v>
      </c>
      <c r="D2176" s="116">
        <v>415.75</v>
      </c>
      <c r="E2176" s="116">
        <v>422</v>
      </c>
      <c r="F2176" s="116">
        <v>416.2</v>
      </c>
      <c r="G2176">
        <v>34911</v>
      </c>
      <c r="H2176" s="116"/>
      <c r="I2176" s="116"/>
      <c r="L2176" s="170">
        <v>45209</v>
      </c>
      <c r="M2176" s="116">
        <v>416.35</v>
      </c>
      <c r="N2176" s="116">
        <v>419.25</v>
      </c>
      <c r="O2176" s="116">
        <v>415.45</v>
      </c>
      <c r="P2176" s="116">
        <v>418.4</v>
      </c>
      <c r="Q2176" s="116">
        <v>416.35</v>
      </c>
      <c r="R2176">
        <v>1022044</v>
      </c>
    </row>
    <row r="2177" spans="1:18" x14ac:dyDescent="0.25">
      <c r="A2177" s="170">
        <v>45210</v>
      </c>
      <c r="B2177" s="116">
        <v>422.8</v>
      </c>
      <c r="C2177" s="116">
        <v>414.9</v>
      </c>
      <c r="D2177" s="116">
        <v>414.2</v>
      </c>
      <c r="E2177" s="116">
        <v>416.75</v>
      </c>
      <c r="F2177" s="116">
        <v>414.9</v>
      </c>
      <c r="G2177">
        <v>98900</v>
      </c>
      <c r="H2177" s="116"/>
      <c r="I2177" s="116"/>
      <c r="L2177" s="170">
        <v>45210</v>
      </c>
      <c r="M2177" s="116">
        <v>414.85</v>
      </c>
      <c r="N2177" s="116">
        <v>422.9</v>
      </c>
      <c r="O2177" s="116">
        <v>414.3</v>
      </c>
      <c r="P2177" s="116">
        <v>417.45</v>
      </c>
      <c r="Q2177" s="116">
        <v>414.85</v>
      </c>
      <c r="R2177">
        <v>2537529</v>
      </c>
    </row>
    <row r="2178" spans="1:18" x14ac:dyDescent="0.25">
      <c r="A2178" s="170">
        <v>45211</v>
      </c>
      <c r="B2178" s="116">
        <v>419.6</v>
      </c>
      <c r="C2178" s="116">
        <v>416.35</v>
      </c>
      <c r="D2178" s="116">
        <v>413.45</v>
      </c>
      <c r="E2178" s="116">
        <v>419.45</v>
      </c>
      <c r="F2178" s="116">
        <v>416.35</v>
      </c>
      <c r="G2178">
        <v>89256</v>
      </c>
      <c r="H2178" s="116"/>
      <c r="I2178" s="116"/>
      <c r="L2178" s="170">
        <v>45211</v>
      </c>
      <c r="M2178" s="116">
        <v>416.5</v>
      </c>
      <c r="N2178" s="116">
        <v>419.8</v>
      </c>
      <c r="O2178" s="116">
        <v>413.55</v>
      </c>
      <c r="P2178" s="116">
        <v>418</v>
      </c>
      <c r="Q2178" s="116">
        <v>416.5</v>
      </c>
      <c r="R2178">
        <v>2455507</v>
      </c>
    </row>
    <row r="2179" spans="1:18" x14ac:dyDescent="0.25">
      <c r="A2179" s="170">
        <v>45212</v>
      </c>
      <c r="B2179" s="116">
        <v>417.35</v>
      </c>
      <c r="C2179" s="116">
        <v>414.6</v>
      </c>
      <c r="D2179" s="116">
        <v>411.3</v>
      </c>
      <c r="E2179" s="116">
        <v>415</v>
      </c>
      <c r="F2179" s="116">
        <v>414.6</v>
      </c>
      <c r="G2179">
        <v>49478</v>
      </c>
      <c r="H2179" s="116"/>
      <c r="I2179" s="116"/>
      <c r="L2179" s="170">
        <v>45212</v>
      </c>
      <c r="M2179" s="116">
        <v>414.75</v>
      </c>
      <c r="N2179" s="116">
        <v>417.35</v>
      </c>
      <c r="O2179" s="116">
        <v>411.2</v>
      </c>
      <c r="P2179" s="116">
        <v>414</v>
      </c>
      <c r="Q2179" s="116">
        <v>414.75</v>
      </c>
      <c r="R2179">
        <v>2715674</v>
      </c>
    </row>
    <row r="2180" spans="1:18" x14ac:dyDescent="0.25">
      <c r="A2180" s="170">
        <v>45215</v>
      </c>
      <c r="B2180" s="116">
        <v>420.15</v>
      </c>
      <c r="C2180" s="116">
        <v>416.8</v>
      </c>
      <c r="D2180" s="116">
        <v>411.9</v>
      </c>
      <c r="E2180" s="116">
        <v>417.5</v>
      </c>
      <c r="F2180" s="116">
        <v>416.8</v>
      </c>
      <c r="G2180">
        <v>32263</v>
      </c>
      <c r="H2180" s="116"/>
      <c r="I2180" s="116"/>
      <c r="L2180" s="170">
        <v>45215</v>
      </c>
      <c r="M2180" s="116">
        <v>416.7</v>
      </c>
      <c r="N2180" s="116">
        <v>420.5</v>
      </c>
      <c r="O2180" s="116">
        <v>411.75</v>
      </c>
      <c r="P2180" s="116">
        <v>414</v>
      </c>
      <c r="Q2180" s="116">
        <v>416.7</v>
      </c>
      <c r="R2180">
        <v>2135138</v>
      </c>
    </row>
    <row r="2181" spans="1:18" x14ac:dyDescent="0.25">
      <c r="A2181" s="170">
        <v>45216</v>
      </c>
      <c r="B2181" s="116">
        <v>423.3</v>
      </c>
      <c r="C2181" s="116">
        <v>419.9</v>
      </c>
      <c r="D2181" s="116">
        <v>416.1</v>
      </c>
      <c r="E2181" s="116">
        <v>416.1</v>
      </c>
      <c r="F2181" s="116">
        <v>419.9</v>
      </c>
      <c r="G2181">
        <v>102849</v>
      </c>
      <c r="H2181" s="116"/>
      <c r="I2181" s="116"/>
      <c r="L2181" s="170">
        <v>45216</v>
      </c>
      <c r="M2181" s="116">
        <v>420.1</v>
      </c>
      <c r="N2181" s="116">
        <v>423.45</v>
      </c>
      <c r="O2181" s="116">
        <v>416.5</v>
      </c>
      <c r="P2181" s="116">
        <v>417</v>
      </c>
      <c r="Q2181" s="116">
        <v>420.1</v>
      </c>
      <c r="R2181">
        <v>2207161</v>
      </c>
    </row>
    <row r="2182" spans="1:18" x14ac:dyDescent="0.25">
      <c r="A2182" s="170">
        <v>45217</v>
      </c>
      <c r="B2182" s="116">
        <v>422.4</v>
      </c>
      <c r="C2182" s="116">
        <v>412.75</v>
      </c>
      <c r="D2182" s="116">
        <v>411.55</v>
      </c>
      <c r="E2182" s="116">
        <v>422.4</v>
      </c>
      <c r="F2182" s="116">
        <v>412.75</v>
      </c>
      <c r="G2182">
        <v>39652</v>
      </c>
      <c r="H2182" s="116"/>
      <c r="I2182" s="116"/>
      <c r="L2182" s="170">
        <v>45217</v>
      </c>
      <c r="M2182" s="116">
        <v>412.85</v>
      </c>
      <c r="N2182" s="116">
        <v>421.8</v>
      </c>
      <c r="O2182" s="116">
        <v>411.6</v>
      </c>
      <c r="P2182" s="116">
        <v>419.8</v>
      </c>
      <c r="Q2182" s="116">
        <v>412.85</v>
      </c>
      <c r="R2182">
        <v>2577691</v>
      </c>
    </row>
    <row r="2183" spans="1:18" x14ac:dyDescent="0.25">
      <c r="A2183" s="170">
        <v>45218</v>
      </c>
      <c r="B2183" s="116">
        <v>416.2</v>
      </c>
      <c r="C2183" s="116">
        <v>413.95</v>
      </c>
      <c r="D2183" s="116">
        <v>407.55</v>
      </c>
      <c r="E2183" s="116">
        <v>412.8</v>
      </c>
      <c r="F2183" s="116">
        <v>413.95</v>
      </c>
      <c r="G2183">
        <v>31658</v>
      </c>
      <c r="H2183" s="116"/>
      <c r="I2183" s="116"/>
      <c r="L2183" s="170">
        <v>45218</v>
      </c>
      <c r="M2183" s="116">
        <v>414</v>
      </c>
      <c r="N2183" s="116">
        <v>416</v>
      </c>
      <c r="O2183" s="116">
        <v>407.55</v>
      </c>
      <c r="P2183" s="116">
        <v>411.7</v>
      </c>
      <c r="Q2183" s="116">
        <v>414</v>
      </c>
      <c r="R2183">
        <v>2055651</v>
      </c>
    </row>
    <row r="2184" spans="1:18" x14ac:dyDescent="0.25">
      <c r="A2184" s="170">
        <v>45219</v>
      </c>
      <c r="B2184" s="116">
        <v>414.65</v>
      </c>
      <c r="C2184" s="116">
        <v>404.95</v>
      </c>
      <c r="D2184" s="116">
        <v>403.65</v>
      </c>
      <c r="E2184" s="116">
        <v>414.65</v>
      </c>
      <c r="F2184" s="116">
        <v>404.95</v>
      </c>
      <c r="G2184">
        <v>55110</v>
      </c>
      <c r="H2184" s="116"/>
      <c r="I2184" s="116"/>
      <c r="L2184" s="170">
        <v>45219</v>
      </c>
      <c r="M2184" s="116">
        <v>404.95</v>
      </c>
      <c r="N2184" s="116">
        <v>413</v>
      </c>
      <c r="O2184" s="116">
        <v>403.6</v>
      </c>
      <c r="P2184" s="116">
        <v>413</v>
      </c>
      <c r="Q2184" s="116">
        <v>404.95</v>
      </c>
      <c r="R2184">
        <v>3027378</v>
      </c>
    </row>
    <row r="2185" spans="1:18" x14ac:dyDescent="0.25">
      <c r="A2185" s="170">
        <v>45222</v>
      </c>
      <c r="B2185" s="116">
        <v>408</v>
      </c>
      <c r="C2185" s="116">
        <v>394.95</v>
      </c>
      <c r="D2185" s="116">
        <v>390.2</v>
      </c>
      <c r="E2185" s="116">
        <v>405.45</v>
      </c>
      <c r="F2185" s="116">
        <v>394.95</v>
      </c>
      <c r="G2185">
        <v>171926</v>
      </c>
      <c r="H2185" s="116"/>
      <c r="I2185" s="116"/>
      <c r="L2185" s="170">
        <v>45222</v>
      </c>
      <c r="M2185" s="116">
        <v>395.85</v>
      </c>
      <c r="N2185" s="116">
        <v>408</v>
      </c>
      <c r="O2185" s="116">
        <v>393.25</v>
      </c>
      <c r="P2185" s="116">
        <v>406</v>
      </c>
      <c r="Q2185" s="116">
        <v>395.85</v>
      </c>
      <c r="R2185">
        <v>4580694</v>
      </c>
    </row>
    <row r="2186" spans="1:18" x14ac:dyDescent="0.25">
      <c r="A2186" s="170">
        <v>45224</v>
      </c>
      <c r="B2186" s="116">
        <v>398.25</v>
      </c>
      <c r="C2186" s="116">
        <v>389.45</v>
      </c>
      <c r="D2186" s="116">
        <v>388</v>
      </c>
      <c r="E2186" s="116">
        <v>397.5</v>
      </c>
      <c r="F2186" s="116">
        <v>389.45</v>
      </c>
      <c r="G2186">
        <v>81662</v>
      </c>
      <c r="H2186" s="116"/>
      <c r="I2186" s="116"/>
      <c r="L2186" s="170">
        <v>45224</v>
      </c>
      <c r="M2186" s="116">
        <v>389.55</v>
      </c>
      <c r="N2186" s="116">
        <v>398.25</v>
      </c>
      <c r="O2186" s="116">
        <v>387.6</v>
      </c>
      <c r="P2186" s="116">
        <v>397.1</v>
      </c>
      <c r="Q2186" s="116">
        <v>389.55</v>
      </c>
      <c r="R2186">
        <v>5099593</v>
      </c>
    </row>
    <row r="2187" spans="1:18" x14ac:dyDescent="0.25">
      <c r="A2187" s="170">
        <v>45225</v>
      </c>
      <c r="B2187" s="116">
        <v>387.75</v>
      </c>
      <c r="C2187" s="116">
        <v>375.05</v>
      </c>
      <c r="D2187" s="116">
        <v>371.7</v>
      </c>
      <c r="E2187" s="116">
        <v>386.3</v>
      </c>
      <c r="F2187" s="116">
        <v>375.05</v>
      </c>
      <c r="G2187">
        <v>106393</v>
      </c>
      <c r="H2187" s="116"/>
      <c r="I2187" s="116"/>
      <c r="L2187" s="170">
        <v>45225</v>
      </c>
      <c r="M2187" s="116">
        <v>374.8</v>
      </c>
      <c r="N2187" s="116">
        <v>387.6</v>
      </c>
      <c r="O2187" s="116">
        <v>371.65</v>
      </c>
      <c r="P2187" s="116">
        <v>385.25</v>
      </c>
      <c r="Q2187" s="116">
        <v>374.8</v>
      </c>
      <c r="R2187">
        <v>6679568</v>
      </c>
    </row>
    <row r="2188" spans="1:18" x14ac:dyDescent="0.25">
      <c r="A2188" s="170">
        <v>45226</v>
      </c>
      <c r="B2188" s="116">
        <v>384.85</v>
      </c>
      <c r="C2188" s="116">
        <v>374.65</v>
      </c>
      <c r="D2188" s="116">
        <v>371.45</v>
      </c>
      <c r="E2188" s="116">
        <v>377.25</v>
      </c>
      <c r="F2188" s="116">
        <v>374.65</v>
      </c>
      <c r="G2188">
        <v>257297</v>
      </c>
      <c r="H2188" s="116"/>
      <c r="I2188" s="116"/>
      <c r="L2188" s="170">
        <v>45226</v>
      </c>
      <c r="M2188" s="116">
        <v>374.55</v>
      </c>
      <c r="N2188" s="116">
        <v>384.85</v>
      </c>
      <c r="O2188" s="116">
        <v>371.6</v>
      </c>
      <c r="P2188" s="116">
        <v>378</v>
      </c>
      <c r="Q2188" s="116">
        <v>374.55</v>
      </c>
      <c r="R2188">
        <v>8113269</v>
      </c>
    </row>
    <row r="2189" spans="1:18" x14ac:dyDescent="0.25">
      <c r="A2189" s="170">
        <v>45229</v>
      </c>
      <c r="B2189" s="116">
        <v>384.75</v>
      </c>
      <c r="C2189" s="116">
        <v>382.25</v>
      </c>
      <c r="D2189" s="116">
        <v>372.75</v>
      </c>
      <c r="E2189" s="116">
        <v>379.5</v>
      </c>
      <c r="F2189" s="116">
        <v>382.25</v>
      </c>
      <c r="G2189">
        <v>198639</v>
      </c>
      <c r="H2189" s="116"/>
      <c r="I2189" s="116"/>
      <c r="L2189" s="170">
        <v>45229</v>
      </c>
      <c r="M2189" s="116">
        <v>382.1</v>
      </c>
      <c r="N2189" s="116">
        <v>384.7</v>
      </c>
      <c r="O2189" s="116">
        <v>372.65</v>
      </c>
      <c r="P2189" s="116">
        <v>377.8</v>
      </c>
      <c r="Q2189" s="116">
        <v>382.1</v>
      </c>
      <c r="R2189">
        <v>5308844</v>
      </c>
    </row>
    <row r="2190" spans="1:18" x14ac:dyDescent="0.25">
      <c r="A2190" s="170">
        <v>45230</v>
      </c>
      <c r="B2190" s="116">
        <v>385.95</v>
      </c>
      <c r="C2190" s="116">
        <v>383.55</v>
      </c>
      <c r="D2190" s="116">
        <v>380.15</v>
      </c>
      <c r="E2190" s="116">
        <v>385</v>
      </c>
      <c r="F2190" s="116">
        <v>383.55</v>
      </c>
      <c r="G2190">
        <v>99495</v>
      </c>
      <c r="H2190" s="116"/>
      <c r="I2190" s="116"/>
      <c r="L2190" s="170">
        <v>45230</v>
      </c>
      <c r="M2190" s="116">
        <v>383.4</v>
      </c>
      <c r="N2190" s="116">
        <v>385.9</v>
      </c>
      <c r="O2190" s="116">
        <v>380.1</v>
      </c>
      <c r="P2190" s="116">
        <v>384.85</v>
      </c>
      <c r="Q2190" s="116">
        <v>383.4</v>
      </c>
      <c r="R2190">
        <v>2300685</v>
      </c>
    </row>
    <row r="2191" spans="1:18" x14ac:dyDescent="0.25">
      <c r="A2191" s="170">
        <v>45231</v>
      </c>
      <c r="B2191" s="116">
        <v>390.8</v>
      </c>
      <c r="C2191" s="116">
        <v>389.2</v>
      </c>
      <c r="D2191" s="116">
        <v>384.1</v>
      </c>
      <c r="E2191" s="116">
        <v>384.65</v>
      </c>
      <c r="F2191" s="116">
        <v>389.2</v>
      </c>
      <c r="G2191">
        <v>140993</v>
      </c>
      <c r="H2191" s="116"/>
      <c r="I2191" s="116"/>
      <c r="L2191" s="170">
        <v>45231</v>
      </c>
      <c r="M2191" s="116">
        <v>389.1</v>
      </c>
      <c r="N2191" s="116">
        <v>390.95</v>
      </c>
      <c r="O2191" s="116">
        <v>384</v>
      </c>
      <c r="P2191" s="116">
        <v>384</v>
      </c>
      <c r="Q2191" s="116">
        <v>389.1</v>
      </c>
      <c r="R2191">
        <v>2570151</v>
      </c>
    </row>
    <row r="2192" spans="1:18" x14ac:dyDescent="0.25">
      <c r="A2192" s="170">
        <v>45232</v>
      </c>
      <c r="B2192" s="116">
        <v>393.7</v>
      </c>
      <c r="C2192" s="116">
        <v>390.4</v>
      </c>
      <c r="D2192" s="116">
        <v>387.7</v>
      </c>
      <c r="E2192" s="116">
        <v>392.35</v>
      </c>
      <c r="F2192" s="116">
        <v>390.4</v>
      </c>
      <c r="G2192">
        <v>105711</v>
      </c>
      <c r="H2192" s="116"/>
      <c r="I2192" s="116"/>
      <c r="L2192" s="170">
        <v>45232</v>
      </c>
      <c r="M2192" s="116">
        <v>390.25</v>
      </c>
      <c r="N2192" s="116">
        <v>393.7</v>
      </c>
      <c r="O2192" s="116">
        <v>387.3</v>
      </c>
      <c r="P2192" s="116">
        <v>391.95</v>
      </c>
      <c r="Q2192" s="116">
        <v>390.25</v>
      </c>
      <c r="R2192">
        <v>1425611</v>
      </c>
    </row>
    <row r="2193" spans="1:18" x14ac:dyDescent="0.25">
      <c r="A2193" s="170">
        <v>45233</v>
      </c>
      <c r="B2193" s="116">
        <v>393.45</v>
      </c>
      <c r="C2193" s="116">
        <v>392.8</v>
      </c>
      <c r="D2193" s="116">
        <v>389.1</v>
      </c>
      <c r="E2193" s="116">
        <v>393.45</v>
      </c>
      <c r="F2193" s="116">
        <v>392.8</v>
      </c>
      <c r="G2193">
        <v>861837</v>
      </c>
      <c r="H2193" s="116"/>
      <c r="I2193" s="116"/>
      <c r="L2193" s="170">
        <v>45233</v>
      </c>
      <c r="M2193" s="116">
        <v>392.9</v>
      </c>
      <c r="N2193" s="116">
        <v>393.6</v>
      </c>
      <c r="O2193" s="116">
        <v>389</v>
      </c>
      <c r="P2193" s="116">
        <v>393</v>
      </c>
      <c r="Q2193" s="116">
        <v>392.9</v>
      </c>
      <c r="R2193">
        <v>1851600</v>
      </c>
    </row>
    <row r="2194" spans="1:18" x14ac:dyDescent="0.25">
      <c r="A2194" s="170">
        <v>45236</v>
      </c>
      <c r="B2194" s="116">
        <v>397.2</v>
      </c>
      <c r="C2194" s="116">
        <v>395.3</v>
      </c>
      <c r="D2194" s="116">
        <v>393.5</v>
      </c>
      <c r="E2194" s="116">
        <v>394.95</v>
      </c>
      <c r="F2194" s="116">
        <v>395.3</v>
      </c>
      <c r="G2194">
        <v>31494</v>
      </c>
      <c r="H2194" s="116"/>
      <c r="I2194" s="116"/>
      <c r="L2194" s="170">
        <v>45236</v>
      </c>
      <c r="M2194" s="116">
        <v>395.35</v>
      </c>
      <c r="N2194" s="116">
        <v>397.65</v>
      </c>
      <c r="O2194" s="116">
        <v>393.25</v>
      </c>
      <c r="P2194" s="116">
        <v>393.8</v>
      </c>
      <c r="Q2194" s="116">
        <v>395.35</v>
      </c>
      <c r="R2194">
        <v>2330301</v>
      </c>
    </row>
    <row r="2195" spans="1:18" x14ac:dyDescent="0.25">
      <c r="A2195" s="170">
        <v>45237</v>
      </c>
      <c r="B2195" s="116">
        <v>403.4</v>
      </c>
      <c r="C2195" s="116">
        <v>401.5</v>
      </c>
      <c r="D2195" s="116">
        <v>394.95</v>
      </c>
      <c r="E2195" s="116">
        <v>397.55</v>
      </c>
      <c r="F2195" s="116">
        <v>401.5</v>
      </c>
      <c r="G2195">
        <v>64715</v>
      </c>
      <c r="H2195" s="116"/>
      <c r="I2195" s="116"/>
      <c r="L2195" s="170">
        <v>45237</v>
      </c>
      <c r="M2195" s="116">
        <v>401.5</v>
      </c>
      <c r="N2195" s="116">
        <v>403.35</v>
      </c>
      <c r="O2195" s="116">
        <v>394.2</v>
      </c>
      <c r="P2195" s="116">
        <v>396.6</v>
      </c>
      <c r="Q2195" s="116">
        <v>401.5</v>
      </c>
      <c r="R2195">
        <v>2919260</v>
      </c>
    </row>
    <row r="2196" spans="1:18" x14ac:dyDescent="0.25">
      <c r="A2196" s="170">
        <v>45238</v>
      </c>
      <c r="B2196" s="116">
        <v>406.5</v>
      </c>
      <c r="C2196" s="116">
        <v>405.25</v>
      </c>
      <c r="D2196" s="116">
        <v>399.5</v>
      </c>
      <c r="E2196" s="116">
        <v>403</v>
      </c>
      <c r="F2196" s="116">
        <v>405.25</v>
      </c>
      <c r="G2196">
        <v>76389</v>
      </c>
      <c r="H2196" s="116"/>
      <c r="I2196" s="116"/>
      <c r="L2196" s="170">
        <v>45238</v>
      </c>
      <c r="M2196" s="116">
        <v>405.65</v>
      </c>
      <c r="N2196" s="116">
        <v>406.55</v>
      </c>
      <c r="O2196" s="116">
        <v>399</v>
      </c>
      <c r="P2196" s="116">
        <v>403.45</v>
      </c>
      <c r="Q2196" s="116">
        <v>405.65</v>
      </c>
      <c r="R2196">
        <v>2451875</v>
      </c>
    </row>
    <row r="2197" spans="1:18" x14ac:dyDescent="0.25">
      <c r="A2197" s="170">
        <v>45239</v>
      </c>
      <c r="B2197" s="116">
        <v>408.65</v>
      </c>
      <c r="C2197" s="116">
        <v>405.05</v>
      </c>
      <c r="D2197" s="116">
        <v>403.9</v>
      </c>
      <c r="E2197" s="116">
        <v>408.65</v>
      </c>
      <c r="F2197" s="116">
        <v>405.05</v>
      </c>
      <c r="G2197">
        <v>37170</v>
      </c>
      <c r="H2197" s="116"/>
      <c r="I2197" s="116"/>
      <c r="L2197" s="170">
        <v>45239</v>
      </c>
      <c r="M2197" s="116">
        <v>405.45</v>
      </c>
      <c r="N2197" s="116">
        <v>406.9</v>
      </c>
      <c r="O2197" s="116">
        <v>403.55</v>
      </c>
      <c r="P2197" s="116">
        <v>405.65</v>
      </c>
      <c r="Q2197" s="116">
        <v>405.45</v>
      </c>
      <c r="R2197">
        <v>2153695</v>
      </c>
    </row>
    <row r="2198" spans="1:18" x14ac:dyDescent="0.25">
      <c r="A2198" s="170">
        <v>45240</v>
      </c>
      <c r="B2198" s="116">
        <v>410.45</v>
      </c>
      <c r="C2198" s="116">
        <v>409.45</v>
      </c>
      <c r="D2198" s="116">
        <v>403.1</v>
      </c>
      <c r="E2198" s="116">
        <v>405.95</v>
      </c>
      <c r="F2198" s="116">
        <v>409.45</v>
      </c>
      <c r="G2198">
        <v>52592</v>
      </c>
      <c r="H2198" s="116"/>
      <c r="I2198" s="116"/>
      <c r="L2198" s="170">
        <v>45240</v>
      </c>
      <c r="M2198" s="116">
        <v>409.45</v>
      </c>
      <c r="N2198" s="116">
        <v>410.1</v>
      </c>
      <c r="O2198" s="116">
        <v>403.2</v>
      </c>
      <c r="P2198" s="116">
        <v>405</v>
      </c>
      <c r="Q2198" s="116">
        <v>409.45</v>
      </c>
      <c r="R2198">
        <v>1856115</v>
      </c>
    </row>
    <row r="2199" spans="1:18" x14ac:dyDescent="0.25">
      <c r="A2199" s="170">
        <v>45242</v>
      </c>
      <c r="B2199" s="116">
        <v>414</v>
      </c>
      <c r="C2199" s="116">
        <v>411.15</v>
      </c>
      <c r="D2199" s="116">
        <v>410</v>
      </c>
      <c r="E2199" s="116">
        <v>413.95</v>
      </c>
      <c r="F2199" s="116">
        <v>411.15</v>
      </c>
      <c r="G2199">
        <v>48050</v>
      </c>
      <c r="H2199" s="116"/>
      <c r="I2199" s="116"/>
      <c r="L2199" s="170">
        <v>45242</v>
      </c>
      <c r="M2199" s="116">
        <v>411.35</v>
      </c>
      <c r="N2199" s="116">
        <v>413.5</v>
      </c>
      <c r="O2199" s="116">
        <v>410.1</v>
      </c>
      <c r="P2199" s="116">
        <v>413.5</v>
      </c>
      <c r="Q2199" s="116">
        <v>411.35</v>
      </c>
      <c r="R2199">
        <v>357103</v>
      </c>
    </row>
    <row r="2200" spans="1:18" x14ac:dyDescent="0.25">
      <c r="A2200" s="170">
        <v>45243</v>
      </c>
      <c r="B2200" s="116">
        <v>412.9</v>
      </c>
      <c r="C2200" s="116">
        <v>410.5</v>
      </c>
      <c r="D2200" s="116">
        <v>406.5</v>
      </c>
      <c r="E2200" s="116">
        <v>412.9</v>
      </c>
      <c r="F2200" s="116">
        <v>410.5</v>
      </c>
      <c r="G2200">
        <v>40178</v>
      </c>
      <c r="H2200" s="116"/>
      <c r="I2200" s="116"/>
      <c r="L2200" s="170">
        <v>45243</v>
      </c>
      <c r="M2200" s="116">
        <v>410.65</v>
      </c>
      <c r="N2200" s="116">
        <v>411.25</v>
      </c>
      <c r="O2200" s="116">
        <v>406.2</v>
      </c>
      <c r="P2200" s="116">
        <v>410</v>
      </c>
      <c r="Q2200" s="116">
        <v>410.65</v>
      </c>
      <c r="R2200">
        <v>3025750</v>
      </c>
    </row>
    <row r="2201" spans="1:18" x14ac:dyDescent="0.25">
      <c r="A2201" s="170">
        <v>45245</v>
      </c>
      <c r="B2201" s="116">
        <v>413.1</v>
      </c>
      <c r="C2201" s="116">
        <v>411.35</v>
      </c>
      <c r="D2201" s="116">
        <v>409.65</v>
      </c>
      <c r="E2201" s="116">
        <v>410.1</v>
      </c>
      <c r="F2201" s="116">
        <v>411.35</v>
      </c>
      <c r="G2201">
        <v>38779</v>
      </c>
      <c r="H2201" s="116"/>
      <c r="I2201" s="116"/>
      <c r="L2201" s="170">
        <v>45245</v>
      </c>
      <c r="M2201" s="116">
        <v>411.4</v>
      </c>
      <c r="N2201" s="116">
        <v>413.5</v>
      </c>
      <c r="O2201" s="116">
        <v>409.6</v>
      </c>
      <c r="P2201" s="116">
        <v>412</v>
      </c>
      <c r="Q2201" s="116">
        <v>411.4</v>
      </c>
      <c r="R2201">
        <v>2258736</v>
      </c>
    </row>
    <row r="2202" spans="1:18" x14ac:dyDescent="0.25">
      <c r="A2202" s="170">
        <v>45246</v>
      </c>
      <c r="B2202" s="116">
        <v>415</v>
      </c>
      <c r="C2202" s="116">
        <v>412.15</v>
      </c>
      <c r="D2202" s="116">
        <v>408.9</v>
      </c>
      <c r="E2202" s="116">
        <v>409.05</v>
      </c>
      <c r="F2202" s="116">
        <v>412.15</v>
      </c>
      <c r="G2202">
        <v>34150</v>
      </c>
      <c r="H2202" s="116"/>
      <c r="I2202" s="116"/>
      <c r="L2202" s="170">
        <v>45246</v>
      </c>
      <c r="M2202" s="116">
        <v>412.65</v>
      </c>
      <c r="N2202" s="116">
        <v>415</v>
      </c>
      <c r="O2202" s="116">
        <v>409</v>
      </c>
      <c r="P2202" s="116">
        <v>411.2</v>
      </c>
      <c r="Q2202" s="116">
        <v>412.65</v>
      </c>
      <c r="R2202">
        <v>1269668</v>
      </c>
    </row>
    <row r="2203" spans="1:18" x14ac:dyDescent="0.25">
      <c r="A2203" s="170">
        <v>45247</v>
      </c>
      <c r="B2203" s="116">
        <v>415.45</v>
      </c>
      <c r="C2203" s="116">
        <v>411.2</v>
      </c>
      <c r="D2203" s="116">
        <v>409.75</v>
      </c>
      <c r="E2203" s="116">
        <v>415.45</v>
      </c>
      <c r="F2203" s="116">
        <v>411.2</v>
      </c>
      <c r="G2203">
        <v>41933</v>
      </c>
      <c r="H2203" s="116"/>
      <c r="I2203" s="116"/>
      <c r="L2203" s="170">
        <v>45247</v>
      </c>
      <c r="M2203" s="116">
        <v>411.2</v>
      </c>
      <c r="N2203" s="116">
        <v>415.45</v>
      </c>
      <c r="O2203" s="116">
        <v>409.75</v>
      </c>
      <c r="P2203" s="116">
        <v>412</v>
      </c>
      <c r="Q2203" s="116">
        <v>411.2</v>
      </c>
      <c r="R2203">
        <v>1725808</v>
      </c>
    </row>
    <row r="2204" spans="1:18" x14ac:dyDescent="0.25">
      <c r="A2204" s="170">
        <v>45250</v>
      </c>
      <c r="B2204" s="116">
        <v>422.5</v>
      </c>
      <c r="C2204" s="116">
        <v>419.55</v>
      </c>
      <c r="D2204" s="116">
        <v>412.3</v>
      </c>
      <c r="E2204" s="116">
        <v>414.9</v>
      </c>
      <c r="F2204" s="116">
        <v>419.55</v>
      </c>
      <c r="G2204">
        <v>208030</v>
      </c>
      <c r="H2204" s="116"/>
      <c r="I2204" s="116"/>
      <c r="L2204" s="170">
        <v>45250</v>
      </c>
      <c r="M2204" s="116">
        <v>419.6</v>
      </c>
      <c r="N2204" s="116">
        <v>422.6</v>
      </c>
      <c r="O2204" s="116">
        <v>412.25</v>
      </c>
      <c r="P2204" s="116">
        <v>416.05</v>
      </c>
      <c r="Q2204" s="116">
        <v>419.6</v>
      </c>
      <c r="R2204">
        <v>5008400</v>
      </c>
    </row>
    <row r="2205" spans="1:18" x14ac:dyDescent="0.25">
      <c r="A2205" s="170">
        <v>45251</v>
      </c>
      <c r="B2205" s="116">
        <v>424.7</v>
      </c>
      <c r="C2205" s="116">
        <v>420.5</v>
      </c>
      <c r="D2205" s="116">
        <v>418</v>
      </c>
      <c r="E2205" s="116">
        <v>424.7</v>
      </c>
      <c r="F2205" s="116">
        <v>420.5</v>
      </c>
      <c r="G2205">
        <v>48430</v>
      </c>
      <c r="H2205" s="116"/>
      <c r="I2205" s="116"/>
      <c r="L2205" s="170">
        <v>45251</v>
      </c>
      <c r="M2205" s="116">
        <v>420.8</v>
      </c>
      <c r="N2205" s="116">
        <v>421.8</v>
      </c>
      <c r="O2205" s="116">
        <v>417.9</v>
      </c>
      <c r="P2205" s="116">
        <v>421.1</v>
      </c>
      <c r="Q2205" s="116">
        <v>420.8</v>
      </c>
      <c r="R2205">
        <v>2086054</v>
      </c>
    </row>
    <row r="2206" spans="1:18" x14ac:dyDescent="0.25">
      <c r="A2206" s="170">
        <v>45252</v>
      </c>
      <c r="B2206" s="116">
        <v>422.95</v>
      </c>
      <c r="C2206" s="116">
        <v>416.85</v>
      </c>
      <c r="D2206" s="116">
        <v>413.5</v>
      </c>
      <c r="E2206" s="116">
        <v>422.95</v>
      </c>
      <c r="F2206" s="116">
        <v>416.85</v>
      </c>
      <c r="G2206">
        <v>46445</v>
      </c>
      <c r="H2206" s="116"/>
      <c r="I2206" s="116"/>
      <c r="L2206" s="170">
        <v>45252</v>
      </c>
      <c r="M2206" s="116">
        <v>417</v>
      </c>
      <c r="N2206" s="116">
        <v>421.2</v>
      </c>
      <c r="O2206" s="116">
        <v>413.3</v>
      </c>
      <c r="P2206" s="116">
        <v>420.8</v>
      </c>
      <c r="Q2206" s="116">
        <v>417</v>
      </c>
      <c r="R2206">
        <v>1286423</v>
      </c>
    </row>
    <row r="2207" spans="1:18" x14ac:dyDescent="0.25">
      <c r="A2207" s="170">
        <v>45253</v>
      </c>
      <c r="B2207" s="116">
        <v>422.15</v>
      </c>
      <c r="C2207" s="116">
        <v>419.95</v>
      </c>
      <c r="D2207" s="116">
        <v>416.3</v>
      </c>
      <c r="E2207" s="116">
        <v>420.95</v>
      </c>
      <c r="F2207" s="116">
        <v>419.95</v>
      </c>
      <c r="G2207">
        <v>38421</v>
      </c>
      <c r="H2207" s="116"/>
      <c r="I2207" s="116"/>
      <c r="L2207" s="170">
        <v>45253</v>
      </c>
      <c r="M2207" s="116">
        <v>420.1</v>
      </c>
      <c r="N2207" s="116">
        <v>422.35</v>
      </c>
      <c r="O2207" s="116">
        <v>415.7</v>
      </c>
      <c r="P2207" s="116">
        <v>417</v>
      </c>
      <c r="Q2207" s="116">
        <v>420.1</v>
      </c>
      <c r="R2207">
        <v>1729291</v>
      </c>
    </row>
    <row r="2208" spans="1:18" x14ac:dyDescent="0.25">
      <c r="A2208" s="170">
        <v>45254</v>
      </c>
      <c r="B2208" s="116">
        <v>424.75</v>
      </c>
      <c r="C2208" s="116">
        <v>421.25</v>
      </c>
      <c r="D2208" s="116">
        <v>417.7</v>
      </c>
      <c r="E2208" s="116">
        <v>419.65</v>
      </c>
      <c r="F2208" s="116">
        <v>421.25</v>
      </c>
      <c r="G2208">
        <v>109131</v>
      </c>
      <c r="H2208" s="116"/>
      <c r="I2208" s="116"/>
      <c r="L2208" s="170">
        <v>45254</v>
      </c>
      <c r="M2208" s="116">
        <v>420.5</v>
      </c>
      <c r="N2208" s="116">
        <v>422.35</v>
      </c>
      <c r="O2208" s="116">
        <v>417.5</v>
      </c>
      <c r="P2208" s="116">
        <v>419</v>
      </c>
      <c r="Q2208" s="116">
        <v>420.5</v>
      </c>
      <c r="R2208">
        <v>2440352</v>
      </c>
    </row>
    <row r="2209" spans="1:18" x14ac:dyDescent="0.25">
      <c r="A2209" s="170">
        <v>45258</v>
      </c>
      <c r="B2209" s="116">
        <v>424.75</v>
      </c>
      <c r="C2209" s="116">
        <v>422.55</v>
      </c>
      <c r="D2209" s="116">
        <v>418.2</v>
      </c>
      <c r="E2209" s="116">
        <v>421.3</v>
      </c>
      <c r="F2209" s="116">
        <v>422.55</v>
      </c>
      <c r="G2209">
        <v>195095</v>
      </c>
      <c r="H2209" s="116"/>
      <c r="I2209" s="116"/>
      <c r="L2209" s="170">
        <v>45258</v>
      </c>
      <c r="M2209" s="116">
        <v>422.75</v>
      </c>
      <c r="N2209" s="116">
        <v>424.75</v>
      </c>
      <c r="O2209" s="116">
        <v>418.3</v>
      </c>
      <c r="P2209" s="116">
        <v>422</v>
      </c>
      <c r="Q2209" s="116">
        <v>422.75</v>
      </c>
      <c r="R2209">
        <v>2402488</v>
      </c>
    </row>
    <row r="2210" spans="1:18" x14ac:dyDescent="0.25">
      <c r="A2210" s="170">
        <v>45259</v>
      </c>
      <c r="B2210" s="116">
        <v>425.95</v>
      </c>
      <c r="C2210" s="116">
        <v>420.5</v>
      </c>
      <c r="D2210" s="116">
        <v>419</v>
      </c>
      <c r="E2210" s="116">
        <v>422.55</v>
      </c>
      <c r="F2210" s="116">
        <v>420.5</v>
      </c>
      <c r="G2210">
        <v>29067</v>
      </c>
      <c r="H2210" s="116"/>
      <c r="I2210" s="116"/>
      <c r="L2210" s="170">
        <v>45259</v>
      </c>
      <c r="M2210" s="116">
        <v>420.05</v>
      </c>
      <c r="N2210" s="116">
        <v>426</v>
      </c>
      <c r="O2210" s="116">
        <v>419</v>
      </c>
      <c r="P2210" s="116">
        <v>423.8</v>
      </c>
      <c r="Q2210" s="116">
        <v>420.05</v>
      </c>
      <c r="R2210">
        <v>1513282</v>
      </c>
    </row>
    <row r="2211" spans="1:18" x14ac:dyDescent="0.25">
      <c r="A2211" s="170">
        <v>45260</v>
      </c>
      <c r="B2211" s="116">
        <v>423</v>
      </c>
      <c r="C2211" s="116">
        <v>421.6</v>
      </c>
      <c r="D2211" s="116">
        <v>418.2</v>
      </c>
      <c r="E2211" s="116">
        <v>420.5</v>
      </c>
      <c r="F2211" s="116">
        <v>421.6</v>
      </c>
      <c r="G2211">
        <v>88229</v>
      </c>
      <c r="H2211" s="116"/>
      <c r="I2211" s="116"/>
      <c r="L2211" s="170">
        <v>45260</v>
      </c>
      <c r="M2211" s="116">
        <v>421.7</v>
      </c>
      <c r="N2211" s="116">
        <v>423.15</v>
      </c>
      <c r="O2211" s="116">
        <v>418</v>
      </c>
      <c r="P2211" s="116">
        <v>420.05</v>
      </c>
      <c r="Q2211" s="116">
        <v>421.7</v>
      </c>
      <c r="R2211">
        <v>3944054</v>
      </c>
    </row>
    <row r="2212" spans="1:18" x14ac:dyDescent="0.25">
      <c r="A2212" s="170">
        <v>45261</v>
      </c>
      <c r="B2212" s="116">
        <v>430</v>
      </c>
      <c r="C2212" s="116">
        <v>426.55</v>
      </c>
      <c r="D2212" s="116">
        <v>421.8</v>
      </c>
      <c r="E2212" s="116">
        <v>421.8</v>
      </c>
      <c r="F2212" s="116">
        <v>426.55</v>
      </c>
      <c r="G2212">
        <v>79462</v>
      </c>
      <c r="H2212" s="116"/>
      <c r="I2212" s="116"/>
      <c r="L2212" s="170">
        <v>45261</v>
      </c>
      <c r="M2212" s="116">
        <v>426.4</v>
      </c>
      <c r="N2212" s="116">
        <v>429.9</v>
      </c>
      <c r="O2212" s="116">
        <v>421.7</v>
      </c>
      <c r="P2212" s="116">
        <v>422</v>
      </c>
      <c r="Q2212" s="116">
        <v>426.4</v>
      </c>
      <c r="R2212">
        <v>3587510</v>
      </c>
    </row>
    <row r="2213" spans="1:18" x14ac:dyDescent="0.25">
      <c r="A2213" s="170">
        <v>45264</v>
      </c>
      <c r="B2213" s="116">
        <v>436</v>
      </c>
      <c r="C2213" s="116">
        <v>433.75</v>
      </c>
      <c r="D2213" s="116">
        <v>427.25</v>
      </c>
      <c r="E2213" s="116">
        <v>430.95</v>
      </c>
      <c r="F2213" s="116">
        <v>433.75</v>
      </c>
      <c r="G2213">
        <v>308166</v>
      </c>
      <c r="H2213" s="116"/>
      <c r="I2213" s="116"/>
      <c r="L2213" s="170">
        <v>45264</v>
      </c>
      <c r="M2213" s="116">
        <v>434</v>
      </c>
      <c r="N2213" s="116">
        <v>436.05</v>
      </c>
      <c r="O2213" s="116">
        <v>427.55</v>
      </c>
      <c r="P2213" s="116">
        <v>430</v>
      </c>
      <c r="Q2213" s="116">
        <v>434</v>
      </c>
      <c r="R2213">
        <v>3028240</v>
      </c>
    </row>
    <row r="2214" spans="1:18" x14ac:dyDescent="0.25">
      <c r="A2214" s="170">
        <v>45265</v>
      </c>
      <c r="B2214" s="116">
        <v>439.5</v>
      </c>
      <c r="C2214" s="116">
        <v>434.5</v>
      </c>
      <c r="D2214" s="116">
        <v>429.5</v>
      </c>
      <c r="E2214" s="116">
        <v>436.7</v>
      </c>
      <c r="F2214" s="116">
        <v>434.5</v>
      </c>
      <c r="G2214">
        <v>68242</v>
      </c>
      <c r="H2214" s="116"/>
      <c r="I2214" s="116"/>
      <c r="L2214" s="170">
        <v>45265</v>
      </c>
      <c r="M2214" s="116">
        <v>434.5</v>
      </c>
      <c r="N2214" s="116">
        <v>439.6</v>
      </c>
      <c r="O2214" s="116">
        <v>429.2</v>
      </c>
      <c r="P2214" s="116">
        <v>434</v>
      </c>
      <c r="Q2214" s="116">
        <v>434.5</v>
      </c>
      <c r="R2214">
        <v>2227045</v>
      </c>
    </row>
    <row r="2215" spans="1:18" x14ac:dyDescent="0.25">
      <c r="A2215" s="170">
        <v>45266</v>
      </c>
      <c r="B2215" s="116">
        <v>440.55</v>
      </c>
      <c r="C2215" s="116">
        <v>438</v>
      </c>
      <c r="D2215" s="116">
        <v>434.1</v>
      </c>
      <c r="E2215" s="116">
        <v>436.7</v>
      </c>
      <c r="F2215" s="116">
        <v>438</v>
      </c>
      <c r="G2215">
        <v>146687</v>
      </c>
      <c r="H2215" s="116"/>
      <c r="I2215" s="116"/>
      <c r="L2215" s="170">
        <v>45266</v>
      </c>
      <c r="M2215" s="116">
        <v>437.95</v>
      </c>
      <c r="N2215" s="116">
        <v>440.8</v>
      </c>
      <c r="O2215" s="116">
        <v>434.05</v>
      </c>
      <c r="P2215" s="116">
        <v>435.65</v>
      </c>
      <c r="Q2215" s="116">
        <v>437.95</v>
      </c>
      <c r="R2215">
        <v>1820312</v>
      </c>
    </row>
    <row r="2216" spans="1:18" x14ac:dyDescent="0.25">
      <c r="A2216" s="170">
        <v>45267</v>
      </c>
      <c r="B2216" s="116">
        <v>442.5</v>
      </c>
      <c r="C2216" s="116">
        <v>440.45</v>
      </c>
      <c r="D2216" s="116">
        <v>435</v>
      </c>
      <c r="E2216" s="116">
        <v>439.95</v>
      </c>
      <c r="F2216" s="116">
        <v>440.45</v>
      </c>
      <c r="G2216">
        <v>189745</v>
      </c>
      <c r="H2216" s="116"/>
      <c r="I2216" s="116"/>
      <c r="L2216" s="170">
        <v>45267</v>
      </c>
      <c r="M2216" s="116">
        <v>440.45</v>
      </c>
      <c r="N2216" s="116">
        <v>442.4</v>
      </c>
      <c r="O2216" s="116">
        <v>435.2</v>
      </c>
      <c r="P2216" s="116">
        <v>438.05</v>
      </c>
      <c r="Q2216" s="116">
        <v>440.45</v>
      </c>
      <c r="R2216">
        <v>1680971</v>
      </c>
    </row>
    <row r="2217" spans="1:18" x14ac:dyDescent="0.25">
      <c r="A2217" s="170">
        <v>45268</v>
      </c>
      <c r="B2217" s="116">
        <v>444.45</v>
      </c>
      <c r="C2217" s="116">
        <v>435.15</v>
      </c>
      <c r="D2217" s="116">
        <v>432.25</v>
      </c>
      <c r="E2217" s="116">
        <v>440.55</v>
      </c>
      <c r="F2217" s="116">
        <v>435.15</v>
      </c>
      <c r="G2217">
        <v>108111</v>
      </c>
      <c r="H2217" s="116"/>
      <c r="I2217" s="116"/>
      <c r="L2217" s="170">
        <v>45268</v>
      </c>
      <c r="M2217" s="116">
        <v>435.5</v>
      </c>
      <c r="N2217" s="116">
        <v>441.75</v>
      </c>
      <c r="O2217" s="116">
        <v>432.35</v>
      </c>
      <c r="P2217" s="116">
        <v>440.95</v>
      </c>
      <c r="Q2217" s="116">
        <v>435.5</v>
      </c>
      <c r="R2217">
        <v>1606867</v>
      </c>
    </row>
    <row r="2218" spans="1:18" x14ac:dyDescent="0.25">
      <c r="A2218" s="170">
        <v>45271</v>
      </c>
      <c r="B2218" s="116">
        <v>441.85</v>
      </c>
      <c r="C2218" s="116">
        <v>441</v>
      </c>
      <c r="D2218" s="116">
        <v>432.95</v>
      </c>
      <c r="E2218" s="116">
        <v>436</v>
      </c>
      <c r="F2218" s="116">
        <v>441</v>
      </c>
      <c r="G2218">
        <v>37946</v>
      </c>
      <c r="H2218" s="116"/>
      <c r="I2218" s="116"/>
      <c r="L2218" s="170">
        <v>45271</v>
      </c>
      <c r="M2218" s="116">
        <v>441</v>
      </c>
      <c r="N2218" s="116">
        <v>441.9</v>
      </c>
      <c r="O2218" s="116">
        <v>432.55</v>
      </c>
      <c r="P2218" s="116">
        <v>435.5</v>
      </c>
      <c r="Q2218" s="116">
        <v>441</v>
      </c>
      <c r="R2218">
        <v>1729172</v>
      </c>
    </row>
    <row r="2219" spans="1:18" x14ac:dyDescent="0.25">
      <c r="A2219" s="170">
        <v>45272</v>
      </c>
      <c r="B2219" s="116">
        <v>445.75</v>
      </c>
      <c r="C2219" s="116">
        <v>438.3</v>
      </c>
      <c r="D2219" s="116">
        <v>435.8</v>
      </c>
      <c r="E2219" s="116">
        <v>440.05</v>
      </c>
      <c r="F2219" s="116">
        <v>438.3</v>
      </c>
      <c r="G2219">
        <v>137236</v>
      </c>
      <c r="H2219" s="116"/>
      <c r="I2219" s="116"/>
      <c r="L2219" s="170">
        <v>45272</v>
      </c>
      <c r="M2219" s="116">
        <v>438.25</v>
      </c>
      <c r="N2219" s="116">
        <v>445.85</v>
      </c>
      <c r="O2219" s="116">
        <v>435.65</v>
      </c>
      <c r="P2219" s="116">
        <v>440.5</v>
      </c>
      <c r="Q2219" s="116">
        <v>438.25</v>
      </c>
      <c r="R2219">
        <v>2375740</v>
      </c>
    </row>
    <row r="2220" spans="1:18" x14ac:dyDescent="0.25">
      <c r="A2220" s="170">
        <v>45273</v>
      </c>
      <c r="B2220" s="116">
        <v>437.3</v>
      </c>
      <c r="C2220" s="116">
        <v>434.6</v>
      </c>
      <c r="D2220" s="116">
        <v>431.7</v>
      </c>
      <c r="E2220" s="116">
        <v>437.3</v>
      </c>
      <c r="F2220" s="116">
        <v>434.6</v>
      </c>
      <c r="G2220">
        <v>102381</v>
      </c>
      <c r="H2220" s="116"/>
      <c r="I2220" s="116"/>
      <c r="L2220" s="170">
        <v>45273</v>
      </c>
      <c r="M2220" s="116">
        <v>434.55</v>
      </c>
      <c r="N2220" s="116">
        <v>438.85</v>
      </c>
      <c r="O2220" s="116">
        <v>431.65</v>
      </c>
      <c r="P2220" s="116">
        <v>436.6</v>
      </c>
      <c r="Q2220" s="116">
        <v>434.55</v>
      </c>
      <c r="R2220">
        <v>2279696</v>
      </c>
    </row>
    <row r="2221" spans="1:18" x14ac:dyDescent="0.25">
      <c r="A2221" s="170">
        <v>45274</v>
      </c>
      <c r="B2221" s="116">
        <v>443.5</v>
      </c>
      <c r="C2221" s="116">
        <v>441.55</v>
      </c>
      <c r="D2221" s="116">
        <v>434.45</v>
      </c>
      <c r="E2221" s="116">
        <v>436.3</v>
      </c>
      <c r="F2221" s="116">
        <v>441.55</v>
      </c>
      <c r="G2221">
        <v>103762</v>
      </c>
      <c r="H2221" s="116"/>
      <c r="I2221" s="116"/>
      <c r="L2221" s="170">
        <v>45274</v>
      </c>
      <c r="M2221" s="116">
        <v>441.25</v>
      </c>
      <c r="N2221" s="116">
        <v>443.6</v>
      </c>
      <c r="O2221" s="116">
        <v>434.55</v>
      </c>
      <c r="P2221" s="116">
        <v>437.1</v>
      </c>
      <c r="Q2221" s="116">
        <v>441.25</v>
      </c>
      <c r="R2221">
        <v>1693787</v>
      </c>
    </row>
    <row r="2222" spans="1:18" x14ac:dyDescent="0.25">
      <c r="A2222" s="170">
        <v>45275</v>
      </c>
      <c r="B2222" s="116">
        <v>444.1</v>
      </c>
      <c r="C2222" s="116">
        <v>439.95</v>
      </c>
      <c r="D2222" s="116">
        <v>437.65</v>
      </c>
      <c r="E2222" s="116">
        <v>443.65</v>
      </c>
      <c r="F2222" s="116">
        <v>439.95</v>
      </c>
      <c r="G2222">
        <v>82745</v>
      </c>
      <c r="H2222" s="116"/>
      <c r="I2222" s="116"/>
      <c r="L2222" s="170">
        <v>45275</v>
      </c>
      <c r="M2222" s="116">
        <v>439.65</v>
      </c>
      <c r="N2222" s="116">
        <v>444.6</v>
      </c>
      <c r="O2222" s="116">
        <v>437.4</v>
      </c>
      <c r="P2222" s="116">
        <v>444.6</v>
      </c>
      <c r="Q2222" s="116">
        <v>439.65</v>
      </c>
      <c r="R2222">
        <v>2642024</v>
      </c>
    </row>
    <row r="2223" spans="1:18" x14ac:dyDescent="0.25">
      <c r="A2223" s="170">
        <v>45278</v>
      </c>
      <c r="B2223" s="116">
        <v>450</v>
      </c>
      <c r="C2223" s="116">
        <v>449</v>
      </c>
      <c r="D2223" s="116">
        <v>435.9</v>
      </c>
      <c r="E2223" s="116">
        <v>435.9</v>
      </c>
      <c r="F2223" s="116">
        <v>449</v>
      </c>
      <c r="G2223">
        <v>195388</v>
      </c>
      <c r="H2223" s="116"/>
      <c r="I2223" s="116"/>
      <c r="L2223" s="170">
        <v>45278</v>
      </c>
      <c r="M2223" s="116">
        <v>448.9</v>
      </c>
      <c r="N2223" s="116">
        <v>450</v>
      </c>
      <c r="O2223" s="116">
        <v>436.1</v>
      </c>
      <c r="P2223" s="116">
        <v>439.6</v>
      </c>
      <c r="Q2223" s="116">
        <v>448.9</v>
      </c>
      <c r="R2223">
        <v>4328624</v>
      </c>
    </row>
    <row r="2224" spans="1:18" x14ac:dyDescent="0.25">
      <c r="A2224" s="170">
        <v>45279</v>
      </c>
      <c r="B2224" s="116">
        <v>451</v>
      </c>
      <c r="C2224" s="116">
        <v>444.5</v>
      </c>
      <c r="D2224" s="116">
        <v>441.3</v>
      </c>
      <c r="E2224" s="116">
        <v>450.25</v>
      </c>
      <c r="F2224" s="116">
        <v>444.5</v>
      </c>
      <c r="G2224">
        <v>169748</v>
      </c>
      <c r="H2224" s="116"/>
      <c r="I2224" s="116"/>
      <c r="L2224" s="170">
        <v>45279</v>
      </c>
      <c r="M2224" s="116">
        <v>444.55</v>
      </c>
      <c r="N2224" s="116">
        <v>449.95</v>
      </c>
      <c r="O2224" s="116">
        <v>441.35</v>
      </c>
      <c r="P2224" s="116">
        <v>449.95</v>
      </c>
      <c r="Q2224" s="116">
        <v>444.55</v>
      </c>
      <c r="R2224">
        <v>2177697</v>
      </c>
    </row>
    <row r="2225" spans="1:18" x14ac:dyDescent="0.25">
      <c r="A2225" s="170">
        <v>45280</v>
      </c>
      <c r="B2225" s="116">
        <v>448.9</v>
      </c>
      <c r="C2225" s="116">
        <v>423.85</v>
      </c>
      <c r="D2225" s="116">
        <v>420.1</v>
      </c>
      <c r="E2225" s="116">
        <v>448.9</v>
      </c>
      <c r="F2225" s="116">
        <v>423.85</v>
      </c>
      <c r="G2225">
        <v>85673</v>
      </c>
      <c r="H2225" s="116"/>
      <c r="I2225" s="116"/>
      <c r="L2225" s="170">
        <v>45280</v>
      </c>
      <c r="M2225" s="116">
        <v>424.25</v>
      </c>
      <c r="N2225" s="116">
        <v>448</v>
      </c>
      <c r="O2225" s="116">
        <v>420</v>
      </c>
      <c r="P2225" s="116">
        <v>448</v>
      </c>
      <c r="Q2225" s="116">
        <v>424.25</v>
      </c>
      <c r="R2225">
        <v>2426020</v>
      </c>
    </row>
    <row r="2226" spans="1:18" x14ac:dyDescent="0.25">
      <c r="A2226" s="170">
        <v>45281</v>
      </c>
      <c r="B2226" s="116">
        <v>430.35</v>
      </c>
      <c r="C2226" s="116">
        <v>429.3</v>
      </c>
      <c r="D2226" s="116">
        <v>416.15</v>
      </c>
      <c r="E2226" s="116">
        <v>420.05</v>
      </c>
      <c r="F2226" s="116">
        <v>429.3</v>
      </c>
      <c r="G2226">
        <v>77350</v>
      </c>
      <c r="H2226" s="116"/>
      <c r="I2226" s="116"/>
      <c r="L2226" s="170">
        <v>45281</v>
      </c>
      <c r="M2226" s="116">
        <v>429.35</v>
      </c>
      <c r="N2226" s="116">
        <v>430.65</v>
      </c>
      <c r="O2226" s="116">
        <v>416.9</v>
      </c>
      <c r="P2226" s="116">
        <v>420.2</v>
      </c>
      <c r="Q2226" s="116">
        <v>429.35</v>
      </c>
      <c r="R2226">
        <v>2058616</v>
      </c>
    </row>
    <row r="2227" spans="1:18" x14ac:dyDescent="0.25">
      <c r="A2227" s="170">
        <v>45282</v>
      </c>
      <c r="B2227" s="116">
        <v>440</v>
      </c>
      <c r="C2227" s="116">
        <v>439.45</v>
      </c>
      <c r="D2227" s="116">
        <v>428.45</v>
      </c>
      <c r="E2227" s="116">
        <v>429.5</v>
      </c>
      <c r="F2227" s="116">
        <v>439.45</v>
      </c>
      <c r="G2227">
        <v>70519</v>
      </c>
      <c r="H2227" s="116"/>
      <c r="I2227" s="116"/>
      <c r="L2227" s="170">
        <v>45282</v>
      </c>
      <c r="M2227" s="116">
        <v>439.2</v>
      </c>
      <c r="N2227" s="116">
        <v>440.4</v>
      </c>
      <c r="O2227" s="116">
        <v>427.9</v>
      </c>
      <c r="P2227" s="116">
        <v>429</v>
      </c>
      <c r="Q2227" s="116">
        <v>439.2</v>
      </c>
      <c r="R2227">
        <v>2628120</v>
      </c>
    </row>
    <row r="2228" spans="1:18" x14ac:dyDescent="0.25">
      <c r="A2228" s="170">
        <v>45286</v>
      </c>
      <c r="B2228" s="116">
        <v>443.5</v>
      </c>
      <c r="C2228" s="116">
        <v>436.6</v>
      </c>
      <c r="D2228" s="116">
        <v>435</v>
      </c>
      <c r="E2228" s="116">
        <v>440.95</v>
      </c>
      <c r="F2228" s="116">
        <v>436.6</v>
      </c>
      <c r="G2228">
        <v>95439</v>
      </c>
      <c r="H2228" s="116"/>
      <c r="I2228" s="116"/>
      <c r="L2228" s="170">
        <v>45286</v>
      </c>
      <c r="M2228" s="116">
        <v>436.55</v>
      </c>
      <c r="N2228" s="116">
        <v>443.6</v>
      </c>
      <c r="O2228" s="116">
        <v>435</v>
      </c>
      <c r="P2228" s="116">
        <v>440.45</v>
      </c>
      <c r="Q2228" s="116">
        <v>436.55</v>
      </c>
      <c r="R2228">
        <v>1207519</v>
      </c>
    </row>
    <row r="2229" spans="1:18" x14ac:dyDescent="0.25">
      <c r="A2229" s="170">
        <v>45287</v>
      </c>
      <c r="B2229" s="116">
        <v>442</v>
      </c>
      <c r="C2229" s="116">
        <v>438.3</v>
      </c>
      <c r="D2229" s="116">
        <v>434.5</v>
      </c>
      <c r="E2229" s="116">
        <v>438.15</v>
      </c>
      <c r="F2229" s="116">
        <v>438.3</v>
      </c>
      <c r="G2229">
        <v>103877</v>
      </c>
      <c r="H2229" s="116"/>
      <c r="I2229" s="116"/>
      <c r="L2229" s="170">
        <v>45287</v>
      </c>
      <c r="M2229" s="116">
        <v>436.85</v>
      </c>
      <c r="N2229" s="116">
        <v>442.2</v>
      </c>
      <c r="O2229" s="116">
        <v>434.45</v>
      </c>
      <c r="P2229" s="116">
        <v>437.65</v>
      </c>
      <c r="Q2229" s="116">
        <v>436.85</v>
      </c>
      <c r="R2229">
        <v>1815608</v>
      </c>
    </row>
    <row r="2230" spans="1:18" x14ac:dyDescent="0.25">
      <c r="A2230" s="170">
        <v>45288</v>
      </c>
      <c r="B2230" s="116">
        <v>442.3</v>
      </c>
      <c r="C2230" s="116">
        <v>434.25</v>
      </c>
      <c r="D2230" s="116">
        <v>431.2</v>
      </c>
      <c r="E2230" s="116">
        <v>436.15</v>
      </c>
      <c r="F2230" s="116">
        <v>434.25</v>
      </c>
      <c r="G2230">
        <v>135521</v>
      </c>
      <c r="H2230" s="116"/>
      <c r="I2230" s="116"/>
      <c r="L2230" s="170">
        <v>45288</v>
      </c>
      <c r="M2230" s="116">
        <v>433.45</v>
      </c>
      <c r="N2230" s="116">
        <v>442.4</v>
      </c>
      <c r="O2230" s="116">
        <v>431.1</v>
      </c>
      <c r="P2230" s="116">
        <v>435</v>
      </c>
      <c r="Q2230" s="116">
        <v>433.45</v>
      </c>
      <c r="R2230">
        <v>6971605</v>
      </c>
    </row>
    <row r="2231" spans="1:18" x14ac:dyDescent="0.25">
      <c r="A2231" s="170">
        <v>45289</v>
      </c>
      <c r="B2231" s="116">
        <v>439.3</v>
      </c>
      <c r="C2231" s="116">
        <v>438.2</v>
      </c>
      <c r="D2231" s="116">
        <v>431.6</v>
      </c>
      <c r="E2231" s="116">
        <v>434.75</v>
      </c>
      <c r="F2231" s="116">
        <v>438.2</v>
      </c>
      <c r="G2231">
        <v>89727</v>
      </c>
      <c r="H2231" s="116"/>
      <c r="I2231" s="116"/>
      <c r="L2231" s="170">
        <v>45289</v>
      </c>
      <c r="M2231" s="116">
        <v>438.35</v>
      </c>
      <c r="N2231" s="116">
        <v>439.5</v>
      </c>
      <c r="O2231" s="116">
        <v>431.5</v>
      </c>
      <c r="P2231" s="116">
        <v>434.2</v>
      </c>
      <c r="Q2231" s="116">
        <v>438.35</v>
      </c>
      <c r="R2231">
        <v>1519915</v>
      </c>
    </row>
    <row r="2232" spans="1:18" x14ac:dyDescent="0.25">
      <c r="A2232" s="170">
        <v>45292</v>
      </c>
      <c r="B2232" s="116">
        <v>440.95</v>
      </c>
      <c r="C2232" s="116">
        <v>436.2</v>
      </c>
      <c r="D2232" s="116">
        <v>434.8</v>
      </c>
      <c r="E2232" s="116">
        <v>440.95</v>
      </c>
      <c r="F2232" s="116">
        <v>436.2</v>
      </c>
      <c r="G2232">
        <v>51447</v>
      </c>
      <c r="H2232" s="116"/>
      <c r="I2232" s="116"/>
      <c r="L2232" s="170">
        <v>45292</v>
      </c>
      <c r="M2232" s="116">
        <v>436.1</v>
      </c>
      <c r="N2232" s="116">
        <v>441.4</v>
      </c>
      <c r="O2232" s="116">
        <v>434.45</v>
      </c>
      <c r="P2232" s="116">
        <v>440</v>
      </c>
      <c r="Q2232" s="116">
        <v>436.1</v>
      </c>
      <c r="R2232">
        <v>928581</v>
      </c>
    </row>
    <row r="2233" spans="1:18" x14ac:dyDescent="0.25">
      <c r="A2233" s="170">
        <v>45293</v>
      </c>
      <c r="B2233" s="116">
        <v>440.25</v>
      </c>
      <c r="C2233" s="116">
        <v>438.4</v>
      </c>
      <c r="D2233" s="116">
        <v>429.3</v>
      </c>
      <c r="E2233" s="116">
        <v>436.65</v>
      </c>
      <c r="F2233" s="116">
        <v>438.4</v>
      </c>
      <c r="G2233">
        <v>145279</v>
      </c>
      <c r="H2233" s="116"/>
      <c r="I2233" s="116"/>
      <c r="L2233" s="170">
        <v>45293</v>
      </c>
      <c r="M2233" s="116">
        <v>438.2</v>
      </c>
      <c r="N2233" s="116">
        <v>440.4</v>
      </c>
      <c r="O2233" s="116">
        <v>429.25</v>
      </c>
      <c r="P2233" s="116">
        <v>437</v>
      </c>
      <c r="Q2233" s="116">
        <v>438.2</v>
      </c>
      <c r="R2233">
        <v>2850481</v>
      </c>
    </row>
    <row r="2234" spans="1:18" x14ac:dyDescent="0.25">
      <c r="A2234" s="170">
        <v>45294</v>
      </c>
      <c r="B2234" s="116">
        <v>455</v>
      </c>
      <c r="C2234" s="116">
        <v>451.65</v>
      </c>
      <c r="D2234" s="116">
        <v>437.8</v>
      </c>
      <c r="E2234" s="116">
        <v>439.85</v>
      </c>
      <c r="F2234" s="116">
        <v>451.65</v>
      </c>
      <c r="G2234">
        <v>283326</v>
      </c>
      <c r="H2234" s="116"/>
      <c r="I2234" s="116"/>
      <c r="L2234" s="170">
        <v>45294</v>
      </c>
      <c r="M2234" s="116">
        <v>451.45</v>
      </c>
      <c r="N2234" s="116">
        <v>455</v>
      </c>
      <c r="O2234" s="116">
        <v>438</v>
      </c>
      <c r="P2234" s="116">
        <v>439.25</v>
      </c>
      <c r="Q2234" s="116">
        <v>451.45</v>
      </c>
      <c r="R2234">
        <v>5554842</v>
      </c>
    </row>
    <row r="2235" spans="1:18" x14ac:dyDescent="0.25">
      <c r="A2235" s="170">
        <v>45295</v>
      </c>
      <c r="B2235" s="116">
        <v>464.45</v>
      </c>
      <c r="C2235" s="116">
        <v>462.75</v>
      </c>
      <c r="D2235" s="116">
        <v>451</v>
      </c>
      <c r="E2235" s="116">
        <v>455.4</v>
      </c>
      <c r="F2235" s="116">
        <v>462.75</v>
      </c>
      <c r="G2235">
        <v>296146</v>
      </c>
      <c r="H2235" s="116"/>
      <c r="I2235" s="116"/>
      <c r="L2235" s="170">
        <v>45295</v>
      </c>
      <c r="M2235" s="116">
        <v>462.8</v>
      </c>
      <c r="N2235" s="116">
        <v>464.65</v>
      </c>
      <c r="O2235" s="116">
        <v>451.1</v>
      </c>
      <c r="P2235" s="116">
        <v>454.85</v>
      </c>
      <c r="Q2235" s="116">
        <v>462.8</v>
      </c>
      <c r="R2235">
        <v>5215576</v>
      </c>
    </row>
    <row r="2236" spans="1:18" x14ac:dyDescent="0.25">
      <c r="A2236" s="170">
        <v>45296</v>
      </c>
      <c r="B2236" s="116">
        <v>467.95</v>
      </c>
      <c r="C2236" s="116">
        <v>455.9</v>
      </c>
      <c r="D2236" s="116">
        <v>454.15</v>
      </c>
      <c r="E2236" s="116">
        <v>467.95</v>
      </c>
      <c r="F2236" s="116">
        <v>455.9</v>
      </c>
      <c r="G2236">
        <v>74647</v>
      </c>
      <c r="H2236" s="116"/>
      <c r="I2236" s="116"/>
      <c r="L2236" s="170">
        <v>45296</v>
      </c>
      <c r="M2236" s="116">
        <v>456.05</v>
      </c>
      <c r="N2236" s="116">
        <v>467</v>
      </c>
      <c r="O2236" s="116">
        <v>453.9</v>
      </c>
      <c r="P2236" s="116">
        <v>467</v>
      </c>
      <c r="Q2236" s="116">
        <v>456.05</v>
      </c>
      <c r="R2236">
        <v>2712213</v>
      </c>
    </row>
    <row r="2237" spans="1:18" x14ac:dyDescent="0.25">
      <c r="A2237" s="170">
        <v>45299</v>
      </c>
      <c r="B2237" s="116">
        <v>464.85</v>
      </c>
      <c r="C2237" s="116">
        <v>451.5</v>
      </c>
      <c r="D2237" s="116">
        <v>450</v>
      </c>
      <c r="E2237" s="116">
        <v>464.85</v>
      </c>
      <c r="F2237" s="116">
        <v>451.5</v>
      </c>
      <c r="G2237">
        <v>47053</v>
      </c>
      <c r="H2237" s="116"/>
      <c r="I2237" s="116"/>
      <c r="L2237" s="170">
        <v>45299</v>
      </c>
      <c r="M2237" s="116">
        <v>451.65</v>
      </c>
      <c r="N2237" s="116">
        <v>461.5</v>
      </c>
      <c r="O2237" s="116">
        <v>450</v>
      </c>
      <c r="P2237" s="116">
        <v>461.45</v>
      </c>
      <c r="Q2237" s="116">
        <v>451.65</v>
      </c>
      <c r="R2237">
        <v>1954521</v>
      </c>
    </row>
    <row r="2238" spans="1:18" x14ac:dyDescent="0.25">
      <c r="A2238" s="170">
        <v>45300</v>
      </c>
      <c r="B2238" s="116">
        <v>460.25</v>
      </c>
      <c r="C2238" s="116">
        <v>458.6</v>
      </c>
      <c r="D2238" s="116">
        <v>452.4</v>
      </c>
      <c r="E2238" s="116">
        <v>459.85</v>
      </c>
      <c r="F2238" s="116">
        <v>458.6</v>
      </c>
      <c r="G2238">
        <v>68492</v>
      </c>
      <c r="H2238" s="116"/>
      <c r="I2238" s="116"/>
      <c r="L2238" s="170">
        <v>45300</v>
      </c>
      <c r="M2238" s="116">
        <v>458.55</v>
      </c>
      <c r="N2238" s="116">
        <v>460.7</v>
      </c>
      <c r="O2238" s="116">
        <v>452.2</v>
      </c>
      <c r="P2238" s="116">
        <v>458.9</v>
      </c>
      <c r="Q2238" s="116">
        <v>458.55</v>
      </c>
      <c r="R2238">
        <v>2197685</v>
      </c>
    </row>
    <row r="2239" spans="1:18" x14ac:dyDescent="0.25">
      <c r="A2239" s="170">
        <v>45301</v>
      </c>
      <c r="B2239" s="116">
        <v>461</v>
      </c>
      <c r="C2239" s="116">
        <v>458.4</v>
      </c>
      <c r="D2239" s="116">
        <v>453.05</v>
      </c>
      <c r="E2239" s="116">
        <v>459.05</v>
      </c>
      <c r="F2239" s="116">
        <v>458.4</v>
      </c>
      <c r="G2239">
        <v>80659</v>
      </c>
      <c r="H2239" s="116"/>
      <c r="I2239" s="116"/>
      <c r="L2239" s="170">
        <v>45301</v>
      </c>
      <c r="M2239" s="116">
        <v>458.4</v>
      </c>
      <c r="N2239" s="116">
        <v>461</v>
      </c>
      <c r="O2239" s="116">
        <v>453.25</v>
      </c>
      <c r="P2239" s="116">
        <v>458.5</v>
      </c>
      <c r="Q2239" s="116">
        <v>458.4</v>
      </c>
      <c r="R2239">
        <v>1519799</v>
      </c>
    </row>
    <row r="2240" spans="1:18" x14ac:dyDescent="0.25">
      <c r="A2240" s="170">
        <v>45302</v>
      </c>
      <c r="B2240" s="116">
        <v>463.8</v>
      </c>
      <c r="C2240" s="116">
        <v>459.3</v>
      </c>
      <c r="D2240" s="116">
        <v>458.3</v>
      </c>
      <c r="E2240" s="116">
        <v>460.45</v>
      </c>
      <c r="F2240" s="116">
        <v>459.3</v>
      </c>
      <c r="G2240">
        <v>90052</v>
      </c>
      <c r="H2240" s="116"/>
      <c r="I2240" s="116"/>
      <c r="L2240" s="170">
        <v>45302</v>
      </c>
      <c r="M2240" s="116">
        <v>459.55</v>
      </c>
      <c r="N2240" s="116">
        <v>463.85</v>
      </c>
      <c r="O2240" s="116">
        <v>458.2</v>
      </c>
      <c r="P2240" s="116">
        <v>459.95</v>
      </c>
      <c r="Q2240" s="116">
        <v>459.55</v>
      </c>
      <c r="R2240">
        <v>1429325</v>
      </c>
    </row>
    <row r="2241" spans="1:18" x14ac:dyDescent="0.25">
      <c r="A2241" s="170">
        <v>45303</v>
      </c>
      <c r="B2241" s="116">
        <v>464.85</v>
      </c>
      <c r="C2241" s="116">
        <v>461.8</v>
      </c>
      <c r="D2241" s="116">
        <v>456.45</v>
      </c>
      <c r="E2241" s="116">
        <v>464.85</v>
      </c>
      <c r="F2241" s="116">
        <v>461.8</v>
      </c>
      <c r="G2241">
        <v>63828</v>
      </c>
      <c r="H2241" s="116"/>
      <c r="I2241" s="116"/>
      <c r="L2241" s="170">
        <v>45303</v>
      </c>
      <c r="M2241" s="116">
        <v>461.55</v>
      </c>
      <c r="N2241" s="116">
        <v>464</v>
      </c>
      <c r="O2241" s="116">
        <v>456.35</v>
      </c>
      <c r="P2241" s="116">
        <v>464</v>
      </c>
      <c r="Q2241" s="116">
        <v>461.55</v>
      </c>
      <c r="R2241">
        <v>1591267</v>
      </c>
    </row>
    <row r="2242" spans="1:18" x14ac:dyDescent="0.25">
      <c r="A2242" s="170">
        <v>45306</v>
      </c>
      <c r="B2242" s="116">
        <v>478.4</v>
      </c>
      <c r="C2242" s="116">
        <v>477.1</v>
      </c>
      <c r="D2242" s="116">
        <v>459.55</v>
      </c>
      <c r="E2242" s="116">
        <v>465.55</v>
      </c>
      <c r="F2242" s="116">
        <v>477.1</v>
      </c>
      <c r="G2242">
        <v>437568</v>
      </c>
      <c r="H2242" s="116"/>
      <c r="I2242" s="116"/>
      <c r="L2242" s="170">
        <v>45306</v>
      </c>
      <c r="M2242" s="116">
        <v>476.95</v>
      </c>
      <c r="N2242" s="116">
        <v>478.5</v>
      </c>
      <c r="O2242" s="116">
        <v>459.8</v>
      </c>
      <c r="P2242" s="116">
        <v>465</v>
      </c>
      <c r="Q2242" s="116">
        <v>476.95</v>
      </c>
      <c r="R2242">
        <v>4458232</v>
      </c>
    </row>
    <row r="2243" spans="1:18" x14ac:dyDescent="0.25">
      <c r="A2243" s="170">
        <v>45307</v>
      </c>
      <c r="B2243" s="116">
        <v>478.75</v>
      </c>
      <c r="C2243" s="116">
        <v>468.5</v>
      </c>
      <c r="D2243" s="116">
        <v>461.3</v>
      </c>
      <c r="E2243" s="116">
        <v>478.35</v>
      </c>
      <c r="F2243" s="116">
        <v>468.5</v>
      </c>
      <c r="G2243">
        <v>190503</v>
      </c>
      <c r="H2243" s="116"/>
      <c r="I2243" s="116"/>
      <c r="L2243" s="170">
        <v>45307</v>
      </c>
      <c r="M2243" s="116">
        <v>468.45</v>
      </c>
      <c r="N2243" s="116">
        <v>478.95</v>
      </c>
      <c r="O2243" s="116">
        <v>461.4</v>
      </c>
      <c r="P2243" s="116">
        <v>478.9</v>
      </c>
      <c r="Q2243" s="116">
        <v>468.45</v>
      </c>
      <c r="R2243">
        <v>2895440</v>
      </c>
    </row>
    <row r="2244" spans="1:18" x14ac:dyDescent="0.25">
      <c r="A2244" s="170">
        <v>45308</v>
      </c>
      <c r="B2244" s="116">
        <v>468.95</v>
      </c>
      <c r="C2244" s="116">
        <v>461.7</v>
      </c>
      <c r="D2244" s="116">
        <v>460.3</v>
      </c>
      <c r="E2244" s="116">
        <v>467.9</v>
      </c>
      <c r="F2244" s="116">
        <v>461.7</v>
      </c>
      <c r="G2244">
        <v>144968</v>
      </c>
      <c r="H2244" s="116"/>
      <c r="I2244" s="116"/>
      <c r="L2244" s="170">
        <v>45308</v>
      </c>
      <c r="M2244" s="116">
        <v>461.95</v>
      </c>
      <c r="N2244" s="116">
        <v>469.15</v>
      </c>
      <c r="O2244" s="116">
        <v>460</v>
      </c>
      <c r="P2244" s="116">
        <v>466</v>
      </c>
      <c r="Q2244" s="116">
        <v>461.95</v>
      </c>
      <c r="R2244">
        <v>2775046</v>
      </c>
    </row>
    <row r="2245" spans="1:18" x14ac:dyDescent="0.25">
      <c r="A2245" s="170">
        <v>45309</v>
      </c>
      <c r="B2245" s="116">
        <v>467.9</v>
      </c>
      <c r="C2245" s="116">
        <v>463.6</v>
      </c>
      <c r="D2245" s="116">
        <v>450.55</v>
      </c>
      <c r="E2245" s="116">
        <v>461.65</v>
      </c>
      <c r="F2245" s="116">
        <v>463.6</v>
      </c>
      <c r="G2245">
        <v>171142</v>
      </c>
      <c r="H2245" s="116"/>
      <c r="I2245" s="116"/>
      <c r="L2245" s="170">
        <v>45309</v>
      </c>
      <c r="M2245" s="116">
        <v>463.6</v>
      </c>
      <c r="N2245" s="116">
        <v>467.8</v>
      </c>
      <c r="O2245" s="116">
        <v>450.6</v>
      </c>
      <c r="P2245" s="116">
        <v>458.65</v>
      </c>
      <c r="Q2245" s="116">
        <v>463.6</v>
      </c>
      <c r="R2245">
        <v>3411840</v>
      </c>
    </row>
    <row r="2246" spans="1:18" x14ac:dyDescent="0.25">
      <c r="A2246" s="170">
        <v>45310</v>
      </c>
      <c r="B2246" s="116">
        <v>484.5</v>
      </c>
      <c r="C2246" s="116">
        <v>482.05</v>
      </c>
      <c r="D2246" s="116">
        <v>465.5</v>
      </c>
      <c r="E2246" s="116">
        <v>468</v>
      </c>
      <c r="F2246" s="116">
        <v>482.05</v>
      </c>
      <c r="G2246">
        <v>256141</v>
      </c>
      <c r="H2246" s="116"/>
      <c r="I2246" s="116"/>
      <c r="L2246" s="170">
        <v>45310</v>
      </c>
      <c r="M2246" s="116">
        <v>482.2</v>
      </c>
      <c r="N2246" s="116">
        <v>484.65</v>
      </c>
      <c r="O2246" s="116">
        <v>463.75</v>
      </c>
      <c r="P2246" s="116">
        <v>468</v>
      </c>
      <c r="Q2246" s="116">
        <v>482.2</v>
      </c>
      <c r="R2246">
        <v>4333124</v>
      </c>
    </row>
    <row r="2247" spans="1:18" x14ac:dyDescent="0.25">
      <c r="A2247" s="170">
        <v>45311</v>
      </c>
      <c r="B2247" s="116">
        <v>486.55</v>
      </c>
      <c r="C2247" s="116">
        <v>479.15</v>
      </c>
      <c r="D2247" s="116">
        <v>474.45</v>
      </c>
      <c r="E2247" s="116">
        <v>485.8</v>
      </c>
      <c r="F2247" s="116">
        <v>479.15</v>
      </c>
      <c r="G2247">
        <v>103054</v>
      </c>
      <c r="H2247" s="116"/>
      <c r="I2247" s="116"/>
      <c r="L2247" s="170">
        <v>45311</v>
      </c>
      <c r="M2247" s="116">
        <v>479.1</v>
      </c>
      <c r="N2247" s="116">
        <v>486.3</v>
      </c>
      <c r="O2247" s="116">
        <v>474.45</v>
      </c>
      <c r="P2247" s="116">
        <v>485</v>
      </c>
      <c r="Q2247" s="116">
        <v>479.1</v>
      </c>
      <c r="R2247">
        <v>2256239</v>
      </c>
    </row>
    <row r="2248" spans="1:18" x14ac:dyDescent="0.25">
      <c r="A2248" s="170">
        <v>45314</v>
      </c>
      <c r="B2248" s="116">
        <v>488.25</v>
      </c>
      <c r="C2248" s="116">
        <v>471.45</v>
      </c>
      <c r="D2248" s="116">
        <v>466.7</v>
      </c>
      <c r="E2248" s="116">
        <v>488.25</v>
      </c>
      <c r="F2248" s="116">
        <v>471.45</v>
      </c>
      <c r="G2248">
        <v>236992</v>
      </c>
      <c r="H2248" s="116"/>
      <c r="I2248" s="116"/>
      <c r="L2248" s="170">
        <v>45314</v>
      </c>
      <c r="M2248" s="116">
        <v>471.3</v>
      </c>
      <c r="N2248" s="116">
        <v>486</v>
      </c>
      <c r="O2248" s="116">
        <v>466.85</v>
      </c>
      <c r="P2248" s="116">
        <v>485</v>
      </c>
      <c r="Q2248" s="116">
        <v>471.3</v>
      </c>
      <c r="R2248">
        <v>4050796</v>
      </c>
    </row>
    <row r="2249" spans="1:18" x14ac:dyDescent="0.25">
      <c r="A2249" s="170">
        <v>45315</v>
      </c>
      <c r="B2249" s="116">
        <v>481.75</v>
      </c>
      <c r="C2249" s="116">
        <v>480.4</v>
      </c>
      <c r="D2249" s="116">
        <v>466.3</v>
      </c>
      <c r="E2249" s="116">
        <v>474.55</v>
      </c>
      <c r="F2249" s="116">
        <v>480.4</v>
      </c>
      <c r="G2249">
        <v>169014</v>
      </c>
      <c r="H2249" s="116"/>
      <c r="I2249" s="116"/>
      <c r="L2249" s="170">
        <v>45315</v>
      </c>
      <c r="M2249" s="116">
        <v>480.35</v>
      </c>
      <c r="N2249" s="116">
        <v>481.9</v>
      </c>
      <c r="O2249" s="116">
        <v>466.15</v>
      </c>
      <c r="P2249" s="116">
        <v>472.05</v>
      </c>
      <c r="Q2249" s="116">
        <v>480.35</v>
      </c>
      <c r="R2249">
        <v>2754783</v>
      </c>
    </row>
    <row r="2250" spans="1:18" x14ac:dyDescent="0.25">
      <c r="A2250" s="170">
        <v>45316</v>
      </c>
      <c r="B2250" s="116">
        <v>482</v>
      </c>
      <c r="C2250" s="116">
        <v>473.85</v>
      </c>
      <c r="D2250" s="116">
        <v>466.1</v>
      </c>
      <c r="E2250" s="116">
        <v>481.1</v>
      </c>
      <c r="F2250" s="116">
        <v>473.85</v>
      </c>
      <c r="G2250">
        <v>139227</v>
      </c>
      <c r="H2250" s="116"/>
      <c r="I2250" s="116"/>
      <c r="L2250" s="170">
        <v>45316</v>
      </c>
      <c r="M2250" s="116">
        <v>473.6</v>
      </c>
      <c r="N2250" s="116">
        <v>482.5</v>
      </c>
      <c r="O2250" s="116">
        <v>466</v>
      </c>
      <c r="P2250" s="116">
        <v>482.5</v>
      </c>
      <c r="Q2250" s="116">
        <v>473.6</v>
      </c>
      <c r="R2250">
        <v>1845603</v>
      </c>
    </row>
    <row r="2251" spans="1:18" x14ac:dyDescent="0.25">
      <c r="A2251" s="170">
        <v>45320</v>
      </c>
      <c r="B2251" s="116">
        <v>499.7</v>
      </c>
      <c r="C2251" s="116">
        <v>496</v>
      </c>
      <c r="D2251" s="116">
        <v>474.9</v>
      </c>
      <c r="E2251" s="116">
        <v>478.3</v>
      </c>
      <c r="F2251" s="116">
        <v>496</v>
      </c>
      <c r="G2251">
        <v>423477</v>
      </c>
      <c r="H2251" s="116"/>
      <c r="I2251" s="116"/>
      <c r="L2251" s="170">
        <v>45320</v>
      </c>
      <c r="M2251" s="116">
        <v>496.15</v>
      </c>
      <c r="N2251" s="116">
        <v>500</v>
      </c>
      <c r="O2251" s="116">
        <v>473.6</v>
      </c>
      <c r="P2251" s="116">
        <v>473.6</v>
      </c>
      <c r="Q2251" s="116">
        <v>496.15</v>
      </c>
      <c r="R2251">
        <v>8503267</v>
      </c>
    </row>
    <row r="2252" spans="1:18" x14ac:dyDescent="0.25">
      <c r="A2252" s="170">
        <v>45321</v>
      </c>
      <c r="B2252" s="116">
        <v>501.95</v>
      </c>
      <c r="C2252" s="116">
        <v>493.4</v>
      </c>
      <c r="D2252" s="116">
        <v>487.25</v>
      </c>
      <c r="E2252" s="116">
        <v>501.95</v>
      </c>
      <c r="F2252" s="116">
        <v>493.4</v>
      </c>
      <c r="G2252">
        <v>111242</v>
      </c>
      <c r="H2252" s="116"/>
      <c r="I2252" s="116"/>
      <c r="L2252" s="170">
        <v>45321</v>
      </c>
      <c r="M2252" s="116">
        <v>493.2</v>
      </c>
      <c r="N2252" s="116">
        <v>501.05</v>
      </c>
      <c r="O2252" s="116">
        <v>487.15</v>
      </c>
      <c r="P2252" s="116">
        <v>500</v>
      </c>
      <c r="Q2252" s="116">
        <v>493.2</v>
      </c>
      <c r="R2252">
        <v>3676704</v>
      </c>
    </row>
    <row r="2253" spans="1:18" x14ac:dyDescent="0.25">
      <c r="A2253" s="170">
        <v>45322</v>
      </c>
      <c r="B2253" s="116">
        <v>497</v>
      </c>
      <c r="C2253" s="116">
        <v>492.6</v>
      </c>
      <c r="D2253" s="116">
        <v>488</v>
      </c>
      <c r="E2253" s="116">
        <v>494.1</v>
      </c>
      <c r="F2253" s="116">
        <v>492.6</v>
      </c>
      <c r="G2253">
        <v>265083</v>
      </c>
      <c r="H2253" s="116"/>
      <c r="I2253" s="116"/>
      <c r="L2253" s="170">
        <v>45322</v>
      </c>
      <c r="M2253" s="116">
        <v>492.65</v>
      </c>
      <c r="N2253" s="116">
        <v>496.2</v>
      </c>
      <c r="O2253" s="116">
        <v>488</v>
      </c>
      <c r="P2253" s="116">
        <v>495.85</v>
      </c>
      <c r="Q2253" s="116">
        <v>492.65</v>
      </c>
      <c r="R2253">
        <v>2911432</v>
      </c>
    </row>
    <row r="2254" spans="1:18" x14ac:dyDescent="0.25">
      <c r="A2254" s="170">
        <v>45323</v>
      </c>
      <c r="B2254" s="116">
        <v>499.05</v>
      </c>
      <c r="C2254" s="116">
        <v>494.35</v>
      </c>
      <c r="D2254" s="116">
        <v>487.15</v>
      </c>
      <c r="E2254" s="116">
        <v>499.05</v>
      </c>
      <c r="F2254" s="116">
        <v>494.35</v>
      </c>
      <c r="G2254">
        <v>100170</v>
      </c>
      <c r="H2254" s="116"/>
      <c r="I2254" s="116"/>
      <c r="L2254" s="170">
        <v>45323</v>
      </c>
      <c r="M2254" s="116">
        <v>494.55</v>
      </c>
      <c r="N2254" s="116">
        <v>496.5</v>
      </c>
      <c r="O2254" s="116">
        <v>486.95</v>
      </c>
      <c r="P2254" s="116">
        <v>495.45</v>
      </c>
      <c r="Q2254" s="116">
        <v>494.55</v>
      </c>
      <c r="R2254">
        <v>1703943</v>
      </c>
    </row>
    <row r="2255" spans="1:18" x14ac:dyDescent="0.25">
      <c r="A2255" s="170">
        <v>45324</v>
      </c>
      <c r="B2255" s="116">
        <v>518.85</v>
      </c>
      <c r="C2255" s="116">
        <v>500.05</v>
      </c>
      <c r="D2255" s="116">
        <v>497.8</v>
      </c>
      <c r="E2255" s="116">
        <v>518.85</v>
      </c>
      <c r="F2255" s="116">
        <v>500.05</v>
      </c>
      <c r="G2255">
        <v>304957</v>
      </c>
      <c r="H2255" s="116"/>
      <c r="I2255" s="116"/>
      <c r="L2255" s="170">
        <v>45324</v>
      </c>
      <c r="M2255" s="116">
        <v>500</v>
      </c>
      <c r="N2255" s="116">
        <v>515.95000000000005</v>
      </c>
      <c r="O2255" s="116">
        <v>497.75</v>
      </c>
      <c r="P2255" s="116">
        <v>515.95000000000005</v>
      </c>
      <c r="Q2255" s="116">
        <v>500</v>
      </c>
      <c r="R2255">
        <v>8862376</v>
      </c>
    </row>
    <row r="2256" spans="1:18" x14ac:dyDescent="0.25">
      <c r="A2256" s="170">
        <v>45327</v>
      </c>
      <c r="B2256" s="116">
        <v>513.25</v>
      </c>
      <c r="C2256" s="116">
        <v>508.6</v>
      </c>
      <c r="D2256" s="116">
        <v>500.7</v>
      </c>
      <c r="E2256" s="116">
        <v>503.15</v>
      </c>
      <c r="F2256" s="116">
        <v>508.6</v>
      </c>
      <c r="G2256">
        <v>300025</v>
      </c>
      <c r="H2256" s="116"/>
      <c r="I2256" s="116"/>
      <c r="L2256" s="170">
        <v>45327</v>
      </c>
      <c r="M2256" s="116">
        <v>509.1</v>
      </c>
      <c r="N2256" s="116">
        <v>513.45000000000005</v>
      </c>
      <c r="O2256" s="116">
        <v>500.35</v>
      </c>
      <c r="P2256" s="116">
        <v>505</v>
      </c>
      <c r="Q2256" s="116">
        <v>509.1</v>
      </c>
      <c r="R2256">
        <v>4845339</v>
      </c>
    </row>
    <row r="2257" spans="1:18" x14ac:dyDescent="0.25">
      <c r="A2257" s="170">
        <v>45328</v>
      </c>
      <c r="B2257" s="116">
        <v>511.35</v>
      </c>
      <c r="C2257" s="116">
        <v>506.1</v>
      </c>
      <c r="D2257" s="116">
        <v>504.55</v>
      </c>
      <c r="E2257" s="116">
        <v>510</v>
      </c>
      <c r="F2257" s="116">
        <v>506.1</v>
      </c>
      <c r="G2257">
        <v>52457</v>
      </c>
      <c r="H2257" s="116"/>
      <c r="I2257" s="116"/>
      <c r="L2257" s="170">
        <v>45328</v>
      </c>
      <c r="M2257" s="116">
        <v>506.15</v>
      </c>
      <c r="N2257" s="116">
        <v>511.5</v>
      </c>
      <c r="O2257" s="116">
        <v>504.55</v>
      </c>
      <c r="P2257" s="116">
        <v>510</v>
      </c>
      <c r="Q2257" s="116">
        <v>506.15</v>
      </c>
      <c r="R2257">
        <v>1032953</v>
      </c>
    </row>
    <row r="2258" spans="1:18" x14ac:dyDescent="0.25">
      <c r="A2258" s="170">
        <v>45329</v>
      </c>
      <c r="B2258" s="116">
        <v>527.25</v>
      </c>
      <c r="C2258" s="116">
        <v>524.79999999999995</v>
      </c>
      <c r="D2258" s="116">
        <v>508.75</v>
      </c>
      <c r="E2258" s="116">
        <v>511.65</v>
      </c>
      <c r="F2258" s="116">
        <v>524.79999999999995</v>
      </c>
      <c r="G2258">
        <v>172906</v>
      </c>
      <c r="H2258" s="116"/>
      <c r="I2258" s="116"/>
      <c r="L2258" s="170">
        <v>45329</v>
      </c>
      <c r="M2258" s="116">
        <v>524.75</v>
      </c>
      <c r="N2258" s="116">
        <v>527.65</v>
      </c>
      <c r="O2258" s="116">
        <v>508.4</v>
      </c>
      <c r="P2258" s="116">
        <v>508.4</v>
      </c>
      <c r="Q2258" s="116">
        <v>524.75</v>
      </c>
      <c r="R2258">
        <v>6135635</v>
      </c>
    </row>
    <row r="2259" spans="1:18" x14ac:dyDescent="0.25">
      <c r="A2259" s="170">
        <v>45330</v>
      </c>
      <c r="B2259" s="116">
        <v>530.4</v>
      </c>
      <c r="C2259" s="116">
        <v>525.15</v>
      </c>
      <c r="D2259" s="116">
        <v>523</v>
      </c>
      <c r="E2259" s="116">
        <v>529.45000000000005</v>
      </c>
      <c r="F2259" s="116">
        <v>525.15</v>
      </c>
      <c r="G2259">
        <v>158905</v>
      </c>
      <c r="H2259" s="116"/>
      <c r="I2259" s="116"/>
      <c r="L2259" s="170">
        <v>45330</v>
      </c>
      <c r="M2259" s="116">
        <v>525.1</v>
      </c>
      <c r="N2259" s="116">
        <v>530.5</v>
      </c>
      <c r="O2259" s="116">
        <v>523</v>
      </c>
      <c r="P2259" s="116">
        <v>527.45000000000005</v>
      </c>
      <c r="Q2259" s="116">
        <v>525.1</v>
      </c>
      <c r="R2259">
        <v>2720940</v>
      </c>
    </row>
    <row r="2260" spans="1:18" x14ac:dyDescent="0.25">
      <c r="A2260" s="170">
        <v>45331</v>
      </c>
      <c r="B2260" s="116">
        <v>537.04999999999995</v>
      </c>
      <c r="C2260" s="116">
        <v>532.95000000000005</v>
      </c>
      <c r="D2260" s="116">
        <v>523.65</v>
      </c>
      <c r="E2260" s="116">
        <v>528.85</v>
      </c>
      <c r="F2260" s="116">
        <v>532.95000000000005</v>
      </c>
      <c r="G2260">
        <v>443262</v>
      </c>
      <c r="H2260" s="116"/>
      <c r="I2260" s="116"/>
      <c r="L2260" s="170">
        <v>45331</v>
      </c>
      <c r="M2260" s="116">
        <v>532.95000000000005</v>
      </c>
      <c r="N2260" s="116">
        <v>537</v>
      </c>
      <c r="O2260" s="116">
        <v>523.45000000000005</v>
      </c>
      <c r="P2260" s="116">
        <v>525.6</v>
      </c>
      <c r="Q2260" s="116">
        <v>532.95000000000005</v>
      </c>
      <c r="R2260">
        <v>5010458</v>
      </c>
    </row>
    <row r="2261" spans="1:18" x14ac:dyDescent="0.25">
      <c r="A2261" s="170">
        <v>45334</v>
      </c>
      <c r="B2261" s="116">
        <v>538.5</v>
      </c>
      <c r="C2261" s="116">
        <v>529.54999999999995</v>
      </c>
      <c r="D2261" s="116">
        <v>526.5</v>
      </c>
      <c r="E2261" s="116">
        <v>535.20000000000005</v>
      </c>
      <c r="F2261" s="116">
        <v>529.54999999999995</v>
      </c>
      <c r="G2261">
        <v>257248</v>
      </c>
      <c r="H2261" s="116"/>
      <c r="I2261" s="116"/>
      <c r="L2261" s="170">
        <v>45334</v>
      </c>
      <c r="M2261" s="116">
        <v>530.4</v>
      </c>
      <c r="N2261" s="116">
        <v>538.54999999999995</v>
      </c>
      <c r="O2261" s="116">
        <v>526.35</v>
      </c>
      <c r="P2261" s="116">
        <v>535.54999999999995</v>
      </c>
      <c r="Q2261" s="116">
        <v>530.4</v>
      </c>
      <c r="R2261">
        <v>6533765</v>
      </c>
    </row>
    <row r="2262" spans="1:18" x14ac:dyDescent="0.25">
      <c r="A2262" s="170">
        <v>45335</v>
      </c>
      <c r="B2262" s="116">
        <v>532.1</v>
      </c>
      <c r="C2262" s="116">
        <v>523.20000000000005</v>
      </c>
      <c r="D2262" s="116">
        <v>515.65</v>
      </c>
      <c r="E2262" s="116">
        <v>529.70000000000005</v>
      </c>
      <c r="F2262" s="116">
        <v>523.20000000000005</v>
      </c>
      <c r="G2262">
        <v>85743</v>
      </c>
      <c r="H2262" s="116"/>
      <c r="I2262" s="116"/>
      <c r="L2262" s="170">
        <v>45335</v>
      </c>
      <c r="M2262" s="116">
        <v>523.6</v>
      </c>
      <c r="N2262" s="116">
        <v>532.20000000000005</v>
      </c>
      <c r="O2262" s="116">
        <v>515.4</v>
      </c>
      <c r="P2262" s="116">
        <v>530.4</v>
      </c>
      <c r="Q2262" s="116">
        <v>523.6</v>
      </c>
      <c r="R2262">
        <v>1598809</v>
      </c>
    </row>
    <row r="2263" spans="1:18" x14ac:dyDescent="0.25">
      <c r="A2263" s="170">
        <v>45336</v>
      </c>
      <c r="B2263" s="116">
        <v>529</v>
      </c>
      <c r="C2263" s="116">
        <v>527.85</v>
      </c>
      <c r="D2263" s="116">
        <v>515.54999999999995</v>
      </c>
      <c r="E2263" s="116">
        <v>518.70000000000005</v>
      </c>
      <c r="F2263" s="116">
        <v>527.85</v>
      </c>
      <c r="G2263">
        <v>73469</v>
      </c>
      <c r="H2263" s="116"/>
      <c r="I2263" s="116"/>
      <c r="L2263" s="170">
        <v>45336</v>
      </c>
      <c r="M2263" s="116">
        <v>527.70000000000005</v>
      </c>
      <c r="N2263" s="116">
        <v>529.4</v>
      </c>
      <c r="O2263" s="116">
        <v>515</v>
      </c>
      <c r="P2263" s="116">
        <v>518</v>
      </c>
      <c r="Q2263" s="116">
        <v>527.70000000000005</v>
      </c>
      <c r="R2263">
        <v>2394798</v>
      </c>
    </row>
    <row r="2264" spans="1:18" x14ac:dyDescent="0.25">
      <c r="A2264" s="170">
        <v>45337</v>
      </c>
      <c r="B2264" s="116">
        <v>531.45000000000005</v>
      </c>
      <c r="C2264" s="116">
        <v>527.5</v>
      </c>
      <c r="D2264" s="116">
        <v>525.29999999999995</v>
      </c>
      <c r="E2264" s="116">
        <v>529</v>
      </c>
      <c r="F2264" s="116">
        <v>527.5</v>
      </c>
      <c r="G2264">
        <v>95553</v>
      </c>
      <c r="H2264" s="116"/>
      <c r="I2264" s="116"/>
      <c r="L2264" s="170">
        <v>45337</v>
      </c>
      <c r="M2264" s="116">
        <v>527.6</v>
      </c>
      <c r="N2264" s="116">
        <v>531.5</v>
      </c>
      <c r="O2264" s="116">
        <v>524.95000000000005</v>
      </c>
      <c r="P2264" s="116">
        <v>528.85</v>
      </c>
      <c r="Q2264" s="116">
        <v>527.6</v>
      </c>
      <c r="R2264">
        <v>1539340</v>
      </c>
    </row>
    <row r="2265" spans="1:18" x14ac:dyDescent="0.25">
      <c r="A2265" s="170">
        <v>45338</v>
      </c>
      <c r="B2265" s="116">
        <v>540.75</v>
      </c>
      <c r="C2265" s="116">
        <v>537.4</v>
      </c>
      <c r="D2265" s="116">
        <v>526</v>
      </c>
      <c r="E2265" s="116">
        <v>529</v>
      </c>
      <c r="F2265" s="116">
        <v>537.4</v>
      </c>
      <c r="G2265">
        <v>75891</v>
      </c>
      <c r="H2265" s="116"/>
      <c r="I2265" s="116"/>
      <c r="L2265" s="170">
        <v>45338</v>
      </c>
      <c r="M2265" s="116">
        <v>537.54999999999995</v>
      </c>
      <c r="N2265" s="116">
        <v>540.9</v>
      </c>
      <c r="O2265" s="116">
        <v>525.70000000000005</v>
      </c>
      <c r="P2265" s="116">
        <v>529.75</v>
      </c>
      <c r="Q2265" s="116">
        <v>537.54999999999995</v>
      </c>
      <c r="R2265">
        <v>2301137</v>
      </c>
    </row>
    <row r="2266" spans="1:18" x14ac:dyDescent="0.25">
      <c r="A2266" s="170">
        <v>45341</v>
      </c>
      <c r="B2266" s="116">
        <v>544.4</v>
      </c>
      <c r="C2266" s="116">
        <v>542.6</v>
      </c>
      <c r="D2266" s="116">
        <v>535.25</v>
      </c>
      <c r="E2266" s="116">
        <v>539.85</v>
      </c>
      <c r="F2266" s="116">
        <v>542.6</v>
      </c>
      <c r="G2266">
        <v>84328</v>
      </c>
      <c r="H2266" s="116"/>
      <c r="I2266" s="116"/>
      <c r="L2266" s="170">
        <v>45341</v>
      </c>
      <c r="M2266" s="116">
        <v>542.45000000000005</v>
      </c>
      <c r="N2266" s="116">
        <v>544.6</v>
      </c>
      <c r="O2266" s="116">
        <v>535.1</v>
      </c>
      <c r="P2266" s="116">
        <v>538.5</v>
      </c>
      <c r="Q2266" s="116">
        <v>542.45000000000005</v>
      </c>
      <c r="R2266">
        <v>2610308</v>
      </c>
    </row>
    <row r="2267" spans="1:18" x14ac:dyDescent="0.25">
      <c r="A2267" s="170">
        <v>45342</v>
      </c>
      <c r="B2267" s="116">
        <v>551.25</v>
      </c>
      <c r="C2267" s="116">
        <v>548.4</v>
      </c>
      <c r="D2267" s="116">
        <v>543.35</v>
      </c>
      <c r="E2267" s="116">
        <v>544.79999999999995</v>
      </c>
      <c r="F2267" s="116">
        <v>548.4</v>
      </c>
      <c r="G2267">
        <v>139462</v>
      </c>
      <c r="H2267" s="116"/>
      <c r="I2267" s="116"/>
      <c r="L2267" s="170">
        <v>45342</v>
      </c>
      <c r="M2267" s="116">
        <v>548.65</v>
      </c>
      <c r="N2267" s="116">
        <v>551.20000000000005</v>
      </c>
      <c r="O2267" s="116">
        <v>542.79999999999995</v>
      </c>
      <c r="P2267" s="116">
        <v>543</v>
      </c>
      <c r="Q2267" s="116">
        <v>548.65</v>
      </c>
      <c r="R2267">
        <v>2492365</v>
      </c>
    </row>
    <row r="2268" spans="1:18" x14ac:dyDescent="0.25">
      <c r="A2268" s="170">
        <v>45343</v>
      </c>
      <c r="B2268" s="116">
        <v>564.5</v>
      </c>
      <c r="C2268" s="116">
        <v>556.79999999999995</v>
      </c>
      <c r="D2268" s="116">
        <v>546.65</v>
      </c>
      <c r="E2268" s="116">
        <v>551.75</v>
      </c>
      <c r="F2268" s="116">
        <v>556.79999999999995</v>
      </c>
      <c r="G2268">
        <v>115001</v>
      </c>
      <c r="H2268" s="116"/>
      <c r="I2268" s="116"/>
      <c r="L2268" s="170">
        <v>45343</v>
      </c>
      <c r="M2268" s="116">
        <v>557</v>
      </c>
      <c r="N2268" s="116">
        <v>564.65</v>
      </c>
      <c r="O2268" s="116">
        <v>546.15</v>
      </c>
      <c r="P2268" s="116">
        <v>548.75</v>
      </c>
      <c r="Q2268" s="116">
        <v>557</v>
      </c>
      <c r="R2268">
        <v>3129382</v>
      </c>
    </row>
    <row r="2269" spans="1:18" x14ac:dyDescent="0.25">
      <c r="A2269" s="170">
        <v>45344</v>
      </c>
      <c r="B2269" s="116">
        <v>583</v>
      </c>
      <c r="C2269" s="116">
        <v>578.85</v>
      </c>
      <c r="D2269" s="116">
        <v>552.75</v>
      </c>
      <c r="E2269" s="116">
        <v>560.79999999999995</v>
      </c>
      <c r="F2269" s="116">
        <v>578.85</v>
      </c>
      <c r="G2269">
        <v>219669</v>
      </c>
      <c r="H2269" s="116"/>
      <c r="I2269" s="116"/>
      <c r="L2269" s="170">
        <v>45344</v>
      </c>
      <c r="M2269" s="116">
        <v>578.85</v>
      </c>
      <c r="N2269" s="116">
        <v>583.20000000000005</v>
      </c>
      <c r="O2269" s="116">
        <v>552.9</v>
      </c>
      <c r="P2269" s="116">
        <v>559.95000000000005</v>
      </c>
      <c r="Q2269" s="116">
        <v>578.85</v>
      </c>
      <c r="R2269">
        <v>7699038</v>
      </c>
    </row>
    <row r="2270" spans="1:18" x14ac:dyDescent="0.25">
      <c r="A2270" s="170">
        <v>45345</v>
      </c>
      <c r="B2270" s="116">
        <v>602.75</v>
      </c>
      <c r="C2270" s="116">
        <v>594.1</v>
      </c>
      <c r="D2270" s="116">
        <v>579.20000000000005</v>
      </c>
      <c r="E2270" s="116">
        <v>580</v>
      </c>
      <c r="F2270" s="116">
        <v>594.1</v>
      </c>
      <c r="G2270">
        <v>374615</v>
      </c>
      <c r="H2270" s="116"/>
      <c r="I2270" s="116"/>
      <c r="L2270" s="170">
        <v>45345</v>
      </c>
      <c r="M2270" s="116">
        <v>594.5</v>
      </c>
      <c r="N2270" s="116">
        <v>602.75</v>
      </c>
      <c r="O2270" s="116">
        <v>579</v>
      </c>
      <c r="P2270" s="116">
        <v>580</v>
      </c>
      <c r="Q2270" s="116">
        <v>594.5</v>
      </c>
      <c r="R2270">
        <v>6840055</v>
      </c>
    </row>
    <row r="2271" spans="1:18" x14ac:dyDescent="0.25">
      <c r="A2271" s="170">
        <v>45348</v>
      </c>
      <c r="B2271" s="116">
        <v>599.4</v>
      </c>
      <c r="C2271" s="116">
        <v>579.70000000000005</v>
      </c>
      <c r="D2271" s="116">
        <v>567</v>
      </c>
      <c r="E2271" s="116">
        <v>597.95000000000005</v>
      </c>
      <c r="F2271" s="116">
        <v>579.70000000000005</v>
      </c>
      <c r="G2271">
        <v>298400</v>
      </c>
      <c r="H2271" s="116"/>
      <c r="I2271" s="116"/>
      <c r="L2271" s="170">
        <v>45348</v>
      </c>
      <c r="M2271" s="116">
        <v>579.70000000000005</v>
      </c>
      <c r="N2271" s="116">
        <v>599.5</v>
      </c>
      <c r="O2271" s="116">
        <v>567</v>
      </c>
      <c r="P2271" s="116">
        <v>594.5</v>
      </c>
      <c r="Q2271" s="116">
        <v>579.70000000000005</v>
      </c>
      <c r="R2271">
        <v>12304371</v>
      </c>
    </row>
    <row r="2272" spans="1:18" x14ac:dyDescent="0.25">
      <c r="A2272" s="170">
        <v>45349</v>
      </c>
      <c r="B2272" s="116">
        <v>594.04999999999995</v>
      </c>
      <c r="C2272" s="116">
        <v>589.75</v>
      </c>
      <c r="D2272" s="116">
        <v>575.29999999999995</v>
      </c>
      <c r="E2272" s="116">
        <v>575.5</v>
      </c>
      <c r="F2272" s="116">
        <v>589.75</v>
      </c>
      <c r="G2272">
        <v>161784</v>
      </c>
      <c r="H2272" s="116"/>
      <c r="I2272" s="116"/>
      <c r="L2272" s="170">
        <v>45349</v>
      </c>
      <c r="M2272" s="116">
        <v>589.25</v>
      </c>
      <c r="N2272" s="116">
        <v>594.25</v>
      </c>
      <c r="O2272" s="116">
        <v>575.25</v>
      </c>
      <c r="P2272" s="116">
        <v>579</v>
      </c>
      <c r="Q2272" s="116">
        <v>589.25</v>
      </c>
      <c r="R2272">
        <v>2853137</v>
      </c>
    </row>
    <row r="2273" spans="1:18" x14ac:dyDescent="0.25">
      <c r="A2273" s="170">
        <v>45350</v>
      </c>
      <c r="B2273" s="116">
        <v>590.95000000000005</v>
      </c>
      <c r="C2273" s="116">
        <v>570.45000000000005</v>
      </c>
      <c r="D2273" s="116">
        <v>566.35</v>
      </c>
      <c r="E2273" s="116">
        <v>590.95000000000005</v>
      </c>
      <c r="F2273" s="116">
        <v>570.45000000000005</v>
      </c>
      <c r="G2273">
        <v>170258</v>
      </c>
      <c r="H2273" s="116"/>
      <c r="I2273" s="116"/>
      <c r="L2273" s="170">
        <v>45350</v>
      </c>
      <c r="M2273" s="116">
        <v>570.9</v>
      </c>
      <c r="N2273" s="116">
        <v>590</v>
      </c>
      <c r="O2273" s="116">
        <v>566.29999999999995</v>
      </c>
      <c r="P2273" s="116">
        <v>588.04999999999995</v>
      </c>
      <c r="Q2273" s="116">
        <v>570.9</v>
      </c>
      <c r="R2273">
        <v>3555297</v>
      </c>
    </row>
    <row r="2274" spans="1:18" x14ac:dyDescent="0.25">
      <c r="A2274" s="170">
        <v>45351</v>
      </c>
      <c r="B2274" s="116">
        <v>589.35</v>
      </c>
      <c r="C2274" s="116">
        <v>587.25</v>
      </c>
      <c r="D2274" s="116">
        <v>564.29999999999995</v>
      </c>
      <c r="E2274" s="116">
        <v>571.95000000000005</v>
      </c>
      <c r="F2274" s="116">
        <v>587.25</v>
      </c>
      <c r="G2274">
        <v>87712</v>
      </c>
      <c r="H2274" s="116"/>
      <c r="I2274" s="116"/>
      <c r="L2274" s="170">
        <v>45351</v>
      </c>
      <c r="M2274" s="116">
        <v>586.70000000000005</v>
      </c>
      <c r="N2274" s="116">
        <v>589.75</v>
      </c>
      <c r="O2274" s="116">
        <v>564.5</v>
      </c>
      <c r="P2274" s="116">
        <v>570.9</v>
      </c>
      <c r="Q2274" s="116">
        <v>586.70000000000005</v>
      </c>
      <c r="R2274">
        <v>6652490</v>
      </c>
    </row>
    <row r="2275" spans="1:18" x14ac:dyDescent="0.25">
      <c r="A2275" s="170">
        <v>45352</v>
      </c>
      <c r="B2275" s="116">
        <v>594.95000000000005</v>
      </c>
      <c r="C2275" s="116">
        <v>589.4</v>
      </c>
      <c r="D2275" s="116">
        <v>585.15</v>
      </c>
      <c r="E2275" s="116">
        <v>590</v>
      </c>
      <c r="F2275" s="116">
        <v>589.4</v>
      </c>
      <c r="G2275">
        <v>3755677</v>
      </c>
      <c r="H2275" s="116"/>
      <c r="I2275" s="116"/>
      <c r="L2275" s="170">
        <v>45352</v>
      </c>
      <c r="M2275" s="116">
        <v>589.25</v>
      </c>
      <c r="N2275" s="116">
        <v>594.9</v>
      </c>
      <c r="O2275" s="116">
        <v>585.1</v>
      </c>
      <c r="P2275" s="116">
        <v>589.9</v>
      </c>
      <c r="Q2275" s="116">
        <v>589.25</v>
      </c>
      <c r="R2275">
        <v>4153999</v>
      </c>
    </row>
    <row r="2276" spans="1:18" x14ac:dyDescent="0.25">
      <c r="A2276" s="170">
        <v>45353</v>
      </c>
      <c r="B2276" s="116">
        <v>594.75</v>
      </c>
      <c r="C2276" s="116">
        <v>587.35</v>
      </c>
      <c r="D2276" s="116">
        <v>582.65</v>
      </c>
      <c r="E2276" s="116">
        <v>594.6</v>
      </c>
      <c r="F2276" s="116">
        <v>587.35</v>
      </c>
      <c r="G2276">
        <v>28343</v>
      </c>
      <c r="H2276" s="116"/>
      <c r="I2276" s="116"/>
      <c r="L2276" s="170">
        <v>45353</v>
      </c>
      <c r="M2276" s="116">
        <v>589.5</v>
      </c>
      <c r="N2276" s="116">
        <v>597</v>
      </c>
      <c r="O2276" s="116">
        <v>585.85</v>
      </c>
      <c r="P2276" s="116">
        <v>592</v>
      </c>
      <c r="Q2276" s="116">
        <v>589.5</v>
      </c>
      <c r="R2276">
        <v>335997</v>
      </c>
    </row>
    <row r="2277" spans="1:18" x14ac:dyDescent="0.25">
      <c r="A2277" s="170">
        <v>45355</v>
      </c>
      <c r="B2277" s="116">
        <v>593.20000000000005</v>
      </c>
      <c r="C2277" s="116">
        <v>588.85</v>
      </c>
      <c r="D2277" s="116">
        <v>584</v>
      </c>
      <c r="E2277" s="116">
        <v>593.20000000000005</v>
      </c>
      <c r="F2277" s="116">
        <v>588.85</v>
      </c>
      <c r="G2277">
        <v>57318</v>
      </c>
      <c r="H2277" s="116"/>
      <c r="I2277" s="116"/>
      <c r="L2277" s="170">
        <v>45355</v>
      </c>
      <c r="M2277" s="116">
        <v>588.35</v>
      </c>
      <c r="N2277" s="116">
        <v>592.04999999999995</v>
      </c>
      <c r="O2277" s="116">
        <v>583.6</v>
      </c>
      <c r="P2277" s="116">
        <v>589</v>
      </c>
      <c r="Q2277" s="116">
        <v>588.35</v>
      </c>
      <c r="R2277">
        <v>4294901</v>
      </c>
    </row>
    <row r="2278" spans="1:18" x14ac:dyDescent="0.25">
      <c r="A2278" s="170">
        <v>45356</v>
      </c>
      <c r="B2278" s="116">
        <v>594.4</v>
      </c>
      <c r="C2278" s="116">
        <v>584.75</v>
      </c>
      <c r="D2278" s="116">
        <v>583.15</v>
      </c>
      <c r="E2278" s="116">
        <v>589</v>
      </c>
      <c r="F2278" s="116">
        <v>584.75</v>
      </c>
      <c r="G2278">
        <v>83154</v>
      </c>
      <c r="H2278" s="116"/>
      <c r="I2278" s="116"/>
      <c r="L2278" s="170">
        <v>45356</v>
      </c>
      <c r="M2278" s="116">
        <v>584.85</v>
      </c>
      <c r="N2278" s="116">
        <v>594.79999999999995</v>
      </c>
      <c r="O2278" s="116">
        <v>583.54999999999995</v>
      </c>
      <c r="P2278" s="116">
        <v>589</v>
      </c>
      <c r="Q2278" s="116">
        <v>584.85</v>
      </c>
      <c r="R2278">
        <v>2307428</v>
      </c>
    </row>
    <row r="2279" spans="1:18" x14ac:dyDescent="0.25">
      <c r="A2279" s="170">
        <v>45357</v>
      </c>
      <c r="B2279" s="116">
        <v>587.70000000000005</v>
      </c>
      <c r="C2279" s="116">
        <v>574.6</v>
      </c>
      <c r="D2279" s="116">
        <v>565.5</v>
      </c>
      <c r="E2279" s="116">
        <v>587.70000000000005</v>
      </c>
      <c r="F2279" s="116">
        <v>574.6</v>
      </c>
      <c r="G2279">
        <v>64183</v>
      </c>
      <c r="H2279" s="116"/>
      <c r="I2279" s="116"/>
      <c r="L2279" s="170">
        <v>45357</v>
      </c>
      <c r="M2279" s="116">
        <v>574.1</v>
      </c>
      <c r="N2279" s="116">
        <v>587.20000000000005</v>
      </c>
      <c r="O2279" s="116">
        <v>565.1</v>
      </c>
      <c r="P2279" s="116">
        <v>586.9</v>
      </c>
      <c r="Q2279" s="116">
        <v>574.1</v>
      </c>
      <c r="R2279">
        <v>4919809</v>
      </c>
    </row>
    <row r="2280" spans="1:18" x14ac:dyDescent="0.25">
      <c r="A2280" s="170">
        <v>45358</v>
      </c>
      <c r="B2280" s="116">
        <v>589.54999999999995</v>
      </c>
      <c r="C2280" s="116">
        <v>587.6</v>
      </c>
      <c r="D2280" s="116">
        <v>575.20000000000005</v>
      </c>
      <c r="E2280" s="116">
        <v>577.85</v>
      </c>
      <c r="F2280" s="116">
        <v>587.6</v>
      </c>
      <c r="G2280">
        <v>125898</v>
      </c>
      <c r="H2280" s="116"/>
      <c r="I2280" s="116"/>
      <c r="L2280" s="170">
        <v>45358</v>
      </c>
      <c r="M2280" s="116">
        <v>587.70000000000005</v>
      </c>
      <c r="N2280" s="116">
        <v>589.70000000000005</v>
      </c>
      <c r="O2280" s="116">
        <v>575</v>
      </c>
      <c r="P2280" s="116">
        <v>577</v>
      </c>
      <c r="Q2280" s="116">
        <v>587.70000000000005</v>
      </c>
      <c r="R2280">
        <v>2853111</v>
      </c>
    </row>
    <row r="2281" spans="1:18" x14ac:dyDescent="0.25">
      <c r="A2281" s="170">
        <v>45362</v>
      </c>
      <c r="B2281" s="116">
        <v>587.95000000000005</v>
      </c>
      <c r="C2281" s="116">
        <v>572.5</v>
      </c>
      <c r="D2281" s="116">
        <v>569.5</v>
      </c>
      <c r="E2281" s="116">
        <v>580.79999999999995</v>
      </c>
      <c r="F2281" s="116">
        <v>572.5</v>
      </c>
      <c r="G2281">
        <v>103320</v>
      </c>
      <c r="H2281" s="116"/>
      <c r="I2281" s="116"/>
      <c r="L2281" s="170">
        <v>45362</v>
      </c>
      <c r="M2281" s="116">
        <v>572.9</v>
      </c>
      <c r="N2281" s="116">
        <v>588.15</v>
      </c>
      <c r="O2281" s="116">
        <v>569.5</v>
      </c>
      <c r="P2281" s="116">
        <v>582</v>
      </c>
      <c r="Q2281" s="116">
        <v>572.9</v>
      </c>
      <c r="R2281">
        <v>6383737</v>
      </c>
    </row>
    <row r="2282" spans="1:18" x14ac:dyDescent="0.25">
      <c r="A2282" s="170">
        <v>45363</v>
      </c>
      <c r="B2282" s="116">
        <v>576.20000000000005</v>
      </c>
      <c r="C2282" s="116">
        <v>568.65</v>
      </c>
      <c r="D2282" s="116">
        <v>563.25</v>
      </c>
      <c r="E2282" s="116">
        <v>571.79999999999995</v>
      </c>
      <c r="F2282" s="116">
        <v>568.65</v>
      </c>
      <c r="G2282">
        <v>76092</v>
      </c>
      <c r="H2282" s="116"/>
      <c r="I2282" s="116"/>
      <c r="L2282" s="170">
        <v>45363</v>
      </c>
      <c r="M2282" s="116">
        <v>568.25</v>
      </c>
      <c r="N2282" s="116">
        <v>576.35</v>
      </c>
      <c r="O2282" s="116">
        <v>563.20000000000005</v>
      </c>
      <c r="P2282" s="116">
        <v>570.1</v>
      </c>
      <c r="Q2282" s="116">
        <v>568.25</v>
      </c>
      <c r="R2282">
        <v>2126951</v>
      </c>
    </row>
    <row r="2283" spans="1:18" x14ac:dyDescent="0.25">
      <c r="A2283" s="170">
        <v>45364</v>
      </c>
      <c r="B2283" s="116">
        <v>576.75</v>
      </c>
      <c r="C2283" s="116">
        <v>545</v>
      </c>
      <c r="D2283" s="116">
        <v>540.15</v>
      </c>
      <c r="E2283" s="116">
        <v>572.9</v>
      </c>
      <c r="F2283" s="116">
        <v>545</v>
      </c>
      <c r="G2283">
        <v>296964</v>
      </c>
      <c r="H2283" s="116"/>
      <c r="I2283" s="116"/>
      <c r="L2283" s="170">
        <v>45364</v>
      </c>
      <c r="M2283" s="116">
        <v>544.70000000000005</v>
      </c>
      <c r="N2283" s="116">
        <v>577.25</v>
      </c>
      <c r="O2283" s="116">
        <v>540.25</v>
      </c>
      <c r="P2283" s="116">
        <v>573.95000000000005</v>
      </c>
      <c r="Q2283" s="116">
        <v>544.70000000000005</v>
      </c>
      <c r="R2283">
        <v>4503786</v>
      </c>
    </row>
    <row r="2284" spans="1:18" x14ac:dyDescent="0.25">
      <c r="A2284" s="170">
        <v>45365</v>
      </c>
      <c r="B2284" s="116">
        <v>567.70000000000005</v>
      </c>
      <c r="C2284" s="116">
        <v>565.1</v>
      </c>
      <c r="D2284" s="116">
        <v>534.15</v>
      </c>
      <c r="E2284" s="116">
        <v>541.15</v>
      </c>
      <c r="F2284" s="116">
        <v>565.1</v>
      </c>
      <c r="G2284">
        <v>95076</v>
      </c>
      <c r="H2284" s="116"/>
      <c r="I2284" s="116"/>
      <c r="L2284" s="170">
        <v>45365</v>
      </c>
      <c r="M2284" s="116">
        <v>565.35</v>
      </c>
      <c r="N2284" s="116">
        <v>567.95000000000005</v>
      </c>
      <c r="O2284" s="116">
        <v>531.04999999999995</v>
      </c>
      <c r="P2284" s="116">
        <v>543</v>
      </c>
      <c r="Q2284" s="116">
        <v>565.35</v>
      </c>
      <c r="R2284">
        <v>2123175</v>
      </c>
    </row>
    <row r="2285" spans="1:18" x14ac:dyDescent="0.25">
      <c r="A2285" s="170">
        <v>45366</v>
      </c>
      <c r="B2285" s="116">
        <v>565.65</v>
      </c>
      <c r="C2285" s="116">
        <v>562.6</v>
      </c>
      <c r="D2285" s="116">
        <v>550</v>
      </c>
      <c r="E2285" s="116">
        <v>565</v>
      </c>
      <c r="F2285" s="116">
        <v>562.6</v>
      </c>
      <c r="G2285">
        <v>64971</v>
      </c>
      <c r="H2285" s="116"/>
      <c r="I2285" s="116"/>
      <c r="L2285" s="170">
        <v>45366</v>
      </c>
      <c r="M2285" s="116">
        <v>562.29999999999995</v>
      </c>
      <c r="N2285" s="116">
        <v>565.9</v>
      </c>
      <c r="O2285" s="116">
        <v>549.95000000000005</v>
      </c>
      <c r="P2285" s="116">
        <v>565</v>
      </c>
      <c r="Q2285" s="116">
        <v>562.29999999999995</v>
      </c>
      <c r="R2285">
        <v>3026811</v>
      </c>
    </row>
    <row r="2286" spans="1:18" x14ac:dyDescent="0.25">
      <c r="A2286" s="170">
        <v>45369</v>
      </c>
      <c r="B2286" s="116">
        <v>562.29999999999995</v>
      </c>
      <c r="C2286" s="116">
        <v>553.1</v>
      </c>
      <c r="D2286" s="116">
        <v>545.65</v>
      </c>
      <c r="E2286" s="116">
        <v>561.35</v>
      </c>
      <c r="F2286" s="116">
        <v>553.1</v>
      </c>
      <c r="G2286">
        <v>134207</v>
      </c>
      <c r="H2286" s="116"/>
      <c r="I2286" s="116"/>
      <c r="L2286" s="170">
        <v>45369</v>
      </c>
      <c r="M2286" s="116">
        <v>552.9</v>
      </c>
      <c r="N2286" s="116">
        <v>562.5</v>
      </c>
      <c r="O2286" s="116">
        <v>545.45000000000005</v>
      </c>
      <c r="P2286" s="116">
        <v>562.5</v>
      </c>
      <c r="Q2286" s="116">
        <v>552.9</v>
      </c>
      <c r="R2286">
        <v>3707336</v>
      </c>
    </row>
    <row r="2287" spans="1:18" x14ac:dyDescent="0.25">
      <c r="A2287" s="170">
        <v>45370</v>
      </c>
      <c r="B2287" s="116">
        <v>557.4</v>
      </c>
      <c r="C2287" s="116">
        <v>548.95000000000005</v>
      </c>
      <c r="D2287" s="116">
        <v>545.1</v>
      </c>
      <c r="E2287" s="116">
        <v>552.9</v>
      </c>
      <c r="F2287" s="116">
        <v>548.95000000000005</v>
      </c>
      <c r="G2287">
        <v>70702</v>
      </c>
      <c r="H2287" s="116"/>
      <c r="I2287" s="116"/>
      <c r="L2287" s="170">
        <v>45370</v>
      </c>
      <c r="M2287" s="116">
        <v>549.1</v>
      </c>
      <c r="N2287" s="116">
        <v>557.29999999999995</v>
      </c>
      <c r="O2287" s="116">
        <v>545</v>
      </c>
      <c r="P2287" s="116">
        <v>552.95000000000005</v>
      </c>
      <c r="Q2287" s="116">
        <v>549.1</v>
      </c>
      <c r="R2287">
        <v>1992559</v>
      </c>
    </row>
    <row r="2288" spans="1:18" x14ac:dyDescent="0.25">
      <c r="A2288" s="170">
        <v>45371</v>
      </c>
      <c r="B2288" s="116">
        <v>555.1</v>
      </c>
      <c r="C2288" s="116">
        <v>547.79999999999995</v>
      </c>
      <c r="D2288" s="116">
        <v>541</v>
      </c>
      <c r="E2288" s="116">
        <v>549.1</v>
      </c>
      <c r="F2288" s="116">
        <v>547.79999999999995</v>
      </c>
      <c r="G2288">
        <v>39464</v>
      </c>
      <c r="H2288" s="116"/>
      <c r="I2288" s="116"/>
      <c r="L2288" s="170">
        <v>45371</v>
      </c>
      <c r="M2288" s="116">
        <v>547.9</v>
      </c>
      <c r="N2288" s="116">
        <v>556</v>
      </c>
      <c r="O2288" s="116">
        <v>541.04999999999995</v>
      </c>
      <c r="P2288" s="116">
        <v>550</v>
      </c>
      <c r="Q2288" s="116">
        <v>547.9</v>
      </c>
      <c r="R2288">
        <v>1320067</v>
      </c>
    </row>
    <row r="2289" spans="1:18" x14ac:dyDescent="0.25">
      <c r="A2289" s="170">
        <v>45372</v>
      </c>
      <c r="B2289" s="116">
        <v>564.9</v>
      </c>
      <c r="C2289" s="116">
        <v>563.65</v>
      </c>
      <c r="D2289" s="116">
        <v>549.4</v>
      </c>
      <c r="E2289" s="116">
        <v>553.9</v>
      </c>
      <c r="F2289" s="116">
        <v>563.65</v>
      </c>
      <c r="G2289">
        <v>41890</v>
      </c>
      <c r="H2289" s="116"/>
      <c r="I2289" s="116"/>
      <c r="L2289" s="170">
        <v>45372</v>
      </c>
      <c r="M2289" s="116">
        <v>563.4</v>
      </c>
      <c r="N2289" s="116">
        <v>564.95000000000005</v>
      </c>
      <c r="O2289" s="116">
        <v>548.9</v>
      </c>
      <c r="P2289" s="116">
        <v>550</v>
      </c>
      <c r="Q2289" s="116">
        <v>563.4</v>
      </c>
      <c r="R2289">
        <v>1660541</v>
      </c>
    </row>
    <row r="2290" spans="1:18" x14ac:dyDescent="0.25">
      <c r="A2290" s="170">
        <v>45373</v>
      </c>
      <c r="B2290" s="116">
        <v>564.70000000000005</v>
      </c>
      <c r="C2290" s="116">
        <v>557.15</v>
      </c>
      <c r="D2290" s="116">
        <v>555</v>
      </c>
      <c r="E2290" s="116">
        <v>563.20000000000005</v>
      </c>
      <c r="F2290" s="116">
        <v>557.15</v>
      </c>
      <c r="G2290">
        <v>97657</v>
      </c>
      <c r="H2290" s="116"/>
      <c r="I2290" s="116"/>
      <c r="L2290" s="170">
        <v>45373</v>
      </c>
      <c r="M2290" s="116">
        <v>557.04999999999995</v>
      </c>
      <c r="N2290" s="116">
        <v>564.70000000000005</v>
      </c>
      <c r="O2290" s="116">
        <v>554.5</v>
      </c>
      <c r="P2290" s="116">
        <v>562.9</v>
      </c>
      <c r="Q2290" s="116">
        <v>557.04999999999995</v>
      </c>
      <c r="R2290">
        <v>2340891</v>
      </c>
    </row>
    <row r="2291" spans="1:18" x14ac:dyDescent="0.25">
      <c r="A2291" s="170">
        <v>45377</v>
      </c>
      <c r="B2291" s="116">
        <v>570.75</v>
      </c>
      <c r="C2291" s="116">
        <v>568.54999999999995</v>
      </c>
      <c r="D2291" s="116">
        <v>548.1</v>
      </c>
      <c r="E2291" s="116">
        <v>548.1</v>
      </c>
      <c r="F2291" s="116">
        <v>568.54999999999995</v>
      </c>
      <c r="G2291">
        <v>121840</v>
      </c>
      <c r="H2291" s="116"/>
      <c r="I2291" s="116"/>
      <c r="L2291" s="170">
        <v>45377</v>
      </c>
      <c r="M2291" s="116">
        <v>568.95000000000005</v>
      </c>
      <c r="N2291" s="116">
        <v>570.95000000000005</v>
      </c>
      <c r="O2291" s="116">
        <v>549.04999999999995</v>
      </c>
      <c r="P2291" s="116">
        <v>549.04999999999995</v>
      </c>
      <c r="Q2291" s="116">
        <v>568.95000000000005</v>
      </c>
      <c r="R2291">
        <v>1818254</v>
      </c>
    </row>
    <row r="2292" spans="1:18" x14ac:dyDescent="0.25">
      <c r="A2292" s="170">
        <v>45378</v>
      </c>
      <c r="B2292" s="116">
        <v>593.20000000000005</v>
      </c>
      <c r="C2292" s="116">
        <v>585.70000000000005</v>
      </c>
      <c r="D2292" s="116">
        <v>569.5</v>
      </c>
      <c r="E2292" s="116">
        <v>569.85</v>
      </c>
      <c r="F2292" s="116">
        <v>585.70000000000005</v>
      </c>
      <c r="G2292">
        <v>193458</v>
      </c>
      <c r="H2292" s="116"/>
      <c r="I2292" s="116"/>
      <c r="L2292" s="170">
        <v>45378</v>
      </c>
      <c r="M2292" s="116">
        <v>585.85</v>
      </c>
      <c r="N2292" s="116">
        <v>593</v>
      </c>
      <c r="O2292" s="116">
        <v>569.1</v>
      </c>
      <c r="P2292" s="116">
        <v>569.54999999999995</v>
      </c>
      <c r="Q2292" s="116">
        <v>585.85</v>
      </c>
      <c r="R2292">
        <v>6671977</v>
      </c>
    </row>
    <row r="2293" spans="1:18" x14ac:dyDescent="0.25">
      <c r="A2293" s="170">
        <v>45379</v>
      </c>
      <c r="B2293" s="116">
        <v>595.6</v>
      </c>
      <c r="C2293" s="116">
        <v>591.35</v>
      </c>
      <c r="D2293" s="116">
        <v>583</v>
      </c>
      <c r="E2293" s="116">
        <v>591.35</v>
      </c>
      <c r="F2293" s="116">
        <v>591.35</v>
      </c>
      <c r="G2293">
        <v>167607</v>
      </c>
      <c r="H2293" s="116"/>
      <c r="I2293" s="116"/>
      <c r="L2293" s="170">
        <v>45379</v>
      </c>
      <c r="M2293" s="116">
        <v>591.15</v>
      </c>
      <c r="N2293" s="116">
        <v>595.54999999999995</v>
      </c>
      <c r="O2293" s="116">
        <v>583.1</v>
      </c>
      <c r="P2293" s="116">
        <v>589.5</v>
      </c>
      <c r="Q2293" s="116">
        <v>591.15</v>
      </c>
      <c r="R2293">
        <v>4201009</v>
      </c>
    </row>
    <row r="2294" spans="1:18" x14ac:dyDescent="0.25">
      <c r="A2294" s="170">
        <v>45383</v>
      </c>
      <c r="B2294" s="116">
        <v>606</v>
      </c>
      <c r="C2294" s="116">
        <v>601.95000000000005</v>
      </c>
      <c r="D2294" s="116">
        <v>594.25</v>
      </c>
      <c r="E2294" s="116">
        <v>599.4</v>
      </c>
      <c r="F2294" s="116">
        <v>601.95000000000005</v>
      </c>
      <c r="G2294">
        <v>218701</v>
      </c>
      <c r="H2294" s="116"/>
      <c r="I2294" s="116"/>
      <c r="L2294" s="170">
        <v>45383</v>
      </c>
      <c r="M2294" s="116">
        <v>601.4</v>
      </c>
      <c r="N2294" s="116">
        <v>606.4</v>
      </c>
      <c r="O2294" s="116">
        <v>594.25</v>
      </c>
      <c r="P2294" s="116">
        <v>600</v>
      </c>
      <c r="Q2294" s="116">
        <v>601.4</v>
      </c>
      <c r="R2294">
        <v>4491705</v>
      </c>
    </row>
    <row r="2295" spans="1:18" x14ac:dyDescent="0.25">
      <c r="A2295" s="170">
        <v>45384</v>
      </c>
      <c r="B2295" s="116">
        <v>608</v>
      </c>
      <c r="C2295" s="116">
        <v>604.95000000000005</v>
      </c>
      <c r="D2295" s="116">
        <v>596.65</v>
      </c>
      <c r="E2295" s="116">
        <v>602</v>
      </c>
      <c r="F2295" s="116">
        <v>604.95000000000005</v>
      </c>
      <c r="G2295">
        <v>140146</v>
      </c>
      <c r="H2295" s="116"/>
      <c r="I2295" s="116"/>
      <c r="L2295" s="170">
        <v>45384</v>
      </c>
      <c r="M2295" s="116">
        <v>605.70000000000005</v>
      </c>
      <c r="N2295" s="116">
        <v>608.20000000000005</v>
      </c>
      <c r="O2295" s="116">
        <v>596.70000000000005</v>
      </c>
      <c r="P2295" s="116">
        <v>602.85</v>
      </c>
      <c r="Q2295" s="116">
        <v>605.70000000000005</v>
      </c>
      <c r="R2295">
        <v>2448259</v>
      </c>
    </row>
    <row r="2296" spans="1:18" x14ac:dyDescent="0.25">
      <c r="A2296" s="170">
        <v>45385</v>
      </c>
      <c r="B2296" s="116">
        <v>618.5</v>
      </c>
      <c r="C2296" s="116">
        <v>613.9</v>
      </c>
      <c r="D2296" s="116">
        <v>600.04999999999995</v>
      </c>
      <c r="E2296" s="116">
        <v>606.54999999999995</v>
      </c>
      <c r="F2296" s="116">
        <v>613.9</v>
      </c>
      <c r="G2296">
        <v>132300</v>
      </c>
      <c r="H2296" s="116"/>
      <c r="I2296" s="116"/>
      <c r="L2296" s="170">
        <v>45385</v>
      </c>
      <c r="M2296" s="116">
        <v>614.15</v>
      </c>
      <c r="N2296" s="116">
        <v>618.45000000000005</v>
      </c>
      <c r="O2296" s="116">
        <v>599.95000000000005</v>
      </c>
      <c r="P2296" s="116">
        <v>603.95000000000005</v>
      </c>
      <c r="Q2296" s="116">
        <v>614.15</v>
      </c>
      <c r="R2296">
        <v>4114999</v>
      </c>
    </row>
    <row r="2297" spans="1:18" x14ac:dyDescent="0.25">
      <c r="A2297" s="170">
        <v>45386</v>
      </c>
      <c r="B2297" s="116">
        <v>622.25</v>
      </c>
      <c r="C2297" s="116">
        <v>618.20000000000005</v>
      </c>
      <c r="D2297" s="116">
        <v>612</v>
      </c>
      <c r="E2297" s="116">
        <v>613.85</v>
      </c>
      <c r="F2297" s="116">
        <v>618.20000000000005</v>
      </c>
      <c r="G2297">
        <v>73113</v>
      </c>
      <c r="H2297" s="116"/>
      <c r="I2297" s="116"/>
      <c r="L2297" s="170">
        <v>45386</v>
      </c>
      <c r="M2297" s="116">
        <v>617.95000000000005</v>
      </c>
      <c r="N2297" s="116">
        <v>622.5</v>
      </c>
      <c r="O2297" s="116">
        <v>611.29999999999995</v>
      </c>
      <c r="P2297" s="116">
        <v>611.29999999999995</v>
      </c>
      <c r="Q2297" s="116">
        <v>617.95000000000005</v>
      </c>
      <c r="R2297">
        <v>2743635</v>
      </c>
    </row>
    <row r="2298" spans="1:18" x14ac:dyDescent="0.25">
      <c r="A2298" s="170">
        <v>45387</v>
      </c>
      <c r="B2298" s="116">
        <v>622</v>
      </c>
      <c r="C2298" s="116">
        <v>612.9</v>
      </c>
      <c r="D2298" s="116">
        <v>608.85</v>
      </c>
      <c r="E2298" s="116">
        <v>620.65</v>
      </c>
      <c r="F2298" s="116">
        <v>612.9</v>
      </c>
      <c r="G2298">
        <v>122496</v>
      </c>
      <c r="H2298" s="116"/>
      <c r="I2298" s="116"/>
      <c r="L2298" s="170">
        <v>45387</v>
      </c>
      <c r="M2298" s="116">
        <v>613.29999999999995</v>
      </c>
      <c r="N2298" s="116">
        <v>622.20000000000005</v>
      </c>
      <c r="O2298" s="116">
        <v>608.65</v>
      </c>
      <c r="P2298" s="116">
        <v>620</v>
      </c>
      <c r="Q2298" s="116">
        <v>613.29999999999995</v>
      </c>
      <c r="R2298">
        <v>2992901</v>
      </c>
    </row>
    <row r="2299" spans="1:18" x14ac:dyDescent="0.25">
      <c r="A2299" s="170">
        <v>45390</v>
      </c>
      <c r="B2299" s="116">
        <v>618.95000000000005</v>
      </c>
      <c r="C2299" s="116">
        <v>604.9</v>
      </c>
      <c r="D2299" s="116">
        <v>567.29999999999995</v>
      </c>
      <c r="E2299" s="116">
        <v>618.95000000000005</v>
      </c>
      <c r="F2299" s="116">
        <v>604.9</v>
      </c>
      <c r="G2299">
        <v>121236</v>
      </c>
      <c r="H2299" s="116"/>
      <c r="I2299" s="116"/>
      <c r="L2299" s="170">
        <v>45390</v>
      </c>
      <c r="M2299" s="116">
        <v>605.1</v>
      </c>
      <c r="N2299" s="116">
        <v>618.95000000000005</v>
      </c>
      <c r="O2299" s="116">
        <v>566.79999999999995</v>
      </c>
      <c r="P2299" s="116">
        <v>618</v>
      </c>
      <c r="Q2299" s="116">
        <v>605.1</v>
      </c>
      <c r="R2299">
        <v>5948650</v>
      </c>
    </row>
    <row r="2300" spans="1:18" x14ac:dyDescent="0.25">
      <c r="A2300" s="170">
        <v>45391</v>
      </c>
      <c r="B2300" s="116">
        <v>606.6</v>
      </c>
      <c r="C2300" s="116">
        <v>597</v>
      </c>
      <c r="D2300" s="116">
        <v>595</v>
      </c>
      <c r="E2300" s="116">
        <v>606.35</v>
      </c>
      <c r="F2300" s="116">
        <v>597</v>
      </c>
      <c r="G2300">
        <v>31542</v>
      </c>
      <c r="H2300" s="116"/>
      <c r="I2300" s="116"/>
      <c r="L2300" s="170">
        <v>45391</v>
      </c>
      <c r="M2300" s="116">
        <v>597.1</v>
      </c>
      <c r="N2300" s="116">
        <v>608</v>
      </c>
      <c r="O2300" s="116">
        <v>594.5</v>
      </c>
      <c r="P2300" s="116">
        <v>608</v>
      </c>
      <c r="Q2300" s="116">
        <v>597.1</v>
      </c>
      <c r="R2300">
        <v>1371873</v>
      </c>
    </row>
    <row r="2301" spans="1:18" x14ac:dyDescent="0.25">
      <c r="A2301" s="170">
        <v>45392</v>
      </c>
      <c r="B2301" s="116">
        <v>604.79999999999995</v>
      </c>
      <c r="C2301" s="116">
        <v>596.20000000000005</v>
      </c>
      <c r="D2301" s="116">
        <v>595.25</v>
      </c>
      <c r="E2301" s="116">
        <v>603.20000000000005</v>
      </c>
      <c r="F2301" s="116">
        <v>596.20000000000005</v>
      </c>
      <c r="G2301">
        <v>48222</v>
      </c>
      <c r="H2301" s="116"/>
      <c r="I2301" s="116"/>
      <c r="L2301" s="170">
        <v>45392</v>
      </c>
      <c r="M2301" s="116">
        <v>596.45000000000005</v>
      </c>
      <c r="N2301" s="116">
        <v>605</v>
      </c>
      <c r="O2301" s="116">
        <v>595.20000000000005</v>
      </c>
      <c r="P2301" s="116">
        <v>599.5</v>
      </c>
      <c r="Q2301" s="116">
        <v>596.45000000000005</v>
      </c>
      <c r="R2301">
        <v>1126936</v>
      </c>
    </row>
    <row r="2302" spans="1:18" x14ac:dyDescent="0.25">
      <c r="A2302" s="170">
        <v>45394</v>
      </c>
      <c r="B2302" s="116">
        <v>615.9</v>
      </c>
      <c r="C2302" s="116">
        <v>607.25</v>
      </c>
      <c r="D2302" s="116">
        <v>597</v>
      </c>
      <c r="E2302" s="116">
        <v>597.54999999999995</v>
      </c>
      <c r="F2302" s="116">
        <v>607.25</v>
      </c>
      <c r="G2302">
        <v>231418</v>
      </c>
      <c r="H2302" s="116"/>
      <c r="I2302" s="116"/>
      <c r="L2302" s="170">
        <v>45394</v>
      </c>
      <c r="M2302" s="116">
        <v>607.45000000000005</v>
      </c>
      <c r="N2302" s="116">
        <v>615.9</v>
      </c>
      <c r="O2302" s="116">
        <v>596.65</v>
      </c>
      <c r="P2302" s="116">
        <v>598.79999999999995</v>
      </c>
      <c r="Q2302" s="116">
        <v>607.45000000000005</v>
      </c>
      <c r="R2302">
        <v>6547758</v>
      </c>
    </row>
    <row r="2303" spans="1:18" x14ac:dyDescent="0.25">
      <c r="A2303" s="170">
        <v>45397</v>
      </c>
      <c r="B2303" s="116">
        <v>607.5</v>
      </c>
      <c r="C2303" s="116">
        <v>597.6</v>
      </c>
      <c r="D2303" s="116">
        <v>593.4</v>
      </c>
      <c r="E2303" s="116">
        <v>595.15</v>
      </c>
      <c r="F2303" s="116">
        <v>597.6</v>
      </c>
      <c r="G2303">
        <v>91000</v>
      </c>
      <c r="H2303" s="116"/>
      <c r="I2303" s="116"/>
      <c r="L2303" s="170">
        <v>45397</v>
      </c>
      <c r="M2303" s="116">
        <v>597.54999999999995</v>
      </c>
      <c r="N2303" s="116">
        <v>607.9</v>
      </c>
      <c r="O2303" s="116">
        <v>593.79999999999995</v>
      </c>
      <c r="P2303" s="116">
        <v>600</v>
      </c>
      <c r="Q2303" s="116">
        <v>597.54999999999995</v>
      </c>
      <c r="R2303">
        <v>3255718</v>
      </c>
    </row>
    <row r="2304" spans="1:18" x14ac:dyDescent="0.25">
      <c r="A2304" s="170">
        <v>45398</v>
      </c>
      <c r="B2304" s="116">
        <v>604.54999999999995</v>
      </c>
      <c r="C2304" s="116">
        <v>583.45000000000005</v>
      </c>
      <c r="D2304" s="116">
        <v>582</v>
      </c>
      <c r="E2304" s="116">
        <v>597.54999999999995</v>
      </c>
      <c r="F2304" s="116">
        <v>583.45000000000005</v>
      </c>
      <c r="G2304">
        <v>127388</v>
      </c>
      <c r="H2304" s="116"/>
      <c r="I2304" s="116"/>
      <c r="L2304" s="170">
        <v>45398</v>
      </c>
      <c r="M2304" s="116">
        <v>583.65</v>
      </c>
      <c r="N2304" s="116">
        <v>604.79999999999995</v>
      </c>
      <c r="O2304" s="116">
        <v>581.75</v>
      </c>
      <c r="P2304" s="116">
        <v>597.6</v>
      </c>
      <c r="Q2304" s="116">
        <v>583.65</v>
      </c>
      <c r="R2304">
        <v>5135358</v>
      </c>
    </row>
    <row r="2305" spans="1:18" x14ac:dyDescent="0.25">
      <c r="A2305" s="170">
        <v>45400</v>
      </c>
      <c r="B2305" s="116">
        <v>598.95000000000005</v>
      </c>
      <c r="C2305" s="116">
        <v>593.70000000000005</v>
      </c>
      <c r="D2305" s="116">
        <v>587.29999999999995</v>
      </c>
      <c r="E2305" s="116">
        <v>588</v>
      </c>
      <c r="F2305" s="116">
        <v>593.70000000000005</v>
      </c>
      <c r="G2305">
        <v>47741</v>
      </c>
      <c r="H2305" s="116"/>
      <c r="I2305" s="116"/>
      <c r="L2305" s="170">
        <v>45400</v>
      </c>
      <c r="M2305" s="116">
        <v>593.4</v>
      </c>
      <c r="N2305" s="116">
        <v>599.1</v>
      </c>
      <c r="O2305" s="116">
        <v>586.04999999999995</v>
      </c>
      <c r="P2305" s="116">
        <v>588.5</v>
      </c>
      <c r="Q2305" s="116">
        <v>593.4</v>
      </c>
      <c r="R2305">
        <v>1922353</v>
      </c>
    </row>
    <row r="2306" spans="1:18" x14ac:dyDescent="0.25">
      <c r="A2306" s="170">
        <v>45401</v>
      </c>
      <c r="B2306" s="116">
        <v>599</v>
      </c>
      <c r="C2306" s="116">
        <v>596.65</v>
      </c>
      <c r="D2306" s="116">
        <v>579.5</v>
      </c>
      <c r="E2306" s="116">
        <v>584.5</v>
      </c>
      <c r="F2306" s="116">
        <v>596.65</v>
      </c>
      <c r="G2306">
        <v>103089</v>
      </c>
      <c r="H2306" s="116"/>
      <c r="I2306" s="116"/>
      <c r="L2306" s="170">
        <v>45401</v>
      </c>
      <c r="M2306" s="116">
        <v>597.04999999999995</v>
      </c>
      <c r="N2306" s="116">
        <v>598.85</v>
      </c>
      <c r="O2306" s="116">
        <v>579.25</v>
      </c>
      <c r="P2306" s="116">
        <v>585.95000000000005</v>
      </c>
      <c r="Q2306" s="116">
        <v>597.04999999999995</v>
      </c>
      <c r="R2306">
        <v>3224498</v>
      </c>
    </row>
    <row r="2307" spans="1:18" x14ac:dyDescent="0.25">
      <c r="A2307" s="170">
        <v>45404</v>
      </c>
      <c r="B2307" s="116">
        <v>605.6</v>
      </c>
      <c r="C2307" s="116">
        <v>585.29999999999995</v>
      </c>
      <c r="D2307" s="116">
        <v>584.15</v>
      </c>
      <c r="E2307" s="116">
        <v>603</v>
      </c>
      <c r="F2307" s="116">
        <v>585.29999999999995</v>
      </c>
      <c r="G2307">
        <v>93520</v>
      </c>
      <c r="H2307" s="116"/>
      <c r="I2307" s="116"/>
      <c r="L2307" s="170">
        <v>45404</v>
      </c>
      <c r="M2307" s="116">
        <v>585.35</v>
      </c>
      <c r="N2307" s="116">
        <v>604.45000000000005</v>
      </c>
      <c r="O2307" s="116">
        <v>584</v>
      </c>
      <c r="P2307" s="116">
        <v>604.29999999999995</v>
      </c>
      <c r="Q2307" s="116">
        <v>585.35</v>
      </c>
      <c r="R2307">
        <v>3414434</v>
      </c>
    </row>
    <row r="2308" spans="1:18" x14ac:dyDescent="0.25">
      <c r="A2308" s="170">
        <v>45405</v>
      </c>
      <c r="B2308" s="116">
        <v>607</v>
      </c>
      <c r="C2308" s="116">
        <v>604.20000000000005</v>
      </c>
      <c r="D2308" s="116">
        <v>585.25</v>
      </c>
      <c r="E2308" s="116">
        <v>589.95000000000005</v>
      </c>
      <c r="F2308" s="116">
        <v>604.20000000000005</v>
      </c>
      <c r="G2308">
        <v>92548</v>
      </c>
      <c r="H2308" s="116"/>
      <c r="I2308" s="116"/>
      <c r="L2308" s="170">
        <v>45405</v>
      </c>
      <c r="M2308" s="116">
        <v>604.29999999999995</v>
      </c>
      <c r="N2308" s="116">
        <v>607</v>
      </c>
      <c r="O2308" s="116">
        <v>585.5</v>
      </c>
      <c r="P2308" s="116">
        <v>588.70000000000005</v>
      </c>
      <c r="Q2308" s="116">
        <v>604.29999999999995</v>
      </c>
      <c r="R2308">
        <v>2926476</v>
      </c>
    </row>
    <row r="2309" spans="1:18" x14ac:dyDescent="0.25">
      <c r="A2309" s="170">
        <v>45406</v>
      </c>
      <c r="B2309" s="116">
        <v>615.29999999999995</v>
      </c>
      <c r="C2309" s="116">
        <v>608.25</v>
      </c>
      <c r="D2309" s="116">
        <v>602.79999999999995</v>
      </c>
      <c r="E2309" s="116">
        <v>611</v>
      </c>
      <c r="F2309" s="116">
        <v>608.25</v>
      </c>
      <c r="G2309">
        <v>165478</v>
      </c>
      <c r="H2309" s="116"/>
      <c r="I2309" s="116"/>
      <c r="L2309" s="170">
        <v>45406</v>
      </c>
      <c r="M2309" s="116">
        <v>608</v>
      </c>
      <c r="N2309" s="116">
        <v>615.5</v>
      </c>
      <c r="O2309" s="116">
        <v>602.65</v>
      </c>
      <c r="P2309" s="116">
        <v>609.6</v>
      </c>
      <c r="Q2309" s="116">
        <v>608</v>
      </c>
      <c r="R2309">
        <v>3503688</v>
      </c>
    </row>
    <row r="2310" spans="1:18" x14ac:dyDescent="0.25">
      <c r="A2310" s="170">
        <v>45407</v>
      </c>
      <c r="B2310" s="116">
        <v>600</v>
      </c>
      <c r="C2310" s="116">
        <v>577.25</v>
      </c>
      <c r="D2310" s="116">
        <v>576</v>
      </c>
      <c r="E2310" s="116">
        <v>600</v>
      </c>
      <c r="F2310" s="116">
        <v>577.25</v>
      </c>
      <c r="G2310">
        <v>451033</v>
      </c>
      <c r="H2310" s="116"/>
      <c r="I2310" s="116"/>
      <c r="L2310" s="170">
        <v>45407</v>
      </c>
      <c r="M2310" s="116">
        <v>577.25</v>
      </c>
      <c r="N2310" s="116">
        <v>599.70000000000005</v>
      </c>
      <c r="O2310" s="116">
        <v>576</v>
      </c>
      <c r="P2310" s="116">
        <v>590</v>
      </c>
      <c r="Q2310" s="116">
        <v>577.25</v>
      </c>
      <c r="R2310">
        <v>10431160</v>
      </c>
    </row>
    <row r="2311" spans="1:18" x14ac:dyDescent="0.25">
      <c r="A2311" s="170">
        <v>45408</v>
      </c>
      <c r="B2311" s="116">
        <v>585.95000000000005</v>
      </c>
      <c r="C2311" s="116">
        <v>568.35</v>
      </c>
      <c r="D2311" s="116">
        <v>561.9</v>
      </c>
      <c r="E2311" s="116">
        <v>585.95000000000005</v>
      </c>
      <c r="F2311" s="116">
        <v>568.35</v>
      </c>
      <c r="G2311">
        <v>380334</v>
      </c>
      <c r="H2311" s="116"/>
      <c r="I2311" s="116"/>
      <c r="L2311" s="170">
        <v>45408</v>
      </c>
      <c r="M2311" s="116">
        <v>568.95000000000005</v>
      </c>
      <c r="N2311" s="116">
        <v>584.79999999999995</v>
      </c>
      <c r="O2311" s="116">
        <v>560.35</v>
      </c>
      <c r="P2311" s="116">
        <v>584.79999999999995</v>
      </c>
      <c r="Q2311" s="116">
        <v>568.95000000000005</v>
      </c>
      <c r="R2311">
        <v>6897520</v>
      </c>
    </row>
    <row r="2312" spans="1:18" x14ac:dyDescent="0.25">
      <c r="A2312" s="170">
        <v>45411</v>
      </c>
      <c r="B2312" s="116">
        <v>586</v>
      </c>
      <c r="C2312" s="116">
        <v>583.1</v>
      </c>
      <c r="D2312" s="116">
        <v>571.79999999999995</v>
      </c>
      <c r="E2312" s="116">
        <v>576.79999999999995</v>
      </c>
      <c r="F2312" s="116">
        <v>583.1</v>
      </c>
      <c r="G2312">
        <v>107887</v>
      </c>
      <c r="H2312" s="116"/>
      <c r="I2312" s="116"/>
      <c r="L2312" s="170">
        <v>45411</v>
      </c>
      <c r="M2312" s="116">
        <v>582.6</v>
      </c>
      <c r="N2312" s="116">
        <v>585.9</v>
      </c>
      <c r="O2312" s="116">
        <v>572</v>
      </c>
      <c r="P2312" s="116">
        <v>575</v>
      </c>
      <c r="Q2312" s="116">
        <v>582.6</v>
      </c>
      <c r="R2312">
        <v>5777304</v>
      </c>
    </row>
    <row r="2313" spans="1:18" x14ac:dyDescent="0.25">
      <c r="A2313" s="170">
        <v>45412</v>
      </c>
      <c r="B2313" s="116">
        <v>591.25</v>
      </c>
      <c r="C2313" s="116">
        <v>576.75</v>
      </c>
      <c r="D2313" s="116">
        <v>575.35</v>
      </c>
      <c r="E2313" s="116">
        <v>585.35</v>
      </c>
      <c r="F2313" s="116">
        <v>576.75</v>
      </c>
      <c r="G2313">
        <v>150287</v>
      </c>
      <c r="H2313" s="116"/>
      <c r="I2313" s="116"/>
      <c r="L2313" s="170">
        <v>45412</v>
      </c>
      <c r="M2313" s="116">
        <v>576.75</v>
      </c>
      <c r="N2313" s="116">
        <v>591.20000000000005</v>
      </c>
      <c r="O2313" s="116">
        <v>575.35</v>
      </c>
      <c r="P2313" s="116">
        <v>585.95000000000005</v>
      </c>
      <c r="Q2313" s="116">
        <v>576.75</v>
      </c>
      <c r="R2313">
        <v>4807390</v>
      </c>
    </row>
    <row r="2314" spans="1:18" x14ac:dyDescent="0.25">
      <c r="A2314" s="170">
        <v>45414</v>
      </c>
      <c r="B2314" s="116">
        <v>584.29999999999995</v>
      </c>
      <c r="C2314" s="116">
        <v>575.95000000000005</v>
      </c>
      <c r="D2314" s="116">
        <v>575.25</v>
      </c>
      <c r="E2314" s="116">
        <v>579.6</v>
      </c>
      <c r="F2314" s="116">
        <v>575.95000000000005</v>
      </c>
      <c r="G2314">
        <v>73429</v>
      </c>
      <c r="H2314" s="116"/>
      <c r="I2314" s="116"/>
      <c r="L2314" s="170">
        <v>45414</v>
      </c>
      <c r="M2314" s="116">
        <v>576.15</v>
      </c>
      <c r="N2314" s="116">
        <v>584.15</v>
      </c>
      <c r="O2314" s="116">
        <v>575</v>
      </c>
      <c r="P2314" s="116">
        <v>578.54999999999995</v>
      </c>
      <c r="Q2314" s="116">
        <v>576.15</v>
      </c>
      <c r="R2314">
        <v>2192757</v>
      </c>
    </row>
    <row r="2315" spans="1:18" x14ac:dyDescent="0.25">
      <c r="A2315" s="170">
        <v>45415</v>
      </c>
      <c r="B2315" s="116">
        <v>580.45000000000005</v>
      </c>
      <c r="C2315" s="116">
        <v>570.9</v>
      </c>
      <c r="D2315" s="116">
        <v>565.15</v>
      </c>
      <c r="E2315" s="116">
        <v>580.45000000000005</v>
      </c>
      <c r="F2315" s="116">
        <v>570.9</v>
      </c>
      <c r="G2315">
        <v>39707</v>
      </c>
      <c r="H2315" s="116"/>
      <c r="I2315" s="116"/>
      <c r="L2315" s="170">
        <v>45415</v>
      </c>
      <c r="M2315" s="116">
        <v>570.6</v>
      </c>
      <c r="N2315" s="116">
        <v>581</v>
      </c>
      <c r="O2315" s="116">
        <v>565.15</v>
      </c>
      <c r="P2315" s="116">
        <v>579.75</v>
      </c>
      <c r="Q2315" s="116">
        <v>570.6</v>
      </c>
      <c r="R2315">
        <v>2071931</v>
      </c>
    </row>
    <row r="2316" spans="1:18" x14ac:dyDescent="0.25">
      <c r="A2316" s="170">
        <v>45418</v>
      </c>
      <c r="B2316" s="116">
        <v>578.35</v>
      </c>
      <c r="C2316" s="116">
        <v>570.95000000000005</v>
      </c>
      <c r="D2316" s="116">
        <v>570</v>
      </c>
      <c r="E2316" s="116">
        <v>574.95000000000005</v>
      </c>
      <c r="F2316" s="116">
        <v>570.95000000000005</v>
      </c>
      <c r="G2316">
        <v>84943</v>
      </c>
      <c r="H2316" s="116"/>
      <c r="I2316" s="116"/>
      <c r="L2316" s="170">
        <v>45418</v>
      </c>
      <c r="M2316" s="116">
        <v>571.29999999999995</v>
      </c>
      <c r="N2316" s="116">
        <v>578.5</v>
      </c>
      <c r="O2316" s="116">
        <v>570.15</v>
      </c>
      <c r="P2316" s="116">
        <v>573.4</v>
      </c>
      <c r="Q2316" s="116">
        <v>571.29999999999995</v>
      </c>
      <c r="R2316">
        <v>1900584</v>
      </c>
    </row>
    <row r="2317" spans="1:18" x14ac:dyDescent="0.25">
      <c r="A2317" s="170">
        <v>45419</v>
      </c>
      <c r="B2317" s="116">
        <v>584.65</v>
      </c>
      <c r="C2317" s="116">
        <v>566.15</v>
      </c>
      <c r="D2317" s="116">
        <v>559.25</v>
      </c>
      <c r="E2317" s="116">
        <v>576.65</v>
      </c>
      <c r="F2317" s="116">
        <v>566.15</v>
      </c>
      <c r="G2317">
        <v>70539</v>
      </c>
      <c r="H2317" s="116"/>
      <c r="I2317" s="116"/>
      <c r="L2317" s="170">
        <v>45419</v>
      </c>
      <c r="M2317" s="116">
        <v>566.1</v>
      </c>
      <c r="N2317" s="116">
        <v>584.9</v>
      </c>
      <c r="O2317" s="116">
        <v>559</v>
      </c>
      <c r="P2317" s="116">
        <v>574.9</v>
      </c>
      <c r="Q2317" s="116">
        <v>566.1</v>
      </c>
      <c r="R2317">
        <v>3998960</v>
      </c>
    </row>
    <row r="2318" spans="1:18" x14ac:dyDescent="0.25">
      <c r="A2318" s="170">
        <v>45420</v>
      </c>
      <c r="B2318" s="116">
        <v>571</v>
      </c>
      <c r="C2318" s="116">
        <v>563.70000000000005</v>
      </c>
      <c r="D2318" s="116">
        <v>560.25</v>
      </c>
      <c r="E2318" s="116">
        <v>566</v>
      </c>
      <c r="F2318" s="116">
        <v>563.70000000000005</v>
      </c>
      <c r="G2318">
        <v>139704</v>
      </c>
      <c r="H2318" s="116"/>
      <c r="I2318" s="116"/>
      <c r="L2318" s="170">
        <v>45420</v>
      </c>
      <c r="M2318" s="116">
        <v>563.54999999999995</v>
      </c>
      <c r="N2318" s="116">
        <v>571</v>
      </c>
      <c r="O2318" s="116">
        <v>560.04999999999995</v>
      </c>
      <c r="P2318" s="116">
        <v>565.79999999999995</v>
      </c>
      <c r="Q2318" s="116">
        <v>563.54999999999995</v>
      </c>
      <c r="R2318">
        <v>2488807</v>
      </c>
    </row>
    <row r="2319" spans="1:18" x14ac:dyDescent="0.25">
      <c r="A2319" s="170">
        <v>45421</v>
      </c>
      <c r="B2319" s="116">
        <v>568.5</v>
      </c>
      <c r="C2319" s="116">
        <v>550.5</v>
      </c>
      <c r="D2319" s="116">
        <v>549</v>
      </c>
      <c r="E2319" s="116">
        <v>565</v>
      </c>
      <c r="F2319" s="116">
        <v>550.5</v>
      </c>
      <c r="G2319">
        <v>96170</v>
      </c>
      <c r="H2319" s="116"/>
      <c r="I2319" s="116"/>
      <c r="L2319" s="170">
        <v>45421</v>
      </c>
      <c r="M2319" s="116">
        <v>550.65</v>
      </c>
      <c r="N2319" s="116">
        <v>568.54999999999995</v>
      </c>
      <c r="O2319" s="116">
        <v>549.4</v>
      </c>
      <c r="P2319" s="116">
        <v>564.9</v>
      </c>
      <c r="Q2319" s="116">
        <v>550.65</v>
      </c>
      <c r="R2319">
        <v>2103481</v>
      </c>
    </row>
    <row r="2320" spans="1:18" x14ac:dyDescent="0.25">
      <c r="A2320" s="170">
        <v>45422</v>
      </c>
      <c r="B2320" s="116">
        <v>553.35</v>
      </c>
      <c r="C2320" s="116">
        <v>543.4</v>
      </c>
      <c r="D2320" s="116">
        <v>538.15</v>
      </c>
      <c r="E2320" s="116">
        <v>551.85</v>
      </c>
      <c r="F2320" s="116">
        <v>543.4</v>
      </c>
      <c r="G2320">
        <v>147108</v>
      </c>
      <c r="H2320" s="116"/>
      <c r="I2320" s="116"/>
      <c r="L2320" s="170">
        <v>45422</v>
      </c>
      <c r="M2320" s="116">
        <v>543.54999999999995</v>
      </c>
      <c r="N2320" s="116">
        <v>552.9</v>
      </c>
      <c r="O2320" s="116">
        <v>538.1</v>
      </c>
      <c r="P2320" s="116">
        <v>552.1</v>
      </c>
      <c r="Q2320" s="116">
        <v>543.54999999999995</v>
      </c>
      <c r="R2320">
        <v>3267167</v>
      </c>
    </row>
    <row r="2321" spans="1:18" x14ac:dyDescent="0.25">
      <c r="A2321" s="170">
        <v>45425</v>
      </c>
      <c r="B2321" s="116">
        <v>559.75</v>
      </c>
      <c r="C2321" s="116">
        <v>557.15</v>
      </c>
      <c r="D2321" s="116">
        <v>536</v>
      </c>
      <c r="E2321" s="116">
        <v>543.4</v>
      </c>
      <c r="F2321" s="116">
        <v>557.15</v>
      </c>
      <c r="G2321">
        <v>67818</v>
      </c>
      <c r="H2321" s="116"/>
      <c r="I2321" s="116"/>
      <c r="L2321" s="170">
        <v>45425</v>
      </c>
      <c r="M2321" s="116">
        <v>557.4</v>
      </c>
      <c r="N2321" s="116">
        <v>560</v>
      </c>
      <c r="O2321" s="116">
        <v>535.9</v>
      </c>
      <c r="P2321" s="116">
        <v>543.54999999999995</v>
      </c>
      <c r="Q2321" s="116">
        <v>557.4</v>
      </c>
      <c r="R2321">
        <v>6078325</v>
      </c>
    </row>
    <row r="2322" spans="1:18" x14ac:dyDescent="0.25">
      <c r="A2322" s="170">
        <v>45426</v>
      </c>
      <c r="B2322" s="116">
        <v>566.5</v>
      </c>
      <c r="C2322" s="116">
        <v>564.9</v>
      </c>
      <c r="D2322" s="116">
        <v>556.20000000000005</v>
      </c>
      <c r="E2322" s="116">
        <v>560.54999999999995</v>
      </c>
      <c r="F2322" s="116">
        <v>564.9</v>
      </c>
      <c r="G2322">
        <v>71204</v>
      </c>
      <c r="H2322" s="116"/>
      <c r="I2322" s="116"/>
      <c r="L2322" s="170">
        <v>45426</v>
      </c>
      <c r="M2322" s="116">
        <v>564.54999999999995</v>
      </c>
      <c r="N2322" s="116">
        <v>566.6</v>
      </c>
      <c r="O2322" s="116">
        <v>556.20000000000005</v>
      </c>
      <c r="P2322" s="116">
        <v>559.95000000000005</v>
      </c>
      <c r="Q2322" s="116">
        <v>564.54999999999995</v>
      </c>
      <c r="R2322">
        <v>2878223</v>
      </c>
    </row>
    <row r="2323" spans="1:18" x14ac:dyDescent="0.25">
      <c r="A2323" s="170">
        <v>45427</v>
      </c>
      <c r="B2323" s="116">
        <v>569.95000000000005</v>
      </c>
      <c r="C2323" s="116">
        <v>561.15</v>
      </c>
      <c r="D2323" s="116">
        <v>558.95000000000005</v>
      </c>
      <c r="E2323" s="116">
        <v>568.85</v>
      </c>
      <c r="F2323" s="116">
        <v>561.15</v>
      </c>
      <c r="G2323">
        <v>55478</v>
      </c>
      <c r="H2323" s="116"/>
      <c r="I2323" s="116"/>
      <c r="L2323" s="170">
        <v>45427</v>
      </c>
      <c r="M2323" s="116">
        <v>560.9</v>
      </c>
      <c r="N2323" s="116">
        <v>569.85</v>
      </c>
      <c r="O2323" s="116">
        <v>558.6</v>
      </c>
      <c r="P2323" s="116">
        <v>564.54999999999995</v>
      </c>
      <c r="Q2323" s="116">
        <v>560.9</v>
      </c>
      <c r="R2323">
        <v>1687347</v>
      </c>
    </row>
    <row r="2324" spans="1:18" x14ac:dyDescent="0.25">
      <c r="A2324" s="170">
        <v>45428</v>
      </c>
      <c r="B2324" s="116">
        <v>574.5</v>
      </c>
      <c r="C2324" s="116">
        <v>568.75</v>
      </c>
      <c r="D2324" s="116">
        <v>562</v>
      </c>
      <c r="E2324" s="116">
        <v>565</v>
      </c>
      <c r="F2324" s="116">
        <v>568.75</v>
      </c>
      <c r="G2324">
        <v>121373</v>
      </c>
      <c r="H2324" s="116"/>
      <c r="I2324" s="116"/>
      <c r="L2324" s="170">
        <v>45428</v>
      </c>
      <c r="M2324" s="116">
        <v>568.79999999999995</v>
      </c>
      <c r="N2324" s="116">
        <v>574.79999999999995</v>
      </c>
      <c r="O2324" s="116">
        <v>561.6</v>
      </c>
      <c r="P2324" s="116">
        <v>563.79999999999995</v>
      </c>
      <c r="Q2324" s="116">
        <v>568.79999999999995</v>
      </c>
      <c r="R2324">
        <v>2941336</v>
      </c>
    </row>
    <row r="2325" spans="1:18" x14ac:dyDescent="0.25">
      <c r="A2325" s="170">
        <v>45429</v>
      </c>
      <c r="B2325" s="116">
        <v>574</v>
      </c>
      <c r="C2325" s="116">
        <v>571.25</v>
      </c>
      <c r="D2325" s="116">
        <v>566</v>
      </c>
      <c r="E2325" s="116">
        <v>573</v>
      </c>
      <c r="F2325" s="116">
        <v>571.25</v>
      </c>
      <c r="G2325">
        <v>52044</v>
      </c>
      <c r="H2325" s="116"/>
      <c r="I2325" s="116"/>
      <c r="L2325" s="170">
        <v>45429</v>
      </c>
      <c r="M2325" s="116">
        <v>571.1</v>
      </c>
      <c r="N2325" s="116">
        <v>574</v>
      </c>
      <c r="O2325" s="116">
        <v>566</v>
      </c>
      <c r="P2325" s="116">
        <v>573</v>
      </c>
      <c r="Q2325" s="116">
        <v>571.1</v>
      </c>
      <c r="R2325">
        <v>2434379</v>
      </c>
    </row>
    <row r="2326" spans="1:18" x14ac:dyDescent="0.25">
      <c r="A2326" s="170">
        <v>45430</v>
      </c>
      <c r="B2326" s="116">
        <v>574.85</v>
      </c>
      <c r="C2326" s="116">
        <v>570.65</v>
      </c>
      <c r="D2326" s="116">
        <v>569.29999999999995</v>
      </c>
      <c r="E2326" s="116">
        <v>571.95000000000005</v>
      </c>
      <c r="F2326" s="116">
        <v>570.65</v>
      </c>
      <c r="G2326">
        <v>19606</v>
      </c>
      <c r="H2326" s="116"/>
      <c r="I2326" s="116"/>
      <c r="L2326" s="170">
        <v>45430</v>
      </c>
      <c r="M2326" s="116">
        <v>570.6</v>
      </c>
      <c r="N2326" s="116">
        <v>574.79999999999995</v>
      </c>
      <c r="O2326" s="116">
        <v>569.20000000000005</v>
      </c>
      <c r="P2326" s="116">
        <v>571.29999999999995</v>
      </c>
      <c r="Q2326" s="116">
        <v>570.6</v>
      </c>
      <c r="R2326">
        <v>199561</v>
      </c>
    </row>
    <row r="2327" spans="1:18" x14ac:dyDescent="0.25">
      <c r="A2327" s="170">
        <v>45433</v>
      </c>
      <c r="B2327" s="116">
        <v>572</v>
      </c>
      <c r="C2327" s="116">
        <v>568.95000000000005</v>
      </c>
      <c r="D2327" s="116">
        <v>561.65</v>
      </c>
      <c r="E2327" s="116">
        <v>570.65</v>
      </c>
      <c r="F2327" s="116">
        <v>568.95000000000005</v>
      </c>
      <c r="G2327">
        <v>99681</v>
      </c>
      <c r="H2327" s="116"/>
      <c r="I2327" s="116"/>
      <c r="L2327" s="170">
        <v>45433</v>
      </c>
      <c r="M2327" s="116">
        <v>569.15</v>
      </c>
      <c r="N2327" s="116">
        <v>572.45000000000005</v>
      </c>
      <c r="O2327" s="116">
        <v>561.6</v>
      </c>
      <c r="P2327" s="116">
        <v>570.75</v>
      </c>
      <c r="Q2327" s="116">
        <v>569.15</v>
      </c>
      <c r="R2327">
        <v>2227289</v>
      </c>
    </row>
    <row r="2328" spans="1:18" x14ac:dyDescent="0.25">
      <c r="A2328" s="170">
        <v>45434</v>
      </c>
      <c r="B2328" s="116">
        <v>575.6</v>
      </c>
      <c r="C2328" s="116">
        <v>573.25</v>
      </c>
      <c r="D2328" s="116">
        <v>564.95000000000005</v>
      </c>
      <c r="E2328" s="116">
        <v>569.15</v>
      </c>
      <c r="F2328" s="116">
        <v>573.25</v>
      </c>
      <c r="G2328">
        <v>42665</v>
      </c>
      <c r="H2328" s="116"/>
      <c r="I2328" s="116"/>
      <c r="L2328" s="170">
        <v>45434</v>
      </c>
      <c r="M2328" s="116">
        <v>573.15</v>
      </c>
      <c r="N2328" s="116">
        <v>575.70000000000005</v>
      </c>
      <c r="O2328" s="116">
        <v>565.1</v>
      </c>
      <c r="P2328" s="116">
        <v>570.95000000000005</v>
      </c>
      <c r="Q2328" s="116">
        <v>573.15</v>
      </c>
      <c r="R2328">
        <v>1349982</v>
      </c>
    </row>
    <row r="2329" spans="1:18" x14ac:dyDescent="0.25">
      <c r="A2329" s="170">
        <v>45435</v>
      </c>
      <c r="B2329" s="116">
        <v>576.20000000000005</v>
      </c>
      <c r="C2329" s="116">
        <v>567.29999999999995</v>
      </c>
      <c r="D2329" s="116">
        <v>562.35</v>
      </c>
      <c r="E2329" s="116">
        <v>573.25</v>
      </c>
      <c r="F2329" s="116">
        <v>567.29999999999995</v>
      </c>
      <c r="G2329">
        <v>123545</v>
      </c>
      <c r="H2329" s="116"/>
      <c r="I2329" s="116"/>
      <c r="L2329" s="170">
        <v>45435</v>
      </c>
      <c r="M2329" s="116">
        <v>567.54999999999995</v>
      </c>
      <c r="N2329" s="116">
        <v>576.70000000000005</v>
      </c>
      <c r="O2329" s="116">
        <v>562.29999999999995</v>
      </c>
      <c r="P2329" s="116">
        <v>573.45000000000005</v>
      </c>
      <c r="Q2329" s="116">
        <v>567.54999999999995</v>
      </c>
      <c r="R2329">
        <v>2683179</v>
      </c>
    </row>
    <row r="2330" spans="1:18" x14ac:dyDescent="0.25">
      <c r="A2330" s="170">
        <v>45436</v>
      </c>
      <c r="B2330" s="116">
        <v>573.15</v>
      </c>
      <c r="C2330" s="116">
        <v>569.70000000000005</v>
      </c>
      <c r="D2330" s="116">
        <v>563.9</v>
      </c>
      <c r="E2330" s="116">
        <v>567.20000000000005</v>
      </c>
      <c r="F2330" s="116">
        <v>569.70000000000005</v>
      </c>
      <c r="G2330">
        <v>40964</v>
      </c>
      <c r="H2330" s="116"/>
      <c r="I2330" s="116"/>
      <c r="L2330" s="170">
        <v>45436</v>
      </c>
      <c r="M2330" s="116">
        <v>569.85</v>
      </c>
      <c r="N2330" s="116">
        <v>573.25</v>
      </c>
      <c r="O2330" s="116">
        <v>564.04999999999995</v>
      </c>
      <c r="P2330" s="116">
        <v>565.65</v>
      </c>
      <c r="Q2330" s="116">
        <v>569.85</v>
      </c>
      <c r="R2330">
        <v>1868452</v>
      </c>
    </row>
    <row r="2331" spans="1:18" x14ac:dyDescent="0.25">
      <c r="A2331" s="170">
        <v>45439</v>
      </c>
      <c r="B2331" s="116">
        <v>586.4</v>
      </c>
      <c r="C2331" s="116">
        <v>581.5</v>
      </c>
      <c r="D2331" s="116">
        <v>568.79999999999995</v>
      </c>
      <c r="E2331" s="116">
        <v>574.70000000000005</v>
      </c>
      <c r="F2331" s="116">
        <v>581.5</v>
      </c>
      <c r="G2331">
        <v>132358</v>
      </c>
      <c r="H2331" s="116"/>
      <c r="I2331" s="116"/>
      <c r="L2331" s="170">
        <v>45439</v>
      </c>
      <c r="M2331" s="116">
        <v>581.1</v>
      </c>
      <c r="N2331" s="116">
        <v>586.5</v>
      </c>
      <c r="O2331" s="116">
        <v>569</v>
      </c>
      <c r="P2331" s="116">
        <v>573.5</v>
      </c>
      <c r="Q2331" s="116">
        <v>581.1</v>
      </c>
      <c r="R2331">
        <v>8923333</v>
      </c>
    </row>
    <row r="2332" spans="1:18" x14ac:dyDescent="0.25">
      <c r="A2332" s="170">
        <v>45440</v>
      </c>
      <c r="B2332" s="116">
        <v>586.65</v>
      </c>
      <c r="C2332" s="116">
        <v>572.15</v>
      </c>
      <c r="D2332" s="116">
        <v>571.1</v>
      </c>
      <c r="E2332" s="116">
        <v>586.65</v>
      </c>
      <c r="F2332" s="116">
        <v>572.15</v>
      </c>
      <c r="G2332">
        <v>113128</v>
      </c>
      <c r="H2332" s="116"/>
      <c r="I2332" s="116"/>
      <c r="L2332" s="170">
        <v>45440</v>
      </c>
      <c r="M2332" s="116">
        <v>572.45000000000005</v>
      </c>
      <c r="N2332" s="116">
        <v>586.5</v>
      </c>
      <c r="O2332" s="116">
        <v>571.1</v>
      </c>
      <c r="P2332" s="116">
        <v>584.79999999999995</v>
      </c>
      <c r="Q2332" s="116">
        <v>572.45000000000005</v>
      </c>
      <c r="R2332">
        <v>3517947</v>
      </c>
    </row>
    <row r="2333" spans="1:18" x14ac:dyDescent="0.25">
      <c r="A2333" s="170">
        <v>45441</v>
      </c>
      <c r="B2333" s="116">
        <v>576.5</v>
      </c>
      <c r="C2333" s="116">
        <v>565.9</v>
      </c>
      <c r="D2333" s="116">
        <v>565.25</v>
      </c>
      <c r="E2333" s="116">
        <v>576.5</v>
      </c>
      <c r="F2333" s="116">
        <v>565.9</v>
      </c>
      <c r="G2333">
        <v>36887</v>
      </c>
      <c r="H2333" s="116"/>
      <c r="I2333" s="116"/>
      <c r="L2333" s="170">
        <v>45441</v>
      </c>
      <c r="M2333" s="116">
        <v>565.85</v>
      </c>
      <c r="N2333" s="116">
        <v>573.04999999999995</v>
      </c>
      <c r="O2333" s="116">
        <v>565.04999999999995</v>
      </c>
      <c r="P2333" s="116">
        <v>572.45000000000005</v>
      </c>
      <c r="Q2333" s="116">
        <v>565.85</v>
      </c>
      <c r="R2333">
        <v>1729332</v>
      </c>
    </row>
    <row r="2334" spans="1:18" x14ac:dyDescent="0.25">
      <c r="A2334" s="170">
        <v>45442</v>
      </c>
      <c r="B2334" s="116">
        <v>568</v>
      </c>
      <c r="C2334" s="116">
        <v>556.79999999999995</v>
      </c>
      <c r="D2334" s="116">
        <v>554.85</v>
      </c>
      <c r="E2334" s="116">
        <v>568</v>
      </c>
      <c r="F2334" s="116">
        <v>556.79999999999995</v>
      </c>
      <c r="G2334">
        <v>127621</v>
      </c>
      <c r="H2334" s="116"/>
      <c r="I2334" s="116"/>
      <c r="L2334" s="170">
        <v>45442</v>
      </c>
      <c r="M2334" s="116">
        <v>557.20000000000005</v>
      </c>
      <c r="N2334" s="116">
        <v>567.04999999999995</v>
      </c>
      <c r="O2334" s="116">
        <v>554.70000000000005</v>
      </c>
      <c r="P2334" s="116">
        <v>565.9</v>
      </c>
      <c r="Q2334" s="116">
        <v>557.20000000000005</v>
      </c>
      <c r="R2334">
        <v>4690139</v>
      </c>
    </row>
    <row r="2335" spans="1:18" x14ac:dyDescent="0.25">
      <c r="A2335" s="170">
        <v>45443</v>
      </c>
      <c r="B2335" s="116">
        <v>561.29999999999995</v>
      </c>
      <c r="C2335" s="116">
        <v>556.04999999999995</v>
      </c>
      <c r="D2335" s="116">
        <v>546.79999999999995</v>
      </c>
      <c r="E2335" s="116">
        <v>561.25</v>
      </c>
      <c r="F2335" s="116">
        <v>556.04999999999995</v>
      </c>
      <c r="G2335">
        <v>56113</v>
      </c>
      <c r="H2335" s="116"/>
      <c r="I2335" s="116"/>
      <c r="L2335" s="170">
        <v>45443</v>
      </c>
      <c r="M2335" s="116">
        <v>557.4</v>
      </c>
      <c r="N2335" s="116">
        <v>562</v>
      </c>
      <c r="O2335" s="116">
        <v>547</v>
      </c>
      <c r="P2335" s="116">
        <v>559.70000000000005</v>
      </c>
      <c r="Q2335" s="116">
        <v>557.4</v>
      </c>
      <c r="R2335">
        <v>9170940</v>
      </c>
    </row>
    <row r="2336" spans="1:18" x14ac:dyDescent="0.25">
      <c r="A2336" s="170">
        <v>45446</v>
      </c>
      <c r="B2336" s="116">
        <v>583.54999999999995</v>
      </c>
      <c r="C2336" s="116">
        <v>577</v>
      </c>
      <c r="D2336" s="116">
        <v>568.20000000000005</v>
      </c>
      <c r="E2336" s="116">
        <v>575.04999999999995</v>
      </c>
      <c r="F2336" s="116">
        <v>577</v>
      </c>
      <c r="G2336">
        <v>126339</v>
      </c>
      <c r="H2336" s="116"/>
      <c r="I2336" s="116"/>
      <c r="L2336" s="170">
        <v>45446</v>
      </c>
      <c r="M2336" s="116">
        <v>576.5</v>
      </c>
      <c r="N2336" s="116">
        <v>582.5</v>
      </c>
      <c r="O2336" s="116">
        <v>568</v>
      </c>
      <c r="P2336" s="116">
        <v>577</v>
      </c>
      <c r="Q2336" s="116">
        <v>576.5</v>
      </c>
      <c r="R2336">
        <v>6380437</v>
      </c>
    </row>
    <row r="2337" spans="1:18" x14ac:dyDescent="0.25">
      <c r="A2337" s="170">
        <v>45447</v>
      </c>
      <c r="B2337" s="116">
        <v>578.95000000000005</v>
      </c>
      <c r="C2337" s="116">
        <v>529.54999999999995</v>
      </c>
      <c r="D2337" s="116">
        <v>507.45</v>
      </c>
      <c r="E2337" s="116">
        <v>578.04999999999995</v>
      </c>
      <c r="F2337" s="116">
        <v>529.54999999999995</v>
      </c>
      <c r="G2337">
        <v>468838</v>
      </c>
      <c r="H2337" s="116"/>
      <c r="I2337" s="116"/>
      <c r="L2337" s="170">
        <v>45447</v>
      </c>
      <c r="M2337" s="116">
        <v>530.29999999999995</v>
      </c>
      <c r="N2337" s="116">
        <v>580.15</v>
      </c>
      <c r="O2337" s="116">
        <v>506.45</v>
      </c>
      <c r="P2337" s="116">
        <v>579.95000000000005</v>
      </c>
      <c r="Q2337" s="116">
        <v>530.29999999999995</v>
      </c>
      <c r="R2337">
        <v>7888936</v>
      </c>
    </row>
    <row r="2338" spans="1:18" x14ac:dyDescent="0.25">
      <c r="A2338" s="170">
        <v>45448</v>
      </c>
      <c r="B2338" s="116">
        <v>577</v>
      </c>
      <c r="C2338" s="116">
        <v>572.85</v>
      </c>
      <c r="D2338" s="116">
        <v>521.95000000000005</v>
      </c>
      <c r="E2338" s="116">
        <v>544.85</v>
      </c>
      <c r="F2338" s="116">
        <v>572.85</v>
      </c>
      <c r="G2338">
        <v>151972</v>
      </c>
      <c r="H2338" s="116"/>
      <c r="I2338" s="116"/>
      <c r="L2338" s="170">
        <v>45448</v>
      </c>
      <c r="M2338" s="116">
        <v>572.9</v>
      </c>
      <c r="N2338" s="116">
        <v>577.45000000000005</v>
      </c>
      <c r="O2338" s="116">
        <v>521.54999999999995</v>
      </c>
      <c r="P2338" s="116">
        <v>530.29999999999995</v>
      </c>
      <c r="Q2338" s="116">
        <v>572.9</v>
      </c>
      <c r="R2338">
        <v>6438482</v>
      </c>
    </row>
    <row r="2339" spans="1:18" x14ac:dyDescent="0.25">
      <c r="A2339" s="170">
        <v>45449</v>
      </c>
      <c r="B2339" s="116">
        <v>585</v>
      </c>
      <c r="C2339" s="116">
        <v>583.9</v>
      </c>
      <c r="D2339" s="116">
        <v>572.9</v>
      </c>
      <c r="E2339" s="116">
        <v>578.29999999999995</v>
      </c>
      <c r="F2339" s="116">
        <v>583.9</v>
      </c>
      <c r="G2339">
        <v>131457</v>
      </c>
      <c r="H2339" s="116"/>
      <c r="I2339" s="116"/>
      <c r="L2339" s="170">
        <v>45449</v>
      </c>
      <c r="M2339" s="116">
        <v>583.5</v>
      </c>
      <c r="N2339" s="116">
        <v>584.79999999999995</v>
      </c>
      <c r="O2339" s="116">
        <v>572.85</v>
      </c>
      <c r="P2339" s="116">
        <v>580</v>
      </c>
      <c r="Q2339" s="116">
        <v>583.5</v>
      </c>
      <c r="R2339">
        <v>3781546</v>
      </c>
    </row>
    <row r="2340" spans="1:18" x14ac:dyDescent="0.25">
      <c r="A2340" s="170">
        <v>45450</v>
      </c>
      <c r="B2340" s="116">
        <v>593.4</v>
      </c>
      <c r="C2340" s="116">
        <v>584.9</v>
      </c>
      <c r="D2340" s="116">
        <v>574.95000000000005</v>
      </c>
      <c r="E2340" s="116">
        <v>584</v>
      </c>
      <c r="F2340" s="116">
        <v>584.9</v>
      </c>
      <c r="G2340">
        <v>202366</v>
      </c>
      <c r="H2340" s="116"/>
      <c r="I2340" s="116"/>
      <c r="L2340" s="170">
        <v>45450</v>
      </c>
      <c r="M2340" s="116">
        <v>585.1</v>
      </c>
      <c r="N2340" s="116">
        <v>593.45000000000005</v>
      </c>
      <c r="O2340" s="116">
        <v>574.65</v>
      </c>
      <c r="P2340" s="116">
        <v>585</v>
      </c>
      <c r="Q2340" s="116">
        <v>585.1</v>
      </c>
      <c r="R2340">
        <v>4672844</v>
      </c>
    </row>
    <row r="2341" spans="1:18" x14ac:dyDescent="0.25">
      <c r="A2341" s="170">
        <v>45453</v>
      </c>
      <c r="B2341" s="116">
        <v>592.4</v>
      </c>
      <c r="C2341" s="116">
        <v>582.5</v>
      </c>
      <c r="D2341" s="116">
        <v>576.54999999999995</v>
      </c>
      <c r="E2341" s="116">
        <v>587.70000000000005</v>
      </c>
      <c r="F2341" s="116">
        <v>582.5</v>
      </c>
      <c r="G2341">
        <v>92546</v>
      </c>
      <c r="H2341" s="116"/>
      <c r="I2341" s="116"/>
      <c r="L2341" s="170">
        <v>45453</v>
      </c>
      <c r="M2341" s="116">
        <v>582.29999999999995</v>
      </c>
      <c r="N2341" s="116">
        <v>591</v>
      </c>
      <c r="O2341" s="116">
        <v>576.25</v>
      </c>
      <c r="P2341" s="116">
        <v>591</v>
      </c>
      <c r="Q2341" s="116">
        <v>582.29999999999995</v>
      </c>
      <c r="R2341">
        <v>7450625</v>
      </c>
    </row>
    <row r="2342" spans="1:18" x14ac:dyDescent="0.25">
      <c r="A2342" s="170">
        <v>45454</v>
      </c>
      <c r="B2342" s="116">
        <v>585.9</v>
      </c>
      <c r="C2342" s="116">
        <v>581.79999999999995</v>
      </c>
      <c r="D2342" s="116">
        <v>577.70000000000005</v>
      </c>
      <c r="E2342" s="116">
        <v>581.45000000000005</v>
      </c>
      <c r="F2342" s="116">
        <v>581.79999999999995</v>
      </c>
      <c r="G2342">
        <v>97118</v>
      </c>
      <c r="H2342" s="116"/>
      <c r="I2342" s="116"/>
      <c r="L2342" s="170">
        <v>45454</v>
      </c>
      <c r="M2342" s="116">
        <v>582.04999999999995</v>
      </c>
      <c r="N2342" s="116">
        <v>586.04999999999995</v>
      </c>
      <c r="O2342" s="116">
        <v>577.85</v>
      </c>
      <c r="P2342" s="116">
        <v>582</v>
      </c>
      <c r="Q2342" s="116">
        <v>582.04999999999995</v>
      </c>
      <c r="R2342">
        <v>3691089</v>
      </c>
    </row>
    <row r="2343" spans="1:18" x14ac:dyDescent="0.25">
      <c r="A2343" s="170">
        <v>45455</v>
      </c>
      <c r="B2343" s="116">
        <v>588.65</v>
      </c>
      <c r="C2343" s="116">
        <v>584.25</v>
      </c>
      <c r="D2343" s="116">
        <v>580.4</v>
      </c>
      <c r="E2343" s="116">
        <v>581.35</v>
      </c>
      <c r="F2343" s="116">
        <v>584.25</v>
      </c>
      <c r="G2343">
        <v>57232</v>
      </c>
      <c r="H2343" s="116"/>
      <c r="I2343" s="116"/>
      <c r="L2343" s="170">
        <v>45455</v>
      </c>
      <c r="M2343" s="116">
        <v>584.5</v>
      </c>
      <c r="N2343" s="116">
        <v>588.70000000000005</v>
      </c>
      <c r="O2343" s="116">
        <v>580.35</v>
      </c>
      <c r="P2343" s="116">
        <v>582.04999999999995</v>
      </c>
      <c r="Q2343" s="116">
        <v>584.5</v>
      </c>
      <c r="R2343">
        <v>4878756</v>
      </c>
    </row>
    <row r="2344" spans="1:18" x14ac:dyDescent="0.25">
      <c r="A2344" s="170">
        <v>45456</v>
      </c>
      <c r="B2344" s="116">
        <v>593.75</v>
      </c>
      <c r="C2344" s="116">
        <v>588.54999999999995</v>
      </c>
      <c r="D2344" s="116">
        <v>584.75</v>
      </c>
      <c r="E2344" s="116">
        <v>589.95000000000005</v>
      </c>
      <c r="F2344" s="116">
        <v>588.54999999999995</v>
      </c>
      <c r="G2344">
        <v>95251</v>
      </c>
      <c r="H2344" s="116"/>
      <c r="I2344" s="116"/>
      <c r="L2344" s="170">
        <v>45456</v>
      </c>
      <c r="M2344" s="116">
        <v>589.29999999999995</v>
      </c>
      <c r="N2344" s="116">
        <v>594</v>
      </c>
      <c r="O2344" s="116">
        <v>584</v>
      </c>
      <c r="P2344" s="116">
        <v>588.9</v>
      </c>
      <c r="Q2344" s="116">
        <v>589.29999999999995</v>
      </c>
      <c r="R2344">
        <v>3084488</v>
      </c>
    </row>
    <row r="2345" spans="1:18" x14ac:dyDescent="0.25">
      <c r="A2345" s="170">
        <v>45457</v>
      </c>
      <c r="B2345" s="116">
        <v>615.5</v>
      </c>
      <c r="C2345" s="116">
        <v>613.54999999999995</v>
      </c>
      <c r="D2345" s="116">
        <v>590</v>
      </c>
      <c r="E2345" s="116">
        <v>590</v>
      </c>
      <c r="F2345" s="116">
        <v>613.54999999999995</v>
      </c>
      <c r="G2345">
        <v>330378</v>
      </c>
      <c r="H2345" s="116"/>
      <c r="I2345" s="116"/>
      <c r="L2345" s="170">
        <v>45457</v>
      </c>
      <c r="M2345" s="116">
        <v>613.85</v>
      </c>
      <c r="N2345" s="116">
        <v>615.6</v>
      </c>
      <c r="O2345" s="116">
        <v>589.95000000000005</v>
      </c>
      <c r="P2345" s="116">
        <v>590</v>
      </c>
      <c r="Q2345" s="116">
        <v>613.85</v>
      </c>
      <c r="R2345">
        <v>9597845</v>
      </c>
    </row>
    <row r="2346" spans="1:18" x14ac:dyDescent="0.25">
      <c r="A2346" s="170">
        <v>45461</v>
      </c>
      <c r="B2346" s="116">
        <v>626</v>
      </c>
      <c r="C2346" s="116">
        <v>621.35</v>
      </c>
      <c r="D2346" s="116">
        <v>612.25</v>
      </c>
      <c r="E2346" s="116">
        <v>620</v>
      </c>
      <c r="F2346" s="116">
        <v>621.35</v>
      </c>
      <c r="G2346">
        <v>231772</v>
      </c>
      <c r="H2346" s="116"/>
      <c r="I2346" s="116"/>
      <c r="L2346" s="170">
        <v>45461</v>
      </c>
      <c r="M2346" s="116">
        <v>621.45000000000005</v>
      </c>
      <c r="N2346" s="116">
        <v>626</v>
      </c>
      <c r="O2346" s="116">
        <v>612.35</v>
      </c>
      <c r="P2346" s="116">
        <v>616.95000000000005</v>
      </c>
      <c r="Q2346" s="116">
        <v>621.45000000000005</v>
      </c>
      <c r="R2346">
        <v>5305896</v>
      </c>
    </row>
    <row r="2347" spans="1:18" x14ac:dyDescent="0.25">
      <c r="A2347" s="170">
        <v>45462</v>
      </c>
      <c r="B2347" s="116">
        <v>624.45000000000005</v>
      </c>
      <c r="C2347" s="116">
        <v>616.95000000000005</v>
      </c>
      <c r="D2347" s="116">
        <v>610.9</v>
      </c>
      <c r="E2347" s="116">
        <v>622.04999999999995</v>
      </c>
      <c r="F2347" s="116">
        <v>616.95000000000005</v>
      </c>
      <c r="G2347">
        <v>122103</v>
      </c>
      <c r="H2347" s="116"/>
      <c r="I2347" s="116"/>
      <c r="L2347" s="170">
        <v>45462</v>
      </c>
      <c r="M2347" s="116">
        <v>617.04999999999995</v>
      </c>
      <c r="N2347" s="116">
        <v>623.95000000000005</v>
      </c>
      <c r="O2347" s="116">
        <v>610.75</v>
      </c>
      <c r="P2347" s="116">
        <v>623.95000000000005</v>
      </c>
      <c r="Q2347" s="116">
        <v>617.04999999999995</v>
      </c>
      <c r="R2347">
        <v>3334339</v>
      </c>
    </row>
    <row r="2348" spans="1:18" x14ac:dyDescent="0.25">
      <c r="A2348" s="170">
        <v>45463</v>
      </c>
      <c r="B2348" s="116">
        <v>641.75</v>
      </c>
      <c r="C2348" s="116">
        <v>638.29999999999995</v>
      </c>
      <c r="D2348" s="116">
        <v>616.95000000000005</v>
      </c>
      <c r="E2348" s="116">
        <v>617.25</v>
      </c>
      <c r="F2348" s="116">
        <v>638.29999999999995</v>
      </c>
      <c r="G2348">
        <v>291167</v>
      </c>
      <c r="H2348" s="116"/>
      <c r="I2348" s="116"/>
      <c r="L2348" s="170">
        <v>45463</v>
      </c>
      <c r="M2348" s="116">
        <v>638.4</v>
      </c>
      <c r="N2348" s="116">
        <v>641.95000000000005</v>
      </c>
      <c r="O2348" s="116">
        <v>618.04999999999995</v>
      </c>
      <c r="P2348" s="116">
        <v>618.1</v>
      </c>
      <c r="Q2348" s="116">
        <v>638.4</v>
      </c>
      <c r="R2348">
        <v>7142199</v>
      </c>
    </row>
    <row r="2349" spans="1:18" x14ac:dyDescent="0.25">
      <c r="A2349" s="170">
        <v>45464</v>
      </c>
      <c r="B2349" s="116">
        <v>648.4</v>
      </c>
      <c r="C2349" s="116">
        <v>636.85</v>
      </c>
      <c r="D2349" s="116">
        <v>634.75</v>
      </c>
      <c r="E2349" s="116">
        <v>644</v>
      </c>
      <c r="F2349" s="116">
        <v>636.85</v>
      </c>
      <c r="G2349">
        <v>242474</v>
      </c>
      <c r="H2349" s="116"/>
      <c r="I2349" s="116"/>
      <c r="L2349" s="170">
        <v>45464</v>
      </c>
      <c r="M2349" s="116">
        <v>637.5</v>
      </c>
      <c r="N2349" s="116">
        <v>648</v>
      </c>
      <c r="O2349" s="116">
        <v>633.5</v>
      </c>
      <c r="P2349" s="116">
        <v>643.85</v>
      </c>
      <c r="Q2349" s="116">
        <v>637.5</v>
      </c>
      <c r="R2349">
        <v>5842145</v>
      </c>
    </row>
    <row r="2350" spans="1:18" x14ac:dyDescent="0.25">
      <c r="A2350" s="170">
        <v>45467</v>
      </c>
      <c r="B2350" s="116">
        <v>654.5</v>
      </c>
      <c r="C2350" s="116">
        <v>648.54999999999995</v>
      </c>
      <c r="D2350" s="116">
        <v>631.1</v>
      </c>
      <c r="E2350" s="116">
        <v>639.20000000000005</v>
      </c>
      <c r="F2350" s="116">
        <v>648.54999999999995</v>
      </c>
      <c r="G2350">
        <v>167277</v>
      </c>
      <c r="H2350" s="116"/>
      <c r="I2350" s="116"/>
      <c r="L2350" s="170">
        <v>45467</v>
      </c>
      <c r="M2350" s="116">
        <v>648.15</v>
      </c>
      <c r="N2350" s="116">
        <v>654.70000000000005</v>
      </c>
      <c r="O2350" s="116">
        <v>631.45000000000005</v>
      </c>
      <c r="P2350" s="116">
        <v>639</v>
      </c>
      <c r="Q2350" s="116">
        <v>648.15</v>
      </c>
      <c r="R2350">
        <v>8060753</v>
      </c>
    </row>
    <row r="2351" spans="1:18" x14ac:dyDescent="0.25">
      <c r="A2351" s="170">
        <v>45468</v>
      </c>
      <c r="B2351" s="116">
        <v>661</v>
      </c>
      <c r="C2351" s="116">
        <v>659.5</v>
      </c>
      <c r="D2351" s="116">
        <v>648</v>
      </c>
      <c r="E2351" s="116">
        <v>649</v>
      </c>
      <c r="F2351" s="116">
        <v>659.5</v>
      </c>
      <c r="G2351">
        <v>266848</v>
      </c>
      <c r="H2351" s="116"/>
      <c r="I2351" s="116"/>
      <c r="L2351" s="170">
        <v>45468</v>
      </c>
      <c r="M2351" s="116">
        <v>659.75</v>
      </c>
      <c r="N2351" s="116">
        <v>661.5</v>
      </c>
      <c r="O2351" s="116">
        <v>646.79999999999995</v>
      </c>
      <c r="P2351" s="116">
        <v>649</v>
      </c>
      <c r="Q2351" s="116">
        <v>659.75</v>
      </c>
      <c r="R2351">
        <v>4233594</v>
      </c>
    </row>
    <row r="2352" spans="1:18" x14ac:dyDescent="0.25">
      <c r="A2352" s="170">
        <v>45469</v>
      </c>
      <c r="B2352" s="116">
        <v>663.4</v>
      </c>
      <c r="C2352" s="116">
        <v>649.35</v>
      </c>
      <c r="D2352" s="116">
        <v>646.95000000000005</v>
      </c>
      <c r="E2352" s="116">
        <v>663.4</v>
      </c>
      <c r="F2352" s="116">
        <v>649.35</v>
      </c>
      <c r="G2352">
        <v>83283</v>
      </c>
      <c r="H2352" s="116"/>
      <c r="I2352" s="116"/>
      <c r="L2352" s="170">
        <v>45469</v>
      </c>
      <c r="M2352" s="116">
        <v>649.95000000000005</v>
      </c>
      <c r="N2352" s="116">
        <v>662.95</v>
      </c>
      <c r="O2352" s="116">
        <v>646.35</v>
      </c>
      <c r="P2352" s="116">
        <v>660</v>
      </c>
      <c r="Q2352" s="116">
        <v>649.95000000000005</v>
      </c>
      <c r="R2352">
        <v>4402142</v>
      </c>
    </row>
    <row r="2353" spans="1:18" x14ac:dyDescent="0.25">
      <c r="A2353" s="170">
        <v>45470</v>
      </c>
      <c r="B2353" s="116">
        <v>654.29999999999995</v>
      </c>
      <c r="C2353" s="116">
        <v>623.95000000000005</v>
      </c>
      <c r="D2353" s="116">
        <v>614.1</v>
      </c>
      <c r="E2353" s="116">
        <v>654.29999999999995</v>
      </c>
      <c r="F2353" s="116">
        <v>623.95000000000005</v>
      </c>
      <c r="G2353">
        <v>303569</v>
      </c>
      <c r="H2353" s="116"/>
      <c r="I2353" s="116"/>
      <c r="L2353" s="170">
        <v>45470</v>
      </c>
      <c r="M2353" s="116">
        <v>624.4</v>
      </c>
      <c r="N2353" s="116">
        <v>652.20000000000005</v>
      </c>
      <c r="O2353" s="116">
        <v>614.25</v>
      </c>
      <c r="P2353" s="116">
        <v>650.25</v>
      </c>
      <c r="Q2353" s="116">
        <v>624.4</v>
      </c>
      <c r="R2353">
        <v>6641760</v>
      </c>
    </row>
    <row r="2354" spans="1:18" x14ac:dyDescent="0.25">
      <c r="A2354" s="170">
        <v>45471</v>
      </c>
      <c r="B2354" s="116">
        <v>630.85</v>
      </c>
      <c r="C2354" s="116">
        <v>625.70000000000005</v>
      </c>
      <c r="D2354" s="116">
        <v>618.25</v>
      </c>
      <c r="E2354" s="116">
        <v>628.65</v>
      </c>
      <c r="F2354" s="116">
        <v>625.70000000000005</v>
      </c>
      <c r="G2354">
        <v>75642</v>
      </c>
      <c r="H2354" s="116"/>
      <c r="I2354" s="116"/>
      <c r="L2354" s="170">
        <v>45471</v>
      </c>
      <c r="M2354" s="116">
        <v>625.04999999999995</v>
      </c>
      <c r="N2354" s="116">
        <v>630.9</v>
      </c>
      <c r="O2354" s="116">
        <v>618.25</v>
      </c>
      <c r="P2354" s="116">
        <v>629.5</v>
      </c>
      <c r="Q2354" s="116">
        <v>625.04999999999995</v>
      </c>
      <c r="R2354">
        <v>3063821</v>
      </c>
    </row>
    <row r="2355" spans="1:18" x14ac:dyDescent="0.25">
      <c r="A2355" s="170">
        <v>45474</v>
      </c>
      <c r="B2355" s="116">
        <v>628.65</v>
      </c>
      <c r="C2355" s="116">
        <v>615.1</v>
      </c>
      <c r="D2355" s="116">
        <v>610.4</v>
      </c>
      <c r="E2355" s="116">
        <v>628.65</v>
      </c>
      <c r="F2355" s="116">
        <v>615.1</v>
      </c>
      <c r="G2355">
        <v>182525</v>
      </c>
      <c r="H2355" s="116"/>
      <c r="I2355" s="116"/>
      <c r="L2355" s="170">
        <v>45474</v>
      </c>
      <c r="M2355" s="116">
        <v>614.79999999999995</v>
      </c>
      <c r="N2355" s="116">
        <v>626</v>
      </c>
      <c r="O2355" s="116">
        <v>610.15</v>
      </c>
      <c r="P2355" s="116">
        <v>625.1</v>
      </c>
      <c r="Q2355" s="116">
        <v>614.79999999999995</v>
      </c>
      <c r="R2355">
        <v>2441789</v>
      </c>
    </row>
    <row r="2356" spans="1:18" x14ac:dyDescent="0.25">
      <c r="A2356" s="170">
        <v>45475</v>
      </c>
      <c r="B2356" s="116">
        <v>619.35</v>
      </c>
      <c r="C2356" s="116">
        <v>602.9</v>
      </c>
      <c r="D2356" s="116">
        <v>600.29999999999995</v>
      </c>
      <c r="E2356" s="116">
        <v>619.35</v>
      </c>
      <c r="F2356" s="116">
        <v>602.9</v>
      </c>
      <c r="G2356">
        <v>134178</v>
      </c>
      <c r="H2356" s="116"/>
      <c r="I2356" s="116"/>
      <c r="L2356" s="170">
        <v>45475</v>
      </c>
      <c r="M2356" s="116">
        <v>603.70000000000005</v>
      </c>
      <c r="N2356" s="116">
        <v>617.75</v>
      </c>
      <c r="O2356" s="116">
        <v>600.20000000000005</v>
      </c>
      <c r="P2356" s="116">
        <v>617</v>
      </c>
      <c r="Q2356" s="116">
        <v>603.70000000000005</v>
      </c>
      <c r="R2356">
        <v>3026727</v>
      </c>
    </row>
    <row r="2357" spans="1:18" x14ac:dyDescent="0.25">
      <c r="A2357" s="170">
        <v>45476</v>
      </c>
      <c r="B2357" s="116">
        <v>609.6</v>
      </c>
      <c r="C2357" s="116">
        <v>599.20000000000005</v>
      </c>
      <c r="D2357" s="116">
        <v>595.04999999999995</v>
      </c>
      <c r="E2357" s="116">
        <v>603.35</v>
      </c>
      <c r="F2357" s="116">
        <v>599.20000000000005</v>
      </c>
      <c r="G2357">
        <v>98633</v>
      </c>
      <c r="H2357" s="116"/>
      <c r="I2357" s="116"/>
      <c r="L2357" s="170">
        <v>45476</v>
      </c>
      <c r="M2357" s="116">
        <v>599.79999999999995</v>
      </c>
      <c r="N2357" s="116">
        <v>609.54999999999995</v>
      </c>
      <c r="O2357" s="116">
        <v>595</v>
      </c>
      <c r="P2357" s="116">
        <v>605.15</v>
      </c>
      <c r="Q2357" s="116">
        <v>599.79999999999995</v>
      </c>
      <c r="R2357">
        <v>3344910</v>
      </c>
    </row>
    <row r="2358" spans="1:18" x14ac:dyDescent="0.25">
      <c r="A2358" s="170">
        <v>45477</v>
      </c>
      <c r="B2358" s="116">
        <v>619.79999999999995</v>
      </c>
      <c r="C2358" s="116">
        <v>612.54999999999995</v>
      </c>
      <c r="D2358" s="116">
        <v>600.04999999999995</v>
      </c>
      <c r="E2358" s="116">
        <v>600.04999999999995</v>
      </c>
      <c r="F2358" s="116">
        <v>612.54999999999995</v>
      </c>
      <c r="G2358">
        <v>176097</v>
      </c>
      <c r="H2358" s="116"/>
      <c r="I2358" s="116"/>
      <c r="L2358" s="170">
        <v>45477</v>
      </c>
      <c r="M2358" s="116">
        <v>612.65</v>
      </c>
      <c r="N2358" s="116">
        <v>619.95000000000005</v>
      </c>
      <c r="O2358" s="116">
        <v>600.45000000000005</v>
      </c>
      <c r="P2358" s="116">
        <v>602.70000000000005</v>
      </c>
      <c r="Q2358" s="116">
        <v>612.65</v>
      </c>
      <c r="R2358">
        <v>5063028</v>
      </c>
    </row>
    <row r="2359" spans="1:18" x14ac:dyDescent="0.25">
      <c r="A2359" s="170">
        <v>45478</v>
      </c>
      <c r="B2359" s="116">
        <v>621</v>
      </c>
      <c r="C2359" s="116">
        <v>613.85</v>
      </c>
      <c r="D2359" s="116">
        <v>611</v>
      </c>
      <c r="E2359" s="116">
        <v>617.1</v>
      </c>
      <c r="F2359" s="116">
        <v>613.85</v>
      </c>
      <c r="G2359">
        <v>76838</v>
      </c>
      <c r="H2359" s="116"/>
      <c r="I2359" s="116"/>
      <c r="L2359" s="170">
        <v>45478</v>
      </c>
      <c r="M2359" s="116">
        <v>614.5</v>
      </c>
      <c r="N2359" s="116">
        <v>621</v>
      </c>
      <c r="O2359" s="116">
        <v>610.6</v>
      </c>
      <c r="P2359" s="116">
        <v>615.79999999999995</v>
      </c>
      <c r="Q2359" s="116">
        <v>614.5</v>
      </c>
      <c r="R2359">
        <v>2592445</v>
      </c>
    </row>
    <row r="2360" spans="1:18" x14ac:dyDescent="0.25">
      <c r="A2360" s="170">
        <v>45481</v>
      </c>
      <c r="B2360" s="116">
        <v>618.65</v>
      </c>
      <c r="C2360" s="116">
        <v>608.75</v>
      </c>
      <c r="D2360" s="116">
        <v>604</v>
      </c>
      <c r="E2360" s="116">
        <v>618.65</v>
      </c>
      <c r="F2360" s="116">
        <v>608.75</v>
      </c>
      <c r="G2360">
        <v>63383</v>
      </c>
      <c r="H2360" s="116"/>
      <c r="I2360" s="116"/>
      <c r="L2360" s="170">
        <v>45481</v>
      </c>
      <c r="M2360" s="116">
        <v>608.70000000000005</v>
      </c>
      <c r="N2360" s="116">
        <v>616.1</v>
      </c>
      <c r="O2360" s="116">
        <v>604.1</v>
      </c>
      <c r="P2360" s="116">
        <v>615</v>
      </c>
      <c r="Q2360" s="116">
        <v>608.70000000000005</v>
      </c>
      <c r="R2360">
        <v>5074219</v>
      </c>
    </row>
    <row r="2361" spans="1:18" x14ac:dyDescent="0.25">
      <c r="A2361" s="170">
        <v>45482</v>
      </c>
      <c r="B2361" s="116">
        <v>624.9</v>
      </c>
      <c r="C2361" s="116">
        <v>608.54999999999995</v>
      </c>
      <c r="D2361" s="116">
        <v>605.85</v>
      </c>
      <c r="E2361" s="116">
        <v>608.79999999999995</v>
      </c>
      <c r="F2361" s="116">
        <v>608.54999999999995</v>
      </c>
      <c r="G2361">
        <v>132097</v>
      </c>
      <c r="H2361" s="116"/>
      <c r="I2361" s="116"/>
      <c r="L2361" s="170">
        <v>45482</v>
      </c>
      <c r="M2361" s="116">
        <v>609</v>
      </c>
      <c r="N2361" s="116">
        <v>624.95000000000005</v>
      </c>
      <c r="O2361" s="116">
        <v>605.54999999999995</v>
      </c>
      <c r="P2361" s="116">
        <v>610</v>
      </c>
      <c r="Q2361" s="116">
        <v>609</v>
      </c>
      <c r="R2361">
        <v>2533290</v>
      </c>
    </row>
    <row r="2362" spans="1:18" x14ac:dyDescent="0.25">
      <c r="A2362" s="170">
        <v>45483</v>
      </c>
      <c r="B2362" s="116">
        <v>612.25</v>
      </c>
      <c r="C2362" s="116">
        <v>609.35</v>
      </c>
      <c r="D2362" s="116">
        <v>597.5</v>
      </c>
      <c r="E2362" s="116">
        <v>612.25</v>
      </c>
      <c r="F2362" s="116">
        <v>609.35</v>
      </c>
      <c r="G2362">
        <v>79842</v>
      </c>
      <c r="H2362" s="116"/>
      <c r="I2362" s="116"/>
      <c r="L2362" s="170">
        <v>45483</v>
      </c>
      <c r="M2362" s="116">
        <v>609.85</v>
      </c>
      <c r="N2362" s="116">
        <v>612.9</v>
      </c>
      <c r="O2362" s="116">
        <v>596.85</v>
      </c>
      <c r="P2362" s="116">
        <v>610.45000000000005</v>
      </c>
      <c r="Q2362" s="116">
        <v>609.85</v>
      </c>
      <c r="R2362">
        <v>1926862</v>
      </c>
    </row>
    <row r="2363" spans="1:18" x14ac:dyDescent="0.25">
      <c r="A2363" s="170">
        <v>45484</v>
      </c>
      <c r="B2363" s="116">
        <v>613</v>
      </c>
      <c r="C2363" s="116">
        <v>602.1</v>
      </c>
      <c r="D2363" s="116">
        <v>598.15</v>
      </c>
      <c r="E2363" s="116">
        <v>611</v>
      </c>
      <c r="F2363" s="116">
        <v>602.1</v>
      </c>
      <c r="G2363">
        <v>78228</v>
      </c>
      <c r="H2363" s="116"/>
      <c r="I2363" s="116"/>
      <c r="L2363" s="170">
        <v>45484</v>
      </c>
      <c r="M2363" s="116">
        <v>602.70000000000005</v>
      </c>
      <c r="N2363" s="116">
        <v>613.45000000000005</v>
      </c>
      <c r="O2363" s="116">
        <v>598.20000000000005</v>
      </c>
      <c r="P2363" s="116">
        <v>612</v>
      </c>
      <c r="Q2363" s="116">
        <v>602.70000000000005</v>
      </c>
      <c r="R2363">
        <v>2785481</v>
      </c>
    </row>
    <row r="2364" spans="1:18" x14ac:dyDescent="0.25">
      <c r="A2364" s="170">
        <v>45485</v>
      </c>
      <c r="B2364" s="116">
        <v>604</v>
      </c>
      <c r="C2364" s="116">
        <v>594</v>
      </c>
      <c r="D2364" s="116">
        <v>592.35</v>
      </c>
      <c r="E2364" s="116">
        <v>600.95000000000005</v>
      </c>
      <c r="F2364" s="116">
        <v>594</v>
      </c>
      <c r="G2364">
        <v>72868</v>
      </c>
      <c r="H2364" s="116"/>
      <c r="I2364" s="116"/>
      <c r="L2364" s="170">
        <v>45485</v>
      </c>
      <c r="M2364" s="116">
        <v>594.04999999999995</v>
      </c>
      <c r="N2364" s="116">
        <v>605.20000000000005</v>
      </c>
      <c r="O2364" s="116">
        <v>592.29999999999995</v>
      </c>
      <c r="P2364" s="116">
        <v>603.20000000000005</v>
      </c>
      <c r="Q2364" s="116">
        <v>594.04999999999995</v>
      </c>
      <c r="R2364">
        <v>1747038</v>
      </c>
    </row>
    <row r="2365" spans="1:18" x14ac:dyDescent="0.25">
      <c r="A2365" s="170">
        <v>45488</v>
      </c>
      <c r="B2365" s="116">
        <v>594.65</v>
      </c>
      <c r="C2365" s="116">
        <v>591.75</v>
      </c>
      <c r="D2365" s="116">
        <v>583.5</v>
      </c>
      <c r="E2365" s="116">
        <v>594</v>
      </c>
      <c r="F2365" s="116">
        <v>591.75</v>
      </c>
      <c r="G2365">
        <v>79253</v>
      </c>
      <c r="H2365" s="116"/>
      <c r="I2365" s="116"/>
      <c r="L2365" s="170">
        <v>45488</v>
      </c>
      <c r="M2365" s="116">
        <v>591.65</v>
      </c>
      <c r="N2365" s="116">
        <v>595.20000000000005</v>
      </c>
      <c r="O2365" s="116">
        <v>583.5</v>
      </c>
      <c r="P2365" s="116">
        <v>593</v>
      </c>
      <c r="Q2365" s="116">
        <v>591.65</v>
      </c>
      <c r="R2365">
        <v>4100715</v>
      </c>
    </row>
    <row r="2366" spans="1:18" x14ac:dyDescent="0.25">
      <c r="A2366" s="170">
        <v>45489</v>
      </c>
      <c r="B2366" s="116">
        <v>595.35</v>
      </c>
      <c r="C2366" s="116">
        <v>586.6</v>
      </c>
      <c r="D2366" s="116">
        <v>582.04999999999995</v>
      </c>
      <c r="E2366" s="116">
        <v>590.15</v>
      </c>
      <c r="F2366" s="116">
        <v>586.6</v>
      </c>
      <c r="G2366">
        <v>137840</v>
      </c>
      <c r="H2366" s="116"/>
      <c r="I2366" s="116"/>
      <c r="L2366" s="170">
        <v>45489</v>
      </c>
      <c r="M2366" s="116">
        <v>586.85</v>
      </c>
      <c r="N2366" s="116">
        <v>595.54999999999995</v>
      </c>
      <c r="O2366" s="116">
        <v>582.04999999999995</v>
      </c>
      <c r="P2366" s="116">
        <v>591.95000000000005</v>
      </c>
      <c r="Q2366" s="116">
        <v>586.85</v>
      </c>
      <c r="R2366">
        <v>3014603</v>
      </c>
    </row>
    <row r="2367" spans="1:18" x14ac:dyDescent="0.25">
      <c r="A2367" s="170">
        <v>45491</v>
      </c>
      <c r="B2367" s="116">
        <v>588</v>
      </c>
      <c r="C2367" s="116">
        <v>582.15</v>
      </c>
      <c r="D2367" s="116">
        <v>578.9</v>
      </c>
      <c r="E2367" s="116">
        <v>586.85</v>
      </c>
      <c r="F2367" s="116">
        <v>582.15</v>
      </c>
      <c r="G2367">
        <v>62315</v>
      </c>
      <c r="H2367" s="116"/>
      <c r="I2367" s="116"/>
      <c r="L2367" s="170">
        <v>45491</v>
      </c>
      <c r="M2367" s="116">
        <v>582.29999999999995</v>
      </c>
      <c r="N2367" s="116">
        <v>588.85</v>
      </c>
      <c r="O2367" s="116">
        <v>579.15</v>
      </c>
      <c r="P2367" s="116">
        <v>586.9</v>
      </c>
      <c r="Q2367" s="116">
        <v>582.29999999999995</v>
      </c>
      <c r="R2367">
        <v>2417869</v>
      </c>
    </row>
    <row r="2368" spans="1:18" x14ac:dyDescent="0.25">
      <c r="A2368" s="170">
        <v>45492</v>
      </c>
      <c r="B2368" s="116">
        <v>583.4</v>
      </c>
      <c r="C2368" s="116">
        <v>577.25</v>
      </c>
      <c r="D2368" s="116">
        <v>571.15</v>
      </c>
      <c r="E2368" s="116">
        <v>583.4</v>
      </c>
      <c r="F2368" s="116">
        <v>577.25</v>
      </c>
      <c r="G2368">
        <v>103671</v>
      </c>
      <c r="H2368" s="116"/>
      <c r="I2368" s="116"/>
      <c r="L2368" s="170">
        <v>45492</v>
      </c>
      <c r="M2368" s="116">
        <v>577.9</v>
      </c>
      <c r="N2368" s="116">
        <v>583</v>
      </c>
      <c r="O2368" s="116">
        <v>571.04999999999995</v>
      </c>
      <c r="P2368" s="116">
        <v>582.29999999999995</v>
      </c>
      <c r="Q2368" s="116">
        <v>577.9</v>
      </c>
      <c r="R2368">
        <v>3139415</v>
      </c>
    </row>
    <row r="2369" spans="1:18" x14ac:dyDescent="0.25">
      <c r="A2369" s="170">
        <v>45495</v>
      </c>
      <c r="B2369" s="116">
        <v>631.35</v>
      </c>
      <c r="C2369" s="116">
        <v>620.20000000000005</v>
      </c>
      <c r="D2369" s="116">
        <v>574</v>
      </c>
      <c r="E2369" s="116">
        <v>574.6</v>
      </c>
      <c r="F2369" s="116">
        <v>620.20000000000005</v>
      </c>
      <c r="G2369">
        <v>972320</v>
      </c>
      <c r="H2369" s="116"/>
      <c r="I2369" s="116"/>
      <c r="L2369" s="170">
        <v>45495</v>
      </c>
      <c r="M2369" s="116">
        <v>620.35</v>
      </c>
      <c r="N2369" s="116">
        <v>631.45000000000005</v>
      </c>
      <c r="O2369" s="116">
        <v>573.1</v>
      </c>
      <c r="P2369" s="116">
        <v>573.1</v>
      </c>
      <c r="Q2369" s="116">
        <v>620.35</v>
      </c>
      <c r="R2369">
        <v>26109344</v>
      </c>
    </row>
    <row r="2370" spans="1:18" x14ac:dyDescent="0.25">
      <c r="A2370" s="170">
        <v>45496</v>
      </c>
      <c r="B2370" s="116">
        <v>625.29999999999995</v>
      </c>
      <c r="C2370" s="116">
        <v>623.95000000000005</v>
      </c>
      <c r="D2370" s="116">
        <v>601.29999999999995</v>
      </c>
      <c r="E2370" s="116">
        <v>620.79999999999995</v>
      </c>
      <c r="F2370" s="116">
        <v>623.95000000000005</v>
      </c>
      <c r="G2370">
        <v>188581</v>
      </c>
      <c r="H2370" s="116"/>
      <c r="I2370" s="116"/>
      <c r="L2370" s="170">
        <v>45496</v>
      </c>
      <c r="M2370" s="116">
        <v>623.5</v>
      </c>
      <c r="N2370" s="116">
        <v>626.1</v>
      </c>
      <c r="O2370" s="116">
        <v>601.1</v>
      </c>
      <c r="P2370" s="116">
        <v>620.35</v>
      </c>
      <c r="Q2370" s="116">
        <v>623.5</v>
      </c>
      <c r="R2370">
        <v>6448328</v>
      </c>
    </row>
    <row r="2371" spans="1:18" x14ac:dyDescent="0.25">
      <c r="A2371" s="170">
        <v>45497</v>
      </c>
      <c r="B2371" s="116">
        <v>638.4</v>
      </c>
      <c r="C2371" s="116">
        <v>633.85</v>
      </c>
      <c r="D2371" s="116">
        <v>620.75</v>
      </c>
      <c r="E2371" s="116">
        <v>627.45000000000005</v>
      </c>
      <c r="F2371" s="116">
        <v>633.85</v>
      </c>
      <c r="G2371">
        <v>451852</v>
      </c>
      <c r="H2371" s="116"/>
      <c r="I2371" s="116"/>
      <c r="L2371" s="170">
        <v>45497</v>
      </c>
      <c r="M2371" s="116">
        <v>633.4</v>
      </c>
      <c r="N2371" s="116">
        <v>638.6</v>
      </c>
      <c r="O2371" s="116">
        <v>620.65</v>
      </c>
      <c r="P2371" s="116">
        <v>624.85</v>
      </c>
      <c r="Q2371" s="116">
        <v>633.4</v>
      </c>
      <c r="R2371">
        <v>4966717</v>
      </c>
    </row>
    <row r="2372" spans="1:18" x14ac:dyDescent="0.25">
      <c r="A2372" s="170">
        <v>45498</v>
      </c>
      <c r="B2372" s="116">
        <v>631.85</v>
      </c>
      <c r="C2372" s="116">
        <v>623.54999999999995</v>
      </c>
      <c r="D2372" s="116">
        <v>618.75</v>
      </c>
      <c r="E2372" s="116">
        <v>630.65</v>
      </c>
      <c r="F2372" s="116">
        <v>623.54999999999995</v>
      </c>
      <c r="G2372">
        <v>121406</v>
      </c>
      <c r="H2372" s="116"/>
      <c r="I2372" s="116"/>
      <c r="L2372" s="170">
        <v>45498</v>
      </c>
      <c r="M2372" s="116">
        <v>623.45000000000005</v>
      </c>
      <c r="N2372" s="116">
        <v>632</v>
      </c>
      <c r="O2372" s="116">
        <v>618.5</v>
      </c>
      <c r="P2372" s="116">
        <v>629.85</v>
      </c>
      <c r="Q2372" s="116">
        <v>623.45000000000005</v>
      </c>
      <c r="R2372">
        <v>5421179</v>
      </c>
    </row>
    <row r="2373" spans="1:18" x14ac:dyDescent="0.25">
      <c r="A2373" s="170">
        <v>45499</v>
      </c>
      <c r="B2373" s="116">
        <v>648.79999999999995</v>
      </c>
      <c r="C2373" s="116">
        <v>647.29999999999995</v>
      </c>
      <c r="D2373" s="116">
        <v>627.5</v>
      </c>
      <c r="E2373" s="116">
        <v>632.95000000000005</v>
      </c>
      <c r="F2373" s="116">
        <v>647.29999999999995</v>
      </c>
      <c r="G2373">
        <v>322073</v>
      </c>
      <c r="H2373" s="116"/>
      <c r="I2373" s="116"/>
      <c r="L2373" s="170">
        <v>45499</v>
      </c>
      <c r="M2373" s="116">
        <v>647</v>
      </c>
      <c r="N2373" s="116">
        <v>649</v>
      </c>
      <c r="O2373" s="116">
        <v>627.25</v>
      </c>
      <c r="P2373" s="116">
        <v>631.29999999999995</v>
      </c>
      <c r="Q2373" s="116">
        <v>647</v>
      </c>
      <c r="R2373">
        <v>4629592</v>
      </c>
    </row>
    <row r="2374" spans="1:18" x14ac:dyDescent="0.25">
      <c r="A2374" s="170">
        <v>45502</v>
      </c>
      <c r="B2374" s="116">
        <v>653.65</v>
      </c>
      <c r="C2374" s="116">
        <v>649.95000000000005</v>
      </c>
      <c r="D2374" s="116">
        <v>640.95000000000005</v>
      </c>
      <c r="E2374" s="116">
        <v>653.65</v>
      </c>
      <c r="F2374" s="116">
        <v>649.95000000000005</v>
      </c>
      <c r="G2374">
        <v>220237</v>
      </c>
      <c r="H2374" s="116"/>
      <c r="I2374" s="116"/>
      <c r="L2374" s="170">
        <v>45502</v>
      </c>
      <c r="M2374" s="116">
        <v>649.75</v>
      </c>
      <c r="N2374" s="116">
        <v>653.79999999999995</v>
      </c>
      <c r="O2374" s="116">
        <v>640.79999999999995</v>
      </c>
      <c r="P2374" s="116">
        <v>651.45000000000005</v>
      </c>
      <c r="Q2374" s="116">
        <v>649.75</v>
      </c>
      <c r="R2374">
        <v>3791640</v>
      </c>
    </row>
    <row r="2375" spans="1:18" x14ac:dyDescent="0.25">
      <c r="A2375" s="170">
        <v>45503</v>
      </c>
      <c r="B2375" s="116">
        <v>649</v>
      </c>
      <c r="C2375" s="116">
        <v>646.29999999999995</v>
      </c>
      <c r="D2375" s="116">
        <v>634.4</v>
      </c>
      <c r="E2375" s="116">
        <v>649</v>
      </c>
      <c r="F2375" s="116">
        <v>646.29999999999995</v>
      </c>
      <c r="G2375">
        <v>130345</v>
      </c>
      <c r="H2375" s="116"/>
      <c r="I2375" s="116"/>
      <c r="L2375" s="170">
        <v>45503</v>
      </c>
      <c r="M2375" s="116">
        <v>646.20000000000005</v>
      </c>
      <c r="N2375" s="116">
        <v>649</v>
      </c>
      <c r="O2375" s="116">
        <v>634.4</v>
      </c>
      <c r="P2375" s="116">
        <v>649</v>
      </c>
      <c r="Q2375" s="116">
        <v>646.20000000000005</v>
      </c>
      <c r="R2375">
        <v>4056660</v>
      </c>
    </row>
    <row r="2376" spans="1:18" x14ac:dyDescent="0.25">
      <c r="A2376" s="170">
        <v>45504</v>
      </c>
      <c r="B2376" s="116">
        <v>647</v>
      </c>
      <c r="C2376" s="116">
        <v>641.95000000000005</v>
      </c>
      <c r="D2376" s="116">
        <v>639.20000000000005</v>
      </c>
      <c r="E2376" s="116">
        <v>647</v>
      </c>
      <c r="F2376" s="116">
        <v>641.95000000000005</v>
      </c>
      <c r="G2376">
        <v>80186</v>
      </c>
      <c r="H2376" s="116"/>
      <c r="I2376" s="116"/>
      <c r="L2376" s="170">
        <v>45504</v>
      </c>
      <c r="M2376" s="116">
        <v>642.04999999999995</v>
      </c>
      <c r="N2376" s="116">
        <v>647.35</v>
      </c>
      <c r="O2376" s="116">
        <v>639.1</v>
      </c>
      <c r="P2376" s="116">
        <v>646.20000000000005</v>
      </c>
      <c r="Q2376" s="116">
        <v>642.04999999999995</v>
      </c>
      <c r="R2376">
        <v>1874629</v>
      </c>
    </row>
    <row r="2377" spans="1:18" x14ac:dyDescent="0.25">
      <c r="A2377" s="170">
        <v>45505</v>
      </c>
      <c r="B2377" s="116">
        <v>643</v>
      </c>
      <c r="C2377" s="116">
        <v>631.95000000000005</v>
      </c>
      <c r="D2377" s="116">
        <v>630.79999999999995</v>
      </c>
      <c r="E2377" s="116">
        <v>643</v>
      </c>
      <c r="F2377" s="116">
        <v>631.95000000000005</v>
      </c>
      <c r="G2377">
        <v>41111</v>
      </c>
      <c r="H2377" s="116"/>
      <c r="I2377" s="116"/>
      <c r="L2377" s="170">
        <v>45505</v>
      </c>
      <c r="M2377" s="116">
        <v>632.15</v>
      </c>
      <c r="N2377" s="116">
        <v>642.35</v>
      </c>
      <c r="O2377" s="116">
        <v>630.65</v>
      </c>
      <c r="P2377" s="116">
        <v>642.04999999999995</v>
      </c>
      <c r="Q2377" s="116">
        <v>632.15</v>
      </c>
      <c r="R2377">
        <v>1504378</v>
      </c>
    </row>
    <row r="2378" spans="1:18" x14ac:dyDescent="0.25">
      <c r="A2378" s="170">
        <v>45506</v>
      </c>
      <c r="B2378" s="116">
        <v>635.25</v>
      </c>
      <c r="C2378" s="116">
        <v>628.95000000000005</v>
      </c>
      <c r="D2378" s="116">
        <v>622.54999999999995</v>
      </c>
      <c r="E2378" s="116">
        <v>629.79999999999995</v>
      </c>
      <c r="F2378" s="116">
        <v>628.95000000000005</v>
      </c>
      <c r="G2378">
        <v>169680</v>
      </c>
      <c r="H2378" s="116"/>
      <c r="I2378" s="116"/>
      <c r="L2378" s="170">
        <v>45506</v>
      </c>
      <c r="M2378" s="116">
        <v>628.79999999999995</v>
      </c>
      <c r="N2378" s="116">
        <v>635.9</v>
      </c>
      <c r="O2378" s="116">
        <v>623.04999999999995</v>
      </c>
      <c r="P2378" s="116">
        <v>627.9</v>
      </c>
      <c r="Q2378" s="116">
        <v>628.79999999999995</v>
      </c>
      <c r="R2378">
        <v>1814825</v>
      </c>
    </row>
    <row r="2379" spans="1:18" x14ac:dyDescent="0.25">
      <c r="A2379" s="170">
        <v>45509</v>
      </c>
      <c r="B2379" s="116">
        <v>624.45000000000005</v>
      </c>
      <c r="C2379" s="116">
        <v>608.95000000000005</v>
      </c>
      <c r="D2379" s="116">
        <v>598.04999999999995</v>
      </c>
      <c r="E2379" s="116">
        <v>598.04999999999995</v>
      </c>
      <c r="F2379" s="116">
        <v>608.95000000000005</v>
      </c>
      <c r="G2379">
        <v>397854</v>
      </c>
      <c r="H2379" s="116"/>
      <c r="I2379" s="116"/>
      <c r="L2379" s="170">
        <v>45509</v>
      </c>
      <c r="M2379" s="116">
        <v>609.20000000000005</v>
      </c>
      <c r="N2379" s="116">
        <v>624.5</v>
      </c>
      <c r="O2379" s="116">
        <v>600</v>
      </c>
      <c r="P2379" s="116">
        <v>611.20000000000005</v>
      </c>
      <c r="Q2379" s="116">
        <v>609.20000000000005</v>
      </c>
      <c r="R2379">
        <v>5384751</v>
      </c>
    </row>
    <row r="2380" spans="1:18" x14ac:dyDescent="0.25">
      <c r="A2380" s="170">
        <v>45510</v>
      </c>
      <c r="B2380" s="116">
        <v>618.5</v>
      </c>
      <c r="C2380" s="116">
        <v>596.4</v>
      </c>
      <c r="D2380" s="116">
        <v>595</v>
      </c>
      <c r="E2380" s="116">
        <v>611.79999999999995</v>
      </c>
      <c r="F2380" s="116">
        <v>596.4</v>
      </c>
      <c r="G2380">
        <v>43226</v>
      </c>
      <c r="H2380" s="116"/>
      <c r="I2380" s="116"/>
      <c r="L2380" s="170">
        <v>45510</v>
      </c>
      <c r="M2380" s="116">
        <v>596.95000000000005</v>
      </c>
      <c r="N2380" s="116">
        <v>619.04999999999995</v>
      </c>
      <c r="O2380" s="116">
        <v>595</v>
      </c>
      <c r="P2380" s="116">
        <v>610.15</v>
      </c>
      <c r="Q2380" s="116">
        <v>596.95000000000005</v>
      </c>
      <c r="R2380">
        <v>2833495</v>
      </c>
    </row>
    <row r="2381" spans="1:18" x14ac:dyDescent="0.25">
      <c r="A2381" s="170">
        <v>45511</v>
      </c>
      <c r="B2381" s="116">
        <v>623.45000000000005</v>
      </c>
      <c r="C2381" s="116">
        <v>620.4</v>
      </c>
      <c r="D2381" s="116">
        <v>600.9</v>
      </c>
      <c r="E2381" s="116">
        <v>608.75</v>
      </c>
      <c r="F2381" s="116">
        <v>620.4</v>
      </c>
      <c r="G2381">
        <v>88679</v>
      </c>
      <c r="H2381" s="116"/>
      <c r="I2381" s="116"/>
      <c r="L2381" s="170">
        <v>45511</v>
      </c>
      <c r="M2381" s="116">
        <v>620.6</v>
      </c>
      <c r="N2381" s="116">
        <v>623.75</v>
      </c>
      <c r="O2381" s="116">
        <v>600.4</v>
      </c>
      <c r="P2381" s="116">
        <v>605</v>
      </c>
      <c r="Q2381" s="116">
        <v>620.6</v>
      </c>
      <c r="R2381">
        <v>2716217</v>
      </c>
    </row>
    <row r="2382" spans="1:18" x14ac:dyDescent="0.25">
      <c r="A2382" s="170">
        <v>45512</v>
      </c>
      <c r="B2382" s="116">
        <v>622.20000000000005</v>
      </c>
      <c r="C2382" s="116">
        <v>614.20000000000005</v>
      </c>
      <c r="D2382" s="116">
        <v>611.5</v>
      </c>
      <c r="E2382" s="116">
        <v>617</v>
      </c>
      <c r="F2382" s="116">
        <v>614.20000000000005</v>
      </c>
      <c r="G2382">
        <v>43362</v>
      </c>
      <c r="H2382" s="116"/>
      <c r="I2382" s="116"/>
      <c r="L2382" s="170">
        <v>45512</v>
      </c>
      <c r="M2382" s="116">
        <v>614.20000000000005</v>
      </c>
      <c r="N2382" s="116">
        <v>622</v>
      </c>
      <c r="O2382" s="116">
        <v>611.04999999999995</v>
      </c>
      <c r="P2382" s="116">
        <v>616.1</v>
      </c>
      <c r="Q2382" s="116">
        <v>614.20000000000005</v>
      </c>
      <c r="R2382">
        <v>1845858</v>
      </c>
    </row>
    <row r="2383" spans="1:18" x14ac:dyDescent="0.25">
      <c r="A2383" s="170">
        <v>45513</v>
      </c>
      <c r="B2383" s="116">
        <v>629.35</v>
      </c>
      <c r="C2383" s="116">
        <v>618.95000000000005</v>
      </c>
      <c r="D2383" s="116">
        <v>614.6</v>
      </c>
      <c r="E2383" s="116">
        <v>619.70000000000005</v>
      </c>
      <c r="F2383" s="116">
        <v>618.95000000000005</v>
      </c>
      <c r="G2383">
        <v>66805</v>
      </c>
      <c r="H2383" s="116"/>
      <c r="I2383" s="116"/>
      <c r="L2383" s="170">
        <v>45513</v>
      </c>
      <c r="M2383" s="116">
        <v>618.45000000000005</v>
      </c>
      <c r="N2383" s="116">
        <v>629.4</v>
      </c>
      <c r="O2383" s="116">
        <v>614.75</v>
      </c>
      <c r="P2383" s="116">
        <v>618.1</v>
      </c>
      <c r="Q2383" s="116">
        <v>618.45000000000005</v>
      </c>
      <c r="R2383">
        <v>1822436</v>
      </c>
    </row>
    <row r="2384" spans="1:18" x14ac:dyDescent="0.25">
      <c r="A2384" s="170">
        <v>45516</v>
      </c>
      <c r="B2384" s="116">
        <v>620.79999999999995</v>
      </c>
      <c r="C2384" s="116">
        <v>617.35</v>
      </c>
      <c r="D2384" s="116">
        <v>605.45000000000005</v>
      </c>
      <c r="E2384" s="116">
        <v>606.70000000000005</v>
      </c>
      <c r="F2384" s="116">
        <v>617.35</v>
      </c>
      <c r="G2384">
        <v>67120</v>
      </c>
      <c r="H2384" s="116"/>
      <c r="I2384" s="116"/>
      <c r="L2384" s="170">
        <v>45516</v>
      </c>
      <c r="M2384" s="116">
        <v>617.15</v>
      </c>
      <c r="N2384" s="116">
        <v>620.95000000000005</v>
      </c>
      <c r="O2384" s="116">
        <v>605.25</v>
      </c>
      <c r="P2384" s="116">
        <v>614.35</v>
      </c>
      <c r="Q2384" s="116">
        <v>617.15</v>
      </c>
      <c r="R2384">
        <v>2938363</v>
      </c>
    </row>
    <row r="2385" spans="1:18" x14ac:dyDescent="0.25">
      <c r="A2385" s="170">
        <v>45517</v>
      </c>
      <c r="B2385" s="116">
        <v>621</v>
      </c>
      <c r="C2385" s="116">
        <v>610.70000000000005</v>
      </c>
      <c r="D2385" s="116">
        <v>609.1</v>
      </c>
      <c r="E2385" s="116">
        <v>616.54999999999995</v>
      </c>
      <c r="F2385" s="116">
        <v>610.70000000000005</v>
      </c>
      <c r="G2385">
        <v>66876</v>
      </c>
      <c r="H2385" s="116"/>
      <c r="I2385" s="116"/>
      <c r="L2385" s="170">
        <v>45517</v>
      </c>
      <c r="M2385" s="116">
        <v>610.75</v>
      </c>
      <c r="N2385" s="116">
        <v>621.25</v>
      </c>
      <c r="O2385" s="116">
        <v>609.1</v>
      </c>
      <c r="P2385" s="116">
        <v>617.95000000000005</v>
      </c>
      <c r="Q2385" s="116">
        <v>610.75</v>
      </c>
      <c r="R2385">
        <v>1741167</v>
      </c>
    </row>
    <row r="2386" spans="1:18" x14ac:dyDescent="0.25">
      <c r="A2386" s="170">
        <v>45518</v>
      </c>
      <c r="B2386" s="116">
        <v>613.29999999999995</v>
      </c>
      <c r="C2386" s="116">
        <v>611.6</v>
      </c>
      <c r="D2386" s="116">
        <v>599.45000000000005</v>
      </c>
      <c r="E2386" s="116">
        <v>611.04999999999995</v>
      </c>
      <c r="F2386" s="116">
        <v>611.6</v>
      </c>
      <c r="G2386">
        <v>33343</v>
      </c>
      <c r="H2386" s="116"/>
      <c r="I2386" s="116"/>
      <c r="L2386" s="170">
        <v>45518</v>
      </c>
      <c r="M2386" s="116">
        <v>611.45000000000005</v>
      </c>
      <c r="N2386" s="116">
        <v>613</v>
      </c>
      <c r="O2386" s="116">
        <v>599.54999999999995</v>
      </c>
      <c r="P2386" s="116">
        <v>611.65</v>
      </c>
      <c r="Q2386" s="116">
        <v>611.45000000000005</v>
      </c>
      <c r="R2386">
        <v>2877894</v>
      </c>
    </row>
    <row r="2387" spans="1:18" x14ac:dyDescent="0.25">
      <c r="A2387" s="170">
        <v>45520</v>
      </c>
      <c r="B2387" s="116">
        <v>625.20000000000005</v>
      </c>
      <c r="C2387" s="116">
        <v>622.95000000000005</v>
      </c>
      <c r="D2387" s="116">
        <v>611.1</v>
      </c>
      <c r="E2387" s="116">
        <v>619</v>
      </c>
      <c r="F2387" s="116">
        <v>622.95000000000005</v>
      </c>
      <c r="G2387">
        <v>126981</v>
      </c>
      <c r="H2387" s="116"/>
      <c r="I2387" s="116"/>
      <c r="L2387" s="170">
        <v>45520</v>
      </c>
      <c r="M2387" s="116">
        <v>623.20000000000005</v>
      </c>
      <c r="N2387" s="116">
        <v>625.6</v>
      </c>
      <c r="O2387" s="116">
        <v>611.15</v>
      </c>
      <c r="P2387" s="116">
        <v>619.65</v>
      </c>
      <c r="Q2387" s="116">
        <v>623.20000000000005</v>
      </c>
      <c r="R2387">
        <v>1277279</v>
      </c>
    </row>
    <row r="2388" spans="1:18" x14ac:dyDescent="0.25">
      <c r="A2388" s="170">
        <v>45523</v>
      </c>
      <c r="B2388" s="116">
        <v>630.5</v>
      </c>
      <c r="C2388" s="116">
        <v>614.35</v>
      </c>
      <c r="D2388" s="116">
        <v>608.79999999999995</v>
      </c>
      <c r="E2388" s="116">
        <v>626.95000000000005</v>
      </c>
      <c r="F2388" s="116">
        <v>614.35</v>
      </c>
      <c r="G2388">
        <v>75268</v>
      </c>
      <c r="H2388" s="116"/>
      <c r="I2388" s="116"/>
      <c r="L2388" s="170">
        <v>45523</v>
      </c>
      <c r="M2388" s="116">
        <v>613.15</v>
      </c>
      <c r="N2388" s="116">
        <v>630.75</v>
      </c>
      <c r="O2388" s="116">
        <v>608.4</v>
      </c>
      <c r="P2388" s="116">
        <v>627.9</v>
      </c>
      <c r="Q2388" s="116">
        <v>613.15</v>
      </c>
      <c r="R2388">
        <v>3642710</v>
      </c>
    </row>
    <row r="2389" spans="1:18" x14ac:dyDescent="0.25">
      <c r="A2389" s="170">
        <v>45524</v>
      </c>
      <c r="B2389" s="116">
        <v>620</v>
      </c>
      <c r="C2389" s="116">
        <v>616.35</v>
      </c>
      <c r="D2389" s="116">
        <v>607.5</v>
      </c>
      <c r="E2389" s="116">
        <v>612.04999999999995</v>
      </c>
      <c r="F2389" s="116">
        <v>616.35</v>
      </c>
      <c r="G2389">
        <v>59822</v>
      </c>
      <c r="H2389" s="116"/>
      <c r="I2389" s="116"/>
      <c r="L2389" s="170">
        <v>45524</v>
      </c>
      <c r="M2389" s="116">
        <v>616.15</v>
      </c>
      <c r="N2389" s="116">
        <v>623.9</v>
      </c>
      <c r="O2389" s="116">
        <v>607.6</v>
      </c>
      <c r="P2389" s="116">
        <v>623.9</v>
      </c>
      <c r="Q2389" s="116">
        <v>616.15</v>
      </c>
      <c r="R2389">
        <v>2121144</v>
      </c>
    </row>
    <row r="2390" spans="1:18" x14ac:dyDescent="0.25">
      <c r="A2390" s="170">
        <v>45525</v>
      </c>
      <c r="B2390" s="116">
        <v>621.9</v>
      </c>
      <c r="C2390" s="116">
        <v>620.95000000000005</v>
      </c>
      <c r="D2390" s="116">
        <v>613.45000000000005</v>
      </c>
      <c r="E2390" s="116">
        <v>616.6</v>
      </c>
      <c r="F2390" s="116">
        <v>620.95000000000005</v>
      </c>
      <c r="G2390">
        <v>56094</v>
      </c>
      <c r="H2390" s="116"/>
      <c r="I2390" s="116"/>
      <c r="L2390" s="170">
        <v>45525</v>
      </c>
      <c r="M2390" s="116">
        <v>621.15</v>
      </c>
      <c r="N2390" s="116">
        <v>622.25</v>
      </c>
      <c r="O2390" s="116">
        <v>613.6</v>
      </c>
      <c r="P2390" s="116">
        <v>617</v>
      </c>
      <c r="Q2390" s="116">
        <v>621.15</v>
      </c>
      <c r="R2390">
        <v>1138941</v>
      </c>
    </row>
    <row r="2391" spans="1:18" x14ac:dyDescent="0.25">
      <c r="A2391" s="170">
        <v>45526</v>
      </c>
      <c r="B2391" s="116">
        <v>646.45000000000005</v>
      </c>
      <c r="C2391" s="116">
        <v>644.6</v>
      </c>
      <c r="D2391" s="116">
        <v>620.79999999999995</v>
      </c>
      <c r="E2391" s="116">
        <v>622.54999999999995</v>
      </c>
      <c r="F2391" s="116">
        <v>644.6</v>
      </c>
      <c r="G2391">
        <v>199052</v>
      </c>
      <c r="H2391" s="116"/>
      <c r="I2391" s="116"/>
      <c r="L2391" s="170">
        <v>45526</v>
      </c>
      <c r="M2391" s="116">
        <v>644.6</v>
      </c>
      <c r="N2391" s="116">
        <v>647.04999999999995</v>
      </c>
      <c r="O2391" s="116">
        <v>620.79999999999995</v>
      </c>
      <c r="P2391" s="116">
        <v>624.25</v>
      </c>
      <c r="Q2391" s="116">
        <v>644.6</v>
      </c>
      <c r="R2391">
        <v>6513073</v>
      </c>
    </row>
    <row r="2392" spans="1:18" x14ac:dyDescent="0.25">
      <c r="A2392" s="170">
        <v>45527</v>
      </c>
      <c r="B2392" s="116">
        <v>647.75</v>
      </c>
      <c r="C2392" s="116">
        <v>641.65</v>
      </c>
      <c r="D2392" s="116">
        <v>636.79999999999995</v>
      </c>
      <c r="E2392" s="116">
        <v>647.54999999999995</v>
      </c>
      <c r="F2392" s="116">
        <v>641.65</v>
      </c>
      <c r="G2392">
        <v>138873</v>
      </c>
      <c r="H2392" s="116"/>
      <c r="I2392" s="116"/>
      <c r="L2392" s="170">
        <v>45527</v>
      </c>
      <c r="M2392" s="116">
        <v>641.9</v>
      </c>
      <c r="N2392" s="116">
        <v>649</v>
      </c>
      <c r="O2392" s="116">
        <v>636.4</v>
      </c>
      <c r="P2392" s="116">
        <v>646.25</v>
      </c>
      <c r="Q2392" s="116">
        <v>641.9</v>
      </c>
      <c r="R2392">
        <v>3388820</v>
      </c>
    </row>
    <row r="2393" spans="1:18" x14ac:dyDescent="0.25">
      <c r="A2393" s="170">
        <v>45530</v>
      </c>
      <c r="B2393" s="116">
        <v>669.85</v>
      </c>
      <c r="C2393" s="116">
        <v>661.55</v>
      </c>
      <c r="D2393" s="116">
        <v>641.70000000000005</v>
      </c>
      <c r="E2393" s="116">
        <v>642.6</v>
      </c>
      <c r="F2393" s="116">
        <v>661.55</v>
      </c>
      <c r="G2393">
        <v>312377</v>
      </c>
      <c r="H2393" s="116"/>
      <c r="I2393" s="116"/>
      <c r="L2393" s="170">
        <v>45530</v>
      </c>
      <c r="M2393" s="116">
        <v>661.6</v>
      </c>
      <c r="N2393" s="116">
        <v>669.8</v>
      </c>
      <c r="O2393" s="116">
        <v>641.45000000000005</v>
      </c>
      <c r="P2393" s="116">
        <v>643.79999999999995</v>
      </c>
      <c r="Q2393" s="116">
        <v>661.6</v>
      </c>
      <c r="R2393">
        <v>9957687</v>
      </c>
    </row>
    <row r="2394" spans="1:18" x14ac:dyDescent="0.25">
      <c r="A2394" s="170">
        <v>45531</v>
      </c>
      <c r="B2394" s="116">
        <v>668.05</v>
      </c>
      <c r="C2394" s="116">
        <v>665.3</v>
      </c>
      <c r="D2394" s="116">
        <v>661</v>
      </c>
      <c r="E2394" s="116">
        <v>667.95</v>
      </c>
      <c r="F2394" s="116">
        <v>665.3</v>
      </c>
      <c r="G2394">
        <v>82356</v>
      </c>
      <c r="H2394" s="116"/>
      <c r="I2394" s="116"/>
      <c r="L2394" s="170">
        <v>45531</v>
      </c>
      <c r="M2394" s="116">
        <v>665.3</v>
      </c>
      <c r="N2394" s="116">
        <v>670</v>
      </c>
      <c r="O2394" s="116">
        <v>660.8</v>
      </c>
      <c r="P2394" s="116">
        <v>667.05</v>
      </c>
      <c r="Q2394" s="116">
        <v>665.3</v>
      </c>
      <c r="R2394">
        <v>2847909</v>
      </c>
    </row>
    <row r="2395" spans="1:18" x14ac:dyDescent="0.25">
      <c r="A2395" s="170">
        <v>45532</v>
      </c>
      <c r="B2395" s="116">
        <v>672</v>
      </c>
      <c r="C2395" s="116">
        <v>654.4</v>
      </c>
      <c r="D2395" s="116">
        <v>651.70000000000005</v>
      </c>
      <c r="E2395" s="116">
        <v>665.3</v>
      </c>
      <c r="F2395" s="116">
        <v>654.4</v>
      </c>
      <c r="G2395">
        <v>112950</v>
      </c>
      <c r="H2395" s="116"/>
      <c r="I2395" s="116"/>
      <c r="L2395" s="170">
        <v>45532</v>
      </c>
      <c r="M2395" s="116">
        <v>654.20000000000005</v>
      </c>
      <c r="N2395" s="116">
        <v>671.7</v>
      </c>
      <c r="O2395" s="116">
        <v>651.79999999999995</v>
      </c>
      <c r="P2395" s="116">
        <v>665.3</v>
      </c>
      <c r="Q2395" s="116">
        <v>654.20000000000005</v>
      </c>
      <c r="R2395">
        <v>2994726</v>
      </c>
    </row>
    <row r="2396" spans="1:18" x14ac:dyDescent="0.25">
      <c r="A2396" s="170">
        <v>45533</v>
      </c>
      <c r="B2396" s="116">
        <v>658.05</v>
      </c>
      <c r="C2396" s="116">
        <v>648.20000000000005</v>
      </c>
      <c r="D2396" s="116">
        <v>642.15</v>
      </c>
      <c r="E2396" s="116">
        <v>658</v>
      </c>
      <c r="F2396" s="116">
        <v>648.20000000000005</v>
      </c>
      <c r="G2396">
        <v>85381</v>
      </c>
      <c r="H2396" s="116"/>
      <c r="I2396" s="116"/>
      <c r="L2396" s="170">
        <v>45533</v>
      </c>
      <c r="M2396" s="116">
        <v>648.29999999999995</v>
      </c>
      <c r="N2396" s="116">
        <v>656.4</v>
      </c>
      <c r="O2396" s="116">
        <v>642.04999999999995</v>
      </c>
      <c r="P2396" s="116">
        <v>656</v>
      </c>
      <c r="Q2396" s="116">
        <v>648.29999999999995</v>
      </c>
      <c r="R2396">
        <v>1871061</v>
      </c>
    </row>
    <row r="2397" spans="1:18" x14ac:dyDescent="0.25">
      <c r="A2397" s="170">
        <v>45534</v>
      </c>
      <c r="B2397" s="116">
        <v>655</v>
      </c>
      <c r="C2397" s="116">
        <v>648.20000000000005</v>
      </c>
      <c r="D2397" s="116">
        <v>644.35</v>
      </c>
      <c r="E2397" s="116">
        <v>650</v>
      </c>
      <c r="F2397" s="116">
        <v>648.20000000000005</v>
      </c>
      <c r="G2397">
        <v>50540</v>
      </c>
      <c r="H2397" s="116"/>
      <c r="I2397" s="116"/>
      <c r="L2397" s="170">
        <v>45534</v>
      </c>
      <c r="M2397" s="116">
        <v>647.5</v>
      </c>
      <c r="N2397" s="116">
        <v>655.25</v>
      </c>
      <c r="O2397" s="116">
        <v>644.15</v>
      </c>
      <c r="P2397" s="116">
        <v>650</v>
      </c>
      <c r="Q2397" s="116">
        <v>647.5</v>
      </c>
      <c r="R2397">
        <v>6267171</v>
      </c>
    </row>
    <row r="2398" spans="1:18" x14ac:dyDescent="0.25">
      <c r="A2398" s="170">
        <v>45537</v>
      </c>
      <c r="B2398" s="116">
        <v>658.5</v>
      </c>
      <c r="C2398" s="116">
        <v>656.1</v>
      </c>
      <c r="D2398" s="116">
        <v>646.70000000000005</v>
      </c>
      <c r="E2398" s="116">
        <v>647.29999999999995</v>
      </c>
      <c r="F2398" s="116">
        <v>656.1</v>
      </c>
      <c r="G2398">
        <v>80561</v>
      </c>
      <c r="H2398" s="116"/>
      <c r="I2398" s="116"/>
      <c r="L2398" s="170">
        <v>45537</v>
      </c>
      <c r="M2398" s="116">
        <v>655.9</v>
      </c>
      <c r="N2398" s="116">
        <v>658.8</v>
      </c>
      <c r="O2398" s="116">
        <v>647.1</v>
      </c>
      <c r="P2398" s="116">
        <v>650.1</v>
      </c>
      <c r="Q2398" s="116">
        <v>655.9</v>
      </c>
      <c r="R2398">
        <v>2023960</v>
      </c>
    </row>
    <row r="2399" spans="1:18" x14ac:dyDescent="0.25">
      <c r="A2399" s="170">
        <v>45538</v>
      </c>
      <c r="B2399" s="116">
        <v>663</v>
      </c>
      <c r="C2399" s="116">
        <v>658.2</v>
      </c>
      <c r="D2399" s="116">
        <v>655.55</v>
      </c>
      <c r="E2399" s="116">
        <v>657.55</v>
      </c>
      <c r="F2399" s="116">
        <v>658.2</v>
      </c>
      <c r="G2399">
        <v>125684</v>
      </c>
      <c r="H2399" s="116"/>
      <c r="I2399" s="116"/>
      <c r="L2399" s="170">
        <v>45538</v>
      </c>
      <c r="M2399" s="116">
        <v>658.95</v>
      </c>
      <c r="N2399" s="116">
        <v>663.45</v>
      </c>
      <c r="O2399" s="116">
        <v>655.6</v>
      </c>
      <c r="P2399" s="116">
        <v>660</v>
      </c>
      <c r="Q2399" s="116">
        <v>658.95</v>
      </c>
      <c r="R2399">
        <v>2308988</v>
      </c>
    </row>
    <row r="2400" spans="1:18" x14ac:dyDescent="0.25">
      <c r="A2400" s="170">
        <v>45539</v>
      </c>
      <c r="B2400" s="116">
        <v>662.6</v>
      </c>
      <c r="C2400" s="116">
        <v>659.65</v>
      </c>
      <c r="D2400" s="116">
        <v>650.20000000000005</v>
      </c>
      <c r="E2400" s="116">
        <v>654</v>
      </c>
      <c r="F2400" s="116">
        <v>659.65</v>
      </c>
      <c r="G2400">
        <v>40876</v>
      </c>
      <c r="H2400" s="116"/>
      <c r="I2400" s="116"/>
      <c r="L2400" s="170">
        <v>45539</v>
      </c>
      <c r="M2400" s="116">
        <v>659.65</v>
      </c>
      <c r="N2400" s="116">
        <v>662.5</v>
      </c>
      <c r="O2400" s="116">
        <v>650.20000000000005</v>
      </c>
      <c r="P2400" s="116">
        <v>654</v>
      </c>
      <c r="Q2400" s="116">
        <v>659.65</v>
      </c>
      <c r="R2400">
        <v>2878159</v>
      </c>
    </row>
    <row r="2401" spans="1:18" x14ac:dyDescent="0.25">
      <c r="A2401" s="170">
        <v>45540</v>
      </c>
      <c r="B2401" s="116">
        <v>673.25</v>
      </c>
      <c r="C2401" s="116">
        <v>670.4</v>
      </c>
      <c r="D2401" s="116">
        <v>659.45</v>
      </c>
      <c r="E2401" s="116">
        <v>661.15</v>
      </c>
      <c r="F2401" s="116">
        <v>670.4</v>
      </c>
      <c r="G2401">
        <v>172569</v>
      </c>
      <c r="H2401" s="116"/>
      <c r="I2401" s="116"/>
      <c r="L2401" s="170">
        <v>45540</v>
      </c>
      <c r="M2401" s="116">
        <v>670.45</v>
      </c>
      <c r="N2401" s="116">
        <v>673.5</v>
      </c>
      <c r="O2401" s="116">
        <v>659</v>
      </c>
      <c r="P2401" s="116">
        <v>662</v>
      </c>
      <c r="Q2401" s="116">
        <v>670.45</v>
      </c>
      <c r="R2401">
        <v>3865533</v>
      </c>
    </row>
    <row r="2402" spans="1:18" x14ac:dyDescent="0.25">
      <c r="A2402" s="170">
        <v>45541</v>
      </c>
      <c r="B2402" s="116">
        <v>672.35</v>
      </c>
      <c r="C2402" s="116">
        <v>654.5</v>
      </c>
      <c r="D2402" s="116">
        <v>649.79999999999995</v>
      </c>
      <c r="E2402" s="116">
        <v>670</v>
      </c>
      <c r="F2402" s="116">
        <v>654.5</v>
      </c>
      <c r="G2402">
        <v>87302</v>
      </c>
      <c r="H2402" s="116"/>
      <c r="I2402" s="116"/>
      <c r="L2402" s="170">
        <v>45541</v>
      </c>
      <c r="M2402" s="116">
        <v>657.25</v>
      </c>
      <c r="N2402" s="116">
        <v>671.85</v>
      </c>
      <c r="O2402" s="116">
        <v>652.5</v>
      </c>
      <c r="P2402" s="116">
        <v>669.8</v>
      </c>
      <c r="Q2402" s="116">
        <v>657.25</v>
      </c>
      <c r="R2402">
        <v>3123554</v>
      </c>
    </row>
    <row r="2403" spans="1:18" x14ac:dyDescent="0.25">
      <c r="A2403" s="170">
        <v>45544</v>
      </c>
      <c r="B2403" s="116">
        <v>667</v>
      </c>
      <c r="C2403" s="116">
        <v>666.1</v>
      </c>
      <c r="D2403" s="116">
        <v>651.29999999999995</v>
      </c>
      <c r="E2403" s="116">
        <v>656.95</v>
      </c>
      <c r="F2403" s="116">
        <v>666.1</v>
      </c>
      <c r="G2403">
        <v>46159</v>
      </c>
      <c r="H2403" s="116"/>
      <c r="I2403" s="116"/>
      <c r="L2403" s="170">
        <v>45544</v>
      </c>
      <c r="M2403" s="116">
        <v>665.85</v>
      </c>
      <c r="N2403" s="116">
        <v>667.5</v>
      </c>
      <c r="O2403" s="116">
        <v>651.29999999999995</v>
      </c>
      <c r="P2403" s="116">
        <v>653</v>
      </c>
      <c r="Q2403" s="116">
        <v>665.85</v>
      </c>
      <c r="R2403">
        <v>3227317</v>
      </c>
    </row>
    <row r="2404" spans="1:18" x14ac:dyDescent="0.25">
      <c r="A2404" s="170">
        <v>45545</v>
      </c>
      <c r="B2404" s="116">
        <v>696.75</v>
      </c>
      <c r="C2404" s="116">
        <v>694.9</v>
      </c>
      <c r="D2404" s="116">
        <v>667.8</v>
      </c>
      <c r="E2404" s="116">
        <v>667.8</v>
      </c>
      <c r="F2404" s="116">
        <v>694.9</v>
      </c>
      <c r="G2404">
        <v>329989</v>
      </c>
      <c r="H2404" s="116"/>
      <c r="I2404" s="116"/>
      <c r="L2404" s="170">
        <v>45545</v>
      </c>
      <c r="M2404" s="116">
        <v>695</v>
      </c>
      <c r="N2404" s="116">
        <v>696.7</v>
      </c>
      <c r="O2404" s="116">
        <v>667.1</v>
      </c>
      <c r="P2404" s="116">
        <v>670.4</v>
      </c>
      <c r="Q2404" s="116">
        <v>695</v>
      </c>
      <c r="R2404">
        <v>8406601</v>
      </c>
    </row>
    <row r="2405" spans="1:18" x14ac:dyDescent="0.25">
      <c r="A2405" s="170">
        <v>45546</v>
      </c>
      <c r="B2405" s="116">
        <v>695.45</v>
      </c>
      <c r="C2405" s="116">
        <v>684.6</v>
      </c>
      <c r="D2405" s="116">
        <v>681.65</v>
      </c>
      <c r="E2405" s="116">
        <v>694.9</v>
      </c>
      <c r="F2405" s="116">
        <v>684.6</v>
      </c>
      <c r="G2405">
        <v>74858</v>
      </c>
      <c r="H2405" s="116"/>
      <c r="I2405" s="116"/>
      <c r="L2405" s="170">
        <v>45546</v>
      </c>
      <c r="M2405" s="116">
        <v>684.75</v>
      </c>
      <c r="N2405" s="116">
        <v>695</v>
      </c>
      <c r="O2405" s="116">
        <v>681.75</v>
      </c>
      <c r="P2405" s="116">
        <v>694.95</v>
      </c>
      <c r="Q2405" s="116">
        <v>684.75</v>
      </c>
      <c r="R2405">
        <v>2187560</v>
      </c>
    </row>
    <row r="2406" spans="1:18" x14ac:dyDescent="0.25">
      <c r="A2406" s="170">
        <v>45547</v>
      </c>
      <c r="B2406" s="116">
        <v>702.65</v>
      </c>
      <c r="C2406" s="116">
        <v>701.25</v>
      </c>
      <c r="D2406" s="116">
        <v>685.1</v>
      </c>
      <c r="E2406" s="116">
        <v>693.65</v>
      </c>
      <c r="F2406" s="116">
        <v>701.25</v>
      </c>
      <c r="G2406">
        <v>245951</v>
      </c>
      <c r="H2406" s="116"/>
      <c r="I2406" s="116"/>
      <c r="L2406" s="170">
        <v>45547</v>
      </c>
      <c r="M2406" s="116">
        <v>700.9</v>
      </c>
      <c r="N2406" s="116">
        <v>703.75</v>
      </c>
      <c r="O2406" s="116">
        <v>685.1</v>
      </c>
      <c r="P2406" s="116">
        <v>691.05</v>
      </c>
      <c r="Q2406" s="116">
        <v>700.9</v>
      </c>
      <c r="R2406">
        <v>4151347</v>
      </c>
    </row>
    <row r="2407" spans="1:18" x14ac:dyDescent="0.25">
      <c r="A2407" s="170">
        <v>45548</v>
      </c>
      <c r="B2407" s="116">
        <v>701.75</v>
      </c>
      <c r="C2407" s="116">
        <v>688.4</v>
      </c>
      <c r="D2407" s="116">
        <v>687.8</v>
      </c>
      <c r="E2407" s="116">
        <v>695.05</v>
      </c>
      <c r="F2407" s="116">
        <v>688.4</v>
      </c>
      <c r="G2407">
        <v>103489</v>
      </c>
      <c r="H2407" s="116"/>
      <c r="I2407" s="116"/>
      <c r="L2407" s="170">
        <v>45548</v>
      </c>
      <c r="M2407" s="116">
        <v>689.05</v>
      </c>
      <c r="N2407" s="116">
        <v>701.75</v>
      </c>
      <c r="O2407" s="116">
        <v>688.05</v>
      </c>
      <c r="P2407" s="116">
        <v>698.5</v>
      </c>
      <c r="Q2407" s="116">
        <v>689.05</v>
      </c>
      <c r="R2407">
        <v>2255367</v>
      </c>
    </row>
    <row r="2408" spans="1:18" x14ac:dyDescent="0.25">
      <c r="A2408" s="170">
        <v>45551</v>
      </c>
      <c r="B2408" s="116">
        <v>698.5</v>
      </c>
      <c r="C2408" s="116">
        <v>691.05</v>
      </c>
      <c r="D2408" s="116">
        <v>686</v>
      </c>
      <c r="E2408" s="116">
        <v>692.75</v>
      </c>
      <c r="F2408" s="116">
        <v>691.05</v>
      </c>
      <c r="G2408">
        <v>48643</v>
      </c>
      <c r="H2408" s="116"/>
      <c r="I2408" s="116"/>
      <c r="L2408" s="170">
        <v>45551</v>
      </c>
      <c r="M2408" s="116">
        <v>690.95</v>
      </c>
      <c r="N2408" s="116">
        <v>698.8</v>
      </c>
      <c r="O2408" s="116">
        <v>686</v>
      </c>
      <c r="P2408" s="116">
        <v>691.25</v>
      </c>
      <c r="Q2408" s="116">
        <v>690.95</v>
      </c>
      <c r="R2408">
        <v>1596640</v>
      </c>
    </row>
    <row r="2409" spans="1:18" x14ac:dyDescent="0.25">
      <c r="A2409" s="170">
        <v>45552</v>
      </c>
      <c r="B2409" s="116">
        <v>695.55</v>
      </c>
      <c r="C2409" s="116">
        <v>691.8</v>
      </c>
      <c r="D2409" s="116">
        <v>685</v>
      </c>
      <c r="E2409" s="116">
        <v>691.05</v>
      </c>
      <c r="F2409" s="116">
        <v>691.8</v>
      </c>
      <c r="G2409">
        <v>56142</v>
      </c>
      <c r="H2409" s="116"/>
      <c r="I2409" s="116"/>
      <c r="L2409" s="170">
        <v>45552</v>
      </c>
      <c r="M2409" s="116">
        <v>692.25</v>
      </c>
      <c r="N2409" s="116">
        <v>695.5</v>
      </c>
      <c r="O2409" s="116">
        <v>685</v>
      </c>
      <c r="P2409" s="116">
        <v>691.5</v>
      </c>
      <c r="Q2409" s="116">
        <v>692.25</v>
      </c>
      <c r="R2409">
        <v>818850</v>
      </c>
    </row>
    <row r="2410" spans="1:18" x14ac:dyDescent="0.25">
      <c r="A2410" s="170">
        <v>45553</v>
      </c>
      <c r="B2410" s="116">
        <v>695</v>
      </c>
      <c r="C2410" s="116">
        <v>681.3</v>
      </c>
      <c r="D2410" s="116">
        <v>677.45</v>
      </c>
      <c r="E2410" s="116">
        <v>694.3</v>
      </c>
      <c r="F2410" s="116">
        <v>681.3</v>
      </c>
      <c r="G2410">
        <v>33909</v>
      </c>
      <c r="H2410" s="116"/>
      <c r="I2410" s="116"/>
      <c r="L2410" s="170">
        <v>45553</v>
      </c>
      <c r="M2410" s="116">
        <v>681.4</v>
      </c>
      <c r="N2410" s="116">
        <v>695.2</v>
      </c>
      <c r="O2410" s="116">
        <v>677.35</v>
      </c>
      <c r="P2410" s="116">
        <v>692.2</v>
      </c>
      <c r="Q2410" s="116">
        <v>681.4</v>
      </c>
      <c r="R2410">
        <v>910016</v>
      </c>
    </row>
    <row r="2411" spans="1:18" x14ac:dyDescent="0.25">
      <c r="A2411" s="170">
        <v>45554</v>
      </c>
      <c r="B2411" s="116">
        <v>693.5</v>
      </c>
      <c r="C2411" s="116">
        <v>690.35</v>
      </c>
      <c r="D2411" s="116">
        <v>671.05</v>
      </c>
      <c r="E2411" s="116">
        <v>685.55</v>
      </c>
      <c r="F2411" s="116">
        <v>690.35</v>
      </c>
      <c r="G2411">
        <v>44232</v>
      </c>
      <c r="H2411" s="116"/>
      <c r="I2411" s="116"/>
      <c r="L2411" s="170">
        <v>45554</v>
      </c>
      <c r="M2411" s="116">
        <v>690.85</v>
      </c>
      <c r="N2411" s="116">
        <v>693.6</v>
      </c>
      <c r="O2411" s="116">
        <v>670.8</v>
      </c>
      <c r="P2411" s="116">
        <v>686</v>
      </c>
      <c r="Q2411" s="116">
        <v>690.85</v>
      </c>
      <c r="R2411">
        <v>1484426</v>
      </c>
    </row>
    <row r="2412" spans="1:18" x14ac:dyDescent="0.25">
      <c r="A2412" s="170">
        <v>45555</v>
      </c>
      <c r="B2412" s="116">
        <v>706.95</v>
      </c>
      <c r="C2412" s="116">
        <v>702.55</v>
      </c>
      <c r="D2412" s="116">
        <v>680.9</v>
      </c>
      <c r="E2412" s="116">
        <v>694</v>
      </c>
      <c r="F2412" s="116">
        <v>702.55</v>
      </c>
      <c r="G2412">
        <v>64743</v>
      </c>
      <c r="H2412" s="116"/>
      <c r="I2412" s="116"/>
      <c r="L2412" s="170">
        <v>45555</v>
      </c>
      <c r="M2412" s="116">
        <v>702.75</v>
      </c>
      <c r="N2412" s="116">
        <v>707</v>
      </c>
      <c r="O2412" s="116">
        <v>681</v>
      </c>
      <c r="P2412" s="116">
        <v>694</v>
      </c>
      <c r="Q2412" s="116">
        <v>702.75</v>
      </c>
      <c r="R2412">
        <v>2945519</v>
      </c>
    </row>
    <row r="2413" spans="1:18" x14ac:dyDescent="0.25">
      <c r="A2413" s="170">
        <v>45558</v>
      </c>
      <c r="B2413" s="116">
        <v>716</v>
      </c>
      <c r="C2413" s="116">
        <v>714.05</v>
      </c>
      <c r="D2413" s="116">
        <v>698.5</v>
      </c>
      <c r="E2413" s="116">
        <v>703</v>
      </c>
      <c r="F2413" s="116">
        <v>714.05</v>
      </c>
      <c r="G2413">
        <v>90702</v>
      </c>
      <c r="H2413" s="116"/>
      <c r="I2413" s="116"/>
      <c r="L2413" s="170">
        <v>45558</v>
      </c>
      <c r="M2413" s="116">
        <v>714.8</v>
      </c>
      <c r="N2413" s="116">
        <v>716.35</v>
      </c>
      <c r="O2413" s="116">
        <v>698.35</v>
      </c>
      <c r="P2413" s="116">
        <v>705</v>
      </c>
      <c r="Q2413" s="116">
        <v>714.8</v>
      </c>
      <c r="R2413">
        <v>4278812</v>
      </c>
    </row>
    <row r="2414" spans="1:18" x14ac:dyDescent="0.25">
      <c r="A2414" s="170">
        <v>45559</v>
      </c>
      <c r="B2414" s="116">
        <v>720.6</v>
      </c>
      <c r="C2414" s="116">
        <v>711.5</v>
      </c>
      <c r="D2414" s="116">
        <v>709.95</v>
      </c>
      <c r="E2414" s="116">
        <v>716.8</v>
      </c>
      <c r="F2414" s="116">
        <v>711.5</v>
      </c>
      <c r="G2414">
        <v>60958</v>
      </c>
      <c r="H2414" s="116"/>
      <c r="I2414" s="116"/>
      <c r="L2414" s="170">
        <v>45559</v>
      </c>
      <c r="M2414" s="116">
        <v>711.65</v>
      </c>
      <c r="N2414" s="116">
        <v>720.45</v>
      </c>
      <c r="O2414" s="116">
        <v>709.9</v>
      </c>
      <c r="P2414" s="116">
        <v>718.5</v>
      </c>
      <c r="Q2414" s="116">
        <v>711.65</v>
      </c>
      <c r="R2414">
        <v>2080352</v>
      </c>
    </row>
    <row r="2415" spans="1:18" x14ac:dyDescent="0.25">
      <c r="A2415" s="170">
        <v>45560</v>
      </c>
      <c r="B2415" s="116">
        <v>717.25</v>
      </c>
      <c r="C2415" s="116">
        <v>709.95</v>
      </c>
      <c r="D2415" s="116">
        <v>707.4</v>
      </c>
      <c r="E2415" s="116">
        <v>714.75</v>
      </c>
      <c r="F2415" s="116">
        <v>709.95</v>
      </c>
      <c r="G2415">
        <v>27486</v>
      </c>
      <c r="H2415" s="116"/>
      <c r="I2415" s="116"/>
      <c r="L2415" s="170">
        <v>45560</v>
      </c>
      <c r="M2415" s="116">
        <v>709.95</v>
      </c>
      <c r="N2415" s="116">
        <v>717.7</v>
      </c>
      <c r="O2415" s="116">
        <v>707.25</v>
      </c>
      <c r="P2415" s="116">
        <v>713.2</v>
      </c>
      <c r="Q2415" s="116">
        <v>709.95</v>
      </c>
      <c r="R2415">
        <v>2024360</v>
      </c>
    </row>
    <row r="2416" spans="1:18" x14ac:dyDescent="0.25">
      <c r="A2416" s="170">
        <v>45561</v>
      </c>
      <c r="B2416" s="116">
        <v>719.4</v>
      </c>
      <c r="C2416" s="116">
        <v>709.3</v>
      </c>
      <c r="D2416" s="116">
        <v>705.5</v>
      </c>
      <c r="E2416" s="116">
        <v>710.25</v>
      </c>
      <c r="F2416" s="116">
        <v>709.3</v>
      </c>
      <c r="G2416">
        <v>66209</v>
      </c>
      <c r="H2416" s="116"/>
      <c r="I2416" s="116"/>
      <c r="L2416" s="170">
        <v>45561</v>
      </c>
      <c r="M2416" s="116">
        <v>709.9</v>
      </c>
      <c r="N2416" s="116">
        <v>719</v>
      </c>
      <c r="O2416" s="116">
        <v>705.5</v>
      </c>
      <c r="P2416" s="116">
        <v>711.9</v>
      </c>
      <c r="Q2416" s="116">
        <v>709.9</v>
      </c>
      <c r="R2416">
        <v>2008532</v>
      </c>
    </row>
    <row r="2417" spans="1:18" x14ac:dyDescent="0.25">
      <c r="A2417" s="170">
        <v>45562</v>
      </c>
      <c r="B2417" s="116">
        <v>715.4</v>
      </c>
      <c r="C2417" s="116">
        <v>709.6</v>
      </c>
      <c r="D2417" s="116">
        <v>699.2</v>
      </c>
      <c r="E2417" s="116">
        <v>710</v>
      </c>
      <c r="F2417" s="116">
        <v>709.6</v>
      </c>
      <c r="G2417">
        <v>158968</v>
      </c>
      <c r="H2417" s="116"/>
      <c r="I2417" s="116"/>
      <c r="L2417" s="170">
        <v>45562</v>
      </c>
      <c r="M2417" s="116">
        <v>710.3</v>
      </c>
      <c r="N2417" s="116">
        <v>715.6</v>
      </c>
      <c r="O2417" s="116">
        <v>699.3</v>
      </c>
      <c r="P2417" s="116">
        <v>709.5</v>
      </c>
      <c r="Q2417" s="116">
        <v>710.3</v>
      </c>
      <c r="R2417">
        <v>2048448</v>
      </c>
    </row>
    <row r="2418" spans="1:18" x14ac:dyDescent="0.25">
      <c r="A2418" s="170">
        <v>45565</v>
      </c>
      <c r="B2418" s="116">
        <v>707</v>
      </c>
      <c r="C2418" s="116">
        <v>684.75</v>
      </c>
      <c r="D2418" s="116">
        <v>682.5</v>
      </c>
      <c r="E2418" s="116">
        <v>700</v>
      </c>
      <c r="F2418" s="116">
        <v>684.75</v>
      </c>
      <c r="G2418">
        <v>94629</v>
      </c>
      <c r="H2418" s="116"/>
      <c r="I2418" s="116"/>
      <c r="L2418" s="170">
        <v>45565</v>
      </c>
      <c r="M2418" s="116">
        <v>684.7</v>
      </c>
      <c r="N2418" s="116">
        <v>708.15</v>
      </c>
      <c r="O2418" s="116">
        <v>682.2</v>
      </c>
      <c r="P2418" s="116">
        <v>698</v>
      </c>
      <c r="Q2418" s="116">
        <v>684.7</v>
      </c>
      <c r="R2418">
        <v>4573293</v>
      </c>
    </row>
    <row r="2419" spans="1:18" x14ac:dyDescent="0.25">
      <c r="A2419" s="170">
        <v>45566</v>
      </c>
      <c r="B2419" s="116">
        <v>690.65</v>
      </c>
      <c r="C2419" s="116">
        <v>681.2</v>
      </c>
      <c r="D2419" s="116">
        <v>676.2</v>
      </c>
      <c r="E2419" s="116">
        <v>690.1</v>
      </c>
      <c r="F2419" s="116">
        <v>681.2</v>
      </c>
      <c r="G2419">
        <v>149158</v>
      </c>
      <c r="H2419" s="116"/>
      <c r="I2419" s="116"/>
      <c r="L2419" s="170">
        <v>45566</v>
      </c>
      <c r="M2419" s="116">
        <v>681.7</v>
      </c>
      <c r="N2419" s="116">
        <v>690.7</v>
      </c>
      <c r="O2419" s="116">
        <v>676.1</v>
      </c>
      <c r="P2419" s="116">
        <v>690</v>
      </c>
      <c r="Q2419" s="116">
        <v>681.7</v>
      </c>
      <c r="R2419">
        <v>2326716</v>
      </c>
    </row>
    <row r="2420" spans="1:18" x14ac:dyDescent="0.25">
      <c r="A2420" s="170">
        <v>45568</v>
      </c>
      <c r="B2420" s="116">
        <v>682.4</v>
      </c>
      <c r="C2420" s="116">
        <v>673.95</v>
      </c>
      <c r="D2420" s="116">
        <v>660.9</v>
      </c>
      <c r="E2420" s="116">
        <v>660.9</v>
      </c>
      <c r="F2420" s="116">
        <v>673.95</v>
      </c>
      <c r="G2420">
        <v>63806</v>
      </c>
      <c r="H2420" s="116"/>
      <c r="I2420" s="116"/>
      <c r="L2420" s="170">
        <v>45568</v>
      </c>
      <c r="M2420" s="116">
        <v>674.05</v>
      </c>
      <c r="N2420" s="116">
        <v>682.55</v>
      </c>
      <c r="O2420" s="116">
        <v>668.2</v>
      </c>
      <c r="P2420" s="116">
        <v>668.5</v>
      </c>
      <c r="Q2420" s="116">
        <v>674.05</v>
      </c>
      <c r="R2420">
        <v>2412102</v>
      </c>
    </row>
    <row r="2421" spans="1:18" x14ac:dyDescent="0.25">
      <c r="A2421" s="170">
        <v>45569</v>
      </c>
      <c r="B2421" s="116">
        <v>677.45</v>
      </c>
      <c r="C2421" s="116">
        <v>661.25</v>
      </c>
      <c r="D2421" s="116">
        <v>657.05</v>
      </c>
      <c r="E2421" s="116">
        <v>673</v>
      </c>
      <c r="F2421" s="116">
        <v>661.25</v>
      </c>
      <c r="G2421">
        <v>77466</v>
      </c>
      <c r="H2421" s="116"/>
      <c r="I2421" s="116"/>
      <c r="L2421" s="170">
        <v>45569</v>
      </c>
      <c r="M2421" s="116">
        <v>661.45</v>
      </c>
      <c r="N2421" s="116">
        <v>677.95</v>
      </c>
      <c r="O2421" s="116">
        <v>657</v>
      </c>
      <c r="P2421" s="116">
        <v>674.05</v>
      </c>
      <c r="Q2421" s="116">
        <v>661.45</v>
      </c>
      <c r="R2421">
        <v>4004021</v>
      </c>
    </row>
    <row r="2422" spans="1:18" x14ac:dyDescent="0.25">
      <c r="A2422" s="170">
        <v>45572</v>
      </c>
      <c r="B2422" s="116">
        <v>682</v>
      </c>
      <c r="C2422" s="116">
        <v>652.29999999999995</v>
      </c>
      <c r="D2422" s="116">
        <v>646.5</v>
      </c>
      <c r="E2422" s="116">
        <v>665.25</v>
      </c>
      <c r="F2422" s="116">
        <v>652.29999999999995</v>
      </c>
      <c r="G2422">
        <v>106426</v>
      </c>
      <c r="H2422" s="116"/>
      <c r="I2422" s="116"/>
      <c r="L2422" s="170">
        <v>45572</v>
      </c>
      <c r="M2422" s="116">
        <v>653.04999999999995</v>
      </c>
      <c r="N2422" s="116">
        <v>681.7</v>
      </c>
      <c r="O2422" s="116">
        <v>645.9</v>
      </c>
      <c r="P2422" s="116">
        <v>668</v>
      </c>
      <c r="Q2422" s="116">
        <v>653.04999999999995</v>
      </c>
      <c r="R2422">
        <v>4155691</v>
      </c>
    </row>
    <row r="2423" spans="1:18" x14ac:dyDescent="0.25">
      <c r="A2423" s="170">
        <v>45573</v>
      </c>
      <c r="B2423" s="116">
        <v>686.6</v>
      </c>
      <c r="C2423" s="116">
        <v>684.45</v>
      </c>
      <c r="D2423" s="116">
        <v>652.29999999999995</v>
      </c>
      <c r="E2423" s="116">
        <v>654.95000000000005</v>
      </c>
      <c r="F2423" s="116">
        <v>684.45</v>
      </c>
      <c r="G2423">
        <v>83171</v>
      </c>
      <c r="H2423" s="116"/>
      <c r="I2423" s="116"/>
      <c r="L2423" s="170">
        <v>45573</v>
      </c>
      <c r="M2423" s="116">
        <v>684.65</v>
      </c>
      <c r="N2423" s="116">
        <v>686.9</v>
      </c>
      <c r="O2423" s="116">
        <v>651.54999999999995</v>
      </c>
      <c r="P2423" s="116">
        <v>653</v>
      </c>
      <c r="Q2423" s="116">
        <v>684.65</v>
      </c>
      <c r="R2423">
        <v>3891924</v>
      </c>
    </row>
    <row r="2424" spans="1:18" x14ac:dyDescent="0.25">
      <c r="A2424" s="170">
        <v>45574</v>
      </c>
      <c r="B2424" s="116">
        <v>707.85</v>
      </c>
      <c r="C2424" s="116">
        <v>693.6</v>
      </c>
      <c r="D2424" s="116">
        <v>685</v>
      </c>
      <c r="E2424" s="116">
        <v>685</v>
      </c>
      <c r="F2424" s="116">
        <v>693.6</v>
      </c>
      <c r="G2424">
        <v>137619</v>
      </c>
      <c r="H2424" s="116"/>
      <c r="I2424" s="116"/>
      <c r="L2424" s="170">
        <v>45574</v>
      </c>
      <c r="M2424" s="116">
        <v>693.65</v>
      </c>
      <c r="N2424" s="116">
        <v>707.8</v>
      </c>
      <c r="O2424" s="116">
        <v>685</v>
      </c>
      <c r="P2424" s="116">
        <v>685.1</v>
      </c>
      <c r="Q2424" s="116">
        <v>693.65</v>
      </c>
      <c r="R2424">
        <v>2889487</v>
      </c>
    </row>
    <row r="2425" spans="1:18" x14ac:dyDescent="0.25">
      <c r="A2425" s="170">
        <v>45575</v>
      </c>
      <c r="B2425" s="116">
        <v>715.1</v>
      </c>
      <c r="C2425" s="116">
        <v>706.25</v>
      </c>
      <c r="D2425" s="116">
        <v>695.85</v>
      </c>
      <c r="E2425" s="116">
        <v>695.85</v>
      </c>
      <c r="F2425" s="116">
        <v>706.25</v>
      </c>
      <c r="G2425">
        <v>284462</v>
      </c>
      <c r="H2425" s="116"/>
      <c r="I2425" s="116"/>
      <c r="L2425" s="170">
        <v>45575</v>
      </c>
      <c r="M2425" s="116">
        <v>706.25</v>
      </c>
      <c r="N2425" s="116">
        <v>715.4</v>
      </c>
      <c r="O2425" s="116">
        <v>697</v>
      </c>
      <c r="P2425" s="116">
        <v>699.2</v>
      </c>
      <c r="Q2425" s="116">
        <v>706.25</v>
      </c>
      <c r="R2425">
        <v>3112837</v>
      </c>
    </row>
    <row r="2426" spans="1:18" x14ac:dyDescent="0.25">
      <c r="A2426" s="170">
        <v>45576</v>
      </c>
      <c r="B2426" s="116">
        <v>710.65</v>
      </c>
      <c r="C2426" s="116">
        <v>708.8</v>
      </c>
      <c r="D2426" s="116">
        <v>695.45</v>
      </c>
      <c r="E2426" s="116">
        <v>706.25</v>
      </c>
      <c r="F2426" s="116">
        <v>708.8</v>
      </c>
      <c r="G2426">
        <v>58417</v>
      </c>
      <c r="H2426" s="116"/>
      <c r="I2426" s="116"/>
      <c r="L2426" s="170">
        <v>45576</v>
      </c>
      <c r="M2426" s="116">
        <v>708.55</v>
      </c>
      <c r="N2426" s="116">
        <v>711</v>
      </c>
      <c r="O2426" s="116">
        <v>695.15</v>
      </c>
      <c r="P2426" s="116">
        <v>706.25</v>
      </c>
      <c r="Q2426" s="116">
        <v>708.55</v>
      </c>
      <c r="R2426">
        <v>1050211</v>
      </c>
    </row>
    <row r="2427" spans="1:18" x14ac:dyDescent="0.25">
      <c r="A2427" s="170">
        <v>45579</v>
      </c>
      <c r="B2427" s="116">
        <v>714.1</v>
      </c>
      <c r="C2427" s="116">
        <v>704.9</v>
      </c>
      <c r="D2427" s="116">
        <v>698.85</v>
      </c>
      <c r="E2427" s="116">
        <v>712.95</v>
      </c>
      <c r="F2427" s="116">
        <v>704.9</v>
      </c>
      <c r="G2427">
        <v>64583</v>
      </c>
      <c r="H2427" s="116"/>
      <c r="I2427" s="116"/>
      <c r="L2427" s="170">
        <v>45579</v>
      </c>
      <c r="M2427" s="116">
        <v>705.2</v>
      </c>
      <c r="N2427" s="116">
        <v>714.6</v>
      </c>
      <c r="O2427" s="116">
        <v>698.8</v>
      </c>
      <c r="P2427" s="116">
        <v>710</v>
      </c>
      <c r="Q2427" s="116">
        <v>705.2</v>
      </c>
      <c r="R2427">
        <v>2285519</v>
      </c>
    </row>
    <row r="2428" spans="1:18" x14ac:dyDescent="0.25">
      <c r="A2428" s="170">
        <v>45580</v>
      </c>
      <c r="B2428" s="116">
        <v>714.1</v>
      </c>
      <c r="C2428" s="116">
        <v>712.4</v>
      </c>
      <c r="D2428" s="116">
        <v>702.9</v>
      </c>
      <c r="E2428" s="116">
        <v>707.95</v>
      </c>
      <c r="F2428" s="116">
        <v>712.4</v>
      </c>
      <c r="G2428">
        <v>36605</v>
      </c>
      <c r="H2428" s="116"/>
      <c r="I2428" s="116"/>
      <c r="L2428" s="170">
        <v>45580</v>
      </c>
      <c r="M2428" s="116">
        <v>712.6</v>
      </c>
      <c r="N2428" s="116">
        <v>713.95</v>
      </c>
      <c r="O2428" s="116">
        <v>702.6</v>
      </c>
      <c r="P2428" s="116">
        <v>707</v>
      </c>
      <c r="Q2428" s="116">
        <v>712.6</v>
      </c>
      <c r="R2428">
        <v>1311750</v>
      </c>
    </row>
    <row r="2429" spans="1:18" x14ac:dyDescent="0.25">
      <c r="A2429" s="170">
        <v>45581</v>
      </c>
      <c r="B2429" s="116">
        <v>712.4</v>
      </c>
      <c r="C2429" s="116">
        <v>704.15</v>
      </c>
      <c r="D2429" s="116">
        <v>699</v>
      </c>
      <c r="E2429" s="116">
        <v>711.95</v>
      </c>
      <c r="F2429" s="116">
        <v>704.15</v>
      </c>
      <c r="G2429">
        <v>29785</v>
      </c>
      <c r="H2429" s="116"/>
      <c r="I2429" s="116"/>
      <c r="L2429" s="170">
        <v>45581</v>
      </c>
      <c r="M2429" s="116">
        <v>704.55</v>
      </c>
      <c r="N2429" s="116">
        <v>713.65</v>
      </c>
      <c r="O2429" s="116">
        <v>698.8</v>
      </c>
      <c r="P2429" s="116">
        <v>711</v>
      </c>
      <c r="Q2429" s="116">
        <v>704.55</v>
      </c>
      <c r="R2429">
        <v>1318050</v>
      </c>
    </row>
    <row r="2430" spans="1:18" x14ac:dyDescent="0.25">
      <c r="A2430" s="170">
        <v>45582</v>
      </c>
      <c r="B2430" s="116">
        <v>704.5</v>
      </c>
      <c r="C2430" s="116">
        <v>686.65</v>
      </c>
      <c r="D2430" s="116">
        <v>680</v>
      </c>
      <c r="E2430" s="116">
        <v>704.5</v>
      </c>
      <c r="F2430" s="116">
        <v>686.65</v>
      </c>
      <c r="G2430">
        <v>54437</v>
      </c>
      <c r="H2430" s="116"/>
      <c r="I2430" s="116"/>
      <c r="L2430" s="170">
        <v>45582</v>
      </c>
      <c r="M2430" s="116">
        <v>687.3</v>
      </c>
      <c r="N2430" s="116">
        <v>704.9</v>
      </c>
      <c r="O2430" s="116">
        <v>679.7</v>
      </c>
      <c r="P2430" s="116">
        <v>704.9</v>
      </c>
      <c r="Q2430" s="116">
        <v>687.3</v>
      </c>
      <c r="R2430">
        <v>2084447</v>
      </c>
    </row>
    <row r="2431" spans="1:18" x14ac:dyDescent="0.25">
      <c r="A2431" s="170">
        <v>45583</v>
      </c>
      <c r="B2431" s="116">
        <v>692.75</v>
      </c>
      <c r="C2431" s="116">
        <v>686.7</v>
      </c>
      <c r="D2431" s="116">
        <v>680.6</v>
      </c>
      <c r="E2431" s="116">
        <v>686.65</v>
      </c>
      <c r="F2431" s="116">
        <v>686.7</v>
      </c>
      <c r="G2431">
        <v>22212</v>
      </c>
      <c r="H2431" s="116"/>
      <c r="I2431" s="116"/>
      <c r="L2431" s="170">
        <v>45583</v>
      </c>
      <c r="M2431" s="116">
        <v>686.7</v>
      </c>
      <c r="N2431" s="116">
        <v>693</v>
      </c>
      <c r="O2431" s="116">
        <v>680.4</v>
      </c>
      <c r="P2431" s="116">
        <v>685.8</v>
      </c>
      <c r="Q2431" s="116">
        <v>686.7</v>
      </c>
      <c r="R2431">
        <v>2267035</v>
      </c>
    </row>
    <row r="2432" spans="1:18" x14ac:dyDescent="0.25">
      <c r="A2432" s="170">
        <v>45586</v>
      </c>
      <c r="B2432" s="116">
        <v>714.3</v>
      </c>
      <c r="C2432" s="116">
        <v>679</v>
      </c>
      <c r="D2432" s="116">
        <v>675.05</v>
      </c>
      <c r="E2432" s="116">
        <v>687.25</v>
      </c>
      <c r="F2432" s="116">
        <v>679</v>
      </c>
      <c r="G2432">
        <v>468957</v>
      </c>
      <c r="H2432" s="116"/>
      <c r="I2432" s="116"/>
      <c r="L2432" s="170">
        <v>45586</v>
      </c>
      <c r="M2432" s="116">
        <v>679</v>
      </c>
      <c r="N2432" s="116">
        <v>714.5</v>
      </c>
      <c r="O2432" s="116">
        <v>675</v>
      </c>
      <c r="P2432" s="116">
        <v>692</v>
      </c>
      <c r="Q2432" s="116">
        <v>679</v>
      </c>
      <c r="R2432">
        <v>7839775</v>
      </c>
    </row>
    <row r="2433" spans="1:18" x14ac:dyDescent="0.25">
      <c r="A2433" s="170">
        <v>45587</v>
      </c>
      <c r="B2433" s="116">
        <v>684.2</v>
      </c>
      <c r="C2433" s="116">
        <v>656</v>
      </c>
      <c r="D2433" s="116">
        <v>653.29999999999995</v>
      </c>
      <c r="E2433" s="116">
        <v>679.05</v>
      </c>
      <c r="F2433" s="116">
        <v>656</v>
      </c>
      <c r="G2433">
        <v>184092</v>
      </c>
      <c r="H2433" s="116"/>
      <c r="I2433" s="116"/>
      <c r="L2433" s="170">
        <v>45587</v>
      </c>
      <c r="M2433" s="116">
        <v>656.1</v>
      </c>
      <c r="N2433" s="116">
        <v>684.05</v>
      </c>
      <c r="O2433" s="116">
        <v>653.29999999999995</v>
      </c>
      <c r="P2433" s="116">
        <v>682.55</v>
      </c>
      <c r="Q2433" s="116">
        <v>656.1</v>
      </c>
      <c r="R2433">
        <v>2782936</v>
      </c>
    </row>
    <row r="2434" spans="1:18" x14ac:dyDescent="0.25">
      <c r="A2434" s="170">
        <v>45588</v>
      </c>
      <c r="B2434" s="116">
        <v>665.35</v>
      </c>
      <c r="C2434" s="116">
        <v>657.7</v>
      </c>
      <c r="D2434" s="116">
        <v>648.95000000000005</v>
      </c>
      <c r="E2434" s="116">
        <v>650.15</v>
      </c>
      <c r="F2434" s="116">
        <v>657.7</v>
      </c>
      <c r="G2434">
        <v>62189</v>
      </c>
      <c r="H2434" s="116"/>
      <c r="I2434" s="116"/>
      <c r="L2434" s="170">
        <v>45588</v>
      </c>
      <c r="M2434" s="116">
        <v>658.65</v>
      </c>
      <c r="N2434" s="116">
        <v>665.15</v>
      </c>
      <c r="O2434" s="116">
        <v>649</v>
      </c>
      <c r="P2434" s="116">
        <v>652.20000000000005</v>
      </c>
      <c r="Q2434" s="116">
        <v>658.65</v>
      </c>
      <c r="R2434">
        <v>1954862</v>
      </c>
    </row>
    <row r="2435" spans="1:18" x14ac:dyDescent="0.25">
      <c r="A2435" s="170">
        <v>45589</v>
      </c>
      <c r="B2435" s="116">
        <v>670.25</v>
      </c>
      <c r="C2435" s="116">
        <v>667.1</v>
      </c>
      <c r="D2435" s="116">
        <v>651.29999999999995</v>
      </c>
      <c r="E2435" s="116">
        <v>657</v>
      </c>
      <c r="F2435" s="116">
        <v>667.1</v>
      </c>
      <c r="G2435">
        <v>40132</v>
      </c>
      <c r="H2435" s="116"/>
      <c r="I2435" s="116"/>
      <c r="L2435" s="170">
        <v>45589</v>
      </c>
      <c r="M2435" s="116">
        <v>667</v>
      </c>
      <c r="N2435" s="116">
        <v>670</v>
      </c>
      <c r="O2435" s="116">
        <v>651.04999999999995</v>
      </c>
      <c r="P2435" s="116">
        <v>654.95000000000005</v>
      </c>
      <c r="Q2435" s="116">
        <v>667</v>
      </c>
      <c r="R2435">
        <v>1637028</v>
      </c>
    </row>
    <row r="2436" spans="1:18" x14ac:dyDescent="0.25">
      <c r="A2436" s="170">
        <v>45590</v>
      </c>
      <c r="B2436" s="116">
        <v>695.15</v>
      </c>
      <c r="C2436" s="116">
        <v>691.55</v>
      </c>
      <c r="D2436" s="116">
        <v>656.4</v>
      </c>
      <c r="E2436" s="116">
        <v>672.05</v>
      </c>
      <c r="F2436" s="116">
        <v>691.55</v>
      </c>
      <c r="G2436">
        <v>230006</v>
      </c>
      <c r="H2436" s="116"/>
      <c r="I2436" s="116"/>
      <c r="L2436" s="170">
        <v>45590</v>
      </c>
      <c r="M2436" s="116">
        <v>691.25</v>
      </c>
      <c r="N2436" s="116">
        <v>695.35</v>
      </c>
      <c r="O2436" s="116">
        <v>656.45</v>
      </c>
      <c r="P2436" s="116">
        <v>672.65</v>
      </c>
      <c r="Q2436" s="116">
        <v>691.25</v>
      </c>
      <c r="R2436">
        <v>5954183</v>
      </c>
    </row>
    <row r="2437" spans="1:18" x14ac:dyDescent="0.25">
      <c r="A2437" s="170">
        <v>45593</v>
      </c>
      <c r="B2437" s="116">
        <v>693.55</v>
      </c>
      <c r="C2437" s="116">
        <v>671.15</v>
      </c>
      <c r="D2437" s="116">
        <v>669.2</v>
      </c>
      <c r="E2437" s="116">
        <v>690</v>
      </c>
      <c r="F2437" s="116">
        <v>671.15</v>
      </c>
      <c r="G2437">
        <v>252817</v>
      </c>
      <c r="H2437" s="116"/>
      <c r="I2437" s="116"/>
      <c r="L2437" s="170">
        <v>45593</v>
      </c>
      <c r="M2437" s="116">
        <v>671.25</v>
      </c>
      <c r="N2437" s="116">
        <v>693.9</v>
      </c>
      <c r="O2437" s="116">
        <v>669</v>
      </c>
      <c r="P2437" s="116">
        <v>690</v>
      </c>
      <c r="Q2437" s="116">
        <v>671.25</v>
      </c>
      <c r="R2437">
        <v>3468888</v>
      </c>
    </row>
    <row r="2438" spans="1:18" x14ac:dyDescent="0.25">
      <c r="A2438" s="170">
        <v>45594</v>
      </c>
      <c r="B2438" s="116">
        <v>685</v>
      </c>
      <c r="C2438" s="116">
        <v>678.5</v>
      </c>
      <c r="D2438" s="116">
        <v>669.2</v>
      </c>
      <c r="E2438" s="116">
        <v>672.6</v>
      </c>
      <c r="F2438" s="116">
        <v>678.5</v>
      </c>
      <c r="G2438">
        <v>234469</v>
      </c>
      <c r="H2438" s="116"/>
      <c r="I2438" s="116"/>
      <c r="L2438" s="170">
        <v>45594</v>
      </c>
      <c r="M2438" s="116">
        <v>678.75</v>
      </c>
      <c r="N2438" s="116">
        <v>685.35</v>
      </c>
      <c r="O2438" s="116">
        <v>669</v>
      </c>
      <c r="P2438" s="116">
        <v>674.95</v>
      </c>
      <c r="Q2438" s="116">
        <v>678.75</v>
      </c>
      <c r="R2438">
        <v>3577891</v>
      </c>
    </row>
    <row r="2439" spans="1:18" x14ac:dyDescent="0.25">
      <c r="A2439" s="170">
        <v>45595</v>
      </c>
      <c r="B2439" s="116">
        <v>693.05</v>
      </c>
      <c r="C2439" s="116">
        <v>684.5</v>
      </c>
      <c r="D2439" s="116">
        <v>671.5</v>
      </c>
      <c r="E2439" s="116">
        <v>675.05</v>
      </c>
      <c r="F2439" s="116">
        <v>684.5</v>
      </c>
      <c r="G2439">
        <v>66305</v>
      </c>
      <c r="H2439" s="116"/>
      <c r="I2439" s="116"/>
      <c r="L2439" s="170">
        <v>45595</v>
      </c>
      <c r="M2439" s="116">
        <v>684.75</v>
      </c>
      <c r="N2439" s="116">
        <v>693.2</v>
      </c>
      <c r="O2439" s="116">
        <v>671.35</v>
      </c>
      <c r="P2439" s="116">
        <v>678.75</v>
      </c>
      <c r="Q2439" s="116">
        <v>684.75</v>
      </c>
      <c r="R2439">
        <v>2087809</v>
      </c>
    </row>
    <row r="2440" spans="1:18" x14ac:dyDescent="0.25">
      <c r="A2440" s="170">
        <v>45596</v>
      </c>
      <c r="B2440" s="116">
        <v>680.55</v>
      </c>
      <c r="C2440" s="116">
        <v>676.75</v>
      </c>
      <c r="D2440" s="116">
        <v>669.1</v>
      </c>
      <c r="E2440" s="116">
        <v>678.05</v>
      </c>
      <c r="F2440" s="116">
        <v>676.75</v>
      </c>
      <c r="G2440">
        <v>55126</v>
      </c>
      <c r="H2440" s="116"/>
      <c r="I2440" s="116"/>
      <c r="L2440" s="170">
        <v>45596</v>
      </c>
      <c r="M2440" s="116">
        <v>676.7</v>
      </c>
      <c r="N2440" s="116">
        <v>683</v>
      </c>
      <c r="O2440" s="116">
        <v>669.1</v>
      </c>
      <c r="P2440" s="116">
        <v>680</v>
      </c>
      <c r="Q2440" s="116">
        <v>676.7</v>
      </c>
      <c r="R2440">
        <v>2760863</v>
      </c>
    </row>
    <row r="2441" spans="1:18" x14ac:dyDescent="0.25">
      <c r="A2441" s="170">
        <v>45597</v>
      </c>
      <c r="B2441" s="116">
        <v>693.35</v>
      </c>
      <c r="C2441" s="116">
        <v>687.15</v>
      </c>
      <c r="D2441" s="116">
        <v>679.35</v>
      </c>
      <c r="E2441" s="116">
        <v>684.75</v>
      </c>
      <c r="F2441" s="116">
        <v>687.15</v>
      </c>
      <c r="G2441">
        <v>31785</v>
      </c>
      <c r="H2441" s="116"/>
      <c r="I2441" s="116"/>
      <c r="L2441" s="170">
        <v>45597</v>
      </c>
      <c r="M2441" s="116">
        <v>687.6</v>
      </c>
      <c r="N2441" s="116">
        <v>692.6</v>
      </c>
      <c r="O2441" s="116">
        <v>678.05</v>
      </c>
      <c r="P2441" s="116">
        <v>678.9</v>
      </c>
      <c r="Q2441" s="116">
        <v>687.6</v>
      </c>
      <c r="R2441">
        <v>221089</v>
      </c>
    </row>
    <row r="2442" spans="1:18" x14ac:dyDescent="0.25">
      <c r="A2442" s="170">
        <v>45600</v>
      </c>
      <c r="B2442" s="116">
        <v>689</v>
      </c>
      <c r="C2442" s="116">
        <v>666.5</v>
      </c>
      <c r="D2442" s="116">
        <v>665</v>
      </c>
      <c r="E2442" s="116">
        <v>689</v>
      </c>
      <c r="F2442" s="116">
        <v>666.5</v>
      </c>
      <c r="G2442">
        <v>66296</v>
      </c>
      <c r="H2442" s="116"/>
      <c r="I2442" s="116"/>
      <c r="L2442" s="170">
        <v>45600</v>
      </c>
      <c r="M2442" s="116">
        <v>666.55</v>
      </c>
      <c r="N2442" s="116">
        <v>689</v>
      </c>
      <c r="O2442" s="116">
        <v>664.85</v>
      </c>
      <c r="P2442" s="116">
        <v>689</v>
      </c>
      <c r="Q2442" s="116">
        <v>666.55</v>
      </c>
      <c r="R2442">
        <v>3848485</v>
      </c>
    </row>
    <row r="2443" spans="1:18" x14ac:dyDescent="0.25">
      <c r="A2443" s="170">
        <v>45601</v>
      </c>
      <c r="B2443" s="116">
        <v>670.1</v>
      </c>
      <c r="C2443" s="116">
        <v>667.65</v>
      </c>
      <c r="D2443" s="116">
        <v>651.35</v>
      </c>
      <c r="E2443" s="116">
        <v>666.5</v>
      </c>
      <c r="F2443" s="116">
        <v>667.65</v>
      </c>
      <c r="G2443">
        <v>68493</v>
      </c>
      <c r="H2443" s="116"/>
      <c r="I2443" s="116"/>
      <c r="L2443" s="170">
        <v>45601</v>
      </c>
      <c r="M2443" s="116">
        <v>668</v>
      </c>
      <c r="N2443" s="116">
        <v>670.4</v>
      </c>
      <c r="O2443" s="116">
        <v>650.9</v>
      </c>
      <c r="P2443" s="116">
        <v>665.9</v>
      </c>
      <c r="Q2443" s="116">
        <v>668</v>
      </c>
      <c r="R2443">
        <v>2302218</v>
      </c>
    </row>
    <row r="2444" spans="1:18" x14ac:dyDescent="0.25">
      <c r="A2444" s="170">
        <v>45602</v>
      </c>
      <c r="B2444" s="116">
        <v>688.65</v>
      </c>
      <c r="C2444" s="116">
        <v>685.05</v>
      </c>
      <c r="D2444" s="116">
        <v>670.4</v>
      </c>
      <c r="E2444" s="116">
        <v>672.7</v>
      </c>
      <c r="F2444" s="116">
        <v>685.05</v>
      </c>
      <c r="G2444">
        <v>64375</v>
      </c>
      <c r="H2444" s="116"/>
      <c r="I2444" s="116"/>
      <c r="L2444" s="170">
        <v>45602</v>
      </c>
      <c r="M2444" s="116">
        <v>684.65</v>
      </c>
      <c r="N2444" s="116">
        <v>688</v>
      </c>
      <c r="O2444" s="116">
        <v>669</v>
      </c>
      <c r="P2444" s="116">
        <v>669</v>
      </c>
      <c r="Q2444" s="116">
        <v>684.65</v>
      </c>
      <c r="R2444">
        <v>2440822</v>
      </c>
    </row>
    <row r="2445" spans="1:18" x14ac:dyDescent="0.25">
      <c r="A2445" s="170">
        <v>45603</v>
      </c>
      <c r="B2445" s="116">
        <v>693.95</v>
      </c>
      <c r="C2445" s="116">
        <v>683.6</v>
      </c>
      <c r="D2445" s="116">
        <v>678.9</v>
      </c>
      <c r="E2445" s="116">
        <v>693.95</v>
      </c>
      <c r="F2445" s="116">
        <v>683.6</v>
      </c>
      <c r="G2445">
        <v>310044</v>
      </c>
      <c r="H2445" s="116"/>
      <c r="I2445" s="116"/>
      <c r="L2445" s="170">
        <v>45603</v>
      </c>
      <c r="M2445" s="116">
        <v>683.8</v>
      </c>
      <c r="N2445" s="116">
        <v>691.95</v>
      </c>
      <c r="O2445" s="116">
        <v>678.7</v>
      </c>
      <c r="P2445" s="116">
        <v>690.15</v>
      </c>
      <c r="Q2445" s="116">
        <v>683.8</v>
      </c>
      <c r="R2445">
        <v>3107810</v>
      </c>
    </row>
    <row r="2446" spans="1:18" x14ac:dyDescent="0.25">
      <c r="A2446" s="170">
        <v>45604</v>
      </c>
      <c r="B2446" s="116">
        <v>742.6</v>
      </c>
      <c r="C2446" s="116">
        <v>733.05</v>
      </c>
      <c r="D2446" s="116">
        <v>694</v>
      </c>
      <c r="E2446" s="116">
        <v>709.95</v>
      </c>
      <c r="F2446" s="116">
        <v>733.05</v>
      </c>
      <c r="G2446">
        <v>1303325</v>
      </c>
      <c r="H2446" s="116"/>
      <c r="I2446" s="116"/>
      <c r="L2446" s="170">
        <v>45604</v>
      </c>
      <c r="M2446" s="116">
        <v>732.9</v>
      </c>
      <c r="N2446" s="116">
        <v>742.85</v>
      </c>
      <c r="O2446" s="116">
        <v>693.65</v>
      </c>
      <c r="P2446" s="116">
        <v>710</v>
      </c>
      <c r="Q2446" s="116">
        <v>732.9</v>
      </c>
      <c r="R2446">
        <v>26357564</v>
      </c>
    </row>
    <row r="2447" spans="1:18" x14ac:dyDescent="0.25">
      <c r="A2447" s="170">
        <v>45607</v>
      </c>
      <c r="B2447" s="116">
        <v>748.2</v>
      </c>
      <c r="C2447" s="116">
        <v>729.45</v>
      </c>
      <c r="D2447" s="116">
        <v>726.25</v>
      </c>
      <c r="E2447" s="116">
        <v>738.95</v>
      </c>
      <c r="F2447" s="116">
        <v>729.45</v>
      </c>
      <c r="G2447">
        <v>398532</v>
      </c>
      <c r="H2447" s="116"/>
      <c r="I2447" s="116"/>
      <c r="L2447" s="170">
        <v>45607</v>
      </c>
      <c r="M2447" s="116">
        <v>729.75</v>
      </c>
      <c r="N2447" s="116">
        <v>748.4</v>
      </c>
      <c r="O2447" s="116">
        <v>726.05</v>
      </c>
      <c r="P2447" s="116">
        <v>737.95</v>
      </c>
      <c r="Q2447" s="116">
        <v>729.75</v>
      </c>
      <c r="R2447">
        <v>8143152</v>
      </c>
    </row>
    <row r="2448" spans="1:18" x14ac:dyDescent="0.25">
      <c r="A2448" s="170">
        <v>45608</v>
      </c>
      <c r="B2448" s="116">
        <v>737.9</v>
      </c>
      <c r="C2448" s="116">
        <v>729.9</v>
      </c>
      <c r="D2448" s="116">
        <v>725.4</v>
      </c>
      <c r="E2448" s="116">
        <v>729.45</v>
      </c>
      <c r="F2448" s="116">
        <v>729.9</v>
      </c>
      <c r="G2448">
        <v>125595</v>
      </c>
      <c r="H2448" s="116"/>
      <c r="I2448" s="116"/>
      <c r="L2448" s="170">
        <v>45608</v>
      </c>
      <c r="M2448" s="116">
        <v>730.4</v>
      </c>
      <c r="N2448" s="116">
        <v>738.25</v>
      </c>
      <c r="O2448" s="116">
        <v>724.85</v>
      </c>
      <c r="P2448" s="116">
        <v>730</v>
      </c>
      <c r="Q2448" s="116">
        <v>730.4</v>
      </c>
      <c r="R2448">
        <v>3386712</v>
      </c>
    </row>
    <row r="2449" spans="1:18" x14ac:dyDescent="0.25">
      <c r="A2449" s="170">
        <v>45609</v>
      </c>
      <c r="B2449" s="116">
        <v>732.2</v>
      </c>
      <c r="C2449" s="116">
        <v>713.5</v>
      </c>
      <c r="D2449" s="116">
        <v>710.85</v>
      </c>
      <c r="E2449" s="116">
        <v>720.55</v>
      </c>
      <c r="F2449" s="116">
        <v>713.5</v>
      </c>
      <c r="G2449">
        <v>145536</v>
      </c>
      <c r="H2449" s="116"/>
      <c r="I2449" s="116"/>
      <c r="L2449" s="170">
        <v>45609</v>
      </c>
      <c r="M2449" s="116">
        <v>714.15</v>
      </c>
      <c r="N2449" s="116">
        <v>732.65</v>
      </c>
      <c r="O2449" s="116">
        <v>711</v>
      </c>
      <c r="P2449" s="116">
        <v>722.1</v>
      </c>
      <c r="Q2449" s="116">
        <v>714.15</v>
      </c>
      <c r="R2449">
        <v>3327567</v>
      </c>
    </row>
    <row r="2450" spans="1:18" x14ac:dyDescent="0.25">
      <c r="A2450" s="170">
        <v>45610</v>
      </c>
      <c r="B2450" s="116">
        <v>742.75</v>
      </c>
      <c r="C2450" s="116">
        <v>741.1</v>
      </c>
      <c r="D2450" s="116">
        <v>709.8</v>
      </c>
      <c r="E2450" s="116">
        <v>710.45</v>
      </c>
      <c r="F2450" s="116">
        <v>741.1</v>
      </c>
      <c r="G2450">
        <v>248931</v>
      </c>
      <c r="H2450" s="116"/>
      <c r="I2450" s="116"/>
      <c r="L2450" s="170">
        <v>45610</v>
      </c>
      <c r="M2450" s="116">
        <v>741.35</v>
      </c>
      <c r="N2450" s="116">
        <v>742.75</v>
      </c>
      <c r="O2450" s="116">
        <v>709.65</v>
      </c>
      <c r="P2450" s="116">
        <v>714.05</v>
      </c>
      <c r="Q2450" s="116">
        <v>741.35</v>
      </c>
      <c r="R2450">
        <v>5837816</v>
      </c>
    </row>
    <row r="2451" spans="1:18" x14ac:dyDescent="0.25">
      <c r="A2451" s="170">
        <v>45614</v>
      </c>
      <c r="B2451" s="116">
        <v>745.4</v>
      </c>
      <c r="C2451" s="116">
        <v>737.3</v>
      </c>
      <c r="D2451" s="116">
        <v>733</v>
      </c>
      <c r="E2451" s="116">
        <v>743</v>
      </c>
      <c r="F2451" s="116">
        <v>737.3</v>
      </c>
      <c r="G2451">
        <v>119358</v>
      </c>
      <c r="H2451" s="116"/>
      <c r="I2451" s="116"/>
      <c r="L2451" s="170">
        <v>45614</v>
      </c>
      <c r="M2451" s="116">
        <v>737.2</v>
      </c>
      <c r="N2451" s="116">
        <v>745.35</v>
      </c>
      <c r="O2451" s="116">
        <v>732.9</v>
      </c>
      <c r="P2451" s="116">
        <v>742.1</v>
      </c>
      <c r="Q2451" s="116">
        <v>737.2</v>
      </c>
      <c r="R2451">
        <v>4613449</v>
      </c>
    </row>
    <row r="2452" spans="1:18" x14ac:dyDescent="0.25">
      <c r="A2452" s="170">
        <v>45615</v>
      </c>
      <c r="B2452" s="116">
        <v>760.75</v>
      </c>
      <c r="C2452" s="116">
        <v>753.4</v>
      </c>
      <c r="D2452" s="116">
        <v>740.4</v>
      </c>
      <c r="E2452" s="116">
        <v>746.95</v>
      </c>
      <c r="F2452" s="116">
        <v>753.4</v>
      </c>
      <c r="G2452">
        <v>221782</v>
      </c>
      <c r="H2452" s="116"/>
      <c r="I2452" s="116"/>
      <c r="L2452" s="170">
        <v>45615</v>
      </c>
      <c r="M2452" s="116">
        <v>754</v>
      </c>
      <c r="N2452" s="116">
        <v>760.95</v>
      </c>
      <c r="O2452" s="116">
        <v>740.25</v>
      </c>
      <c r="P2452" s="116">
        <v>742</v>
      </c>
      <c r="Q2452" s="116">
        <v>754</v>
      </c>
      <c r="R2452">
        <v>4783332</v>
      </c>
    </row>
    <row r="2453" spans="1:18" x14ac:dyDescent="0.25">
      <c r="A2453" s="170">
        <v>45617</v>
      </c>
      <c r="B2453" s="116">
        <v>795.7</v>
      </c>
      <c r="C2453" s="116">
        <v>786.85</v>
      </c>
      <c r="D2453" s="116">
        <v>754.2</v>
      </c>
      <c r="E2453" s="116">
        <v>760</v>
      </c>
      <c r="F2453" s="116">
        <v>786.85</v>
      </c>
      <c r="G2453">
        <v>537631</v>
      </c>
      <c r="H2453" s="116"/>
      <c r="I2453" s="116"/>
      <c r="L2453" s="170">
        <v>45617</v>
      </c>
      <c r="M2453" s="116">
        <v>786.8</v>
      </c>
      <c r="N2453" s="116">
        <v>796.25</v>
      </c>
      <c r="O2453" s="116">
        <v>754</v>
      </c>
      <c r="P2453" s="116">
        <v>760</v>
      </c>
      <c r="Q2453" s="116">
        <v>786.8</v>
      </c>
      <c r="R2453">
        <v>14956651</v>
      </c>
    </row>
    <row r="2454" spans="1:18" x14ac:dyDescent="0.25">
      <c r="A2454" s="170">
        <v>45618</v>
      </c>
      <c r="B2454" s="116">
        <v>801.4</v>
      </c>
      <c r="C2454" s="116">
        <v>799.3</v>
      </c>
      <c r="D2454" s="116">
        <v>781.15</v>
      </c>
      <c r="E2454" s="116">
        <v>787.55</v>
      </c>
      <c r="F2454" s="116">
        <v>799.3</v>
      </c>
      <c r="G2454">
        <v>215592</v>
      </c>
      <c r="H2454" s="116"/>
      <c r="I2454" s="116"/>
      <c r="L2454" s="170">
        <v>45618</v>
      </c>
      <c r="M2454" s="116">
        <v>799.05</v>
      </c>
      <c r="N2454" s="116">
        <v>801.1</v>
      </c>
      <c r="O2454" s="116">
        <v>780.55</v>
      </c>
      <c r="P2454" s="116">
        <v>786</v>
      </c>
      <c r="Q2454" s="116">
        <v>799.05</v>
      </c>
      <c r="R2454">
        <v>4437615</v>
      </c>
    </row>
    <row r="2455" spans="1:18" x14ac:dyDescent="0.25">
      <c r="A2455" s="170">
        <v>45621</v>
      </c>
      <c r="B2455" s="116">
        <v>814.65</v>
      </c>
      <c r="C2455" s="116">
        <v>797.9</v>
      </c>
      <c r="D2455" s="116">
        <v>792.05</v>
      </c>
      <c r="E2455" s="116">
        <v>814.65</v>
      </c>
      <c r="F2455" s="116">
        <v>797.9</v>
      </c>
      <c r="G2455">
        <v>225528</v>
      </c>
      <c r="H2455" s="116"/>
      <c r="I2455" s="116"/>
      <c r="L2455" s="170">
        <v>45621</v>
      </c>
      <c r="M2455" s="116">
        <v>798.05</v>
      </c>
      <c r="N2455" s="116">
        <v>809.9</v>
      </c>
      <c r="O2455" s="116">
        <v>792.5</v>
      </c>
      <c r="P2455" s="116">
        <v>809.25</v>
      </c>
      <c r="Q2455" s="116">
        <v>798.05</v>
      </c>
      <c r="R2455">
        <v>7635903</v>
      </c>
    </row>
    <row r="2456" spans="1:18" x14ac:dyDescent="0.25">
      <c r="A2456" s="170">
        <v>45622</v>
      </c>
      <c r="B2456" s="116">
        <v>805</v>
      </c>
      <c r="C2456" s="116">
        <v>796.85</v>
      </c>
      <c r="D2456" s="116">
        <v>785</v>
      </c>
      <c r="E2456" s="116">
        <v>795.65</v>
      </c>
      <c r="F2456" s="116">
        <v>796.85</v>
      </c>
      <c r="G2456">
        <v>97889</v>
      </c>
      <c r="H2456" s="116"/>
      <c r="I2456" s="116"/>
      <c r="L2456" s="170">
        <v>45622</v>
      </c>
      <c r="M2456" s="116">
        <v>796.75</v>
      </c>
      <c r="N2456" s="116">
        <v>805.2</v>
      </c>
      <c r="O2456" s="116">
        <v>785.1</v>
      </c>
      <c r="P2456" s="116">
        <v>798.05</v>
      </c>
      <c r="Q2456" s="116">
        <v>796.75</v>
      </c>
      <c r="R2456">
        <v>3528333</v>
      </c>
    </row>
    <row r="2457" spans="1:18" x14ac:dyDescent="0.25">
      <c r="A2457" s="170">
        <v>45623</v>
      </c>
      <c r="B2457" s="116">
        <v>796.4</v>
      </c>
      <c r="C2457" s="116">
        <v>788.7</v>
      </c>
      <c r="D2457" s="116">
        <v>785.35</v>
      </c>
      <c r="E2457" s="116">
        <v>796.4</v>
      </c>
      <c r="F2457" s="116">
        <v>788.7</v>
      </c>
      <c r="G2457">
        <v>91722</v>
      </c>
      <c r="H2457" s="116"/>
      <c r="I2457" s="116"/>
      <c r="L2457" s="170">
        <v>45623</v>
      </c>
      <c r="M2457" s="116">
        <v>788.9</v>
      </c>
      <c r="N2457" s="116">
        <v>795.65</v>
      </c>
      <c r="O2457" s="116">
        <v>783.8</v>
      </c>
      <c r="P2457" s="116">
        <v>794.1</v>
      </c>
      <c r="Q2457" s="116">
        <v>788.9</v>
      </c>
      <c r="R2457">
        <v>2632761</v>
      </c>
    </row>
    <row r="2458" spans="1:18" x14ac:dyDescent="0.25">
      <c r="A2458" s="170">
        <v>45624</v>
      </c>
      <c r="B2458" s="116">
        <v>792</v>
      </c>
      <c r="C2458" s="116">
        <v>778.7</v>
      </c>
      <c r="D2458" s="116">
        <v>775.2</v>
      </c>
      <c r="E2458" s="116">
        <v>782.35</v>
      </c>
      <c r="F2458" s="116">
        <v>778.7</v>
      </c>
      <c r="G2458">
        <v>82104</v>
      </c>
      <c r="H2458" s="116"/>
      <c r="I2458" s="116"/>
      <c r="L2458" s="170">
        <v>45624</v>
      </c>
      <c r="M2458" s="116">
        <v>778.55</v>
      </c>
      <c r="N2458" s="116">
        <v>792.35</v>
      </c>
      <c r="O2458" s="116">
        <v>775.5</v>
      </c>
      <c r="P2458" s="116">
        <v>784.65</v>
      </c>
      <c r="Q2458" s="116">
        <v>778.55</v>
      </c>
      <c r="R2458">
        <v>4958408</v>
      </c>
    </row>
    <row r="2459" spans="1:18" x14ac:dyDescent="0.25">
      <c r="A2459" s="170">
        <v>45625</v>
      </c>
      <c r="B2459" s="116">
        <v>801.5</v>
      </c>
      <c r="C2459" s="116">
        <v>793.6</v>
      </c>
      <c r="D2459" s="116">
        <v>778.5</v>
      </c>
      <c r="E2459" s="116">
        <v>778.5</v>
      </c>
      <c r="F2459" s="116">
        <v>793.6</v>
      </c>
      <c r="G2459">
        <v>132396</v>
      </c>
      <c r="H2459" s="116"/>
      <c r="I2459" s="116"/>
      <c r="L2459" s="170">
        <v>45625</v>
      </c>
      <c r="M2459" s="116">
        <v>793.35</v>
      </c>
      <c r="N2459" s="116">
        <v>801.7</v>
      </c>
      <c r="O2459" s="116">
        <v>779.3</v>
      </c>
      <c r="P2459" s="116">
        <v>782.95</v>
      </c>
      <c r="Q2459" s="116">
        <v>793.35</v>
      </c>
      <c r="R2459">
        <v>5379139</v>
      </c>
    </row>
    <row r="2460" spans="1:18" x14ac:dyDescent="0.25">
      <c r="A2460" s="170">
        <v>45628</v>
      </c>
      <c r="B2460" s="116">
        <v>805.5</v>
      </c>
      <c r="C2460" s="116">
        <v>800.9</v>
      </c>
      <c r="D2460" s="116">
        <v>790.35</v>
      </c>
      <c r="E2460" s="116">
        <v>795.05</v>
      </c>
      <c r="F2460" s="116">
        <v>800.9</v>
      </c>
      <c r="G2460">
        <v>113815</v>
      </c>
      <c r="H2460" s="116"/>
      <c r="I2460" s="116"/>
      <c r="L2460" s="170">
        <v>45628</v>
      </c>
      <c r="M2460" s="116">
        <v>801.05</v>
      </c>
      <c r="N2460" s="116">
        <v>806</v>
      </c>
      <c r="O2460" s="116">
        <v>790.85</v>
      </c>
      <c r="P2460" s="116">
        <v>795</v>
      </c>
      <c r="Q2460" s="116">
        <v>801.05</v>
      </c>
      <c r="R2460">
        <v>3357264</v>
      </c>
    </row>
    <row r="2461" spans="1:18" x14ac:dyDescent="0.25">
      <c r="A2461" s="170">
        <v>45629</v>
      </c>
      <c r="B2461" s="116">
        <v>809</v>
      </c>
      <c r="C2461" s="116">
        <v>806.35</v>
      </c>
      <c r="D2461" s="116">
        <v>796.4</v>
      </c>
      <c r="E2461" s="116">
        <v>805</v>
      </c>
      <c r="F2461" s="116">
        <v>806.35</v>
      </c>
      <c r="G2461">
        <v>44684</v>
      </c>
      <c r="H2461" s="116"/>
      <c r="I2461" s="116"/>
      <c r="L2461" s="170">
        <v>45629</v>
      </c>
      <c r="M2461" s="116">
        <v>806.65</v>
      </c>
      <c r="N2461" s="116">
        <v>809.35</v>
      </c>
      <c r="O2461" s="116">
        <v>796.3</v>
      </c>
      <c r="P2461" s="116">
        <v>806.2</v>
      </c>
      <c r="Q2461" s="116">
        <v>806.65</v>
      </c>
      <c r="R2461">
        <v>2897727</v>
      </c>
    </row>
    <row r="2462" spans="1:18" x14ac:dyDescent="0.25">
      <c r="A2462" s="170">
        <v>45630</v>
      </c>
      <c r="B2462" s="116">
        <v>816.75</v>
      </c>
      <c r="C2462" s="116">
        <v>810.4</v>
      </c>
      <c r="D2462" s="116">
        <v>806.3</v>
      </c>
      <c r="E2462" s="116">
        <v>807</v>
      </c>
      <c r="F2462" s="116">
        <v>810.4</v>
      </c>
      <c r="G2462">
        <v>69832</v>
      </c>
      <c r="H2462" s="116"/>
      <c r="I2462" s="116"/>
      <c r="L2462" s="170">
        <v>45630</v>
      </c>
      <c r="M2462" s="116">
        <v>810.9</v>
      </c>
      <c r="N2462" s="116">
        <v>816.95</v>
      </c>
      <c r="O2462" s="116">
        <v>805</v>
      </c>
      <c r="P2462" s="116">
        <v>806</v>
      </c>
      <c r="Q2462" s="116">
        <v>810.9</v>
      </c>
      <c r="R2462">
        <v>3670183</v>
      </c>
    </row>
    <row r="2463" spans="1:18" x14ac:dyDescent="0.25">
      <c r="A2463" s="170">
        <v>45631</v>
      </c>
      <c r="B2463" s="116">
        <v>822.25</v>
      </c>
      <c r="C2463" s="116">
        <v>820.2</v>
      </c>
      <c r="D2463" s="116">
        <v>810</v>
      </c>
      <c r="E2463" s="116">
        <v>816.85</v>
      </c>
      <c r="F2463" s="116">
        <v>820.2</v>
      </c>
      <c r="G2463">
        <v>62239</v>
      </c>
      <c r="H2463" s="116"/>
      <c r="I2463" s="116"/>
      <c r="L2463" s="170">
        <v>45631</v>
      </c>
      <c r="M2463" s="116">
        <v>820.1</v>
      </c>
      <c r="N2463" s="116">
        <v>822.5</v>
      </c>
      <c r="O2463" s="116">
        <v>809.05</v>
      </c>
      <c r="P2463" s="116">
        <v>816</v>
      </c>
      <c r="Q2463" s="116">
        <v>820.1</v>
      </c>
      <c r="R2463">
        <v>2535375</v>
      </c>
    </row>
    <row r="2464" spans="1:18" x14ac:dyDescent="0.25">
      <c r="A2464" s="170">
        <v>45632</v>
      </c>
      <c r="B2464" s="116">
        <v>831.2</v>
      </c>
      <c r="C2464" s="116">
        <v>826.45</v>
      </c>
      <c r="D2464" s="116">
        <v>816.9</v>
      </c>
      <c r="E2464" s="116">
        <v>817.65</v>
      </c>
      <c r="F2464" s="116">
        <v>826.45</v>
      </c>
      <c r="G2464">
        <v>130370</v>
      </c>
      <c r="H2464" s="116"/>
      <c r="I2464" s="116"/>
      <c r="L2464" s="170">
        <v>45632</v>
      </c>
      <c r="M2464" s="116">
        <v>826.65</v>
      </c>
      <c r="N2464" s="116">
        <v>831.8</v>
      </c>
      <c r="O2464" s="116">
        <v>817</v>
      </c>
      <c r="P2464" s="116">
        <v>821.6</v>
      </c>
      <c r="Q2464" s="116">
        <v>826.65</v>
      </c>
      <c r="R2464">
        <v>2406124</v>
      </c>
    </row>
    <row r="2465" spans="1:18" x14ac:dyDescent="0.25">
      <c r="A2465" s="170">
        <v>45635</v>
      </c>
      <c r="B2465" s="116">
        <v>841.65</v>
      </c>
      <c r="C2465" s="116">
        <v>837.45</v>
      </c>
      <c r="D2465" s="116">
        <v>824.85</v>
      </c>
      <c r="E2465" s="116">
        <v>829.5</v>
      </c>
      <c r="F2465" s="116">
        <v>837.45</v>
      </c>
      <c r="G2465">
        <v>114916</v>
      </c>
      <c r="H2465" s="116"/>
      <c r="I2465" s="116"/>
      <c r="L2465" s="170">
        <v>45635</v>
      </c>
      <c r="M2465" s="116">
        <v>837.2</v>
      </c>
      <c r="N2465" s="116">
        <v>841.9</v>
      </c>
      <c r="O2465" s="116">
        <v>825.1</v>
      </c>
      <c r="P2465" s="116">
        <v>827</v>
      </c>
      <c r="Q2465" s="116">
        <v>837.2</v>
      </c>
      <c r="R2465">
        <v>2652196</v>
      </c>
    </row>
    <row r="2466" spans="1:18" x14ac:dyDescent="0.25">
      <c r="A2466" s="170">
        <v>45636</v>
      </c>
      <c r="B2466" s="116">
        <v>841.7</v>
      </c>
      <c r="C2466" s="116">
        <v>838.75</v>
      </c>
      <c r="D2466" s="116">
        <v>828.6</v>
      </c>
      <c r="E2466" s="116">
        <v>834.95</v>
      </c>
      <c r="F2466" s="116">
        <v>838.75</v>
      </c>
      <c r="G2466">
        <v>100663</v>
      </c>
      <c r="H2466" s="116"/>
      <c r="I2466" s="116"/>
      <c r="L2466" s="170">
        <v>45636</v>
      </c>
      <c r="M2466" s="116">
        <v>838.55</v>
      </c>
      <c r="N2466" s="116">
        <v>841.85</v>
      </c>
      <c r="O2466" s="116">
        <v>828.5</v>
      </c>
      <c r="P2466" s="116">
        <v>832.5</v>
      </c>
      <c r="Q2466" s="116">
        <v>838.55</v>
      </c>
      <c r="R2466">
        <v>2554205</v>
      </c>
    </row>
    <row r="2467" spans="1:18" x14ac:dyDescent="0.25">
      <c r="A2467" s="170">
        <v>45637</v>
      </c>
      <c r="B2467" s="116">
        <v>846</v>
      </c>
      <c r="C2467" s="116">
        <v>836.75</v>
      </c>
      <c r="D2467" s="116">
        <v>833.65</v>
      </c>
      <c r="E2467" s="116">
        <v>838.75</v>
      </c>
      <c r="F2467" s="116">
        <v>836.75</v>
      </c>
      <c r="G2467">
        <v>203933</v>
      </c>
      <c r="H2467" s="116"/>
      <c r="I2467" s="116"/>
      <c r="L2467" s="170">
        <v>45637</v>
      </c>
      <c r="M2467" s="116">
        <v>836.4</v>
      </c>
      <c r="N2467" s="116">
        <v>846.45</v>
      </c>
      <c r="O2467" s="116">
        <v>833.75</v>
      </c>
      <c r="P2467" s="116">
        <v>837.9</v>
      </c>
      <c r="Q2467" s="116">
        <v>836.4</v>
      </c>
      <c r="R2467">
        <v>2299448</v>
      </c>
    </row>
    <row r="2468" spans="1:18" x14ac:dyDescent="0.25">
      <c r="A2468" s="170">
        <v>45638</v>
      </c>
      <c r="B2468" s="116">
        <v>843.5</v>
      </c>
      <c r="C2468" s="116">
        <v>836.6</v>
      </c>
      <c r="D2468" s="116">
        <v>831.3</v>
      </c>
      <c r="E2468" s="116">
        <v>836.75</v>
      </c>
      <c r="F2468" s="116">
        <v>836.6</v>
      </c>
      <c r="G2468">
        <v>131790</v>
      </c>
      <c r="H2468" s="116"/>
      <c r="I2468" s="116"/>
      <c r="L2468" s="170">
        <v>45638</v>
      </c>
      <c r="M2468" s="116">
        <v>836.7</v>
      </c>
      <c r="N2468" s="116">
        <v>843.4</v>
      </c>
      <c r="O2468" s="116">
        <v>831</v>
      </c>
      <c r="P2468" s="116">
        <v>836.8</v>
      </c>
      <c r="Q2468" s="116">
        <v>836.7</v>
      </c>
      <c r="R2468">
        <v>2509106</v>
      </c>
    </row>
    <row r="2469" spans="1:18" x14ac:dyDescent="0.25">
      <c r="A2469" s="170">
        <v>45639</v>
      </c>
      <c r="B2469" s="116">
        <v>856.95</v>
      </c>
      <c r="C2469" s="116">
        <v>855.85</v>
      </c>
      <c r="D2469" s="116">
        <v>830.5</v>
      </c>
      <c r="E2469" s="116">
        <v>832</v>
      </c>
      <c r="F2469" s="116">
        <v>855.85</v>
      </c>
      <c r="G2469">
        <v>112398</v>
      </c>
      <c r="H2469" s="116"/>
      <c r="I2469" s="116"/>
      <c r="L2469" s="170">
        <v>45639</v>
      </c>
      <c r="M2469" s="116">
        <v>855.6</v>
      </c>
      <c r="N2469" s="116">
        <v>857.15</v>
      </c>
      <c r="O2469" s="116">
        <v>830.7</v>
      </c>
      <c r="P2469" s="116">
        <v>832</v>
      </c>
      <c r="Q2469" s="116">
        <v>855.6</v>
      </c>
      <c r="R2469">
        <v>2675004</v>
      </c>
    </row>
    <row r="2470" spans="1:18" x14ac:dyDescent="0.25">
      <c r="A2470" s="170">
        <v>45642</v>
      </c>
      <c r="B2470" s="116">
        <v>868.5</v>
      </c>
      <c r="C2470" s="116">
        <v>867.2</v>
      </c>
      <c r="D2470" s="116">
        <v>851.3</v>
      </c>
      <c r="E2470" s="116">
        <v>857</v>
      </c>
      <c r="F2470" s="116">
        <v>867.2</v>
      </c>
      <c r="G2470">
        <v>111982</v>
      </c>
      <c r="H2470" s="116"/>
      <c r="I2470" s="116"/>
      <c r="L2470" s="170">
        <v>45642</v>
      </c>
      <c r="M2470" s="116">
        <v>867.65</v>
      </c>
      <c r="N2470" s="116">
        <v>868.4</v>
      </c>
      <c r="O2470" s="116">
        <v>851.4</v>
      </c>
      <c r="P2470" s="116">
        <v>856.8</v>
      </c>
      <c r="Q2470" s="116">
        <v>867.65</v>
      </c>
      <c r="R2470">
        <v>3250607</v>
      </c>
    </row>
    <row r="2471" spans="1:18" x14ac:dyDescent="0.25">
      <c r="A2471" s="170">
        <v>45643</v>
      </c>
      <c r="B2471" s="116">
        <v>883</v>
      </c>
      <c r="C2471" s="116">
        <v>879.85</v>
      </c>
      <c r="D2471" s="116">
        <v>864.15</v>
      </c>
      <c r="E2471" s="116">
        <v>867.65</v>
      </c>
      <c r="F2471" s="116">
        <v>879.85</v>
      </c>
      <c r="G2471">
        <v>80522</v>
      </c>
      <c r="H2471" s="116"/>
      <c r="I2471" s="116"/>
      <c r="L2471" s="170">
        <v>45643</v>
      </c>
      <c r="M2471" s="116">
        <v>880.05</v>
      </c>
      <c r="N2471" s="116">
        <v>883.95</v>
      </c>
      <c r="O2471" s="116">
        <v>864.1</v>
      </c>
      <c r="P2471" s="116">
        <v>866.5</v>
      </c>
      <c r="Q2471" s="116">
        <v>880.05</v>
      </c>
      <c r="R2471">
        <v>4441179</v>
      </c>
    </row>
    <row r="2472" spans="1:18" x14ac:dyDescent="0.25">
      <c r="A2472" s="170">
        <v>45644</v>
      </c>
      <c r="B2472" s="116">
        <v>884.95</v>
      </c>
      <c r="C2472" s="116">
        <v>880.8</v>
      </c>
      <c r="D2472" s="116">
        <v>869.7</v>
      </c>
      <c r="E2472" s="116">
        <v>884.95</v>
      </c>
      <c r="F2472" s="116">
        <v>880.8</v>
      </c>
      <c r="G2472">
        <v>61898</v>
      </c>
      <c r="H2472" s="116"/>
      <c r="I2472" s="116"/>
      <c r="L2472" s="170">
        <v>45644</v>
      </c>
      <c r="M2472" s="116">
        <v>881.4</v>
      </c>
      <c r="N2472" s="116">
        <v>883.95</v>
      </c>
      <c r="O2472" s="116">
        <v>869.55</v>
      </c>
      <c r="P2472" s="116">
        <v>877</v>
      </c>
      <c r="Q2472" s="116">
        <v>881.4</v>
      </c>
      <c r="R2472">
        <v>2412038</v>
      </c>
    </row>
    <row r="2473" spans="1:18" x14ac:dyDescent="0.25">
      <c r="A2473" s="170">
        <v>45645</v>
      </c>
      <c r="B2473" s="116">
        <v>886.05</v>
      </c>
      <c r="C2473" s="116">
        <v>880.65</v>
      </c>
      <c r="D2473" s="116">
        <v>872</v>
      </c>
      <c r="E2473" s="116">
        <v>876.8</v>
      </c>
      <c r="F2473" s="116">
        <v>880.65</v>
      </c>
      <c r="G2473">
        <v>56539</v>
      </c>
      <c r="H2473" s="116"/>
      <c r="I2473" s="116"/>
      <c r="L2473" s="170">
        <v>45645</v>
      </c>
      <c r="M2473" s="116">
        <v>880.05</v>
      </c>
      <c r="N2473" s="116">
        <v>886.2</v>
      </c>
      <c r="O2473" s="116">
        <v>870.1</v>
      </c>
      <c r="P2473" s="116">
        <v>875</v>
      </c>
      <c r="Q2473" s="116">
        <v>880.05</v>
      </c>
      <c r="R2473">
        <v>2547244</v>
      </c>
    </row>
    <row r="2474" spans="1:18" x14ac:dyDescent="0.25">
      <c r="A2474" s="170">
        <v>45646</v>
      </c>
      <c r="B2474" s="116">
        <v>887.6</v>
      </c>
      <c r="C2474" s="116">
        <v>854</v>
      </c>
      <c r="D2474" s="116">
        <v>851.75</v>
      </c>
      <c r="E2474" s="116">
        <v>887.6</v>
      </c>
      <c r="F2474" s="116">
        <v>854</v>
      </c>
      <c r="G2474">
        <v>121734</v>
      </c>
      <c r="H2474" s="116"/>
      <c r="I2474" s="116"/>
      <c r="L2474" s="170">
        <v>45646</v>
      </c>
      <c r="M2474" s="116">
        <v>854.1</v>
      </c>
      <c r="N2474" s="116">
        <v>882.5</v>
      </c>
      <c r="O2474" s="116">
        <v>851.75</v>
      </c>
      <c r="P2474" s="116">
        <v>879.05</v>
      </c>
      <c r="Q2474" s="116">
        <v>854.1</v>
      </c>
      <c r="R2474">
        <v>1857079</v>
      </c>
    </row>
    <row r="2475" spans="1:18" x14ac:dyDescent="0.25">
      <c r="A2475" s="170">
        <v>45649</v>
      </c>
      <c r="B2475" s="116">
        <v>864</v>
      </c>
      <c r="C2475" s="116">
        <v>859.8</v>
      </c>
      <c r="D2475" s="116">
        <v>848.5</v>
      </c>
      <c r="E2475" s="116">
        <v>856</v>
      </c>
      <c r="F2475" s="116">
        <v>859.8</v>
      </c>
      <c r="G2475">
        <v>63949</v>
      </c>
      <c r="H2475" s="116"/>
      <c r="I2475" s="116"/>
      <c r="L2475" s="170">
        <v>45649</v>
      </c>
      <c r="M2475" s="116">
        <v>859.4</v>
      </c>
      <c r="N2475" s="116">
        <v>864.25</v>
      </c>
      <c r="O2475" s="116">
        <v>848.5</v>
      </c>
      <c r="P2475" s="116">
        <v>857</v>
      </c>
      <c r="Q2475" s="116">
        <v>859.4</v>
      </c>
      <c r="R2475">
        <v>2825946</v>
      </c>
    </row>
    <row r="2476" spans="1:18" x14ac:dyDescent="0.25">
      <c r="A2476" s="170">
        <v>45650</v>
      </c>
      <c r="B2476" s="116">
        <v>872.8</v>
      </c>
      <c r="C2476" s="116">
        <v>863.25</v>
      </c>
      <c r="D2476" s="116">
        <v>851.25</v>
      </c>
      <c r="E2476" s="116">
        <v>859.8</v>
      </c>
      <c r="F2476" s="116">
        <v>863.25</v>
      </c>
      <c r="G2476">
        <v>67863</v>
      </c>
      <c r="H2476" s="116"/>
      <c r="I2476" s="116"/>
      <c r="L2476" s="170">
        <v>45650</v>
      </c>
      <c r="M2476" s="116">
        <v>862.65</v>
      </c>
      <c r="N2476" s="116">
        <v>873.1</v>
      </c>
      <c r="O2476" s="116">
        <v>851.3</v>
      </c>
      <c r="P2476" s="116">
        <v>860</v>
      </c>
      <c r="Q2476" s="116">
        <v>862.65</v>
      </c>
      <c r="R2476">
        <v>1847080</v>
      </c>
    </row>
    <row r="2477" spans="1:18" x14ac:dyDescent="0.25">
      <c r="A2477" s="170">
        <v>45652</v>
      </c>
      <c r="B2477" s="116">
        <v>872.3</v>
      </c>
      <c r="C2477" s="116">
        <v>868.45</v>
      </c>
      <c r="D2477" s="116">
        <v>854.1</v>
      </c>
      <c r="E2477" s="116">
        <v>864.95</v>
      </c>
      <c r="F2477" s="116">
        <v>868.45</v>
      </c>
      <c r="G2477">
        <v>75229</v>
      </c>
      <c r="H2477" s="116"/>
      <c r="I2477" s="116"/>
      <c r="L2477" s="170">
        <v>45652</v>
      </c>
      <c r="M2477" s="116">
        <v>868.3</v>
      </c>
      <c r="N2477" s="116">
        <v>872.3</v>
      </c>
      <c r="O2477" s="116">
        <v>854.2</v>
      </c>
      <c r="P2477" s="116">
        <v>865</v>
      </c>
      <c r="Q2477" s="116">
        <v>868.3</v>
      </c>
      <c r="R2477">
        <v>1675879</v>
      </c>
    </row>
    <row r="2478" spans="1:18" x14ac:dyDescent="0.25">
      <c r="A2478" s="170">
        <v>45653</v>
      </c>
      <c r="B2478" s="116">
        <v>870.5</v>
      </c>
      <c r="C2478" s="116">
        <v>860.8</v>
      </c>
      <c r="D2478" s="116">
        <v>857.8</v>
      </c>
      <c r="E2478" s="116">
        <v>869</v>
      </c>
      <c r="F2478" s="116">
        <v>860.8</v>
      </c>
      <c r="G2478">
        <v>77872</v>
      </c>
      <c r="H2478" s="116"/>
      <c r="I2478" s="116"/>
      <c r="L2478" s="170">
        <v>45653</v>
      </c>
      <c r="M2478" s="116">
        <v>860.6</v>
      </c>
      <c r="N2478" s="116">
        <v>870.55</v>
      </c>
      <c r="O2478" s="116">
        <v>857.6</v>
      </c>
      <c r="P2478" s="116">
        <v>869</v>
      </c>
      <c r="Q2478" s="116">
        <v>860.6</v>
      </c>
      <c r="R2478">
        <v>1954288</v>
      </c>
    </row>
    <row r="2479" spans="1:18" x14ac:dyDescent="0.25">
      <c r="A2479" s="170">
        <v>45656</v>
      </c>
      <c r="B2479" s="116">
        <v>894.15</v>
      </c>
      <c r="C2479" s="116">
        <v>888.75</v>
      </c>
      <c r="D2479" s="116">
        <v>856.3</v>
      </c>
      <c r="E2479" s="116">
        <v>860</v>
      </c>
      <c r="F2479" s="116">
        <v>888.75</v>
      </c>
      <c r="G2479">
        <v>190348</v>
      </c>
      <c r="H2479" s="116"/>
      <c r="I2479" s="116"/>
      <c r="L2479" s="170">
        <v>45656</v>
      </c>
      <c r="M2479" s="116">
        <v>889.65</v>
      </c>
      <c r="N2479" s="116">
        <v>894.9</v>
      </c>
      <c r="O2479" s="116">
        <v>856</v>
      </c>
      <c r="P2479" s="116">
        <v>860.6</v>
      </c>
      <c r="Q2479" s="116">
        <v>889.65</v>
      </c>
      <c r="R2479">
        <v>15311485</v>
      </c>
    </row>
    <row r="2480" spans="1:18" x14ac:dyDescent="0.25">
      <c r="A2480" s="170">
        <v>45657</v>
      </c>
      <c r="B2480" s="116">
        <v>881.95</v>
      </c>
      <c r="C2480" s="116">
        <v>876.4</v>
      </c>
      <c r="D2480" s="116">
        <v>858.4</v>
      </c>
      <c r="E2480" s="116">
        <v>881.95</v>
      </c>
      <c r="F2480" s="116">
        <v>876.4</v>
      </c>
      <c r="G2480">
        <v>71491</v>
      </c>
      <c r="H2480" s="116"/>
      <c r="I2480" s="116"/>
      <c r="L2480" s="170">
        <v>45657</v>
      </c>
      <c r="M2480" s="116">
        <v>877.55</v>
      </c>
      <c r="N2480" s="116">
        <v>881</v>
      </c>
      <c r="O2480" s="116">
        <v>858</v>
      </c>
      <c r="P2480" s="116">
        <v>881</v>
      </c>
      <c r="Q2480" s="116">
        <v>877.55</v>
      </c>
      <c r="R2480">
        <v>4097079</v>
      </c>
    </row>
    <row r="2481" spans="1:18" x14ac:dyDescent="0.25">
      <c r="A2481" s="170">
        <v>45658</v>
      </c>
      <c r="B2481" s="116">
        <v>882.15</v>
      </c>
      <c r="C2481" s="116">
        <v>873.1</v>
      </c>
      <c r="D2481" s="116">
        <v>871.5</v>
      </c>
      <c r="E2481" s="116">
        <v>874.05</v>
      </c>
      <c r="F2481" s="116">
        <v>873.1</v>
      </c>
      <c r="G2481">
        <v>24378</v>
      </c>
      <c r="H2481" s="116"/>
      <c r="I2481" s="116"/>
      <c r="L2481" s="170">
        <v>45658</v>
      </c>
      <c r="M2481" s="116">
        <v>873.6</v>
      </c>
      <c r="N2481" s="116">
        <v>882.2</v>
      </c>
      <c r="O2481" s="116">
        <v>871.05</v>
      </c>
      <c r="P2481" s="116">
        <v>875</v>
      </c>
      <c r="Q2481" s="116">
        <v>873.6</v>
      </c>
      <c r="R2481">
        <v>1243720</v>
      </c>
    </row>
    <row r="2482" spans="1:18" x14ac:dyDescent="0.25">
      <c r="A2482" s="170">
        <v>45659</v>
      </c>
      <c r="B2482" s="116">
        <v>883.8</v>
      </c>
      <c r="C2482" s="116">
        <v>879.05</v>
      </c>
      <c r="D2482" s="116">
        <v>867</v>
      </c>
      <c r="E2482" s="116">
        <v>877.5</v>
      </c>
      <c r="F2482" s="116">
        <v>879.05</v>
      </c>
      <c r="G2482">
        <v>29933</v>
      </c>
      <c r="H2482" s="116"/>
      <c r="I2482" s="116"/>
      <c r="L2482" s="170">
        <v>45659</v>
      </c>
      <c r="M2482" s="116">
        <v>879.5</v>
      </c>
      <c r="N2482" s="116">
        <v>883.85</v>
      </c>
      <c r="O2482" s="116">
        <v>866.25</v>
      </c>
      <c r="P2482" s="116">
        <v>883</v>
      </c>
      <c r="Q2482" s="116">
        <v>879.5</v>
      </c>
      <c r="R2482">
        <v>4892368</v>
      </c>
    </row>
    <row r="2483" spans="1:18" x14ac:dyDescent="0.25">
      <c r="A2483" s="170">
        <v>45660</v>
      </c>
      <c r="B2483" s="116">
        <v>879.7</v>
      </c>
      <c r="C2483" s="116">
        <v>871.9</v>
      </c>
      <c r="D2483" s="116">
        <v>868.15</v>
      </c>
      <c r="E2483" s="116">
        <v>879.4</v>
      </c>
      <c r="F2483" s="116">
        <v>871.9</v>
      </c>
      <c r="G2483">
        <v>38734</v>
      </c>
      <c r="H2483" s="116"/>
      <c r="I2483" s="116"/>
      <c r="L2483" s="170">
        <v>45660</v>
      </c>
      <c r="M2483" s="116">
        <v>872.45</v>
      </c>
      <c r="N2483" s="116">
        <v>879.8</v>
      </c>
      <c r="O2483" s="116">
        <v>868.15</v>
      </c>
      <c r="P2483" s="116">
        <v>878</v>
      </c>
      <c r="Q2483" s="116">
        <v>872.45</v>
      </c>
      <c r="R2483">
        <v>2731682</v>
      </c>
    </row>
    <row r="2484" spans="1:18" x14ac:dyDescent="0.25">
      <c r="A2484" s="170">
        <v>45663</v>
      </c>
      <c r="B2484" s="116">
        <v>875.95</v>
      </c>
      <c r="C2484" s="116">
        <v>844.9</v>
      </c>
      <c r="D2484" s="116">
        <v>839.05</v>
      </c>
      <c r="E2484" s="116">
        <v>870</v>
      </c>
      <c r="F2484" s="116">
        <v>844.9</v>
      </c>
      <c r="G2484">
        <v>69245</v>
      </c>
      <c r="H2484" s="116"/>
      <c r="I2484" s="116"/>
      <c r="L2484" s="170">
        <v>45663</v>
      </c>
      <c r="M2484" s="116">
        <v>844.25</v>
      </c>
      <c r="N2484" s="116">
        <v>876.45</v>
      </c>
      <c r="O2484" s="116">
        <v>839.4</v>
      </c>
      <c r="P2484" s="116">
        <v>870.4</v>
      </c>
      <c r="Q2484" s="116">
        <v>844.25</v>
      </c>
      <c r="R2484">
        <v>3830079</v>
      </c>
    </row>
    <row r="2485" spans="1:18" x14ac:dyDescent="0.25">
      <c r="A2485" s="170">
        <v>45664</v>
      </c>
      <c r="B2485" s="116">
        <v>858.1</v>
      </c>
      <c r="C2485" s="116">
        <v>851.85</v>
      </c>
      <c r="D2485" s="116">
        <v>842.65</v>
      </c>
      <c r="E2485" s="116">
        <v>842.65</v>
      </c>
      <c r="F2485" s="116">
        <v>851.85</v>
      </c>
      <c r="G2485">
        <v>47508</v>
      </c>
      <c r="H2485" s="116"/>
      <c r="I2485" s="116"/>
      <c r="L2485" s="170">
        <v>45664</v>
      </c>
      <c r="M2485" s="116">
        <v>852.15</v>
      </c>
      <c r="N2485" s="116">
        <v>858.45</v>
      </c>
      <c r="O2485" s="116">
        <v>844.35</v>
      </c>
      <c r="P2485" s="116">
        <v>844.95</v>
      </c>
      <c r="Q2485" s="116">
        <v>852.15</v>
      </c>
      <c r="R2485">
        <v>1660940</v>
      </c>
    </row>
    <row r="2486" spans="1:18" x14ac:dyDescent="0.25">
      <c r="A2486" s="170">
        <v>45665</v>
      </c>
      <c r="B2486" s="116">
        <v>857.8</v>
      </c>
      <c r="C2486" s="116">
        <v>834.95</v>
      </c>
      <c r="D2486" s="116">
        <v>829</v>
      </c>
      <c r="E2486" s="116">
        <v>857.8</v>
      </c>
      <c r="F2486" s="116">
        <v>834.95</v>
      </c>
      <c r="G2486">
        <v>31695</v>
      </c>
      <c r="H2486" s="116"/>
      <c r="I2486" s="116"/>
      <c r="L2486" s="170">
        <v>45665</v>
      </c>
      <c r="M2486" s="116">
        <v>834.9</v>
      </c>
      <c r="N2486" s="116">
        <v>857</v>
      </c>
      <c r="O2486" s="116">
        <v>828.75</v>
      </c>
      <c r="P2486" s="116">
        <v>857</v>
      </c>
      <c r="Q2486" s="116">
        <v>834.9</v>
      </c>
      <c r="R2486">
        <v>2322204</v>
      </c>
    </row>
    <row r="2487" spans="1:18" x14ac:dyDescent="0.25">
      <c r="A2487" s="170">
        <v>45666</v>
      </c>
      <c r="B2487" s="116">
        <v>839.4</v>
      </c>
      <c r="C2487" s="116">
        <v>822.25</v>
      </c>
      <c r="D2487" s="116">
        <v>815.6</v>
      </c>
      <c r="E2487" s="116">
        <v>835</v>
      </c>
      <c r="F2487" s="116">
        <v>822.25</v>
      </c>
      <c r="G2487">
        <v>66214</v>
      </c>
      <c r="H2487" s="116"/>
      <c r="I2487" s="116"/>
      <c r="L2487" s="170">
        <v>45666</v>
      </c>
      <c r="M2487" s="116">
        <v>822.85</v>
      </c>
      <c r="N2487" s="116">
        <v>841.35</v>
      </c>
      <c r="O2487" s="116">
        <v>815.7</v>
      </c>
      <c r="P2487" s="116">
        <v>835.4</v>
      </c>
      <c r="Q2487" s="116">
        <v>822.85</v>
      </c>
      <c r="R2487">
        <v>3473380</v>
      </c>
    </row>
    <row r="2488" spans="1:18" x14ac:dyDescent="0.25">
      <c r="A2488" s="170">
        <v>45667</v>
      </c>
      <c r="B2488" s="116">
        <v>823.05</v>
      </c>
      <c r="C2488" s="116">
        <v>805.75</v>
      </c>
      <c r="D2488" s="116">
        <v>799</v>
      </c>
      <c r="E2488" s="116">
        <v>822.8</v>
      </c>
      <c r="F2488" s="116">
        <v>805.75</v>
      </c>
      <c r="G2488">
        <v>47641</v>
      </c>
      <c r="H2488" s="116"/>
      <c r="I2488" s="116"/>
      <c r="L2488" s="170">
        <v>45667</v>
      </c>
      <c r="M2488" s="116">
        <v>805.9</v>
      </c>
      <c r="N2488" s="116">
        <v>825.4</v>
      </c>
      <c r="O2488" s="116">
        <v>798.35</v>
      </c>
      <c r="P2488" s="116">
        <v>822.95</v>
      </c>
      <c r="Q2488" s="116">
        <v>805.9</v>
      </c>
      <c r="R2488">
        <v>2813197</v>
      </c>
    </row>
    <row r="2489" spans="1:18" x14ac:dyDescent="0.25">
      <c r="A2489" s="170">
        <v>45670</v>
      </c>
      <c r="B2489" s="116">
        <v>800.05</v>
      </c>
      <c r="C2489" s="116">
        <v>756.35</v>
      </c>
      <c r="D2489" s="116">
        <v>754.85</v>
      </c>
      <c r="E2489" s="116">
        <v>800</v>
      </c>
      <c r="F2489" s="116">
        <v>756.35</v>
      </c>
      <c r="G2489">
        <v>95622</v>
      </c>
      <c r="H2489" s="116"/>
      <c r="I2489" s="116"/>
      <c r="L2489" s="170">
        <v>45670</v>
      </c>
      <c r="M2489" s="116">
        <v>756.1</v>
      </c>
      <c r="N2489" s="116">
        <v>801.85</v>
      </c>
      <c r="O2489" s="116">
        <v>754.6</v>
      </c>
      <c r="P2489" s="116">
        <v>800.1</v>
      </c>
      <c r="Q2489" s="116">
        <v>756.1</v>
      </c>
      <c r="R2489">
        <v>3945444</v>
      </c>
    </row>
    <row r="2490" spans="1:18" x14ac:dyDescent="0.25">
      <c r="A2490" s="170">
        <v>45671</v>
      </c>
      <c r="B2490" s="116">
        <v>783.95</v>
      </c>
      <c r="C2490" s="116">
        <v>781.9</v>
      </c>
      <c r="D2490" s="116">
        <v>751.35</v>
      </c>
      <c r="E2490" s="116">
        <v>760</v>
      </c>
      <c r="F2490" s="116">
        <v>781.9</v>
      </c>
      <c r="G2490">
        <v>71729</v>
      </c>
      <c r="H2490" s="116"/>
      <c r="I2490" s="116"/>
      <c r="L2490" s="170">
        <v>45671</v>
      </c>
      <c r="M2490" s="116">
        <v>781.4</v>
      </c>
      <c r="N2490" s="116">
        <v>783.9</v>
      </c>
      <c r="O2490" s="116">
        <v>751.55</v>
      </c>
      <c r="P2490" s="116">
        <v>760.55</v>
      </c>
      <c r="Q2490" s="116">
        <v>781.4</v>
      </c>
      <c r="R2490">
        <v>5079100</v>
      </c>
    </row>
    <row r="2491" spans="1:18" x14ac:dyDescent="0.25">
      <c r="A2491" s="170">
        <v>45672</v>
      </c>
      <c r="B2491" s="116">
        <v>819.4</v>
      </c>
      <c r="C2491" s="116">
        <v>811.75</v>
      </c>
      <c r="D2491" s="116">
        <v>785</v>
      </c>
      <c r="E2491" s="116">
        <v>792.75</v>
      </c>
      <c r="F2491" s="116">
        <v>811.75</v>
      </c>
      <c r="G2491">
        <v>147624</v>
      </c>
      <c r="H2491" s="116"/>
      <c r="I2491" s="116"/>
      <c r="L2491" s="170">
        <v>45672</v>
      </c>
      <c r="M2491" s="116">
        <v>811.4</v>
      </c>
      <c r="N2491" s="116">
        <v>819.5</v>
      </c>
      <c r="O2491" s="116">
        <v>786</v>
      </c>
      <c r="P2491" s="116">
        <v>786</v>
      </c>
      <c r="Q2491" s="116">
        <v>811.4</v>
      </c>
      <c r="R2491">
        <v>6492665</v>
      </c>
    </row>
    <row r="2492" spans="1:18" x14ac:dyDescent="0.25">
      <c r="A2492" s="170">
        <v>45673</v>
      </c>
      <c r="B2492" s="116">
        <v>820.95</v>
      </c>
      <c r="C2492" s="116">
        <v>811.7</v>
      </c>
      <c r="D2492" s="116">
        <v>806.95</v>
      </c>
      <c r="E2492" s="116">
        <v>819.95</v>
      </c>
      <c r="F2492" s="116">
        <v>811.7</v>
      </c>
      <c r="G2492">
        <v>60215</v>
      </c>
      <c r="H2492" s="116"/>
      <c r="I2492" s="116"/>
      <c r="L2492" s="170">
        <v>45673</v>
      </c>
      <c r="M2492" s="116">
        <v>811.45</v>
      </c>
      <c r="N2492" s="116">
        <v>820.85</v>
      </c>
      <c r="O2492" s="116">
        <v>806.9</v>
      </c>
      <c r="P2492" s="116">
        <v>818.85</v>
      </c>
      <c r="Q2492" s="116">
        <v>811.45</v>
      </c>
      <c r="R2492">
        <v>1951897</v>
      </c>
    </row>
    <row r="2493" spans="1:18" x14ac:dyDescent="0.25">
      <c r="A2493" s="170">
        <v>45674</v>
      </c>
      <c r="B2493" s="116">
        <v>824</v>
      </c>
      <c r="C2493" s="116">
        <v>813.8</v>
      </c>
      <c r="D2493" s="116">
        <v>803.85</v>
      </c>
      <c r="E2493" s="116">
        <v>824</v>
      </c>
      <c r="F2493" s="116">
        <v>813.8</v>
      </c>
      <c r="G2493">
        <v>99034</v>
      </c>
      <c r="H2493" s="116"/>
      <c r="I2493" s="116"/>
      <c r="L2493" s="170">
        <v>45674</v>
      </c>
      <c r="M2493" s="116">
        <v>813.35</v>
      </c>
      <c r="N2493" s="116">
        <v>822.9</v>
      </c>
      <c r="O2493" s="116">
        <v>803.6</v>
      </c>
      <c r="P2493" s="116">
        <v>822.9</v>
      </c>
      <c r="Q2493" s="116">
        <v>813.35</v>
      </c>
      <c r="R2493">
        <v>2381426</v>
      </c>
    </row>
    <row r="2494" spans="1:18" x14ac:dyDescent="0.25">
      <c r="A2494" s="170">
        <v>45677</v>
      </c>
      <c r="B2494" s="116">
        <v>835</v>
      </c>
      <c r="C2494" s="116">
        <v>793.1</v>
      </c>
      <c r="D2494" s="116">
        <v>779.35</v>
      </c>
      <c r="E2494" s="116">
        <v>835</v>
      </c>
      <c r="F2494" s="116">
        <v>793.1</v>
      </c>
      <c r="G2494">
        <v>275183</v>
      </c>
      <c r="H2494" s="116"/>
      <c r="I2494" s="116"/>
      <c r="L2494" s="170">
        <v>45677</v>
      </c>
      <c r="M2494" s="116">
        <v>793</v>
      </c>
      <c r="N2494" s="116">
        <v>834.95</v>
      </c>
      <c r="O2494" s="116">
        <v>778.7</v>
      </c>
      <c r="P2494" s="116">
        <v>826.65</v>
      </c>
      <c r="Q2494" s="116">
        <v>793</v>
      </c>
      <c r="R2494">
        <v>11627000</v>
      </c>
    </row>
    <row r="2495" spans="1:18" x14ac:dyDescent="0.25">
      <c r="A2495" s="170">
        <v>45678</v>
      </c>
      <c r="B2495" s="116">
        <v>797.2</v>
      </c>
      <c r="C2495" s="116">
        <v>760.15</v>
      </c>
      <c r="D2495" s="116">
        <v>758.75</v>
      </c>
      <c r="E2495" s="116">
        <v>795</v>
      </c>
      <c r="F2495" s="116">
        <v>760.15</v>
      </c>
      <c r="G2495">
        <v>117875</v>
      </c>
      <c r="H2495" s="116"/>
      <c r="I2495" s="116"/>
      <c r="L2495" s="170">
        <v>45678</v>
      </c>
      <c r="M2495" s="116">
        <v>760.35</v>
      </c>
      <c r="N2495" s="116">
        <v>798.65</v>
      </c>
      <c r="O2495" s="116">
        <v>759.1</v>
      </c>
      <c r="P2495" s="116">
        <v>795</v>
      </c>
      <c r="Q2495" s="116">
        <v>760.35</v>
      </c>
      <c r="R2495">
        <v>3343822</v>
      </c>
    </row>
    <row r="2496" spans="1:18" x14ac:dyDescent="0.25">
      <c r="A2496" s="170">
        <v>45679</v>
      </c>
      <c r="B2496" s="116">
        <v>774.5</v>
      </c>
      <c r="C2496" s="116">
        <v>773</v>
      </c>
      <c r="D2496" s="116">
        <v>751.9</v>
      </c>
      <c r="E2496" s="116">
        <v>762.05</v>
      </c>
      <c r="F2496" s="116">
        <v>773</v>
      </c>
      <c r="G2496">
        <v>274364</v>
      </c>
      <c r="H2496" s="116"/>
      <c r="I2496" s="116"/>
      <c r="L2496" s="170">
        <v>45679</v>
      </c>
      <c r="M2496" s="116">
        <v>772.75</v>
      </c>
      <c r="N2496" s="116">
        <v>774</v>
      </c>
      <c r="O2496" s="116">
        <v>751.5</v>
      </c>
      <c r="P2496" s="116">
        <v>764.45</v>
      </c>
      <c r="Q2496" s="116">
        <v>772.75</v>
      </c>
      <c r="R2496">
        <v>6271590</v>
      </c>
    </row>
    <row r="2497" spans="1:18" x14ac:dyDescent="0.25">
      <c r="A2497" s="170">
        <v>45680</v>
      </c>
      <c r="B2497" s="116">
        <v>779.05</v>
      </c>
      <c r="C2497" s="116">
        <v>774.65</v>
      </c>
      <c r="D2497" s="116">
        <v>759.8</v>
      </c>
      <c r="E2497" s="116">
        <v>772.75</v>
      </c>
      <c r="F2497" s="116">
        <v>774.65</v>
      </c>
      <c r="G2497">
        <v>83629</v>
      </c>
      <c r="H2497" s="116"/>
      <c r="I2497" s="116"/>
      <c r="L2497" s="170">
        <v>45680</v>
      </c>
      <c r="M2497" s="116">
        <v>775.1</v>
      </c>
      <c r="N2497" s="116">
        <v>778.9</v>
      </c>
      <c r="O2497" s="116">
        <v>759.05</v>
      </c>
      <c r="P2497" s="116">
        <v>771</v>
      </c>
      <c r="Q2497" s="116">
        <v>775.1</v>
      </c>
      <c r="R2497">
        <v>2462777</v>
      </c>
    </row>
    <row r="2498" spans="1:18" x14ac:dyDescent="0.25">
      <c r="A2498" s="170">
        <v>45681</v>
      </c>
      <c r="B2498" s="116">
        <v>789</v>
      </c>
      <c r="C2498" s="116">
        <v>781.7</v>
      </c>
      <c r="D2498" s="116">
        <v>774.45</v>
      </c>
      <c r="E2498" s="116">
        <v>775.15</v>
      </c>
      <c r="F2498" s="116">
        <v>781.7</v>
      </c>
      <c r="G2498">
        <v>70569</v>
      </c>
      <c r="H2498" s="116"/>
      <c r="I2498" s="116"/>
      <c r="L2498" s="170">
        <v>45681</v>
      </c>
      <c r="M2498" s="116">
        <v>781.2</v>
      </c>
      <c r="N2498" s="116">
        <v>789.6</v>
      </c>
      <c r="O2498" s="116">
        <v>772.6</v>
      </c>
      <c r="P2498" s="116">
        <v>775.05</v>
      </c>
      <c r="Q2498" s="116">
        <v>781.2</v>
      </c>
      <c r="R2498">
        <v>3252107</v>
      </c>
    </row>
    <row r="2499" spans="1:18" x14ac:dyDescent="0.25">
      <c r="A2499" s="170">
        <v>45684</v>
      </c>
      <c r="B2499" s="116">
        <v>778.95</v>
      </c>
      <c r="C2499" s="116">
        <v>760.2</v>
      </c>
      <c r="D2499" s="116">
        <v>757</v>
      </c>
      <c r="E2499" s="116">
        <v>767.4</v>
      </c>
      <c r="F2499" s="116">
        <v>760.2</v>
      </c>
      <c r="G2499">
        <v>88666</v>
      </c>
      <c r="H2499" s="116"/>
      <c r="I2499" s="116"/>
      <c r="L2499" s="170">
        <v>45684</v>
      </c>
      <c r="M2499" s="116">
        <v>760.2</v>
      </c>
      <c r="N2499" s="116">
        <v>778.8</v>
      </c>
      <c r="O2499" s="116">
        <v>757</v>
      </c>
      <c r="P2499" s="116">
        <v>772.1</v>
      </c>
      <c r="Q2499" s="116">
        <v>760.2</v>
      </c>
      <c r="R2499">
        <v>3360806</v>
      </c>
    </row>
    <row r="2500" spans="1:18" x14ac:dyDescent="0.25">
      <c r="A2500" s="170">
        <v>45685</v>
      </c>
      <c r="B2500" s="116">
        <v>769.45</v>
      </c>
      <c r="C2500" s="116">
        <v>753.2</v>
      </c>
      <c r="D2500" s="116">
        <v>745</v>
      </c>
      <c r="E2500" s="116">
        <v>751.2</v>
      </c>
      <c r="F2500" s="116">
        <v>753.2</v>
      </c>
      <c r="G2500">
        <v>114228</v>
      </c>
      <c r="H2500" s="116"/>
      <c r="I2500" s="116"/>
      <c r="L2500" s="170">
        <v>45685</v>
      </c>
      <c r="M2500" s="116">
        <v>753.7</v>
      </c>
      <c r="N2500" s="116">
        <v>769.4</v>
      </c>
      <c r="O2500" s="116">
        <v>745</v>
      </c>
      <c r="P2500" s="116">
        <v>761.9</v>
      </c>
      <c r="Q2500" s="116">
        <v>753.7</v>
      </c>
      <c r="R2500">
        <v>2281702</v>
      </c>
    </row>
    <row r="2501" spans="1:18" x14ac:dyDescent="0.25">
      <c r="A2501" s="170">
        <v>45686</v>
      </c>
      <c r="B2501" s="116">
        <v>779.9</v>
      </c>
      <c r="C2501" s="116">
        <v>777.15</v>
      </c>
      <c r="D2501" s="116">
        <v>750</v>
      </c>
      <c r="E2501" s="116">
        <v>753.2</v>
      </c>
      <c r="F2501" s="116">
        <v>777.15</v>
      </c>
      <c r="G2501">
        <v>85924</v>
      </c>
      <c r="H2501" s="116"/>
      <c r="I2501" s="116"/>
      <c r="L2501" s="170">
        <v>45686</v>
      </c>
      <c r="M2501" s="116">
        <v>777.55</v>
      </c>
      <c r="N2501" s="116">
        <v>780.05</v>
      </c>
      <c r="O2501" s="116">
        <v>749.05</v>
      </c>
      <c r="P2501" s="116">
        <v>750</v>
      </c>
      <c r="Q2501" s="116">
        <v>777.55</v>
      </c>
      <c r="R2501">
        <v>2589510</v>
      </c>
    </row>
    <row r="2502" spans="1:18" x14ac:dyDescent="0.25">
      <c r="A2502" s="170">
        <v>45687</v>
      </c>
      <c r="B2502" s="116">
        <v>783.8</v>
      </c>
      <c r="C2502" s="116">
        <v>761.8</v>
      </c>
      <c r="D2502" s="116">
        <v>758.85</v>
      </c>
      <c r="E2502" s="116">
        <v>783.8</v>
      </c>
      <c r="F2502" s="116">
        <v>761.8</v>
      </c>
      <c r="G2502">
        <v>30923</v>
      </c>
      <c r="H2502" s="116"/>
      <c r="I2502" s="116"/>
      <c r="L2502" s="170">
        <v>45687</v>
      </c>
      <c r="M2502" s="116">
        <v>761.2</v>
      </c>
      <c r="N2502" s="116">
        <v>782.7</v>
      </c>
      <c r="O2502" s="116">
        <v>758.35</v>
      </c>
      <c r="P2502" s="116">
        <v>781.5</v>
      </c>
      <c r="Q2502" s="116">
        <v>761.2</v>
      </c>
      <c r="R2502">
        <v>2728643</v>
      </c>
    </row>
    <row r="2503" spans="1:18" x14ac:dyDescent="0.25">
      <c r="A2503" s="170">
        <v>45688</v>
      </c>
      <c r="B2503" s="116">
        <v>771.7</v>
      </c>
      <c r="C2503" s="116">
        <v>764.5</v>
      </c>
      <c r="D2503" s="116">
        <v>759.1</v>
      </c>
      <c r="E2503" s="116">
        <v>759.1</v>
      </c>
      <c r="F2503" s="116">
        <v>764.5</v>
      </c>
      <c r="G2503">
        <v>101564</v>
      </c>
      <c r="H2503" s="116"/>
      <c r="I2503" s="116"/>
      <c r="L2503" s="170">
        <v>45688</v>
      </c>
      <c r="M2503" s="116">
        <v>764.7</v>
      </c>
      <c r="N2503" s="116">
        <v>771.35</v>
      </c>
      <c r="O2503" s="116">
        <v>759</v>
      </c>
      <c r="P2503" s="116">
        <v>762.5</v>
      </c>
      <c r="Q2503" s="116">
        <v>764.7</v>
      </c>
      <c r="R2503">
        <v>2505181</v>
      </c>
    </row>
    <row r="2504" spans="1:18" x14ac:dyDescent="0.25">
      <c r="A2504" s="170">
        <v>45689</v>
      </c>
      <c r="B2504" s="116">
        <v>805</v>
      </c>
      <c r="C2504" s="116">
        <v>801.45</v>
      </c>
      <c r="D2504" s="116">
        <v>723.95</v>
      </c>
      <c r="E2504" s="116">
        <v>772.85</v>
      </c>
      <c r="F2504" s="116">
        <v>801.45</v>
      </c>
      <c r="G2504">
        <v>126893</v>
      </c>
      <c r="H2504" s="116"/>
      <c r="I2504" s="116"/>
      <c r="L2504" s="170">
        <v>45689</v>
      </c>
      <c r="M2504" s="116">
        <v>801.45</v>
      </c>
      <c r="N2504" s="116">
        <v>805.5</v>
      </c>
      <c r="O2504" s="116">
        <v>723.45</v>
      </c>
      <c r="P2504" s="116">
        <v>769</v>
      </c>
      <c r="Q2504" s="116">
        <v>801.45</v>
      </c>
      <c r="R2504">
        <v>3815173</v>
      </c>
    </row>
    <row r="2505" spans="1:18" x14ac:dyDescent="0.25">
      <c r="A2505" s="170">
        <v>45691</v>
      </c>
      <c r="B2505" s="116">
        <v>820.65</v>
      </c>
      <c r="C2505" s="116">
        <v>815.9</v>
      </c>
      <c r="D2505" s="116">
        <v>784.25</v>
      </c>
      <c r="E2505" s="116">
        <v>801.95</v>
      </c>
      <c r="F2505" s="116">
        <v>815.9</v>
      </c>
      <c r="G2505">
        <v>152438</v>
      </c>
      <c r="H2505" s="116"/>
      <c r="I2505" s="116"/>
      <c r="L2505" s="170">
        <v>45691</v>
      </c>
      <c r="M2505" s="116">
        <v>816.2</v>
      </c>
      <c r="N2505" s="116">
        <v>820.5</v>
      </c>
      <c r="O2505" s="116">
        <v>784.9</v>
      </c>
      <c r="P2505" s="116">
        <v>801.4</v>
      </c>
      <c r="Q2505" s="116">
        <v>816.2</v>
      </c>
      <c r="R2505">
        <v>4664849</v>
      </c>
    </row>
    <row r="2506" spans="1:18" x14ac:dyDescent="0.25">
      <c r="A2506" s="170">
        <v>45692</v>
      </c>
      <c r="B2506" s="116">
        <v>831.4</v>
      </c>
      <c r="C2506" s="116">
        <v>828</v>
      </c>
      <c r="D2506" s="116">
        <v>814</v>
      </c>
      <c r="E2506" s="116">
        <v>820</v>
      </c>
      <c r="F2506" s="116">
        <v>828</v>
      </c>
      <c r="G2506">
        <v>52138</v>
      </c>
      <c r="H2506" s="116"/>
      <c r="I2506" s="116"/>
      <c r="L2506" s="170">
        <v>45692</v>
      </c>
      <c r="M2506" s="116">
        <v>828.2</v>
      </c>
      <c r="N2506" s="116">
        <v>832</v>
      </c>
      <c r="O2506" s="116">
        <v>813.55</v>
      </c>
      <c r="P2506" s="116">
        <v>819.6</v>
      </c>
      <c r="Q2506" s="116">
        <v>828.2</v>
      </c>
      <c r="R2506">
        <v>3055036</v>
      </c>
    </row>
    <row r="2507" spans="1:18" x14ac:dyDescent="0.25">
      <c r="A2507" s="170">
        <v>45693</v>
      </c>
      <c r="B2507" s="116">
        <v>835.8</v>
      </c>
      <c r="C2507" s="116">
        <v>815.55</v>
      </c>
      <c r="D2507" s="116">
        <v>811.3</v>
      </c>
      <c r="E2507" s="116">
        <v>831.8</v>
      </c>
      <c r="F2507" s="116">
        <v>815.55</v>
      </c>
      <c r="G2507">
        <v>32346</v>
      </c>
      <c r="H2507" s="116"/>
      <c r="I2507" s="116"/>
      <c r="L2507" s="170">
        <v>45693</v>
      </c>
      <c r="M2507" s="116">
        <v>815.9</v>
      </c>
      <c r="N2507" s="116">
        <v>836</v>
      </c>
      <c r="O2507" s="116">
        <v>811.85</v>
      </c>
      <c r="P2507" s="116">
        <v>828.2</v>
      </c>
      <c r="Q2507" s="116">
        <v>815.9</v>
      </c>
      <c r="R2507">
        <v>3665455</v>
      </c>
    </row>
    <row r="2508" spans="1:18" x14ac:dyDescent="0.25">
      <c r="A2508" s="170">
        <v>45694</v>
      </c>
      <c r="B2508" s="116">
        <v>817</v>
      </c>
      <c r="C2508" s="116">
        <v>790.25</v>
      </c>
      <c r="D2508" s="116">
        <v>784.2</v>
      </c>
      <c r="E2508" s="116">
        <v>816</v>
      </c>
      <c r="F2508" s="116">
        <v>790.25</v>
      </c>
      <c r="G2508">
        <v>44712</v>
      </c>
      <c r="H2508" s="116"/>
      <c r="I2508" s="116"/>
      <c r="L2508" s="170">
        <v>45694</v>
      </c>
      <c r="M2508" s="116">
        <v>790.1</v>
      </c>
      <c r="N2508" s="116">
        <v>816.1</v>
      </c>
      <c r="O2508" s="116">
        <v>783.3</v>
      </c>
      <c r="P2508" s="116">
        <v>815.8</v>
      </c>
      <c r="Q2508" s="116">
        <v>790.1</v>
      </c>
      <c r="R2508">
        <v>3240318</v>
      </c>
    </row>
    <row r="2509" spans="1:18" x14ac:dyDescent="0.25">
      <c r="A2509" s="170">
        <v>45695</v>
      </c>
      <c r="B2509" s="116">
        <v>803.7</v>
      </c>
      <c r="C2509" s="116">
        <v>791.45</v>
      </c>
      <c r="D2509" s="116">
        <v>784.95</v>
      </c>
      <c r="E2509" s="116">
        <v>794.9</v>
      </c>
      <c r="F2509" s="116">
        <v>791.45</v>
      </c>
      <c r="G2509">
        <v>46290</v>
      </c>
      <c r="H2509" s="116"/>
      <c r="I2509" s="116"/>
      <c r="L2509" s="170">
        <v>45695</v>
      </c>
      <c r="M2509" s="116">
        <v>791.8</v>
      </c>
      <c r="N2509" s="116">
        <v>803.8</v>
      </c>
      <c r="O2509" s="116">
        <v>784.15</v>
      </c>
      <c r="P2509" s="116">
        <v>794.9</v>
      </c>
      <c r="Q2509" s="116">
        <v>791.8</v>
      </c>
      <c r="R2509">
        <v>1439580</v>
      </c>
    </row>
    <row r="2510" spans="1:18" x14ac:dyDescent="0.25">
      <c r="A2510" s="170">
        <v>45698</v>
      </c>
      <c r="B2510" s="116">
        <v>797.3</v>
      </c>
      <c r="C2510" s="116">
        <v>776.8</v>
      </c>
      <c r="D2510" s="116">
        <v>773.1</v>
      </c>
      <c r="E2510" s="116">
        <v>797.3</v>
      </c>
      <c r="F2510" s="116">
        <v>776.8</v>
      </c>
      <c r="G2510">
        <v>37218</v>
      </c>
      <c r="H2510" s="116"/>
      <c r="I2510" s="116"/>
      <c r="L2510" s="170">
        <v>45698</v>
      </c>
      <c r="M2510" s="116">
        <v>776.7</v>
      </c>
      <c r="N2510" s="116">
        <v>797.75</v>
      </c>
      <c r="O2510" s="116">
        <v>773.3</v>
      </c>
      <c r="P2510" s="116">
        <v>794.95</v>
      </c>
      <c r="Q2510" s="116">
        <v>776.7</v>
      </c>
      <c r="R2510">
        <v>1595160</v>
      </c>
    </row>
    <row r="2511" spans="1:18" x14ac:dyDescent="0.25">
      <c r="A2511" s="170">
        <v>45699</v>
      </c>
      <c r="B2511" s="116">
        <v>775.35</v>
      </c>
      <c r="C2511" s="116">
        <v>747.45</v>
      </c>
      <c r="D2511" s="116">
        <v>743.9</v>
      </c>
      <c r="E2511" s="116">
        <v>765.05</v>
      </c>
      <c r="F2511" s="116">
        <v>747.45</v>
      </c>
      <c r="G2511">
        <v>84611</v>
      </c>
      <c r="H2511" s="116"/>
      <c r="I2511" s="116"/>
      <c r="L2511" s="170">
        <v>45699</v>
      </c>
      <c r="M2511" s="116">
        <v>748</v>
      </c>
      <c r="N2511" s="116">
        <v>776</v>
      </c>
      <c r="O2511" s="116">
        <v>743.25</v>
      </c>
      <c r="P2511" s="116">
        <v>776</v>
      </c>
      <c r="Q2511" s="116">
        <v>748</v>
      </c>
      <c r="R2511">
        <v>2381688</v>
      </c>
    </row>
    <row r="2512" spans="1:18" x14ac:dyDescent="0.25">
      <c r="A2512" s="170">
        <v>45700</v>
      </c>
      <c r="B2512" s="116">
        <v>747.45</v>
      </c>
      <c r="C2512" s="116">
        <v>732.1</v>
      </c>
      <c r="D2512" s="116">
        <v>724.3</v>
      </c>
      <c r="E2512" s="116">
        <v>747.45</v>
      </c>
      <c r="F2512" s="116">
        <v>732.1</v>
      </c>
      <c r="G2512">
        <v>56365</v>
      </c>
      <c r="H2512" s="116"/>
      <c r="I2512" s="116"/>
      <c r="L2512" s="170">
        <v>45700</v>
      </c>
      <c r="M2512" s="116">
        <v>731.2</v>
      </c>
      <c r="N2512" s="116">
        <v>747.7</v>
      </c>
      <c r="O2512" s="116">
        <v>724.5</v>
      </c>
      <c r="P2512" s="116">
        <v>746</v>
      </c>
      <c r="Q2512" s="116">
        <v>731.2</v>
      </c>
      <c r="R2512">
        <v>2506996</v>
      </c>
    </row>
    <row r="2513" spans="1:18" x14ac:dyDescent="0.25">
      <c r="A2513" s="170">
        <v>45701</v>
      </c>
      <c r="B2513" s="116">
        <v>748.15</v>
      </c>
      <c r="C2513" s="116">
        <v>736.5</v>
      </c>
      <c r="D2513" s="116">
        <v>728.8</v>
      </c>
      <c r="E2513" s="116">
        <v>731</v>
      </c>
      <c r="F2513" s="116">
        <v>736.5</v>
      </c>
      <c r="G2513">
        <v>45394</v>
      </c>
      <c r="H2513" s="116"/>
      <c r="I2513" s="116"/>
      <c r="L2513" s="170">
        <v>45701</v>
      </c>
      <c r="M2513" s="116">
        <v>736.75</v>
      </c>
      <c r="N2513" s="116">
        <v>748.45</v>
      </c>
      <c r="O2513" s="116">
        <v>728.55</v>
      </c>
      <c r="P2513" s="116">
        <v>731.2</v>
      </c>
      <c r="Q2513" s="116">
        <v>736.75</v>
      </c>
      <c r="R2513">
        <v>1494372</v>
      </c>
    </row>
    <row r="2514" spans="1:18" x14ac:dyDescent="0.25">
      <c r="A2514" s="170">
        <v>45702</v>
      </c>
      <c r="B2514" s="116">
        <v>743.1</v>
      </c>
      <c r="C2514" s="116">
        <v>709.85</v>
      </c>
      <c r="D2514" s="116">
        <v>701.05</v>
      </c>
      <c r="E2514" s="116">
        <v>735</v>
      </c>
      <c r="F2514" s="116">
        <v>709.85</v>
      </c>
      <c r="G2514">
        <v>90296</v>
      </c>
      <c r="H2514" s="116"/>
      <c r="I2514" s="116"/>
      <c r="L2514" s="170">
        <v>45702</v>
      </c>
      <c r="M2514" s="116">
        <v>710.2</v>
      </c>
      <c r="N2514" s="116">
        <v>743</v>
      </c>
      <c r="O2514" s="116">
        <v>700.8</v>
      </c>
      <c r="P2514" s="116">
        <v>741.9</v>
      </c>
      <c r="Q2514" s="116">
        <v>710.2</v>
      </c>
      <c r="R2514">
        <v>2236429</v>
      </c>
    </row>
    <row r="2515" spans="1:18" x14ac:dyDescent="0.25">
      <c r="A2515" s="170">
        <v>45705</v>
      </c>
      <c r="B2515" s="116">
        <v>724.2</v>
      </c>
      <c r="C2515" s="116">
        <v>721.35</v>
      </c>
      <c r="D2515" s="116">
        <v>683.5</v>
      </c>
      <c r="E2515" s="116">
        <v>691.05</v>
      </c>
      <c r="F2515" s="116">
        <v>721.35</v>
      </c>
      <c r="G2515">
        <v>57790</v>
      </c>
      <c r="H2515" s="116"/>
      <c r="I2515" s="116"/>
      <c r="L2515" s="170">
        <v>45705</v>
      </c>
      <c r="M2515" s="116">
        <v>721.65</v>
      </c>
      <c r="N2515" s="116">
        <v>723.8</v>
      </c>
      <c r="O2515" s="116">
        <v>682.7</v>
      </c>
      <c r="P2515" s="116">
        <v>695</v>
      </c>
      <c r="Q2515" s="116">
        <v>721.65</v>
      </c>
      <c r="R2515">
        <v>4274281</v>
      </c>
    </row>
    <row r="2516" spans="1:18" x14ac:dyDescent="0.25">
      <c r="A2516" s="170">
        <v>45706</v>
      </c>
      <c r="B2516" s="116">
        <v>724.65</v>
      </c>
      <c r="C2516" s="116">
        <v>722.3</v>
      </c>
      <c r="D2516" s="116">
        <v>706</v>
      </c>
      <c r="E2516" s="116">
        <v>724.65</v>
      </c>
      <c r="F2516" s="116">
        <v>722.3</v>
      </c>
      <c r="G2516">
        <v>42195</v>
      </c>
      <c r="H2516" s="116"/>
      <c r="I2516" s="116"/>
      <c r="L2516" s="170">
        <v>45706</v>
      </c>
      <c r="M2516" s="116">
        <v>721.95</v>
      </c>
      <c r="N2516" s="116">
        <v>724.75</v>
      </c>
      <c r="O2516" s="116">
        <v>705.65</v>
      </c>
      <c r="P2516" s="116">
        <v>724.75</v>
      </c>
      <c r="Q2516" s="116">
        <v>721.95</v>
      </c>
      <c r="R2516">
        <v>1958848</v>
      </c>
    </row>
    <row r="2517" spans="1:18" x14ac:dyDescent="0.25">
      <c r="A2517" s="170">
        <v>45707</v>
      </c>
      <c r="B2517" s="116">
        <v>750</v>
      </c>
      <c r="C2517" s="116">
        <v>747.25</v>
      </c>
      <c r="D2517" s="116">
        <v>715.9</v>
      </c>
      <c r="E2517" s="116">
        <v>722</v>
      </c>
      <c r="F2517" s="116">
        <v>747.25</v>
      </c>
      <c r="G2517">
        <v>58829</v>
      </c>
      <c r="H2517" s="116"/>
      <c r="I2517" s="116"/>
      <c r="L2517" s="170">
        <v>45707</v>
      </c>
      <c r="M2517" s="116">
        <v>746.7</v>
      </c>
      <c r="N2517" s="116">
        <v>749.9</v>
      </c>
      <c r="O2517" s="116">
        <v>715.75</v>
      </c>
      <c r="P2517" s="116">
        <v>721.95</v>
      </c>
      <c r="Q2517" s="116">
        <v>746.7</v>
      </c>
      <c r="R2517">
        <v>3899571</v>
      </c>
    </row>
    <row r="2518" spans="1:18" x14ac:dyDescent="0.25">
      <c r="A2518" s="170">
        <v>45708</v>
      </c>
      <c r="B2518" s="116">
        <v>762.7</v>
      </c>
      <c r="C2518" s="116">
        <v>760.85</v>
      </c>
      <c r="D2518" s="116">
        <v>742.25</v>
      </c>
      <c r="E2518" s="116">
        <v>750.05</v>
      </c>
      <c r="F2518" s="116">
        <v>760.85</v>
      </c>
      <c r="G2518">
        <v>54814</v>
      </c>
      <c r="H2518" s="116"/>
      <c r="I2518" s="116"/>
      <c r="L2518" s="170">
        <v>45708</v>
      </c>
      <c r="M2518" s="116">
        <v>761</v>
      </c>
      <c r="N2518" s="116">
        <v>762.45</v>
      </c>
      <c r="O2518" s="116">
        <v>742.35</v>
      </c>
      <c r="P2518" s="116">
        <v>749.65</v>
      </c>
      <c r="Q2518" s="116">
        <v>761</v>
      </c>
      <c r="R2518">
        <v>2195581</v>
      </c>
    </row>
    <row r="2519" spans="1:18" x14ac:dyDescent="0.25">
      <c r="A2519" s="170">
        <v>45709</v>
      </c>
      <c r="B2519" s="116">
        <v>779.1</v>
      </c>
      <c r="C2519" s="116">
        <v>756.8</v>
      </c>
      <c r="D2519" s="116">
        <v>753.95</v>
      </c>
      <c r="E2519" s="116">
        <v>768.3</v>
      </c>
      <c r="F2519" s="116">
        <v>756.8</v>
      </c>
      <c r="G2519">
        <v>42193</v>
      </c>
      <c r="H2519" s="116"/>
      <c r="I2519" s="116"/>
      <c r="L2519" s="170">
        <v>45709</v>
      </c>
      <c r="M2519" s="116">
        <v>757.55</v>
      </c>
      <c r="N2519" s="116">
        <v>779.4</v>
      </c>
      <c r="O2519" s="116">
        <v>753.2</v>
      </c>
      <c r="P2519" s="116">
        <v>765.45</v>
      </c>
      <c r="Q2519" s="116">
        <v>757.55</v>
      </c>
      <c r="R2519">
        <v>2751438</v>
      </c>
    </row>
    <row r="2520" spans="1:18" x14ac:dyDescent="0.25">
      <c r="A2520" s="170">
        <v>45712</v>
      </c>
      <c r="B2520" s="116">
        <v>747.55</v>
      </c>
      <c r="C2520" s="116">
        <v>728.6</v>
      </c>
      <c r="D2520" s="116">
        <v>727</v>
      </c>
      <c r="E2520" s="116">
        <v>745</v>
      </c>
      <c r="F2520" s="116">
        <v>728.6</v>
      </c>
      <c r="G2520">
        <v>26561</v>
      </c>
      <c r="H2520" s="116"/>
      <c r="I2520" s="116"/>
      <c r="L2520" s="170">
        <v>45712</v>
      </c>
      <c r="M2520" s="116">
        <v>728.8</v>
      </c>
      <c r="N2520" s="116">
        <v>749.95</v>
      </c>
      <c r="O2520" s="116">
        <v>726.5</v>
      </c>
      <c r="P2520" s="116">
        <v>745</v>
      </c>
      <c r="Q2520" s="116">
        <v>728.8</v>
      </c>
      <c r="R2520">
        <v>2127479</v>
      </c>
    </row>
    <row r="2521" spans="1:18" x14ac:dyDescent="0.25">
      <c r="A2521" s="170">
        <v>45713</v>
      </c>
      <c r="B2521" s="116">
        <v>733.2</v>
      </c>
      <c r="C2521" s="116">
        <v>724.05</v>
      </c>
      <c r="D2521" s="116">
        <v>714</v>
      </c>
      <c r="E2521" s="116">
        <v>729.6</v>
      </c>
      <c r="F2521" s="116">
        <v>724.05</v>
      </c>
      <c r="G2521">
        <v>49353</v>
      </c>
      <c r="H2521" s="116"/>
      <c r="I2521" s="116"/>
      <c r="L2521" s="170">
        <v>45713</v>
      </c>
      <c r="M2521" s="116">
        <v>724.65</v>
      </c>
      <c r="N2521" s="116">
        <v>733.35</v>
      </c>
      <c r="O2521" s="116">
        <v>714</v>
      </c>
      <c r="P2521" s="116">
        <v>728</v>
      </c>
      <c r="Q2521" s="116">
        <v>724.65</v>
      </c>
      <c r="R2521">
        <v>3208719</v>
      </c>
    </row>
    <row r="2522" spans="1:18" x14ac:dyDescent="0.25">
      <c r="A2522" s="170">
        <v>45715</v>
      </c>
      <c r="B2522" s="116">
        <v>731.65</v>
      </c>
      <c r="C2522" s="116">
        <v>724.2</v>
      </c>
      <c r="D2522" s="116">
        <v>716.4</v>
      </c>
      <c r="E2522" s="116">
        <v>724</v>
      </c>
      <c r="F2522" s="116">
        <v>724.2</v>
      </c>
      <c r="G2522">
        <v>26020</v>
      </c>
      <c r="H2522" s="116"/>
      <c r="I2522" s="116"/>
      <c r="L2522" s="170">
        <v>45715</v>
      </c>
      <c r="M2522" s="116">
        <v>724.35</v>
      </c>
      <c r="N2522" s="116">
        <v>732.85</v>
      </c>
      <c r="O2522" s="116">
        <v>716.1</v>
      </c>
      <c r="P2522" s="116">
        <v>722.1</v>
      </c>
      <c r="Q2522" s="116">
        <v>724.35</v>
      </c>
      <c r="R2522">
        <v>2263480</v>
      </c>
    </row>
    <row r="2523" spans="1:18" x14ac:dyDescent="0.25">
      <c r="A2523" s="170">
        <v>45716</v>
      </c>
      <c r="B2523" s="116">
        <v>726</v>
      </c>
      <c r="C2523" s="116">
        <v>716.2</v>
      </c>
      <c r="D2523" s="116">
        <v>703.1</v>
      </c>
      <c r="E2523" s="116">
        <v>712.05</v>
      </c>
      <c r="F2523" s="116">
        <v>716.2</v>
      </c>
      <c r="G2523">
        <v>59772</v>
      </c>
      <c r="H2523" s="116"/>
      <c r="I2523" s="116"/>
      <c r="L2523" s="170">
        <v>45716</v>
      </c>
      <c r="M2523" s="116">
        <v>716.1</v>
      </c>
      <c r="N2523" s="116">
        <v>726.8</v>
      </c>
      <c r="O2523" s="116">
        <v>703.2</v>
      </c>
      <c r="P2523" s="116">
        <v>718</v>
      </c>
      <c r="Q2523" s="116">
        <v>716.1</v>
      </c>
      <c r="R2523">
        <v>8666007</v>
      </c>
    </row>
    <row r="2524" spans="1:18" x14ac:dyDescent="0.25">
      <c r="A2524" s="170">
        <v>45719</v>
      </c>
      <c r="B2524" s="116">
        <v>732.5</v>
      </c>
      <c r="C2524" s="116">
        <v>726.8</v>
      </c>
      <c r="D2524" s="116">
        <v>711</v>
      </c>
      <c r="E2524" s="116">
        <v>711.4</v>
      </c>
      <c r="F2524" s="116">
        <v>726.8</v>
      </c>
      <c r="G2524">
        <v>89678</v>
      </c>
      <c r="H2524" s="116"/>
      <c r="I2524" s="116"/>
      <c r="L2524" s="170">
        <v>45719</v>
      </c>
      <c r="M2524" s="116">
        <v>726.75</v>
      </c>
      <c r="N2524" s="116">
        <v>732.75</v>
      </c>
      <c r="O2524" s="116">
        <v>711</v>
      </c>
      <c r="P2524" s="116">
        <v>716.5</v>
      </c>
      <c r="Q2524" s="116">
        <v>726.75</v>
      </c>
      <c r="R2524">
        <v>2801208</v>
      </c>
    </row>
    <row r="2525" spans="1:18" x14ac:dyDescent="0.25">
      <c r="A2525" s="170">
        <v>45720</v>
      </c>
      <c r="B2525" s="116">
        <v>728.1</v>
      </c>
      <c r="C2525" s="116">
        <v>716.9</v>
      </c>
      <c r="D2525" s="116">
        <v>708.35</v>
      </c>
      <c r="E2525" s="116">
        <v>716.95</v>
      </c>
      <c r="F2525" s="116">
        <v>716.9</v>
      </c>
      <c r="G2525">
        <v>69067</v>
      </c>
      <c r="H2525" s="116"/>
      <c r="I2525" s="116"/>
      <c r="L2525" s="170">
        <v>45720</v>
      </c>
      <c r="M2525" s="116">
        <v>716.9</v>
      </c>
      <c r="N2525" s="116">
        <v>728.15</v>
      </c>
      <c r="O2525" s="116">
        <v>708.25</v>
      </c>
      <c r="P2525" s="116">
        <v>714.15</v>
      </c>
      <c r="Q2525" s="116">
        <v>716.9</v>
      </c>
      <c r="R2525">
        <v>4045349</v>
      </c>
    </row>
    <row r="2526" spans="1:18" x14ac:dyDescent="0.25">
      <c r="A2526" s="170">
        <v>45721</v>
      </c>
      <c r="B2526" s="116">
        <v>758.7</v>
      </c>
      <c r="C2526" s="116">
        <v>757.35</v>
      </c>
      <c r="D2526" s="116">
        <v>717.75</v>
      </c>
      <c r="E2526" s="116">
        <v>717.75</v>
      </c>
      <c r="F2526" s="116">
        <v>757.35</v>
      </c>
      <c r="G2526">
        <v>96579</v>
      </c>
      <c r="H2526" s="116"/>
      <c r="I2526" s="116"/>
      <c r="L2526" s="170">
        <v>45721</v>
      </c>
      <c r="M2526" s="116">
        <v>757.2</v>
      </c>
      <c r="N2526" s="116">
        <v>758.45</v>
      </c>
      <c r="O2526" s="116">
        <v>718.05</v>
      </c>
      <c r="P2526" s="116">
        <v>718.8</v>
      </c>
      <c r="Q2526" s="116">
        <v>757.2</v>
      </c>
      <c r="R2526">
        <v>3266569</v>
      </c>
    </row>
    <row r="2527" spans="1:18" x14ac:dyDescent="0.25">
      <c r="A2527" s="170">
        <v>45722</v>
      </c>
      <c r="B2527" s="116">
        <v>764.95</v>
      </c>
      <c r="C2527" s="116">
        <v>749.3</v>
      </c>
      <c r="D2527" s="116">
        <v>745.1</v>
      </c>
      <c r="E2527" s="116">
        <v>764.95</v>
      </c>
      <c r="F2527" s="116">
        <v>749.3</v>
      </c>
      <c r="G2527">
        <v>66355</v>
      </c>
      <c r="H2527" s="116"/>
      <c r="I2527" s="116"/>
      <c r="L2527" s="170">
        <v>45722</v>
      </c>
      <c r="M2527" s="116">
        <v>749.15</v>
      </c>
      <c r="N2527" s="116">
        <v>763.55</v>
      </c>
      <c r="O2527" s="116">
        <v>745</v>
      </c>
      <c r="P2527" s="116">
        <v>763</v>
      </c>
      <c r="Q2527" s="116">
        <v>749.15</v>
      </c>
      <c r="R2527">
        <v>2390595</v>
      </c>
    </row>
    <row r="2528" spans="1:18" x14ac:dyDescent="0.25">
      <c r="A2528" s="170">
        <v>45723</v>
      </c>
      <c r="B2528" s="116">
        <v>760</v>
      </c>
      <c r="C2528" s="116">
        <v>744.45</v>
      </c>
      <c r="D2528" s="116">
        <v>738.6</v>
      </c>
      <c r="E2528" s="116">
        <v>760</v>
      </c>
      <c r="F2528" s="116">
        <v>744.45</v>
      </c>
      <c r="G2528">
        <v>65110</v>
      </c>
      <c r="H2528" s="116"/>
      <c r="I2528" s="116"/>
      <c r="L2528" s="170">
        <v>45723</v>
      </c>
      <c r="M2528" s="116">
        <v>744.3</v>
      </c>
      <c r="N2528" s="116">
        <v>756.05</v>
      </c>
      <c r="O2528" s="116">
        <v>737.95</v>
      </c>
      <c r="P2528" s="116">
        <v>754</v>
      </c>
      <c r="Q2528" s="116">
        <v>744.3</v>
      </c>
      <c r="R2528">
        <v>1815446</v>
      </c>
    </row>
    <row r="2529" spans="1:18" x14ac:dyDescent="0.25">
      <c r="A2529" s="170">
        <v>45726</v>
      </c>
      <c r="B2529" s="116">
        <v>756.45</v>
      </c>
      <c r="C2529" s="116">
        <v>740.8</v>
      </c>
      <c r="D2529" s="116">
        <v>737</v>
      </c>
      <c r="E2529" s="116">
        <v>749.7</v>
      </c>
      <c r="F2529" s="116">
        <v>740.8</v>
      </c>
      <c r="G2529">
        <v>51400</v>
      </c>
      <c r="H2529" s="116"/>
      <c r="I2529" s="116"/>
      <c r="L2529" s="170">
        <v>45726</v>
      </c>
      <c r="M2529" s="116">
        <v>741</v>
      </c>
      <c r="N2529" s="116">
        <v>756.5</v>
      </c>
      <c r="O2529" s="116">
        <v>737.15</v>
      </c>
      <c r="P2529" s="116">
        <v>745</v>
      </c>
      <c r="Q2529" s="116">
        <v>741</v>
      </c>
      <c r="R2529">
        <v>2531433</v>
      </c>
    </row>
    <row r="2530" spans="1:18" x14ac:dyDescent="0.25">
      <c r="A2530" s="170">
        <v>45727</v>
      </c>
      <c r="B2530" s="116">
        <v>751</v>
      </c>
      <c r="C2530" s="116">
        <v>748.3</v>
      </c>
      <c r="D2530" s="116">
        <v>728.45</v>
      </c>
      <c r="E2530" s="116">
        <v>733.6</v>
      </c>
      <c r="F2530" s="116">
        <v>748.3</v>
      </c>
      <c r="G2530">
        <v>38328</v>
      </c>
      <c r="H2530" s="116"/>
      <c r="I2530" s="116"/>
      <c r="L2530" s="170">
        <v>45727</v>
      </c>
      <c r="M2530" s="116">
        <v>749.05</v>
      </c>
      <c r="N2530" s="116">
        <v>751.45</v>
      </c>
      <c r="O2530" s="116">
        <v>728.4</v>
      </c>
      <c r="P2530" s="116">
        <v>735</v>
      </c>
      <c r="Q2530" s="116">
        <v>749.05</v>
      </c>
      <c r="R2530">
        <v>1969774</v>
      </c>
    </row>
    <row r="2531" spans="1:18" x14ac:dyDescent="0.25">
      <c r="A2531" s="170">
        <v>45728</v>
      </c>
      <c r="B2531" s="116">
        <v>758.8</v>
      </c>
      <c r="C2531" s="116">
        <v>749.65</v>
      </c>
      <c r="D2531" s="116">
        <v>744.6</v>
      </c>
      <c r="E2531" s="116">
        <v>749.85</v>
      </c>
      <c r="F2531" s="116">
        <v>749.65</v>
      </c>
      <c r="G2531">
        <v>23667</v>
      </c>
      <c r="H2531" s="116"/>
      <c r="I2531" s="116"/>
      <c r="L2531" s="170">
        <v>45728</v>
      </c>
      <c r="M2531" s="116">
        <v>749.35</v>
      </c>
      <c r="N2531" s="116">
        <v>758.5</v>
      </c>
      <c r="O2531" s="116">
        <v>743.8</v>
      </c>
      <c r="P2531" s="116">
        <v>748</v>
      </c>
      <c r="Q2531" s="116">
        <v>749.35</v>
      </c>
      <c r="R2531">
        <v>1433765</v>
      </c>
    </row>
    <row r="2532" spans="1:18" x14ac:dyDescent="0.25">
      <c r="A2532" s="170">
        <v>45729</v>
      </c>
      <c r="B2532" s="116">
        <v>764.9</v>
      </c>
      <c r="C2532" s="116">
        <v>750.15</v>
      </c>
      <c r="D2532" s="116">
        <v>748.5</v>
      </c>
      <c r="E2532" s="116">
        <v>760.85</v>
      </c>
      <c r="F2532" s="116">
        <v>750.15</v>
      </c>
      <c r="G2532">
        <v>63197</v>
      </c>
      <c r="H2532" s="116"/>
      <c r="I2532" s="116"/>
      <c r="L2532" s="170">
        <v>45729</v>
      </c>
      <c r="M2532" s="116">
        <v>750.45</v>
      </c>
      <c r="N2532" s="116">
        <v>765</v>
      </c>
      <c r="O2532" s="116">
        <v>749</v>
      </c>
      <c r="P2532" s="116">
        <v>760</v>
      </c>
      <c r="Q2532" s="116">
        <v>750.45</v>
      </c>
      <c r="R2532">
        <v>2525352</v>
      </c>
    </row>
    <row r="2533" spans="1:18" x14ac:dyDescent="0.25">
      <c r="A2533" s="170">
        <v>45733</v>
      </c>
      <c r="B2533" s="116">
        <v>758.75</v>
      </c>
      <c r="C2533" s="116">
        <v>753.1</v>
      </c>
      <c r="D2533" s="116">
        <v>740.15</v>
      </c>
      <c r="E2533" s="116">
        <v>752.5</v>
      </c>
      <c r="F2533" s="116">
        <v>753.1</v>
      </c>
      <c r="G2533">
        <v>47443</v>
      </c>
      <c r="H2533" s="116"/>
      <c r="I2533" s="116"/>
      <c r="L2533" s="170">
        <v>45733</v>
      </c>
      <c r="M2533" s="116">
        <v>753.3</v>
      </c>
      <c r="N2533" s="116">
        <v>758.95</v>
      </c>
      <c r="O2533" s="116">
        <v>740.25</v>
      </c>
      <c r="P2533" s="116">
        <v>752.5</v>
      </c>
      <c r="Q2533" s="116">
        <v>753.3</v>
      </c>
      <c r="R2533">
        <v>2732584</v>
      </c>
    </row>
    <row r="2534" spans="1:18" x14ac:dyDescent="0.25">
      <c r="A2534" s="170">
        <v>45734</v>
      </c>
      <c r="B2534" s="116">
        <v>792</v>
      </c>
      <c r="C2534" s="116">
        <v>785.6</v>
      </c>
      <c r="D2534" s="116">
        <v>754.2</v>
      </c>
      <c r="E2534" s="116">
        <v>754.2</v>
      </c>
      <c r="F2534" s="116">
        <v>785.6</v>
      </c>
      <c r="G2534">
        <v>124817</v>
      </c>
      <c r="H2534" s="116"/>
      <c r="I2534" s="116"/>
      <c r="L2534" s="170">
        <v>45734</v>
      </c>
      <c r="M2534" s="116">
        <v>786.25</v>
      </c>
      <c r="N2534" s="116">
        <v>792.9</v>
      </c>
      <c r="O2534" s="116">
        <v>755</v>
      </c>
      <c r="P2534" s="116">
        <v>755</v>
      </c>
      <c r="Q2534" s="116">
        <v>786.25</v>
      </c>
      <c r="R2534">
        <v>3471961</v>
      </c>
    </row>
    <row r="2535" spans="1:18" x14ac:dyDescent="0.25">
      <c r="A2535" s="170">
        <v>45735</v>
      </c>
      <c r="B2535" s="116">
        <v>824.05</v>
      </c>
      <c r="C2535" s="116">
        <v>811.45</v>
      </c>
      <c r="D2535" s="116">
        <v>786</v>
      </c>
      <c r="E2535" s="116">
        <v>791.5</v>
      </c>
      <c r="F2535" s="116">
        <v>811.45</v>
      </c>
      <c r="G2535">
        <v>140160</v>
      </c>
      <c r="H2535" s="116"/>
      <c r="I2535" s="116"/>
      <c r="L2535" s="170">
        <v>45735</v>
      </c>
      <c r="M2535" s="116">
        <v>810.6</v>
      </c>
      <c r="N2535" s="116">
        <v>824.7</v>
      </c>
      <c r="O2535" s="116">
        <v>785.3</v>
      </c>
      <c r="P2535" s="116">
        <v>787.9</v>
      </c>
      <c r="Q2535" s="116">
        <v>810.6</v>
      </c>
      <c r="R2535">
        <v>5540032</v>
      </c>
    </row>
    <row r="2536" spans="1:18" x14ac:dyDescent="0.25">
      <c r="A2536" s="170">
        <v>45736</v>
      </c>
      <c r="B2536" s="116">
        <v>824.8</v>
      </c>
      <c r="C2536" s="116">
        <v>815.55</v>
      </c>
      <c r="D2536" s="116">
        <v>802.3</v>
      </c>
      <c r="E2536" s="116">
        <v>824.8</v>
      </c>
      <c r="F2536" s="116">
        <v>815.55</v>
      </c>
      <c r="G2536">
        <v>95066</v>
      </c>
      <c r="H2536" s="116"/>
      <c r="I2536" s="116"/>
      <c r="L2536" s="170">
        <v>45736</v>
      </c>
      <c r="M2536" s="116">
        <v>816.1</v>
      </c>
      <c r="N2536" s="116">
        <v>822</v>
      </c>
      <c r="O2536" s="116">
        <v>802.65</v>
      </c>
      <c r="P2536" s="116">
        <v>821.8</v>
      </c>
      <c r="Q2536" s="116">
        <v>816.1</v>
      </c>
      <c r="R2536">
        <v>2288339</v>
      </c>
    </row>
    <row r="2537" spans="1:18" x14ac:dyDescent="0.25">
      <c r="A2537" s="170">
        <v>45737</v>
      </c>
      <c r="B2537" s="116">
        <v>831.5</v>
      </c>
      <c r="C2537" s="116">
        <v>824.05</v>
      </c>
      <c r="D2537" s="116">
        <v>813.8</v>
      </c>
      <c r="E2537" s="116">
        <v>816.2</v>
      </c>
      <c r="F2537" s="116">
        <v>824.05</v>
      </c>
      <c r="G2537">
        <v>56337</v>
      </c>
      <c r="H2537" s="116"/>
      <c r="I2537" s="116"/>
      <c r="L2537" s="170">
        <v>45737</v>
      </c>
      <c r="M2537" s="116">
        <v>824.7</v>
      </c>
      <c r="N2537" s="116">
        <v>831.85</v>
      </c>
      <c r="O2537" s="116">
        <v>810.35</v>
      </c>
      <c r="P2537" s="116">
        <v>817.25</v>
      </c>
      <c r="Q2537" s="116">
        <v>824.7</v>
      </c>
      <c r="R2537">
        <v>4943628</v>
      </c>
    </row>
    <row r="2538" spans="1:18" x14ac:dyDescent="0.25">
      <c r="A2538" s="170">
        <v>45740</v>
      </c>
      <c r="B2538" s="116">
        <v>846.8</v>
      </c>
      <c r="C2538" s="116">
        <v>841.6</v>
      </c>
      <c r="D2538" s="116">
        <v>826.05</v>
      </c>
      <c r="E2538" s="116">
        <v>834.35</v>
      </c>
      <c r="F2538" s="116">
        <v>841.6</v>
      </c>
      <c r="G2538">
        <v>84887</v>
      </c>
      <c r="H2538" s="116"/>
      <c r="I2538" s="116"/>
      <c r="L2538" s="170">
        <v>45740</v>
      </c>
      <c r="M2538" s="116">
        <v>842.1</v>
      </c>
      <c r="N2538" s="116">
        <v>847</v>
      </c>
      <c r="O2538" s="116">
        <v>827.1</v>
      </c>
      <c r="P2538" s="116">
        <v>829.75</v>
      </c>
      <c r="Q2538" s="116">
        <v>842.1</v>
      </c>
      <c r="R2538">
        <v>3298938</v>
      </c>
    </row>
    <row r="2539" spans="1:18" x14ac:dyDescent="0.25">
      <c r="A2539" s="170">
        <v>45741</v>
      </c>
      <c r="B2539" s="116">
        <v>858.85</v>
      </c>
      <c r="C2539" s="116">
        <v>827.85</v>
      </c>
      <c r="D2539" s="116">
        <v>823.55</v>
      </c>
      <c r="E2539" s="116">
        <v>858.85</v>
      </c>
      <c r="F2539" s="116">
        <v>827.85</v>
      </c>
      <c r="G2539">
        <v>158620</v>
      </c>
      <c r="H2539" s="116"/>
      <c r="I2539" s="116"/>
      <c r="L2539" s="170">
        <v>45741</v>
      </c>
      <c r="M2539" s="116">
        <v>828.55</v>
      </c>
      <c r="N2539" s="116">
        <v>858</v>
      </c>
      <c r="O2539" s="116">
        <v>824</v>
      </c>
      <c r="P2539" s="116">
        <v>850.05</v>
      </c>
      <c r="Q2539" s="116">
        <v>828.55</v>
      </c>
      <c r="R2539">
        <v>4138908</v>
      </c>
    </row>
    <row r="2540" spans="1:18" x14ac:dyDescent="0.25">
      <c r="A2540" s="170">
        <v>45742</v>
      </c>
      <c r="B2540" s="116">
        <v>838.2</v>
      </c>
      <c r="C2540" s="116">
        <v>809.2</v>
      </c>
      <c r="D2540" s="116">
        <v>805.1</v>
      </c>
      <c r="E2540" s="116">
        <v>829.2</v>
      </c>
      <c r="F2540" s="116">
        <v>809.2</v>
      </c>
      <c r="G2540">
        <v>37374</v>
      </c>
      <c r="H2540" s="116"/>
      <c r="I2540" s="116"/>
      <c r="L2540" s="170">
        <v>45742</v>
      </c>
      <c r="M2540" s="116">
        <v>808.2</v>
      </c>
      <c r="N2540" s="116">
        <v>838</v>
      </c>
      <c r="O2540" s="116">
        <v>803.4</v>
      </c>
      <c r="P2540" s="116">
        <v>832</v>
      </c>
      <c r="Q2540" s="116">
        <v>808.2</v>
      </c>
      <c r="R2540">
        <v>2774470</v>
      </c>
    </row>
    <row r="2541" spans="1:18" x14ac:dyDescent="0.25">
      <c r="A2541" s="170">
        <v>45743</v>
      </c>
      <c r="B2541" s="116">
        <v>816</v>
      </c>
      <c r="C2541" s="116">
        <v>791.45</v>
      </c>
      <c r="D2541" s="116">
        <v>786</v>
      </c>
      <c r="E2541" s="116">
        <v>800</v>
      </c>
      <c r="F2541" s="116">
        <v>791.45</v>
      </c>
      <c r="G2541">
        <v>310514</v>
      </c>
      <c r="H2541" s="116"/>
      <c r="I2541" s="116"/>
      <c r="L2541" s="170">
        <v>45743</v>
      </c>
      <c r="M2541" s="116">
        <v>790.55</v>
      </c>
      <c r="N2541" s="116">
        <v>816.5</v>
      </c>
      <c r="O2541" s="116">
        <v>786.1</v>
      </c>
      <c r="P2541" s="116">
        <v>800.1</v>
      </c>
      <c r="Q2541" s="116">
        <v>790.55</v>
      </c>
      <c r="R2541">
        <v>25416536</v>
      </c>
    </row>
    <row r="2542" spans="1:18" x14ac:dyDescent="0.25">
      <c r="A2542" s="170">
        <v>45744</v>
      </c>
      <c r="B2542" s="116">
        <v>803.15</v>
      </c>
      <c r="C2542" s="116">
        <v>786.65</v>
      </c>
      <c r="D2542" s="116">
        <v>783.9</v>
      </c>
      <c r="E2542" s="116">
        <v>796.4</v>
      </c>
      <c r="F2542" s="116">
        <v>786.65</v>
      </c>
      <c r="G2542">
        <v>98733</v>
      </c>
      <c r="H2542" s="116"/>
      <c r="I2542" s="116"/>
      <c r="L2542" s="170">
        <v>45744</v>
      </c>
      <c r="M2542" s="116">
        <v>787.55</v>
      </c>
      <c r="N2542" s="116">
        <v>803</v>
      </c>
      <c r="O2542" s="116">
        <v>783.35</v>
      </c>
      <c r="P2542" s="116">
        <v>793.55</v>
      </c>
      <c r="Q2542" s="116">
        <v>787.55</v>
      </c>
      <c r="R2542">
        <v>3391846</v>
      </c>
    </row>
    <row r="2543" spans="1:18" x14ac:dyDescent="0.25">
      <c r="A2543" s="170">
        <v>45748</v>
      </c>
      <c r="B2543" s="116">
        <v>809.5</v>
      </c>
      <c r="C2543" s="116">
        <v>805.65</v>
      </c>
      <c r="D2543" s="116">
        <v>782.05</v>
      </c>
      <c r="E2543" s="116">
        <v>799.85</v>
      </c>
      <c r="F2543" s="116">
        <v>805.65</v>
      </c>
      <c r="G2543">
        <v>70016</v>
      </c>
      <c r="H2543" s="116"/>
      <c r="I2543" s="116"/>
      <c r="L2543" s="170">
        <v>45748</v>
      </c>
      <c r="M2543" s="116">
        <v>805.75</v>
      </c>
      <c r="N2543" s="116">
        <v>809</v>
      </c>
      <c r="O2543" s="116">
        <v>781.95</v>
      </c>
      <c r="P2543" s="116">
        <v>794.05</v>
      </c>
      <c r="Q2543" s="116">
        <v>805.75</v>
      </c>
      <c r="R2543">
        <v>2351502</v>
      </c>
    </row>
    <row r="2544" spans="1:18" x14ac:dyDescent="0.25">
      <c r="A2544" s="170">
        <v>45749</v>
      </c>
      <c r="B2544" s="116">
        <v>834.25</v>
      </c>
      <c r="C2544" s="116">
        <v>830.5</v>
      </c>
      <c r="D2544" s="116">
        <v>807</v>
      </c>
      <c r="E2544" s="116">
        <v>810</v>
      </c>
      <c r="F2544" s="116">
        <v>830.5</v>
      </c>
      <c r="G2544">
        <v>120480</v>
      </c>
      <c r="H2544" s="116"/>
      <c r="I2544" s="116"/>
      <c r="L2544" s="170">
        <v>45749</v>
      </c>
      <c r="M2544" s="116">
        <v>830.15</v>
      </c>
      <c r="N2544" s="116">
        <v>834</v>
      </c>
      <c r="O2544" s="116">
        <v>806.35</v>
      </c>
      <c r="P2544" s="116">
        <v>810</v>
      </c>
      <c r="Q2544" s="116">
        <v>830.15</v>
      </c>
      <c r="R2544">
        <v>5345446</v>
      </c>
    </row>
    <row r="2545" spans="1:18" x14ac:dyDescent="0.25">
      <c r="A2545" s="170">
        <v>45750</v>
      </c>
      <c r="B2545" s="116">
        <v>838.7</v>
      </c>
      <c r="C2545" s="116">
        <v>830.15</v>
      </c>
      <c r="D2545" s="116">
        <v>820.95</v>
      </c>
      <c r="E2545" s="116">
        <v>821.6</v>
      </c>
      <c r="F2545" s="116">
        <v>830.15</v>
      </c>
      <c r="G2545">
        <v>105373</v>
      </c>
      <c r="H2545" s="116"/>
      <c r="I2545" s="116"/>
      <c r="L2545" s="170">
        <v>45750</v>
      </c>
      <c r="M2545" s="116">
        <v>831.05</v>
      </c>
      <c r="N2545" s="116">
        <v>837.9</v>
      </c>
      <c r="O2545" s="116">
        <v>820.5</v>
      </c>
      <c r="P2545" s="116">
        <v>825</v>
      </c>
      <c r="Q2545" s="116">
        <v>831.05</v>
      </c>
      <c r="R2545">
        <v>1678841</v>
      </c>
    </row>
    <row r="2546" spans="1:18" x14ac:dyDescent="0.25">
      <c r="A2546" s="170">
        <v>45751</v>
      </c>
      <c r="B2546" s="116">
        <v>833.7</v>
      </c>
      <c r="C2546" s="116">
        <v>800.1</v>
      </c>
      <c r="D2546" s="116">
        <v>796.55</v>
      </c>
      <c r="E2546" s="116">
        <v>829.05</v>
      </c>
      <c r="F2546" s="116">
        <v>800.1</v>
      </c>
      <c r="G2546">
        <v>62130</v>
      </c>
      <c r="H2546" s="116"/>
      <c r="I2546" s="116"/>
      <c r="L2546" s="170">
        <v>45751</v>
      </c>
      <c r="M2546" s="116">
        <v>799.35</v>
      </c>
      <c r="N2546" s="116">
        <v>834.8</v>
      </c>
      <c r="O2546" s="116">
        <v>796</v>
      </c>
      <c r="P2546" s="116">
        <v>831.05</v>
      </c>
      <c r="Q2546" s="116">
        <v>799.35</v>
      </c>
      <c r="R2546">
        <v>3294067</v>
      </c>
    </row>
    <row r="2547" spans="1:18" x14ac:dyDescent="0.25">
      <c r="A2547" s="170">
        <v>45754</v>
      </c>
      <c r="B2547" s="116">
        <v>765.3</v>
      </c>
      <c r="C2547" s="116">
        <v>751.8</v>
      </c>
      <c r="D2547" s="116">
        <v>721.15</v>
      </c>
      <c r="E2547" s="116">
        <v>721.15</v>
      </c>
      <c r="F2547" s="116">
        <v>751.8</v>
      </c>
      <c r="G2547">
        <v>280071</v>
      </c>
      <c r="H2547" s="116"/>
      <c r="I2547" s="116"/>
      <c r="L2547" s="170">
        <v>45754</v>
      </c>
      <c r="M2547" s="116">
        <v>751.95</v>
      </c>
      <c r="N2547" s="116">
        <v>773</v>
      </c>
      <c r="O2547" s="116">
        <v>735</v>
      </c>
      <c r="P2547" s="116">
        <v>744</v>
      </c>
      <c r="Q2547" s="116">
        <v>751.95</v>
      </c>
      <c r="R2547">
        <v>5939742</v>
      </c>
    </row>
    <row r="2548" spans="1:18" x14ac:dyDescent="0.25">
      <c r="A2548" s="170">
        <v>45755</v>
      </c>
      <c r="B2548" s="116">
        <v>778.85</v>
      </c>
      <c r="C2548" s="116">
        <v>773.3</v>
      </c>
      <c r="D2548" s="116">
        <v>761.85</v>
      </c>
      <c r="E2548" s="116">
        <v>765</v>
      </c>
      <c r="F2548" s="116">
        <v>773.3</v>
      </c>
      <c r="G2548">
        <v>59094</v>
      </c>
      <c r="H2548" s="116"/>
      <c r="I2548" s="116"/>
      <c r="L2548" s="170">
        <v>45755</v>
      </c>
      <c r="M2548" s="116">
        <v>773.6</v>
      </c>
      <c r="N2548" s="116">
        <v>779</v>
      </c>
      <c r="O2548" s="116">
        <v>761.8</v>
      </c>
      <c r="P2548" s="116">
        <v>765</v>
      </c>
      <c r="Q2548" s="116">
        <v>773.6</v>
      </c>
      <c r="R2548">
        <v>4622541</v>
      </c>
    </row>
    <row r="2549" spans="1:18" x14ac:dyDescent="0.25">
      <c r="A2549" s="170">
        <v>45756</v>
      </c>
      <c r="B2549" s="116">
        <v>777.95</v>
      </c>
      <c r="C2549" s="116">
        <v>767.85</v>
      </c>
      <c r="D2549" s="116">
        <v>754.05</v>
      </c>
      <c r="E2549" s="116">
        <v>777.95</v>
      </c>
      <c r="F2549" s="116">
        <v>767.85</v>
      </c>
      <c r="G2549">
        <v>44755</v>
      </c>
      <c r="H2549" s="116"/>
      <c r="I2549" s="116"/>
      <c r="L2549" s="170">
        <v>45756</v>
      </c>
      <c r="M2549" s="116">
        <v>768.2</v>
      </c>
      <c r="N2549" s="116">
        <v>778</v>
      </c>
      <c r="O2549" s="116">
        <v>754.25</v>
      </c>
      <c r="P2549" s="116">
        <v>778</v>
      </c>
      <c r="Q2549" s="116">
        <v>768.2</v>
      </c>
      <c r="R2549">
        <v>2430488</v>
      </c>
    </row>
    <row r="2550" spans="1:18" x14ac:dyDescent="0.25">
      <c r="A2550" s="170">
        <v>45758</v>
      </c>
      <c r="B2550" s="116">
        <v>800.2</v>
      </c>
      <c r="C2550" s="116">
        <v>788.55</v>
      </c>
      <c r="D2550" s="116">
        <v>780</v>
      </c>
      <c r="E2550" s="116">
        <v>799.8</v>
      </c>
      <c r="F2550" s="116">
        <v>788.55</v>
      </c>
      <c r="G2550">
        <v>68579</v>
      </c>
      <c r="H2550" s="116"/>
      <c r="I2550" s="116"/>
      <c r="L2550" s="170">
        <v>45758</v>
      </c>
      <c r="M2550" s="116">
        <v>788.6</v>
      </c>
      <c r="N2550" s="116">
        <v>799.95</v>
      </c>
      <c r="O2550" s="116">
        <v>778.35</v>
      </c>
      <c r="P2550" s="116">
        <v>793.75</v>
      </c>
      <c r="Q2550" s="116">
        <v>788.6</v>
      </c>
      <c r="R2550">
        <v>5182207</v>
      </c>
    </row>
    <row r="2551" spans="1:18" x14ac:dyDescent="0.25">
      <c r="A2551" s="170">
        <v>45762</v>
      </c>
      <c r="B2551" s="116">
        <v>838.2</v>
      </c>
      <c r="C2551" s="116">
        <v>836.35</v>
      </c>
      <c r="D2551" s="116">
        <v>802.6</v>
      </c>
      <c r="E2551" s="116">
        <v>811.05</v>
      </c>
      <c r="F2551" s="116">
        <v>836.35</v>
      </c>
      <c r="G2551">
        <v>71811</v>
      </c>
      <c r="H2551" s="116"/>
      <c r="I2551" s="116"/>
      <c r="L2551" s="170">
        <v>45762</v>
      </c>
      <c r="M2551" s="116">
        <v>836.35</v>
      </c>
      <c r="N2551" s="116">
        <v>838.05</v>
      </c>
      <c r="O2551" s="116">
        <v>802.85</v>
      </c>
      <c r="P2551" s="116">
        <v>823</v>
      </c>
      <c r="Q2551" s="116">
        <v>836.35</v>
      </c>
      <c r="R2551">
        <v>6038389</v>
      </c>
    </row>
    <row r="2552" spans="1:18" x14ac:dyDescent="0.25">
      <c r="A2552" s="170">
        <v>45763</v>
      </c>
      <c r="B2552" s="116">
        <v>847.8</v>
      </c>
      <c r="C2552" s="116">
        <v>841.9</v>
      </c>
      <c r="D2552" s="116">
        <v>827</v>
      </c>
      <c r="E2552" s="116">
        <v>847.8</v>
      </c>
      <c r="F2552" s="116">
        <v>841.9</v>
      </c>
      <c r="G2552">
        <v>56406</v>
      </c>
      <c r="H2552" s="116"/>
      <c r="I2552" s="116"/>
      <c r="L2552" s="170">
        <v>45763</v>
      </c>
      <c r="M2552" s="116">
        <v>842.05</v>
      </c>
      <c r="N2552" s="116">
        <v>846.7</v>
      </c>
      <c r="O2552" s="116">
        <v>826.45</v>
      </c>
      <c r="P2552" s="116">
        <v>845</v>
      </c>
      <c r="Q2552" s="116">
        <v>842.05</v>
      </c>
      <c r="R2552">
        <v>4096789</v>
      </c>
    </row>
    <row r="2553" spans="1:18" x14ac:dyDescent="0.25">
      <c r="A2553" s="170">
        <v>45764</v>
      </c>
      <c r="B2553" s="116">
        <v>845.65</v>
      </c>
      <c r="C2553" s="116">
        <v>841</v>
      </c>
      <c r="D2553" s="116">
        <v>837.35</v>
      </c>
      <c r="E2553" s="116">
        <v>845.65</v>
      </c>
      <c r="F2553" s="116">
        <v>841</v>
      </c>
      <c r="G2553">
        <v>29143</v>
      </c>
      <c r="H2553" s="116"/>
      <c r="I2553" s="116"/>
      <c r="L2553" s="170">
        <v>45764</v>
      </c>
      <c r="M2553" s="116">
        <v>841.2</v>
      </c>
      <c r="N2553" s="116">
        <v>845.65</v>
      </c>
      <c r="O2553" s="116">
        <v>837.2</v>
      </c>
      <c r="P2553" s="116">
        <v>845</v>
      </c>
      <c r="Q2553" s="116">
        <v>841.2</v>
      </c>
      <c r="R2553">
        <v>1753598</v>
      </c>
    </row>
    <row r="2554" spans="1:18" x14ac:dyDescent="0.25">
      <c r="A2554" s="170">
        <v>45768</v>
      </c>
      <c r="B2554" s="116">
        <v>843.45</v>
      </c>
      <c r="C2554" s="116">
        <v>836.1</v>
      </c>
      <c r="D2554" s="116">
        <v>826.9</v>
      </c>
      <c r="E2554" s="116">
        <v>841.15</v>
      </c>
      <c r="F2554" s="116">
        <v>836.1</v>
      </c>
      <c r="G2554">
        <v>66251</v>
      </c>
      <c r="H2554" s="116"/>
      <c r="I2554" s="116"/>
      <c r="L2554" s="170">
        <v>45768</v>
      </c>
      <c r="M2554" s="116">
        <v>836.05</v>
      </c>
      <c r="N2554" s="116">
        <v>843</v>
      </c>
      <c r="O2554" s="116">
        <v>826.9</v>
      </c>
      <c r="P2554" s="116">
        <v>842</v>
      </c>
      <c r="Q2554" s="116">
        <v>836.05</v>
      </c>
      <c r="R2554">
        <v>3805748</v>
      </c>
    </row>
    <row r="2555" spans="1:18" x14ac:dyDescent="0.25">
      <c r="A2555" s="170">
        <v>45769</v>
      </c>
      <c r="B2555" s="116">
        <v>842</v>
      </c>
      <c r="C2555" s="116">
        <v>835</v>
      </c>
      <c r="D2555" s="116">
        <v>825.85</v>
      </c>
      <c r="E2555" s="116">
        <v>837</v>
      </c>
      <c r="F2555" s="116">
        <v>835</v>
      </c>
      <c r="G2555">
        <v>106895</v>
      </c>
      <c r="H2555" s="116"/>
      <c r="I2555" s="116"/>
      <c r="L2555" s="170">
        <v>45769</v>
      </c>
      <c r="M2555" s="116">
        <v>833.9</v>
      </c>
      <c r="N2555" s="116">
        <v>844.95</v>
      </c>
      <c r="O2555" s="116">
        <v>825.8</v>
      </c>
      <c r="P2555" s="116">
        <v>837.3</v>
      </c>
      <c r="Q2555" s="116">
        <v>833.9</v>
      </c>
      <c r="R2555">
        <v>3002855</v>
      </c>
    </row>
    <row r="2556" spans="1:18" x14ac:dyDescent="0.25">
      <c r="A2556" s="170">
        <v>45770</v>
      </c>
      <c r="B2556" s="116">
        <v>853.3</v>
      </c>
      <c r="C2556" s="116">
        <v>822.75</v>
      </c>
      <c r="D2556" s="116">
        <v>814</v>
      </c>
      <c r="E2556" s="116">
        <v>833.9</v>
      </c>
      <c r="F2556" s="116">
        <v>822.75</v>
      </c>
      <c r="G2556">
        <v>175947</v>
      </c>
      <c r="H2556" s="116"/>
      <c r="I2556" s="116"/>
      <c r="L2556" s="170">
        <v>45770</v>
      </c>
      <c r="M2556" s="116">
        <v>822.9</v>
      </c>
      <c r="N2556" s="116">
        <v>853.35</v>
      </c>
      <c r="O2556" s="116">
        <v>814.3</v>
      </c>
      <c r="P2556" s="116">
        <v>834</v>
      </c>
      <c r="Q2556" s="116">
        <v>822.9</v>
      </c>
      <c r="R2556">
        <v>6313767</v>
      </c>
    </row>
    <row r="2557" spans="1:18" x14ac:dyDescent="0.25">
      <c r="A2557" s="170">
        <v>45771</v>
      </c>
      <c r="B2557" s="116">
        <v>822.95</v>
      </c>
      <c r="C2557" s="116">
        <v>818.4</v>
      </c>
      <c r="D2557" s="116">
        <v>808.4</v>
      </c>
      <c r="E2557" s="116">
        <v>822.95</v>
      </c>
      <c r="F2557" s="116">
        <v>818.4</v>
      </c>
      <c r="G2557">
        <v>67256</v>
      </c>
      <c r="H2557" s="116"/>
      <c r="I2557" s="116"/>
      <c r="L2557" s="170">
        <v>45771</v>
      </c>
      <c r="M2557" s="116">
        <v>819.1</v>
      </c>
      <c r="N2557" s="116">
        <v>823.05</v>
      </c>
      <c r="O2557" s="116">
        <v>808.1</v>
      </c>
      <c r="P2557" s="116">
        <v>823</v>
      </c>
      <c r="Q2557" s="116">
        <v>819.1</v>
      </c>
      <c r="R2557">
        <v>3174040</v>
      </c>
    </row>
    <row r="2558" spans="1:18" x14ac:dyDescent="0.25">
      <c r="A2558" s="170">
        <v>45772</v>
      </c>
      <c r="B2558" s="116">
        <v>829.5</v>
      </c>
      <c r="C2558" s="116">
        <v>785.5</v>
      </c>
      <c r="D2558" s="116">
        <v>770.2</v>
      </c>
      <c r="E2558" s="116">
        <v>816.6</v>
      </c>
      <c r="F2558" s="116">
        <v>785.5</v>
      </c>
      <c r="G2558">
        <v>113592</v>
      </c>
      <c r="H2558" s="116"/>
      <c r="I2558" s="116"/>
      <c r="L2558" s="170">
        <v>45772</v>
      </c>
      <c r="M2558" s="116">
        <v>786.35</v>
      </c>
      <c r="N2558" s="116">
        <v>829.85</v>
      </c>
      <c r="O2558" s="116">
        <v>770</v>
      </c>
      <c r="P2558" s="116">
        <v>819</v>
      </c>
      <c r="Q2558" s="116">
        <v>786.35</v>
      </c>
      <c r="R2558">
        <v>6232065</v>
      </c>
    </row>
    <row r="2559" spans="1:18" x14ac:dyDescent="0.25">
      <c r="A2559" s="170">
        <v>45775</v>
      </c>
      <c r="B2559" s="116">
        <v>808.8</v>
      </c>
      <c r="C2559" s="116">
        <v>800.05</v>
      </c>
      <c r="D2559" s="116">
        <v>781.5</v>
      </c>
      <c r="E2559" s="116">
        <v>784.7</v>
      </c>
      <c r="F2559" s="116">
        <v>800.05</v>
      </c>
      <c r="G2559">
        <v>51532</v>
      </c>
      <c r="H2559" s="116"/>
      <c r="I2559" s="116"/>
      <c r="L2559" s="170">
        <v>45775</v>
      </c>
      <c r="M2559" s="116">
        <v>800.45</v>
      </c>
      <c r="N2559" s="116">
        <v>808.8</v>
      </c>
      <c r="O2559" s="116">
        <v>781.1</v>
      </c>
      <c r="P2559" s="116">
        <v>781.1</v>
      </c>
      <c r="Q2559" s="116">
        <v>800.45</v>
      </c>
      <c r="R2559">
        <v>2309177</v>
      </c>
    </row>
    <row r="2560" spans="1:18" x14ac:dyDescent="0.25">
      <c r="A2560" s="170">
        <v>45776</v>
      </c>
      <c r="B2560" s="116">
        <v>818.7</v>
      </c>
      <c r="C2560" s="116">
        <v>790.35</v>
      </c>
      <c r="D2560" s="116">
        <v>788.5</v>
      </c>
      <c r="E2560" s="116">
        <v>805.6</v>
      </c>
      <c r="F2560" s="116">
        <v>790.35</v>
      </c>
      <c r="G2560">
        <v>41836</v>
      </c>
      <c r="H2560" s="116"/>
      <c r="I2560" s="116"/>
      <c r="L2560" s="170">
        <v>45776</v>
      </c>
      <c r="M2560" s="116">
        <v>790.15</v>
      </c>
      <c r="N2560" s="116">
        <v>818.75</v>
      </c>
      <c r="O2560" s="116">
        <v>788.4</v>
      </c>
      <c r="P2560" s="116">
        <v>809.9</v>
      </c>
      <c r="Q2560" s="116">
        <v>790.15</v>
      </c>
      <c r="R2560">
        <v>3828285</v>
      </c>
    </row>
    <row r="2561" spans="1:18" x14ac:dyDescent="0.25">
      <c r="A2561" s="170">
        <v>45777</v>
      </c>
      <c r="B2561" s="116">
        <v>792.95</v>
      </c>
      <c r="C2561" s="116">
        <v>788.05</v>
      </c>
      <c r="D2561" s="116">
        <v>761.05</v>
      </c>
      <c r="E2561" s="116">
        <v>761.05</v>
      </c>
      <c r="F2561" s="116">
        <v>788.05</v>
      </c>
      <c r="G2561">
        <v>99421</v>
      </c>
      <c r="H2561" s="116"/>
      <c r="I2561" s="116"/>
      <c r="L2561" s="170">
        <v>45777</v>
      </c>
      <c r="M2561" s="116">
        <v>787.7</v>
      </c>
      <c r="N2561" s="116">
        <v>793.3</v>
      </c>
      <c r="O2561" s="116">
        <v>780.1</v>
      </c>
      <c r="P2561" s="116">
        <v>781</v>
      </c>
      <c r="Q2561" s="116">
        <v>787.7</v>
      </c>
      <c r="R2561">
        <v>4022508</v>
      </c>
    </row>
    <row r="2562" spans="1:18" x14ac:dyDescent="0.25">
      <c r="A2562" s="170">
        <v>45779</v>
      </c>
      <c r="B2562" s="116">
        <v>810.7</v>
      </c>
      <c r="C2562" s="116">
        <v>800.25</v>
      </c>
      <c r="D2562" s="116">
        <v>784.65</v>
      </c>
      <c r="E2562" s="116">
        <v>784.65</v>
      </c>
      <c r="F2562" s="116">
        <v>800.25</v>
      </c>
      <c r="G2562">
        <v>115112</v>
      </c>
      <c r="H2562" s="116"/>
      <c r="I2562" s="116"/>
      <c r="L2562" s="170">
        <v>45779</v>
      </c>
      <c r="M2562" s="116">
        <v>800.5</v>
      </c>
      <c r="N2562" s="116">
        <v>811.5</v>
      </c>
      <c r="O2562" s="116">
        <v>788.45</v>
      </c>
      <c r="P2562" s="116">
        <v>789.55</v>
      </c>
      <c r="Q2562" s="116">
        <v>800.5</v>
      </c>
      <c r="R2562">
        <v>4218765</v>
      </c>
    </row>
    <row r="2563" spans="1:18" x14ac:dyDescent="0.25">
      <c r="A2563" s="170">
        <v>45782</v>
      </c>
      <c r="B2563" s="116">
        <v>822</v>
      </c>
      <c r="C2563" s="116">
        <v>801.8</v>
      </c>
      <c r="D2563" s="116">
        <v>797.45</v>
      </c>
      <c r="E2563" s="116">
        <v>809</v>
      </c>
      <c r="F2563" s="116">
        <v>801.8</v>
      </c>
      <c r="G2563">
        <v>106684</v>
      </c>
      <c r="H2563" s="116"/>
      <c r="I2563" s="116"/>
      <c r="L2563" s="170">
        <v>45782</v>
      </c>
      <c r="M2563" s="116">
        <v>801.8</v>
      </c>
      <c r="N2563" s="116">
        <v>821.65</v>
      </c>
      <c r="O2563" s="116">
        <v>795.65</v>
      </c>
      <c r="P2563" s="116">
        <v>809.9</v>
      </c>
      <c r="Q2563" s="116">
        <v>801.8</v>
      </c>
      <c r="R2563">
        <v>4304551</v>
      </c>
    </row>
    <row r="2564" spans="1:18" x14ac:dyDescent="0.25">
      <c r="A2564" s="170">
        <v>45783</v>
      </c>
      <c r="B2564" s="116">
        <v>814.4</v>
      </c>
      <c r="C2564" s="116">
        <v>752.95</v>
      </c>
      <c r="D2564" s="116">
        <v>748.5</v>
      </c>
      <c r="E2564" s="116">
        <v>812.8</v>
      </c>
      <c r="F2564" s="116">
        <v>752.95</v>
      </c>
      <c r="G2564">
        <v>418447</v>
      </c>
      <c r="H2564" s="116"/>
      <c r="I2564" s="116"/>
      <c r="L2564" s="170">
        <v>45783</v>
      </c>
      <c r="M2564" s="116">
        <v>753.25</v>
      </c>
      <c r="N2564" s="116">
        <v>814.2</v>
      </c>
      <c r="O2564" s="116">
        <v>748</v>
      </c>
      <c r="P2564" s="116">
        <v>805</v>
      </c>
      <c r="Q2564" s="116">
        <v>753.25</v>
      </c>
      <c r="R2564">
        <v>13918040</v>
      </c>
    </row>
    <row r="2565" spans="1:18" x14ac:dyDescent="0.25">
      <c r="A2565" s="170">
        <v>45784</v>
      </c>
      <c r="B2565" s="116">
        <v>770.35</v>
      </c>
      <c r="C2565" s="116">
        <v>765.75</v>
      </c>
      <c r="D2565" s="116">
        <v>727</v>
      </c>
      <c r="E2565" s="116">
        <v>741.05</v>
      </c>
      <c r="F2565" s="116">
        <v>765.75</v>
      </c>
      <c r="G2565">
        <v>172566</v>
      </c>
      <c r="H2565" s="116"/>
      <c r="I2565" s="116"/>
      <c r="L2565" s="170">
        <v>45784</v>
      </c>
      <c r="M2565" s="116">
        <v>765.65</v>
      </c>
      <c r="N2565" s="116">
        <v>770.5</v>
      </c>
      <c r="O2565" s="116">
        <v>726.7</v>
      </c>
      <c r="P2565" s="116">
        <v>750</v>
      </c>
      <c r="Q2565" s="116">
        <v>765.65</v>
      </c>
      <c r="R2565">
        <v>8544243</v>
      </c>
    </row>
    <row r="2566" spans="1:18" x14ac:dyDescent="0.25">
      <c r="A2566" s="170">
        <v>45785</v>
      </c>
      <c r="B2566" s="116">
        <v>775.9</v>
      </c>
      <c r="C2566" s="116">
        <v>750.15</v>
      </c>
      <c r="D2566" s="116">
        <v>739.35</v>
      </c>
      <c r="E2566" s="116">
        <v>765</v>
      </c>
      <c r="F2566" s="116">
        <v>750.15</v>
      </c>
      <c r="G2566">
        <v>201085</v>
      </c>
      <c r="H2566" s="116"/>
      <c r="I2566" s="116"/>
      <c r="L2566" s="170">
        <v>45785</v>
      </c>
      <c r="M2566" s="116">
        <v>750</v>
      </c>
      <c r="N2566" s="116">
        <v>776</v>
      </c>
      <c r="O2566" s="116">
        <v>738.55</v>
      </c>
      <c r="P2566" s="116">
        <v>763.05</v>
      </c>
      <c r="Q2566" s="116">
        <v>750</v>
      </c>
      <c r="R2566">
        <v>3896699</v>
      </c>
    </row>
    <row r="2567" spans="1:18" x14ac:dyDescent="0.25">
      <c r="A2567" s="170">
        <v>45786</v>
      </c>
      <c r="B2567" s="116">
        <v>734.65</v>
      </c>
      <c r="C2567" s="116">
        <v>719.4</v>
      </c>
      <c r="D2567" s="116">
        <v>698.75</v>
      </c>
      <c r="E2567" s="116">
        <v>723.8</v>
      </c>
      <c r="F2567" s="116">
        <v>719.4</v>
      </c>
      <c r="G2567">
        <v>528989</v>
      </c>
      <c r="H2567" s="116"/>
      <c r="I2567" s="116"/>
      <c r="L2567" s="170">
        <v>45786</v>
      </c>
      <c r="M2567" s="116">
        <v>718.75</v>
      </c>
      <c r="N2567" s="116">
        <v>734.95</v>
      </c>
      <c r="O2567" s="116">
        <v>699</v>
      </c>
      <c r="P2567" s="116">
        <v>727</v>
      </c>
      <c r="Q2567" s="116">
        <v>718.75</v>
      </c>
      <c r="R2567">
        <v>13614894</v>
      </c>
    </row>
    <row r="2568" spans="1:18" x14ac:dyDescent="0.25">
      <c r="A2568" s="170">
        <v>45789</v>
      </c>
      <c r="B2568" s="116">
        <v>778.35</v>
      </c>
      <c r="C2568" s="116">
        <v>769.35</v>
      </c>
      <c r="D2568" s="116">
        <v>748.15</v>
      </c>
      <c r="E2568" s="116">
        <v>766.45</v>
      </c>
      <c r="F2568" s="116">
        <v>769.35</v>
      </c>
      <c r="G2568">
        <v>398990</v>
      </c>
      <c r="H2568" s="116"/>
      <c r="I2568" s="116"/>
      <c r="L2568" s="170">
        <v>45789</v>
      </c>
      <c r="M2568" s="116">
        <v>769.15</v>
      </c>
      <c r="N2568" s="116">
        <v>779</v>
      </c>
      <c r="O2568" s="116">
        <v>748.05</v>
      </c>
      <c r="P2568" s="116">
        <v>762</v>
      </c>
      <c r="Q2568" s="116">
        <v>769.15</v>
      </c>
      <c r="R2568">
        <v>11194626</v>
      </c>
    </row>
    <row r="2569" spans="1:18" x14ac:dyDescent="0.25">
      <c r="A2569" s="170">
        <v>45790</v>
      </c>
      <c r="B2569" s="116">
        <v>774.3</v>
      </c>
      <c r="C2569" s="116">
        <v>761.25</v>
      </c>
      <c r="D2569" s="116">
        <v>759.8</v>
      </c>
      <c r="E2569" s="116">
        <v>769.95</v>
      </c>
      <c r="F2569" s="116">
        <v>761.25</v>
      </c>
      <c r="G2569">
        <v>185356</v>
      </c>
      <c r="H2569" s="116"/>
      <c r="I2569" s="116"/>
      <c r="L2569" s="170">
        <v>45790</v>
      </c>
      <c r="M2569" s="116">
        <v>761.1</v>
      </c>
      <c r="N2569" s="116">
        <v>774.25</v>
      </c>
      <c r="O2569" s="116">
        <v>759.7</v>
      </c>
      <c r="P2569" s="116">
        <v>768.25</v>
      </c>
      <c r="Q2569" s="116">
        <v>761.1</v>
      </c>
      <c r="R2569">
        <v>4799356</v>
      </c>
    </row>
    <row r="2570" spans="1:18" x14ac:dyDescent="0.25">
      <c r="A2570" s="170">
        <v>45791</v>
      </c>
      <c r="B2570" s="116">
        <v>777.5</v>
      </c>
      <c r="C2570" s="116">
        <v>769.85</v>
      </c>
      <c r="D2570" s="116">
        <v>761.3</v>
      </c>
      <c r="E2570" s="116">
        <v>761.9</v>
      </c>
      <c r="F2570" s="116">
        <v>769.85</v>
      </c>
      <c r="G2570">
        <v>180626</v>
      </c>
      <c r="H2570" s="116"/>
      <c r="I2570" s="116"/>
      <c r="L2570" s="170">
        <v>45791</v>
      </c>
      <c r="M2570" s="116">
        <v>770.2</v>
      </c>
      <c r="N2570" s="116">
        <v>777.6</v>
      </c>
      <c r="O2570" s="116">
        <v>761.1</v>
      </c>
      <c r="P2570" s="116">
        <v>763</v>
      </c>
      <c r="Q2570" s="116">
        <v>770.2</v>
      </c>
      <c r="R2570">
        <v>3191820</v>
      </c>
    </row>
    <row r="2571" spans="1:18" x14ac:dyDescent="0.25">
      <c r="A2571" s="170">
        <v>45792</v>
      </c>
      <c r="B2571" s="116">
        <v>776.15</v>
      </c>
      <c r="C2571" s="116">
        <v>764.1</v>
      </c>
      <c r="D2571" s="116">
        <v>758</v>
      </c>
      <c r="E2571" s="116">
        <v>776.15</v>
      </c>
      <c r="F2571" s="116">
        <v>764.1</v>
      </c>
      <c r="G2571">
        <v>52452</v>
      </c>
      <c r="H2571" s="116"/>
      <c r="I2571" s="116"/>
      <c r="L2571" s="170">
        <v>45792</v>
      </c>
      <c r="M2571" s="116">
        <v>764.35</v>
      </c>
      <c r="N2571" s="116">
        <v>774</v>
      </c>
      <c r="O2571" s="116">
        <v>757.15</v>
      </c>
      <c r="P2571" s="116">
        <v>773</v>
      </c>
      <c r="Q2571" s="116">
        <v>764.35</v>
      </c>
      <c r="R2571">
        <v>3859883</v>
      </c>
    </row>
    <row r="2572" spans="1:18" x14ac:dyDescent="0.25">
      <c r="A2572" s="170">
        <v>45793</v>
      </c>
      <c r="B2572" s="116">
        <v>770.3</v>
      </c>
      <c r="C2572" s="116">
        <v>766.05</v>
      </c>
      <c r="D2572" s="116">
        <v>758.2</v>
      </c>
      <c r="E2572" s="116">
        <v>769.8</v>
      </c>
      <c r="F2572" s="116">
        <v>766.05</v>
      </c>
      <c r="G2572">
        <v>68864</v>
      </c>
      <c r="H2572" s="116"/>
      <c r="I2572" s="116"/>
      <c r="L2572" s="170">
        <v>45793</v>
      </c>
      <c r="M2572" s="116">
        <v>766.35</v>
      </c>
      <c r="N2572" s="116">
        <v>770.8</v>
      </c>
      <c r="O2572" s="116">
        <v>758.1</v>
      </c>
      <c r="P2572" s="116">
        <v>764.4</v>
      </c>
      <c r="Q2572" s="116">
        <v>766.35</v>
      </c>
      <c r="R2572">
        <v>3423355</v>
      </c>
    </row>
    <row r="2573" spans="1:18" x14ac:dyDescent="0.25">
      <c r="A2573" s="170">
        <v>45796</v>
      </c>
      <c r="B2573" s="116">
        <v>781.6</v>
      </c>
      <c r="C2573" s="116">
        <v>771.95</v>
      </c>
      <c r="D2573" s="116">
        <v>765.75</v>
      </c>
      <c r="E2573" s="116">
        <v>771.95</v>
      </c>
      <c r="F2573" s="116">
        <v>771.95</v>
      </c>
      <c r="G2573">
        <v>146870</v>
      </c>
      <c r="H2573" s="116"/>
      <c r="I2573" s="116"/>
      <c r="L2573" s="170">
        <v>45796</v>
      </c>
      <c r="M2573" s="116">
        <v>771.95</v>
      </c>
      <c r="N2573" s="116">
        <v>781.75</v>
      </c>
      <c r="O2573" s="116">
        <v>765</v>
      </c>
      <c r="P2573" s="116">
        <v>770</v>
      </c>
      <c r="Q2573" s="116">
        <v>771.95</v>
      </c>
      <c r="R2573">
        <v>3132809</v>
      </c>
    </row>
    <row r="2574" spans="1:18" x14ac:dyDescent="0.25">
      <c r="A2574" s="170">
        <v>45797</v>
      </c>
      <c r="B2574" s="116">
        <v>778.65</v>
      </c>
      <c r="C2574" s="116">
        <v>751.6</v>
      </c>
      <c r="D2574" s="116">
        <v>750.3</v>
      </c>
      <c r="E2574" s="116">
        <v>772.25</v>
      </c>
      <c r="F2574" s="116">
        <v>751.6</v>
      </c>
      <c r="G2574">
        <v>131106</v>
      </c>
      <c r="H2574" s="116"/>
      <c r="I2574" s="116"/>
      <c r="L2574" s="170">
        <v>45797</v>
      </c>
      <c r="M2574" s="116">
        <v>752.75</v>
      </c>
      <c r="N2574" s="116">
        <v>778.8</v>
      </c>
      <c r="O2574" s="116">
        <v>750.5</v>
      </c>
      <c r="P2574" s="116">
        <v>775.2</v>
      </c>
      <c r="Q2574" s="116">
        <v>752.75</v>
      </c>
      <c r="R2574">
        <v>4575471</v>
      </c>
    </row>
    <row r="2575" spans="1:18" x14ac:dyDescent="0.25">
      <c r="A2575" s="170">
        <v>45798</v>
      </c>
      <c r="B2575" s="116">
        <v>774</v>
      </c>
      <c r="C2575" s="116">
        <v>772.3</v>
      </c>
      <c r="D2575" s="116">
        <v>744.5</v>
      </c>
      <c r="E2575" s="116">
        <v>750.95</v>
      </c>
      <c r="F2575" s="116">
        <v>772.3</v>
      </c>
      <c r="G2575">
        <v>71218</v>
      </c>
      <c r="H2575" s="116"/>
      <c r="I2575" s="116"/>
      <c r="L2575" s="170">
        <v>45798</v>
      </c>
      <c r="M2575" s="116">
        <v>773.1</v>
      </c>
      <c r="N2575" s="116">
        <v>774.65</v>
      </c>
      <c r="O2575" s="116">
        <v>744.5</v>
      </c>
      <c r="P2575" s="116">
        <v>750</v>
      </c>
      <c r="Q2575" s="116">
        <v>773.1</v>
      </c>
      <c r="R2575">
        <v>6013853</v>
      </c>
    </row>
    <row r="2576" spans="1:18" x14ac:dyDescent="0.25">
      <c r="A2576" s="170">
        <v>45799</v>
      </c>
      <c r="B2576" s="116">
        <v>776.45</v>
      </c>
      <c r="C2576" s="116">
        <v>770.1</v>
      </c>
      <c r="D2576" s="116">
        <v>764.8</v>
      </c>
      <c r="E2576" s="116">
        <v>770.95</v>
      </c>
      <c r="F2576" s="116">
        <v>770.1</v>
      </c>
      <c r="G2576">
        <v>28056</v>
      </c>
      <c r="H2576" s="116"/>
      <c r="I2576" s="116"/>
      <c r="L2576" s="170">
        <v>45799</v>
      </c>
      <c r="M2576" s="116">
        <v>769.55</v>
      </c>
      <c r="N2576" s="116">
        <v>776.6</v>
      </c>
      <c r="O2576" s="116">
        <v>765.05</v>
      </c>
      <c r="P2576" s="116">
        <v>771</v>
      </c>
      <c r="Q2576" s="116">
        <v>769.55</v>
      </c>
      <c r="R2576">
        <v>3611197</v>
      </c>
    </row>
    <row r="2577" spans="1:18" x14ac:dyDescent="0.25">
      <c r="A2577" s="170">
        <v>45800</v>
      </c>
      <c r="B2577" s="116">
        <v>775.9</v>
      </c>
      <c r="C2577" s="116">
        <v>770.1</v>
      </c>
      <c r="D2577" s="116">
        <v>767.15</v>
      </c>
      <c r="E2577" s="116">
        <v>773.35</v>
      </c>
      <c r="F2577" s="116">
        <v>770.1</v>
      </c>
      <c r="G2577">
        <v>95371</v>
      </c>
      <c r="H2577" s="116"/>
      <c r="I2577" s="116"/>
      <c r="L2577" s="170">
        <v>45800</v>
      </c>
      <c r="M2577" s="116">
        <v>770.45</v>
      </c>
      <c r="N2577" s="116">
        <v>775.95</v>
      </c>
      <c r="O2577" s="116">
        <v>767.15</v>
      </c>
      <c r="P2577" s="116">
        <v>773</v>
      </c>
      <c r="Q2577" s="116">
        <v>770.45</v>
      </c>
      <c r="R2577">
        <v>2067257</v>
      </c>
    </row>
    <row r="2578" spans="1:18" x14ac:dyDescent="0.25">
      <c r="A2578" s="170">
        <v>45803</v>
      </c>
      <c r="B2578" s="116">
        <v>781.5</v>
      </c>
      <c r="C2578" s="116">
        <v>773.95</v>
      </c>
      <c r="D2578" s="116">
        <v>767.1</v>
      </c>
      <c r="E2578" s="116">
        <v>771.5</v>
      </c>
      <c r="F2578" s="116">
        <v>773.95</v>
      </c>
      <c r="G2578">
        <v>83303</v>
      </c>
      <c r="H2578" s="116"/>
      <c r="I2578" s="116"/>
      <c r="L2578" s="170">
        <v>45803</v>
      </c>
      <c r="M2578" s="116">
        <v>774.8</v>
      </c>
      <c r="N2578" s="116">
        <v>781.4</v>
      </c>
      <c r="O2578" s="116">
        <v>767.15</v>
      </c>
      <c r="P2578" s="116">
        <v>771</v>
      </c>
      <c r="Q2578" s="116">
        <v>774.8</v>
      </c>
      <c r="R2578">
        <v>2505649</v>
      </c>
    </row>
    <row r="2579" spans="1:18" x14ac:dyDescent="0.25">
      <c r="A2579" s="170">
        <v>45804</v>
      </c>
      <c r="B2579" s="116">
        <v>782.95</v>
      </c>
      <c r="C2579" s="116">
        <v>770.4</v>
      </c>
      <c r="D2579" s="116">
        <v>761.75</v>
      </c>
      <c r="E2579" s="116">
        <v>782.95</v>
      </c>
      <c r="F2579" s="116">
        <v>770.4</v>
      </c>
      <c r="G2579">
        <v>73977</v>
      </c>
      <c r="H2579" s="116"/>
      <c r="I2579" s="116"/>
      <c r="L2579" s="170">
        <v>45804</v>
      </c>
      <c r="M2579" s="116">
        <v>771.05</v>
      </c>
      <c r="N2579" s="116">
        <v>774</v>
      </c>
      <c r="O2579" s="116">
        <v>761.5</v>
      </c>
      <c r="P2579" s="116">
        <v>774</v>
      </c>
      <c r="Q2579" s="116">
        <v>771.05</v>
      </c>
      <c r="R2579">
        <v>1715621</v>
      </c>
    </row>
    <row r="2580" spans="1:18" x14ac:dyDescent="0.25">
      <c r="A2580" s="170">
        <v>45805</v>
      </c>
      <c r="B2580" s="116">
        <v>780.75</v>
      </c>
      <c r="C2580" s="116">
        <v>759.75</v>
      </c>
      <c r="D2580" s="116">
        <v>756.5</v>
      </c>
      <c r="E2580" s="116">
        <v>780.75</v>
      </c>
      <c r="F2580" s="116">
        <v>759.75</v>
      </c>
      <c r="G2580">
        <v>63564</v>
      </c>
      <c r="H2580" s="116"/>
      <c r="I2580" s="116"/>
      <c r="L2580" s="170">
        <v>45805</v>
      </c>
      <c r="M2580" s="116">
        <v>761.2</v>
      </c>
      <c r="N2580" s="116">
        <v>772.85</v>
      </c>
      <c r="O2580" s="116">
        <v>758.65</v>
      </c>
      <c r="P2580" s="116">
        <v>769</v>
      </c>
      <c r="Q2580" s="116">
        <v>761.2</v>
      </c>
      <c r="R2580">
        <v>1808244</v>
      </c>
    </row>
    <row r="2581" spans="1:18" x14ac:dyDescent="0.25">
      <c r="A2581" s="170">
        <v>45806</v>
      </c>
      <c r="B2581" s="116">
        <v>764</v>
      </c>
      <c r="C2581" s="116">
        <v>762.4</v>
      </c>
      <c r="D2581" s="116">
        <v>759.15</v>
      </c>
      <c r="E2581" s="116">
        <v>760.05</v>
      </c>
      <c r="F2581" s="116">
        <v>762.4</v>
      </c>
      <c r="G2581">
        <v>22403</v>
      </c>
      <c r="H2581" s="116"/>
      <c r="I2581" s="116"/>
      <c r="L2581" s="170">
        <v>45806</v>
      </c>
      <c r="M2581" s="116">
        <v>762.35</v>
      </c>
      <c r="N2581" s="116">
        <v>764.75</v>
      </c>
      <c r="O2581" s="116">
        <v>759.05</v>
      </c>
      <c r="P2581" s="116">
        <v>761.2</v>
      </c>
      <c r="Q2581" s="116">
        <v>762.35</v>
      </c>
      <c r="R2581">
        <v>1292428</v>
      </c>
    </row>
    <row r="2582" spans="1:18" x14ac:dyDescent="0.25">
      <c r="A2582" s="170">
        <v>45807</v>
      </c>
      <c r="B2582" s="116">
        <v>775.5</v>
      </c>
      <c r="C2582" s="116">
        <v>769.65</v>
      </c>
      <c r="D2582" s="116">
        <v>760</v>
      </c>
      <c r="E2582" s="116">
        <v>766.85</v>
      </c>
      <c r="F2582" s="116">
        <v>769.65</v>
      </c>
      <c r="G2582">
        <v>91072</v>
      </c>
      <c r="H2582" s="116"/>
      <c r="I2582" s="116"/>
      <c r="L2582" s="170">
        <v>45807</v>
      </c>
      <c r="M2582" s="116">
        <v>769.85</v>
      </c>
      <c r="N2582" s="116">
        <v>775.7</v>
      </c>
      <c r="O2582" s="116">
        <v>759.05</v>
      </c>
      <c r="P2582" s="116">
        <v>764.9</v>
      </c>
      <c r="Q2582" s="116">
        <v>769.85</v>
      </c>
      <c r="R2582">
        <v>7244574</v>
      </c>
    </row>
    <row r="2583" spans="1:18" x14ac:dyDescent="0.25">
      <c r="A2583" s="170">
        <v>45810</v>
      </c>
      <c r="B2583" s="116">
        <v>787</v>
      </c>
      <c r="C2583" s="116">
        <v>784.5</v>
      </c>
      <c r="D2583" s="116">
        <v>765.35</v>
      </c>
      <c r="E2583" s="116">
        <v>775</v>
      </c>
      <c r="F2583" s="116">
        <v>784.5</v>
      </c>
      <c r="G2583">
        <v>66646</v>
      </c>
      <c r="H2583" s="116"/>
      <c r="I2583" s="116"/>
      <c r="L2583" s="170">
        <v>45810</v>
      </c>
      <c r="M2583" s="116">
        <v>783.6</v>
      </c>
      <c r="N2583" s="116">
        <v>787.5</v>
      </c>
      <c r="O2583" s="116">
        <v>765.45</v>
      </c>
      <c r="P2583" s="116">
        <v>772</v>
      </c>
      <c r="Q2583" s="116">
        <v>783.6</v>
      </c>
      <c r="R2583">
        <v>3050204</v>
      </c>
    </row>
    <row r="2584" spans="1:18" x14ac:dyDescent="0.25">
      <c r="A2584" s="170">
        <v>45811</v>
      </c>
      <c r="B2584" s="116">
        <v>791.9</v>
      </c>
      <c r="C2584" s="116">
        <v>761.45</v>
      </c>
      <c r="D2584" s="116">
        <v>759.3</v>
      </c>
      <c r="E2584" s="116">
        <v>790.95</v>
      </c>
      <c r="F2584" s="116">
        <v>761.45</v>
      </c>
      <c r="G2584">
        <v>148709</v>
      </c>
      <c r="H2584" s="116"/>
      <c r="I2584" s="116"/>
      <c r="L2584" s="170">
        <v>45811</v>
      </c>
      <c r="M2584" s="116">
        <v>760.95</v>
      </c>
      <c r="N2584" s="116">
        <v>791.45</v>
      </c>
      <c r="O2584" s="116">
        <v>759.05</v>
      </c>
      <c r="P2584" s="116">
        <v>790</v>
      </c>
      <c r="Q2584" s="116">
        <v>760.95</v>
      </c>
      <c r="R2584">
        <v>8544663</v>
      </c>
    </row>
    <row r="2585" spans="1:18" x14ac:dyDescent="0.25">
      <c r="A2585" s="170">
        <v>45812</v>
      </c>
      <c r="B2585" s="116">
        <v>772.95</v>
      </c>
      <c r="C2585" s="116">
        <v>770.9</v>
      </c>
      <c r="D2585" s="116">
        <v>760.65</v>
      </c>
      <c r="E2585" s="116">
        <v>762</v>
      </c>
      <c r="F2585" s="116">
        <v>770.9</v>
      </c>
      <c r="G2585">
        <v>186810</v>
      </c>
      <c r="H2585" s="116"/>
      <c r="I2585" s="116"/>
      <c r="L2585" s="170">
        <v>45812</v>
      </c>
      <c r="M2585" s="116">
        <v>770.75</v>
      </c>
      <c r="N2585" s="116">
        <v>773.2</v>
      </c>
      <c r="O2585" s="116">
        <v>760.65</v>
      </c>
      <c r="P2585" s="116">
        <v>763</v>
      </c>
      <c r="Q2585" s="116">
        <v>770.75</v>
      </c>
      <c r="R2585">
        <v>2807346</v>
      </c>
    </row>
    <row r="2586" spans="1:18" x14ac:dyDescent="0.25">
      <c r="A2586" s="170">
        <v>45813</v>
      </c>
      <c r="B2586" s="116">
        <v>778</v>
      </c>
      <c r="C2586" s="116">
        <v>771.55</v>
      </c>
      <c r="D2586" s="116">
        <v>769</v>
      </c>
      <c r="E2586" s="116">
        <v>769</v>
      </c>
      <c r="F2586" s="116">
        <v>771.55</v>
      </c>
      <c r="G2586">
        <v>71441</v>
      </c>
      <c r="H2586" s="116"/>
      <c r="I2586" s="116"/>
      <c r="L2586" s="170">
        <v>45813</v>
      </c>
      <c r="M2586" s="116">
        <v>771.75</v>
      </c>
      <c r="N2586" s="116">
        <v>778.3</v>
      </c>
      <c r="O2586" s="116">
        <v>769</v>
      </c>
      <c r="P2586" s="116">
        <v>769</v>
      </c>
      <c r="Q2586" s="116">
        <v>771.75</v>
      </c>
      <c r="R2586">
        <v>1732249</v>
      </c>
    </row>
    <row r="2587" spans="1:18" x14ac:dyDescent="0.25">
      <c r="A2587" s="170">
        <v>45814</v>
      </c>
      <c r="B2587" s="116">
        <v>778.75</v>
      </c>
      <c r="C2587" s="116">
        <v>777.2</v>
      </c>
      <c r="D2587" s="116">
        <v>769.5</v>
      </c>
      <c r="E2587" s="116">
        <v>775.1</v>
      </c>
      <c r="F2587" s="116">
        <v>777.2</v>
      </c>
      <c r="G2587">
        <v>27681</v>
      </c>
      <c r="H2587" s="116"/>
      <c r="I2587" s="116"/>
      <c r="L2587" s="170">
        <v>45814</v>
      </c>
      <c r="M2587" s="116">
        <v>776.85</v>
      </c>
      <c r="N2587" s="116">
        <v>779</v>
      </c>
      <c r="O2587" s="116">
        <v>769</v>
      </c>
      <c r="P2587" s="116">
        <v>775</v>
      </c>
      <c r="Q2587" s="116">
        <v>776.85</v>
      </c>
      <c r="R2587">
        <v>1744097</v>
      </c>
    </row>
    <row r="2588" spans="1:18" x14ac:dyDescent="0.25">
      <c r="A2588" s="170">
        <v>45817</v>
      </c>
      <c r="B2588" s="116">
        <v>782</v>
      </c>
      <c r="C2588" s="116">
        <v>779.5</v>
      </c>
      <c r="D2588" s="116">
        <v>771.2</v>
      </c>
      <c r="E2588" s="116">
        <v>781.35</v>
      </c>
      <c r="F2588" s="116">
        <v>779.5</v>
      </c>
      <c r="G2588">
        <v>80131</v>
      </c>
      <c r="H2588" s="116"/>
      <c r="I2588" s="116"/>
      <c r="L2588" s="170">
        <v>45817</v>
      </c>
      <c r="M2588" s="116">
        <v>780.05</v>
      </c>
      <c r="N2588" s="116">
        <v>782.65</v>
      </c>
      <c r="O2588" s="116">
        <v>771.2</v>
      </c>
      <c r="P2588" s="116">
        <v>779.7</v>
      </c>
      <c r="Q2588" s="116">
        <v>780.05</v>
      </c>
      <c r="R2588">
        <v>2352874</v>
      </c>
    </row>
    <row r="2589" spans="1:18" x14ac:dyDescent="0.25">
      <c r="A2589" s="170">
        <v>45818</v>
      </c>
      <c r="B2589" s="116">
        <v>785.75</v>
      </c>
      <c r="C2589" s="116">
        <v>779.55</v>
      </c>
      <c r="D2589" s="116">
        <v>776.8</v>
      </c>
      <c r="E2589" s="116">
        <v>782.65</v>
      </c>
      <c r="F2589" s="116">
        <v>779.55</v>
      </c>
      <c r="G2589">
        <v>37164</v>
      </c>
      <c r="H2589" s="116"/>
      <c r="I2589" s="116"/>
      <c r="L2589" s="170">
        <v>45818</v>
      </c>
      <c r="M2589" s="116">
        <v>779.65</v>
      </c>
      <c r="N2589" s="116">
        <v>785.9</v>
      </c>
      <c r="O2589" s="116">
        <v>777.05</v>
      </c>
      <c r="P2589" s="116">
        <v>783</v>
      </c>
      <c r="Q2589" s="116">
        <v>779.65</v>
      </c>
      <c r="R2589">
        <v>1695123</v>
      </c>
    </row>
    <row r="2590" spans="1:18" x14ac:dyDescent="0.25">
      <c r="A2590" s="170">
        <v>45819</v>
      </c>
      <c r="B2590" s="116">
        <v>783.5</v>
      </c>
      <c r="C2590" s="116">
        <v>765.65</v>
      </c>
      <c r="D2590" s="116">
        <v>759.8</v>
      </c>
      <c r="E2590" s="116">
        <v>779.95</v>
      </c>
      <c r="F2590" s="116">
        <v>765.65</v>
      </c>
      <c r="G2590">
        <v>45682</v>
      </c>
      <c r="H2590" s="116"/>
      <c r="I2590" s="116"/>
      <c r="L2590" s="170">
        <v>45819</v>
      </c>
      <c r="M2590" s="116">
        <v>765.8</v>
      </c>
      <c r="N2590" s="116">
        <v>783.6</v>
      </c>
      <c r="O2590" s="116">
        <v>759.35</v>
      </c>
      <c r="P2590" s="116">
        <v>779</v>
      </c>
      <c r="Q2590" s="116">
        <v>765.8</v>
      </c>
      <c r="R2590">
        <v>3087516</v>
      </c>
    </row>
    <row r="2591" spans="1:18" x14ac:dyDescent="0.25">
      <c r="A2591" s="170">
        <v>45820</v>
      </c>
      <c r="B2591" s="116">
        <v>770.9</v>
      </c>
      <c r="C2591" s="116">
        <v>744.15</v>
      </c>
      <c r="D2591" s="116">
        <v>742.7</v>
      </c>
      <c r="E2591" s="116">
        <v>766</v>
      </c>
      <c r="F2591" s="116">
        <v>744.15</v>
      </c>
      <c r="G2591">
        <v>69097</v>
      </c>
      <c r="H2591" s="116"/>
      <c r="I2591" s="116"/>
      <c r="L2591" s="170">
        <v>45820</v>
      </c>
      <c r="M2591" s="116">
        <v>744.8</v>
      </c>
      <c r="N2591" s="116">
        <v>770</v>
      </c>
      <c r="O2591" s="116">
        <v>742.05</v>
      </c>
      <c r="P2591" s="116">
        <v>769.6</v>
      </c>
      <c r="Q2591" s="116">
        <v>744.8</v>
      </c>
      <c r="R2591">
        <v>5153734</v>
      </c>
    </row>
    <row r="2592" spans="1:18" x14ac:dyDescent="0.25">
      <c r="A2592" s="170">
        <v>45821</v>
      </c>
      <c r="B2592" s="116">
        <v>743.55</v>
      </c>
      <c r="C2592" s="116">
        <v>733.25</v>
      </c>
      <c r="D2592" s="116">
        <v>728.7</v>
      </c>
      <c r="E2592" s="116">
        <v>732.25</v>
      </c>
      <c r="F2592" s="116">
        <v>733.25</v>
      </c>
      <c r="G2592">
        <v>47741</v>
      </c>
      <c r="H2592" s="116"/>
      <c r="I2592" s="116"/>
      <c r="L2592" s="170">
        <v>45821</v>
      </c>
      <c r="M2592" s="116">
        <v>735.15</v>
      </c>
      <c r="N2592" s="116">
        <v>743.5</v>
      </c>
      <c r="O2592" s="116">
        <v>726.95</v>
      </c>
      <c r="P2592" s="116">
        <v>738</v>
      </c>
      <c r="Q2592" s="116">
        <v>735.15</v>
      </c>
      <c r="R2592">
        <v>2437398</v>
      </c>
    </row>
    <row r="2593" spans="1:18" x14ac:dyDescent="0.25">
      <c r="A2593" s="170">
        <v>45824</v>
      </c>
      <c r="B2593" s="116">
        <v>756.6</v>
      </c>
      <c r="C2593" s="116">
        <v>755.2</v>
      </c>
      <c r="D2593" s="116">
        <v>735.05</v>
      </c>
      <c r="E2593" s="116">
        <v>736.05</v>
      </c>
      <c r="F2593" s="116">
        <v>755.2</v>
      </c>
      <c r="G2593">
        <v>73856</v>
      </c>
      <c r="H2593" s="116"/>
      <c r="I2593" s="116"/>
      <c r="L2593" s="170">
        <v>45824</v>
      </c>
      <c r="M2593" s="116">
        <v>754.9</v>
      </c>
      <c r="N2593" s="116">
        <v>756.75</v>
      </c>
      <c r="O2593" s="116">
        <v>735.1</v>
      </c>
      <c r="P2593" s="116">
        <v>742</v>
      </c>
      <c r="Q2593" s="116">
        <v>754.9</v>
      </c>
      <c r="R2593">
        <v>3361335</v>
      </c>
    </row>
    <row r="2594" spans="1:18" x14ac:dyDescent="0.25">
      <c r="A2594" s="170">
        <v>45825</v>
      </c>
      <c r="B2594" s="116">
        <v>766.95</v>
      </c>
      <c r="C2594" s="116">
        <v>755.1</v>
      </c>
      <c r="D2594" s="116">
        <v>751.65</v>
      </c>
      <c r="E2594" s="116">
        <v>761.45</v>
      </c>
      <c r="F2594" s="116">
        <v>755.1</v>
      </c>
      <c r="G2594">
        <v>163424</v>
      </c>
      <c r="H2594" s="116"/>
      <c r="I2594" s="116"/>
      <c r="L2594" s="170">
        <v>45825</v>
      </c>
      <c r="M2594" s="116">
        <v>756.65</v>
      </c>
      <c r="N2594" s="116">
        <v>766.8</v>
      </c>
      <c r="O2594" s="116">
        <v>752</v>
      </c>
      <c r="P2594" s="116">
        <v>757</v>
      </c>
      <c r="Q2594" s="116">
        <v>756.65</v>
      </c>
      <c r="R2594">
        <v>3519248</v>
      </c>
    </row>
    <row r="2595" spans="1:18" x14ac:dyDescent="0.25">
      <c r="A2595" s="170">
        <v>45826</v>
      </c>
      <c r="B2595" s="116">
        <v>769.35</v>
      </c>
      <c r="C2595" s="116">
        <v>763.5</v>
      </c>
      <c r="D2595" s="116">
        <v>751</v>
      </c>
      <c r="E2595" s="116">
        <v>756.65</v>
      </c>
      <c r="F2595" s="116">
        <v>763.5</v>
      </c>
      <c r="G2595">
        <v>60272</v>
      </c>
      <c r="H2595" s="116"/>
      <c r="I2595" s="116"/>
      <c r="L2595" s="170">
        <v>45826</v>
      </c>
      <c r="M2595" s="116">
        <v>763.3</v>
      </c>
      <c r="N2595" s="116">
        <v>769.25</v>
      </c>
      <c r="O2595" s="116">
        <v>750.55</v>
      </c>
      <c r="P2595" s="116">
        <v>756.05</v>
      </c>
      <c r="Q2595" s="116">
        <v>763.3</v>
      </c>
      <c r="R2595">
        <v>1782302</v>
      </c>
    </row>
    <row r="2596" spans="1:18" x14ac:dyDescent="0.25">
      <c r="A2596" s="170">
        <v>45827</v>
      </c>
      <c r="B2596" s="116">
        <v>764.95</v>
      </c>
      <c r="C2596" s="116">
        <v>747</v>
      </c>
      <c r="D2596" s="116">
        <v>743.85</v>
      </c>
      <c r="E2596" s="116">
        <v>764.95</v>
      </c>
      <c r="F2596" s="116">
        <v>747</v>
      </c>
      <c r="G2596">
        <v>67200</v>
      </c>
      <c r="H2596" s="116"/>
      <c r="I2596" s="116"/>
      <c r="L2596" s="170">
        <v>45827</v>
      </c>
      <c r="M2596" s="116">
        <v>747.3</v>
      </c>
      <c r="N2596" s="116">
        <v>762.85</v>
      </c>
      <c r="O2596" s="116">
        <v>744</v>
      </c>
      <c r="P2596" s="116">
        <v>762</v>
      </c>
      <c r="Q2596" s="116">
        <v>747.3</v>
      </c>
      <c r="R2596">
        <v>2263163</v>
      </c>
    </row>
    <row r="2597" spans="1:18" x14ac:dyDescent="0.25">
      <c r="A2597" s="170">
        <v>45828</v>
      </c>
      <c r="B2597" s="116">
        <v>768.15</v>
      </c>
      <c r="C2597" s="116">
        <v>764.35</v>
      </c>
      <c r="D2597" s="116">
        <v>742.75</v>
      </c>
      <c r="E2597" s="116">
        <v>748</v>
      </c>
      <c r="F2597" s="116">
        <v>764.35</v>
      </c>
      <c r="G2597">
        <v>60382</v>
      </c>
      <c r="H2597" s="116"/>
      <c r="I2597" s="116"/>
      <c r="L2597" s="170">
        <v>45828</v>
      </c>
      <c r="M2597" s="116">
        <v>765.65</v>
      </c>
      <c r="N2597" s="116">
        <v>768</v>
      </c>
      <c r="O2597" s="116">
        <v>742.05</v>
      </c>
      <c r="P2597" s="116">
        <v>747.3</v>
      </c>
      <c r="Q2597" s="116">
        <v>765.65</v>
      </c>
      <c r="R2597">
        <v>4337475</v>
      </c>
    </row>
    <row r="2598" spans="1:18" x14ac:dyDescent="0.25">
      <c r="A2598" s="170">
        <v>45831</v>
      </c>
      <c r="B2598" s="116">
        <v>765</v>
      </c>
      <c r="C2598" s="116">
        <v>760.1</v>
      </c>
      <c r="D2598" s="116">
        <v>756</v>
      </c>
      <c r="E2598" s="116">
        <v>759.25</v>
      </c>
      <c r="F2598" s="116">
        <v>760.1</v>
      </c>
      <c r="G2598">
        <v>20393</v>
      </c>
      <c r="H2598" s="116"/>
      <c r="I2598" s="116"/>
      <c r="L2598" s="170">
        <v>45831</v>
      </c>
      <c r="M2598" s="116">
        <v>760.1</v>
      </c>
      <c r="N2598" s="116">
        <v>765</v>
      </c>
      <c r="O2598" s="116">
        <v>756.05</v>
      </c>
      <c r="P2598" s="116">
        <v>758</v>
      </c>
      <c r="Q2598" s="116">
        <v>760.1</v>
      </c>
      <c r="R2598">
        <v>1881126</v>
      </c>
    </row>
    <row r="2599" spans="1:18" x14ac:dyDescent="0.25">
      <c r="A2599" s="170">
        <v>45832</v>
      </c>
      <c r="B2599" s="116">
        <v>775.95</v>
      </c>
      <c r="C2599" s="116">
        <v>763.25</v>
      </c>
      <c r="D2599" s="116">
        <v>761.25</v>
      </c>
      <c r="E2599" s="116">
        <v>761.25</v>
      </c>
      <c r="F2599" s="116">
        <v>763.25</v>
      </c>
      <c r="G2599">
        <v>45998</v>
      </c>
      <c r="H2599" s="116"/>
      <c r="I2599" s="116"/>
      <c r="L2599" s="170">
        <v>45832</v>
      </c>
      <c r="M2599" s="116">
        <v>764.1</v>
      </c>
      <c r="N2599" s="116">
        <v>775.9</v>
      </c>
      <c r="O2599" s="116">
        <v>761.05</v>
      </c>
      <c r="P2599" s="116">
        <v>764.9</v>
      </c>
      <c r="Q2599" s="116">
        <v>764.1</v>
      </c>
      <c r="R2599">
        <v>1873914</v>
      </c>
    </row>
    <row r="2600" spans="1:18" x14ac:dyDescent="0.25">
      <c r="A2600" s="170">
        <v>45833</v>
      </c>
      <c r="B2600" s="116">
        <v>787</v>
      </c>
      <c r="C2600" s="116">
        <v>781.75</v>
      </c>
      <c r="D2600" s="116">
        <v>774</v>
      </c>
      <c r="E2600" s="116">
        <v>775.05</v>
      </c>
      <c r="F2600" s="116">
        <v>781.75</v>
      </c>
      <c r="G2600">
        <v>154265</v>
      </c>
      <c r="H2600" s="116"/>
      <c r="I2600" s="116"/>
      <c r="L2600" s="170">
        <v>45833</v>
      </c>
      <c r="M2600" s="116">
        <v>781.9</v>
      </c>
      <c r="N2600" s="116">
        <v>786.9</v>
      </c>
      <c r="O2600" s="116">
        <v>771</v>
      </c>
      <c r="P2600" s="116">
        <v>780.85</v>
      </c>
      <c r="Q2600" s="116">
        <v>781.9</v>
      </c>
      <c r="R2600">
        <v>4846877</v>
      </c>
    </row>
    <row r="2601" spans="1:18" x14ac:dyDescent="0.25">
      <c r="A2601" s="170">
        <v>45834</v>
      </c>
      <c r="B2601" s="116">
        <v>788.95</v>
      </c>
      <c r="C2601" s="116">
        <v>783.5</v>
      </c>
      <c r="D2601" s="116">
        <v>770.85</v>
      </c>
      <c r="E2601" s="116">
        <v>788.95</v>
      </c>
      <c r="F2601" s="116">
        <v>783.5</v>
      </c>
      <c r="G2601">
        <v>45696</v>
      </c>
      <c r="H2601" s="116"/>
      <c r="I2601" s="116"/>
      <c r="L2601" s="170">
        <v>45834</v>
      </c>
      <c r="M2601" s="116">
        <v>782.95</v>
      </c>
      <c r="N2601" s="116">
        <v>785.3</v>
      </c>
      <c r="O2601" s="116">
        <v>770.8</v>
      </c>
      <c r="P2601" s="116">
        <v>783.9</v>
      </c>
      <c r="Q2601" s="116">
        <v>782.95</v>
      </c>
      <c r="R2601">
        <v>3298383</v>
      </c>
    </row>
    <row r="2602" spans="1:18" x14ac:dyDescent="0.25">
      <c r="A2602" s="170">
        <v>45835</v>
      </c>
      <c r="B2602" s="116">
        <v>783</v>
      </c>
      <c r="C2602" s="116">
        <v>767.7</v>
      </c>
      <c r="D2602" s="116">
        <v>764.5</v>
      </c>
      <c r="E2602" s="116">
        <v>776.05</v>
      </c>
      <c r="F2602" s="116">
        <v>767.7</v>
      </c>
      <c r="G2602">
        <v>100693</v>
      </c>
      <c r="H2602" s="116"/>
      <c r="I2602" s="116"/>
      <c r="L2602" s="170">
        <v>45835</v>
      </c>
      <c r="M2602" s="116">
        <v>767.4</v>
      </c>
      <c r="N2602" s="116">
        <v>782.95</v>
      </c>
      <c r="O2602" s="116">
        <v>764.25</v>
      </c>
      <c r="P2602" s="116">
        <v>777</v>
      </c>
      <c r="Q2602" s="116">
        <v>767.4</v>
      </c>
      <c r="R2602">
        <v>11586684</v>
      </c>
    </row>
    <row r="2603" spans="1:18" x14ac:dyDescent="0.25">
      <c r="A2603" s="170">
        <v>45838</v>
      </c>
      <c r="B2603" s="116">
        <v>770.4</v>
      </c>
      <c r="C2603" s="116">
        <v>760.2</v>
      </c>
      <c r="D2603" s="116">
        <v>755</v>
      </c>
      <c r="E2603" s="116">
        <v>767.4</v>
      </c>
      <c r="F2603" s="116">
        <v>760.2</v>
      </c>
      <c r="G2603">
        <v>78438</v>
      </c>
      <c r="H2603" s="116"/>
      <c r="I2603" s="116"/>
      <c r="L2603" s="170">
        <v>45838</v>
      </c>
      <c r="M2603" s="116">
        <v>760.3</v>
      </c>
      <c r="N2603" s="116">
        <v>769.85</v>
      </c>
      <c r="O2603" s="116">
        <v>754.9</v>
      </c>
      <c r="P2603" s="116">
        <v>768.9</v>
      </c>
      <c r="Q2603" s="116">
        <v>760.3</v>
      </c>
      <c r="R2603">
        <v>4840438</v>
      </c>
    </row>
    <row r="2604" spans="1:18" x14ac:dyDescent="0.25">
      <c r="A2604" s="170">
        <v>45839</v>
      </c>
      <c r="B2604" s="116">
        <v>764.55</v>
      </c>
      <c r="C2604" s="116">
        <v>762</v>
      </c>
      <c r="D2604" s="116">
        <v>752.1</v>
      </c>
      <c r="E2604" s="116">
        <v>758.1</v>
      </c>
      <c r="F2604" s="116">
        <v>762</v>
      </c>
      <c r="G2604">
        <v>60614</v>
      </c>
      <c r="H2604" s="116"/>
      <c r="I2604" s="116"/>
      <c r="L2604" s="170">
        <v>45839</v>
      </c>
      <c r="M2604" s="116">
        <v>762.05</v>
      </c>
      <c r="N2604" s="116">
        <v>764.4</v>
      </c>
      <c r="O2604" s="116">
        <v>752</v>
      </c>
      <c r="P2604" s="116">
        <v>759</v>
      </c>
      <c r="Q2604" s="116">
        <v>762.05</v>
      </c>
      <c r="R2604">
        <v>3663817</v>
      </c>
    </row>
    <row r="2605" spans="1:18" x14ac:dyDescent="0.25">
      <c r="A2605" s="170">
        <v>45840</v>
      </c>
      <c r="B2605" s="116">
        <v>769.6</v>
      </c>
      <c r="C2605" s="116">
        <v>756.05</v>
      </c>
      <c r="D2605" s="116">
        <v>752.95</v>
      </c>
      <c r="E2605" s="116">
        <v>769.6</v>
      </c>
      <c r="F2605" s="116">
        <v>756.05</v>
      </c>
      <c r="G2605">
        <v>39924</v>
      </c>
      <c r="H2605" s="116"/>
      <c r="I2605" s="116"/>
      <c r="L2605" s="170">
        <v>45840</v>
      </c>
      <c r="M2605" s="116">
        <v>756</v>
      </c>
      <c r="N2605" s="116">
        <v>765.65</v>
      </c>
      <c r="O2605" s="116">
        <v>752.4</v>
      </c>
      <c r="P2605" s="116">
        <v>756.9</v>
      </c>
      <c r="Q2605" s="116">
        <v>756</v>
      </c>
      <c r="R2605">
        <v>3926796</v>
      </c>
    </row>
    <row r="2606" spans="1:18" x14ac:dyDescent="0.25">
      <c r="A2606" s="170">
        <v>45841</v>
      </c>
      <c r="B2606" s="116">
        <v>757.15</v>
      </c>
      <c r="C2606" s="116">
        <v>748.25</v>
      </c>
      <c r="D2606" s="116">
        <v>745.25</v>
      </c>
      <c r="E2606" s="116">
        <v>753.45</v>
      </c>
      <c r="F2606" s="116">
        <v>748.25</v>
      </c>
      <c r="G2606">
        <v>69071</v>
      </c>
      <c r="H2606" s="116"/>
      <c r="I2606" s="116"/>
      <c r="L2606" s="170">
        <v>45841</v>
      </c>
      <c r="M2606" s="116">
        <v>748.25</v>
      </c>
      <c r="N2606" s="116">
        <v>757.4</v>
      </c>
      <c r="O2606" s="116">
        <v>745.25</v>
      </c>
      <c r="P2606" s="116">
        <v>755.05</v>
      </c>
      <c r="Q2606" s="116">
        <v>748.25</v>
      </c>
      <c r="R2606">
        <v>3314364</v>
      </c>
    </row>
    <row r="2607" spans="1:18" x14ac:dyDescent="0.25">
      <c r="A2607" s="170">
        <v>45842</v>
      </c>
      <c r="B2607" s="116">
        <v>752.95</v>
      </c>
      <c r="C2607" s="116">
        <v>747.05</v>
      </c>
      <c r="D2607" s="116">
        <v>742</v>
      </c>
      <c r="E2607" s="116">
        <v>747.5</v>
      </c>
      <c r="F2607" s="116">
        <v>747.05</v>
      </c>
      <c r="G2607">
        <v>54769</v>
      </c>
      <c r="H2607" s="116"/>
      <c r="I2607" s="116"/>
      <c r="L2607" s="170">
        <v>45842</v>
      </c>
      <c r="M2607" s="116">
        <v>747.55</v>
      </c>
      <c r="N2607" s="116">
        <v>753</v>
      </c>
      <c r="O2607" s="116">
        <v>742.05</v>
      </c>
      <c r="P2607" s="116">
        <v>748.25</v>
      </c>
      <c r="Q2607" s="116">
        <v>747.55</v>
      </c>
      <c r="R2607">
        <v>2437653</v>
      </c>
    </row>
    <row r="2608" spans="1:18" x14ac:dyDescent="0.25">
      <c r="A2608" s="170">
        <v>45845</v>
      </c>
      <c r="B2608" s="116">
        <v>747.9</v>
      </c>
      <c r="C2608" s="116">
        <v>737.2</v>
      </c>
      <c r="D2608" s="116">
        <v>735.7</v>
      </c>
      <c r="E2608" s="116">
        <v>747</v>
      </c>
      <c r="F2608" s="116">
        <v>737.2</v>
      </c>
      <c r="G2608">
        <v>93198</v>
      </c>
      <c r="H2608" s="116"/>
      <c r="I2608" s="116"/>
      <c r="L2608" s="170">
        <v>45845</v>
      </c>
      <c r="M2608" s="116">
        <v>737.15</v>
      </c>
      <c r="N2608" s="116">
        <v>748.7</v>
      </c>
      <c r="O2608" s="116">
        <v>735.55</v>
      </c>
      <c r="P2608" s="116">
        <v>747.55</v>
      </c>
      <c r="Q2608" s="116">
        <v>737.15</v>
      </c>
      <c r="R2608">
        <v>3012196</v>
      </c>
    </row>
    <row r="2609" spans="1:18" x14ac:dyDescent="0.25">
      <c r="A2609" s="170">
        <v>45846</v>
      </c>
      <c r="B2609" s="116">
        <v>743.85</v>
      </c>
      <c r="C2609" s="116">
        <v>739.35</v>
      </c>
      <c r="D2609" s="116">
        <v>737.25</v>
      </c>
      <c r="E2609" s="116">
        <v>738</v>
      </c>
      <c r="F2609" s="116">
        <v>739.35</v>
      </c>
      <c r="G2609">
        <v>48013</v>
      </c>
      <c r="H2609" s="116"/>
      <c r="I2609" s="116"/>
      <c r="L2609" s="170">
        <v>45846</v>
      </c>
      <c r="M2609" s="116">
        <v>739.3</v>
      </c>
      <c r="N2609" s="116">
        <v>743.85</v>
      </c>
      <c r="O2609" s="116">
        <v>737.2</v>
      </c>
      <c r="P2609" s="116">
        <v>737.9</v>
      </c>
      <c r="Q2609" s="116">
        <v>739.3</v>
      </c>
      <c r="R2609">
        <v>2730314</v>
      </c>
    </row>
    <row r="2610" spans="1:18" x14ac:dyDescent="0.25">
      <c r="A2610" s="170">
        <v>45847</v>
      </c>
      <c r="B2610" s="116">
        <v>753.9</v>
      </c>
      <c r="C2610" s="116">
        <v>750.05</v>
      </c>
      <c r="D2610" s="116">
        <v>736.95</v>
      </c>
      <c r="E2610" s="116">
        <v>737.4</v>
      </c>
      <c r="F2610" s="116">
        <v>750.05</v>
      </c>
      <c r="G2610">
        <v>106712</v>
      </c>
      <c r="H2610" s="116"/>
      <c r="I2610" s="116"/>
      <c r="L2610" s="170">
        <v>45847</v>
      </c>
      <c r="M2610" s="116">
        <v>750.15</v>
      </c>
      <c r="N2610" s="116">
        <v>753.9</v>
      </c>
      <c r="O2610" s="116">
        <v>737.35</v>
      </c>
      <c r="P2610" s="116">
        <v>739</v>
      </c>
      <c r="Q2610" s="116">
        <v>750.15</v>
      </c>
      <c r="R2610">
        <v>3335023</v>
      </c>
    </row>
    <row r="2611" spans="1:18" x14ac:dyDescent="0.25">
      <c r="A2611" s="170">
        <v>45848</v>
      </c>
      <c r="B2611" s="116">
        <v>753.45</v>
      </c>
      <c r="C2611" s="116">
        <v>743</v>
      </c>
      <c r="D2611" s="116">
        <v>740</v>
      </c>
      <c r="E2611" s="116">
        <v>753.45</v>
      </c>
      <c r="F2611" s="116">
        <v>743</v>
      </c>
      <c r="G2611">
        <v>229832</v>
      </c>
      <c r="H2611" s="116"/>
      <c r="I2611" s="116"/>
      <c r="L2611" s="170">
        <v>45848</v>
      </c>
      <c r="M2611" s="116">
        <v>743.35</v>
      </c>
      <c r="N2611" s="116">
        <v>750.95</v>
      </c>
      <c r="O2611" s="116">
        <v>739.65</v>
      </c>
      <c r="P2611" s="116">
        <v>750.15</v>
      </c>
      <c r="Q2611" s="116">
        <v>743.35</v>
      </c>
      <c r="R2611">
        <v>1841758</v>
      </c>
    </row>
    <row r="2612" spans="1:18" x14ac:dyDescent="0.25">
      <c r="A2612" s="170">
        <v>45849</v>
      </c>
      <c r="B2612" s="116">
        <v>745.7</v>
      </c>
      <c r="C2612" s="116">
        <v>735.1</v>
      </c>
      <c r="D2612" s="116">
        <v>734.5</v>
      </c>
      <c r="E2612" s="116">
        <v>741.9</v>
      </c>
      <c r="F2612" s="116">
        <v>735.1</v>
      </c>
      <c r="G2612">
        <v>39815</v>
      </c>
      <c r="H2612" s="116"/>
      <c r="I2612" s="116"/>
      <c r="L2612" s="170">
        <v>45849</v>
      </c>
      <c r="M2612" s="116">
        <v>735.2</v>
      </c>
      <c r="N2612" s="116">
        <v>745.95</v>
      </c>
      <c r="O2612" s="116">
        <v>734</v>
      </c>
      <c r="P2612" s="116">
        <v>741</v>
      </c>
      <c r="Q2612" s="116">
        <v>735.2</v>
      </c>
      <c r="R2612">
        <v>1464641</v>
      </c>
    </row>
    <row r="2613" spans="1:18" x14ac:dyDescent="0.25">
      <c r="A2613" s="170">
        <v>45852</v>
      </c>
      <c r="B2613" s="116">
        <v>741.6</v>
      </c>
      <c r="C2613" s="116">
        <v>727.9</v>
      </c>
      <c r="D2613" s="116">
        <v>725</v>
      </c>
      <c r="E2613" s="116">
        <v>735.1</v>
      </c>
      <c r="F2613" s="116">
        <v>727.9</v>
      </c>
      <c r="G2613">
        <v>112046</v>
      </c>
      <c r="H2613" s="116"/>
      <c r="I2613" s="116"/>
      <c r="L2613" s="170">
        <v>45852</v>
      </c>
      <c r="M2613" s="116">
        <v>729.15</v>
      </c>
      <c r="N2613" s="116">
        <v>741.5</v>
      </c>
      <c r="O2613" s="116">
        <v>724.75</v>
      </c>
      <c r="P2613" s="116">
        <v>735</v>
      </c>
      <c r="Q2613" s="116">
        <v>729.15</v>
      </c>
      <c r="R2613">
        <v>2476312</v>
      </c>
    </row>
    <row r="2614" spans="1:18" x14ac:dyDescent="0.25">
      <c r="A2614" s="170">
        <v>45853</v>
      </c>
      <c r="B2614" s="116">
        <v>747.05</v>
      </c>
      <c r="C2614" s="116">
        <v>745.5</v>
      </c>
      <c r="D2614" s="116">
        <v>727.9</v>
      </c>
      <c r="E2614" s="116">
        <v>727.9</v>
      </c>
      <c r="F2614" s="116">
        <v>745.5</v>
      </c>
      <c r="G2614">
        <v>1141861</v>
      </c>
      <c r="H2614" s="116"/>
      <c r="I2614" s="116"/>
      <c r="L2614" s="170">
        <v>45853</v>
      </c>
      <c r="M2614" s="116">
        <v>744.05</v>
      </c>
      <c r="N2614" s="116">
        <v>746.95</v>
      </c>
      <c r="O2614" s="116">
        <v>727.5</v>
      </c>
      <c r="P2614" s="116">
        <v>727.5</v>
      </c>
      <c r="Q2614" s="116">
        <v>744.05</v>
      </c>
      <c r="R2614">
        <v>3597983</v>
      </c>
    </row>
    <row r="2615" spans="1:18" x14ac:dyDescent="0.25">
      <c r="A2615" s="170">
        <v>45854</v>
      </c>
      <c r="B2615" s="116">
        <v>753</v>
      </c>
      <c r="C2615" s="116">
        <v>751.25</v>
      </c>
      <c r="D2615" s="116">
        <v>736.25</v>
      </c>
      <c r="E2615" s="116">
        <v>748.25</v>
      </c>
      <c r="F2615" s="116">
        <v>751.25</v>
      </c>
      <c r="G2615">
        <v>84875</v>
      </c>
      <c r="H2615" s="116"/>
      <c r="I2615" s="116"/>
      <c r="L2615" s="170">
        <v>45854</v>
      </c>
      <c r="M2615" s="116">
        <v>751.2</v>
      </c>
      <c r="N2615" s="116">
        <v>753</v>
      </c>
      <c r="O2615" s="116">
        <v>736.2</v>
      </c>
      <c r="P2615" s="116">
        <v>744.05</v>
      </c>
      <c r="Q2615" s="116">
        <v>751.2</v>
      </c>
      <c r="R2615">
        <v>2931470</v>
      </c>
    </row>
    <row r="2616" spans="1:18" x14ac:dyDescent="0.25">
      <c r="A2616" s="170">
        <v>45855</v>
      </c>
      <c r="B2616" s="116">
        <v>760.8</v>
      </c>
      <c r="C2616" s="116">
        <v>754.05</v>
      </c>
      <c r="D2616" s="116">
        <v>751.25</v>
      </c>
      <c r="E2616" s="116">
        <v>754</v>
      </c>
      <c r="F2616" s="116">
        <v>754.05</v>
      </c>
      <c r="G2616">
        <v>136157</v>
      </c>
      <c r="H2616" s="116"/>
      <c r="I2616" s="116"/>
      <c r="L2616" s="170">
        <v>45855</v>
      </c>
      <c r="M2616" s="116">
        <v>753.95</v>
      </c>
      <c r="N2616" s="116">
        <v>760.85</v>
      </c>
      <c r="O2616" s="116">
        <v>749.9</v>
      </c>
      <c r="P2616" s="116">
        <v>753.5</v>
      </c>
      <c r="Q2616" s="116">
        <v>753.95</v>
      </c>
      <c r="R2616">
        <v>2596528</v>
      </c>
    </row>
    <row r="2617" spans="1:18" x14ac:dyDescent="0.25">
      <c r="A2617" s="170">
        <v>45856</v>
      </c>
      <c r="B2617" s="116">
        <v>769.35</v>
      </c>
      <c r="C2617" s="116">
        <v>765.8</v>
      </c>
      <c r="D2617" s="116">
        <v>751</v>
      </c>
      <c r="E2617" s="116">
        <v>761</v>
      </c>
      <c r="F2617" s="116">
        <v>765.8</v>
      </c>
      <c r="G2617">
        <v>530547</v>
      </c>
      <c r="H2617" s="116"/>
      <c r="I2617" s="116"/>
      <c r="L2617" s="170">
        <v>45856</v>
      </c>
      <c r="M2617" s="116">
        <v>766.2</v>
      </c>
      <c r="N2617" s="116">
        <v>769.2</v>
      </c>
      <c r="O2617" s="116">
        <v>751.2</v>
      </c>
      <c r="P2617" s="116">
        <v>761</v>
      </c>
      <c r="Q2617" s="116">
        <v>766.2</v>
      </c>
      <c r="R2617">
        <v>8263373</v>
      </c>
    </row>
    <row r="2618" spans="1:18" x14ac:dyDescent="0.25">
      <c r="A2618" s="170">
        <v>45859</v>
      </c>
      <c r="B2618" s="116">
        <v>776.6</v>
      </c>
      <c r="C2618" s="116">
        <v>771.4</v>
      </c>
      <c r="D2618" s="116">
        <v>764.6</v>
      </c>
      <c r="E2618" s="116">
        <v>769.75</v>
      </c>
      <c r="F2618" s="116">
        <v>771.4</v>
      </c>
      <c r="G2618">
        <v>94401</v>
      </c>
      <c r="H2618" s="116"/>
      <c r="I2618" s="116"/>
      <c r="L2618" s="170">
        <v>45859</v>
      </c>
      <c r="M2618" s="116">
        <v>771.7</v>
      </c>
      <c r="N2618" s="116">
        <v>776.5</v>
      </c>
      <c r="O2618" s="116">
        <v>764.75</v>
      </c>
      <c r="P2618" s="116">
        <v>766.2</v>
      </c>
      <c r="Q2618" s="116">
        <v>771.7</v>
      </c>
      <c r="R2618">
        <v>3112101</v>
      </c>
    </row>
    <row r="2619" spans="1:18" x14ac:dyDescent="0.25">
      <c r="A2619" s="170">
        <v>45860</v>
      </c>
      <c r="B2619" s="116">
        <v>779.95</v>
      </c>
      <c r="C2619" s="116">
        <v>756.4</v>
      </c>
      <c r="D2619" s="116">
        <v>755.6</v>
      </c>
      <c r="E2619" s="116">
        <v>773.55</v>
      </c>
      <c r="F2619" s="116">
        <v>756.4</v>
      </c>
      <c r="G2619">
        <v>58682</v>
      </c>
      <c r="H2619" s="116"/>
      <c r="I2619" s="116"/>
      <c r="L2619" s="170">
        <v>45860</v>
      </c>
      <c r="M2619" s="116">
        <v>756.3</v>
      </c>
      <c r="N2619" s="116">
        <v>777.4</v>
      </c>
      <c r="O2619" s="116">
        <v>755.1</v>
      </c>
      <c r="P2619" s="116">
        <v>777</v>
      </c>
      <c r="Q2619" s="116">
        <v>756.3</v>
      </c>
      <c r="R2619">
        <v>2667397</v>
      </c>
    </row>
    <row r="2620" spans="1:18" x14ac:dyDescent="0.25">
      <c r="A2620" s="170">
        <v>45861</v>
      </c>
      <c r="B2620" s="116">
        <v>757.4</v>
      </c>
      <c r="C2620" s="116">
        <v>753.85</v>
      </c>
      <c r="D2620" s="116">
        <v>746.3</v>
      </c>
      <c r="E2620" s="116">
        <v>755.45</v>
      </c>
      <c r="F2620" s="116">
        <v>753.85</v>
      </c>
      <c r="G2620">
        <v>87819</v>
      </c>
      <c r="H2620" s="116"/>
      <c r="I2620" s="116"/>
      <c r="L2620" s="170">
        <v>45861</v>
      </c>
      <c r="M2620" s="116">
        <v>754.4</v>
      </c>
      <c r="N2620" s="116">
        <v>758.2</v>
      </c>
      <c r="O2620" s="116">
        <v>746.3</v>
      </c>
      <c r="P2620" s="116">
        <v>756.6</v>
      </c>
      <c r="Q2620" s="116">
        <v>754.4</v>
      </c>
      <c r="R2620">
        <v>2528008</v>
      </c>
    </row>
    <row r="2621" spans="1:18" x14ac:dyDescent="0.25">
      <c r="A2621" s="170">
        <v>45862</v>
      </c>
      <c r="B2621" s="116">
        <v>758.1</v>
      </c>
      <c r="C2621" s="116">
        <v>753.95</v>
      </c>
      <c r="D2621" s="116">
        <v>750.4</v>
      </c>
      <c r="E2621" s="116">
        <v>757.3</v>
      </c>
      <c r="F2621" s="116">
        <v>753.95</v>
      </c>
      <c r="G2621">
        <v>27218</v>
      </c>
      <c r="H2621" s="116"/>
      <c r="I2621" s="116"/>
      <c r="L2621" s="170">
        <v>45862</v>
      </c>
      <c r="M2621" s="116">
        <v>754</v>
      </c>
      <c r="N2621" s="116">
        <v>758</v>
      </c>
      <c r="O2621" s="116">
        <v>750.6</v>
      </c>
      <c r="P2621" s="116">
        <v>754.4</v>
      </c>
      <c r="Q2621" s="116">
        <v>754</v>
      </c>
      <c r="R2621">
        <v>1333762</v>
      </c>
    </row>
    <row r="2622" spans="1:18" x14ac:dyDescent="0.25">
      <c r="A2622" s="170">
        <v>45863</v>
      </c>
      <c r="B2622" s="116">
        <v>753.85</v>
      </c>
      <c r="C2622" s="116">
        <v>745.65</v>
      </c>
      <c r="D2622" s="116">
        <v>739.35</v>
      </c>
      <c r="E2622" s="116">
        <v>750</v>
      </c>
      <c r="F2622" s="116">
        <v>745.65</v>
      </c>
      <c r="G2622">
        <v>23482</v>
      </c>
      <c r="H2622" s="116"/>
      <c r="I2622" s="116"/>
      <c r="L2622" s="170">
        <v>45863</v>
      </c>
      <c r="M2622" s="116">
        <v>746.15</v>
      </c>
      <c r="N2622" s="116">
        <v>752.8</v>
      </c>
      <c r="O2622" s="116">
        <v>739.35</v>
      </c>
      <c r="P2622" s="116">
        <v>750.55</v>
      </c>
      <c r="Q2622" s="116">
        <v>746.15</v>
      </c>
      <c r="R2622">
        <v>2755973</v>
      </c>
    </row>
    <row r="2623" spans="1:18" x14ac:dyDescent="0.25">
      <c r="A2623" s="170">
        <v>45866</v>
      </c>
      <c r="B2623" s="116">
        <v>753.65</v>
      </c>
      <c r="C2623" s="116">
        <v>745.45</v>
      </c>
      <c r="D2623" s="116">
        <v>740.45</v>
      </c>
      <c r="E2623" s="116">
        <v>744.85</v>
      </c>
      <c r="F2623" s="116">
        <v>745.45</v>
      </c>
      <c r="G2623">
        <v>23675</v>
      </c>
      <c r="H2623" s="116"/>
      <c r="I2623" s="116"/>
      <c r="L2623" s="170">
        <v>45866</v>
      </c>
      <c r="M2623" s="116">
        <v>744.8</v>
      </c>
      <c r="N2623" s="116">
        <v>754.25</v>
      </c>
      <c r="O2623" s="116">
        <v>740.1</v>
      </c>
      <c r="P2623" s="116">
        <v>743</v>
      </c>
      <c r="Q2623" s="116">
        <v>744.8</v>
      </c>
      <c r="R2623">
        <v>2368005</v>
      </c>
    </row>
    <row r="2624" spans="1:18" x14ac:dyDescent="0.25">
      <c r="A2624" s="170">
        <v>45867</v>
      </c>
      <c r="B2624" s="116">
        <v>750.8</v>
      </c>
      <c r="C2624" s="116">
        <v>748</v>
      </c>
      <c r="D2624" s="116">
        <v>740.4</v>
      </c>
      <c r="E2624" s="116">
        <v>741.55</v>
      </c>
      <c r="F2624" s="116">
        <v>748</v>
      </c>
      <c r="G2624">
        <v>58344</v>
      </c>
      <c r="H2624" s="116"/>
      <c r="I2624" s="116"/>
      <c r="L2624" s="170">
        <v>45867</v>
      </c>
      <c r="M2624" s="116">
        <v>748.2</v>
      </c>
      <c r="N2624" s="116">
        <v>751</v>
      </c>
      <c r="O2624" s="116">
        <v>740.55</v>
      </c>
      <c r="P2624" s="116">
        <v>744.8</v>
      </c>
      <c r="Q2624" s="116">
        <v>748.2</v>
      </c>
      <c r="R2624">
        <v>2019113</v>
      </c>
    </row>
    <row r="2625" spans="1:18" x14ac:dyDescent="0.25">
      <c r="A2625" s="170">
        <v>45868</v>
      </c>
      <c r="B2625" s="116">
        <v>755.1</v>
      </c>
      <c r="C2625" s="116">
        <v>744.8</v>
      </c>
      <c r="D2625" s="116">
        <v>743.8</v>
      </c>
      <c r="E2625" s="116">
        <v>752.45</v>
      </c>
      <c r="F2625" s="116">
        <v>744.8</v>
      </c>
      <c r="G2625">
        <v>37455</v>
      </c>
      <c r="H2625" s="116"/>
      <c r="I2625" s="116"/>
      <c r="L2625" s="170">
        <v>45868</v>
      </c>
      <c r="M2625" s="116">
        <v>744.9</v>
      </c>
      <c r="N2625" s="116">
        <v>755.5</v>
      </c>
      <c r="O2625" s="116">
        <v>744</v>
      </c>
      <c r="P2625" s="116">
        <v>751.2</v>
      </c>
      <c r="Q2625" s="116">
        <v>744.9</v>
      </c>
      <c r="R2625">
        <v>1798426</v>
      </c>
    </row>
    <row r="2626" spans="1:18" x14ac:dyDescent="0.25">
      <c r="A2626" s="170">
        <v>45869</v>
      </c>
      <c r="B2626" s="116">
        <v>745.2</v>
      </c>
      <c r="C2626" s="116">
        <v>740.85</v>
      </c>
      <c r="D2626" s="116">
        <v>735.55</v>
      </c>
      <c r="E2626" s="116">
        <v>735.55</v>
      </c>
      <c r="F2626" s="116">
        <v>740.85</v>
      </c>
      <c r="G2626">
        <v>28197</v>
      </c>
      <c r="H2626" s="116"/>
      <c r="I2626" s="116"/>
      <c r="L2626" s="170">
        <v>45869</v>
      </c>
      <c r="M2626" s="116">
        <v>740.75</v>
      </c>
      <c r="N2626" s="116">
        <v>745.55</v>
      </c>
      <c r="O2626" s="116">
        <v>736.1</v>
      </c>
      <c r="P2626" s="116">
        <v>738.05</v>
      </c>
      <c r="Q2626" s="116">
        <v>740.75</v>
      </c>
      <c r="R2626">
        <v>2395448</v>
      </c>
    </row>
    <row r="2627" spans="1:18" x14ac:dyDescent="0.25">
      <c r="A2627" s="170">
        <v>45870</v>
      </c>
      <c r="B2627" s="116">
        <v>750.1</v>
      </c>
      <c r="C2627" s="116">
        <v>740.85</v>
      </c>
      <c r="D2627" s="116">
        <v>738.15</v>
      </c>
      <c r="E2627" s="116">
        <v>740.85</v>
      </c>
      <c r="F2627" s="116">
        <v>740.85</v>
      </c>
      <c r="G2627">
        <v>197211</v>
      </c>
      <c r="H2627" s="116"/>
      <c r="I2627" s="116"/>
      <c r="L2627" s="170">
        <v>45870</v>
      </c>
      <c r="M2627" s="116">
        <v>741.15</v>
      </c>
      <c r="N2627" s="116">
        <v>750.15</v>
      </c>
      <c r="O2627" s="116">
        <v>738.3</v>
      </c>
      <c r="P2627" s="116">
        <v>741.5</v>
      </c>
      <c r="Q2627" s="116">
        <v>741.15</v>
      </c>
      <c r="R2627">
        <v>2426975</v>
      </c>
    </row>
    <row r="2628" spans="1:18" x14ac:dyDescent="0.25">
      <c r="A2628" s="170">
        <v>45873</v>
      </c>
      <c r="B2628" s="116">
        <v>752.35</v>
      </c>
      <c r="C2628" s="116">
        <v>749.45</v>
      </c>
      <c r="D2628" s="116">
        <v>735.7</v>
      </c>
      <c r="E2628" s="116">
        <v>741.45</v>
      </c>
      <c r="F2628" s="116">
        <v>749.45</v>
      </c>
      <c r="G2628">
        <v>31219</v>
      </c>
      <c r="H2628" s="116"/>
      <c r="I2628" s="116"/>
      <c r="L2628" s="170">
        <v>45873</v>
      </c>
      <c r="M2628" s="116">
        <v>748.8</v>
      </c>
      <c r="N2628" s="116">
        <v>752.7</v>
      </c>
      <c r="O2628" s="116">
        <v>735.15</v>
      </c>
      <c r="P2628" s="116">
        <v>742.3</v>
      </c>
      <c r="Q2628" s="116">
        <v>748.8</v>
      </c>
      <c r="R2628">
        <v>2240074</v>
      </c>
    </row>
    <row r="2629" spans="1:18" x14ac:dyDescent="0.25">
      <c r="A2629" s="170">
        <v>45874</v>
      </c>
      <c r="B2629" s="116">
        <v>752</v>
      </c>
      <c r="C2629" s="116">
        <v>751.35</v>
      </c>
      <c r="D2629" s="116">
        <v>741.5</v>
      </c>
      <c r="E2629" s="116">
        <v>750</v>
      </c>
      <c r="F2629" s="116">
        <v>751.35</v>
      </c>
      <c r="G2629">
        <v>33597</v>
      </c>
      <c r="H2629" s="116"/>
      <c r="I2629" s="116"/>
      <c r="L2629" s="170">
        <v>45874</v>
      </c>
      <c r="M2629" s="116">
        <v>751.05</v>
      </c>
      <c r="N2629" s="116">
        <v>752.5</v>
      </c>
      <c r="O2629" s="116">
        <v>741.55</v>
      </c>
      <c r="P2629" s="116">
        <v>749.8</v>
      </c>
      <c r="Q2629" s="116">
        <v>751.05</v>
      </c>
      <c r="R2629">
        <v>1553257</v>
      </c>
    </row>
    <row r="2630" spans="1:18" x14ac:dyDescent="0.25">
      <c r="A2630" s="170">
        <v>45875</v>
      </c>
      <c r="B2630" s="116">
        <v>755.5</v>
      </c>
      <c r="C2630" s="116">
        <v>746.6</v>
      </c>
      <c r="D2630" s="116">
        <v>739.15</v>
      </c>
      <c r="E2630" s="116">
        <v>754.6</v>
      </c>
      <c r="F2630" s="116">
        <v>746.6</v>
      </c>
      <c r="G2630">
        <v>220470</v>
      </c>
      <c r="H2630" s="116"/>
      <c r="I2630" s="116"/>
      <c r="L2630" s="170">
        <v>45875</v>
      </c>
      <c r="M2630" s="116">
        <v>746.6</v>
      </c>
      <c r="N2630" s="116">
        <v>755.45</v>
      </c>
      <c r="O2630" s="116">
        <v>739.5</v>
      </c>
      <c r="P2630" s="116">
        <v>751.05</v>
      </c>
      <c r="Q2630" s="116">
        <v>746.6</v>
      </c>
      <c r="R2630">
        <v>2431229</v>
      </c>
    </row>
    <row r="2631" spans="1:18" x14ac:dyDescent="0.25">
      <c r="A2631" s="170">
        <v>45876</v>
      </c>
      <c r="B2631" s="116">
        <v>746.25</v>
      </c>
      <c r="C2631" s="116">
        <v>742.7</v>
      </c>
      <c r="D2631" s="116">
        <v>734.55</v>
      </c>
      <c r="E2631" s="116">
        <v>737.8</v>
      </c>
      <c r="F2631" s="116">
        <v>742.7</v>
      </c>
      <c r="G2631">
        <v>207259</v>
      </c>
      <c r="H2631" s="116"/>
      <c r="I2631" s="116"/>
      <c r="L2631" s="170">
        <v>45876</v>
      </c>
      <c r="M2631" s="116">
        <v>742.3</v>
      </c>
      <c r="N2631" s="116">
        <v>746.4</v>
      </c>
      <c r="O2631" s="116">
        <v>734</v>
      </c>
      <c r="P2631" s="116">
        <v>741</v>
      </c>
      <c r="Q2631" s="116">
        <v>742.3</v>
      </c>
      <c r="R2631">
        <v>2317202</v>
      </c>
    </row>
    <row r="2632" spans="1:18" x14ac:dyDescent="0.25">
      <c r="A2632" s="170">
        <v>45877</v>
      </c>
      <c r="B2632" s="116">
        <v>746.45</v>
      </c>
      <c r="C2632" s="116">
        <v>734.5</v>
      </c>
      <c r="D2632" s="116">
        <v>732.95</v>
      </c>
      <c r="E2632" s="116">
        <v>740.1</v>
      </c>
      <c r="F2632" s="116">
        <v>734.5</v>
      </c>
      <c r="G2632">
        <v>47888</v>
      </c>
      <c r="H2632" s="116"/>
      <c r="I2632" s="116"/>
      <c r="L2632" s="170">
        <v>45877</v>
      </c>
      <c r="M2632" s="116">
        <v>735.75</v>
      </c>
      <c r="N2632" s="116">
        <v>746.45</v>
      </c>
      <c r="O2632" s="116">
        <v>732.8</v>
      </c>
      <c r="P2632" s="116">
        <v>742.25</v>
      </c>
      <c r="Q2632" s="116">
        <v>735.75</v>
      </c>
      <c r="R2632">
        <v>1778482</v>
      </c>
    </row>
    <row r="2633" spans="1:18" x14ac:dyDescent="0.25">
      <c r="A2633" s="170">
        <v>45880</v>
      </c>
      <c r="B2633" s="116">
        <v>748.4</v>
      </c>
      <c r="C2633" s="116">
        <v>746.65</v>
      </c>
      <c r="D2633" s="116">
        <v>735.5</v>
      </c>
      <c r="E2633" s="116">
        <v>736.75</v>
      </c>
      <c r="F2633" s="116">
        <v>746.65</v>
      </c>
      <c r="G2633">
        <v>22794</v>
      </c>
      <c r="H2633" s="116"/>
      <c r="I2633" s="116"/>
      <c r="L2633" s="170">
        <v>45880</v>
      </c>
      <c r="M2633" s="116">
        <v>746.75</v>
      </c>
      <c r="N2633" s="116">
        <v>748.45</v>
      </c>
      <c r="O2633" s="116">
        <v>735.1</v>
      </c>
      <c r="P2633" s="116">
        <v>736</v>
      </c>
      <c r="Q2633" s="116">
        <v>746.75</v>
      </c>
      <c r="R2633">
        <v>1346920</v>
      </c>
    </row>
    <row r="2634" spans="1:18" x14ac:dyDescent="0.25">
      <c r="A2634" s="170">
        <v>45881</v>
      </c>
      <c r="B2634" s="116">
        <v>759</v>
      </c>
      <c r="C2634" s="116">
        <v>747.5</v>
      </c>
      <c r="D2634" s="116">
        <v>745.3</v>
      </c>
      <c r="E2634" s="116">
        <v>751.8</v>
      </c>
      <c r="F2634" s="116">
        <v>747.5</v>
      </c>
      <c r="G2634">
        <v>35376</v>
      </c>
      <c r="H2634" s="116"/>
      <c r="I2634" s="116"/>
      <c r="L2634" s="170">
        <v>45881</v>
      </c>
      <c r="M2634" s="116">
        <v>747.45</v>
      </c>
      <c r="N2634" s="116">
        <v>758.9</v>
      </c>
      <c r="O2634" s="116">
        <v>745.6</v>
      </c>
      <c r="P2634" s="116">
        <v>751</v>
      </c>
      <c r="Q2634" s="116">
        <v>747.45</v>
      </c>
      <c r="R2634">
        <v>1747197</v>
      </c>
    </row>
    <row r="2635" spans="1:18" x14ac:dyDescent="0.25">
      <c r="A2635" s="170">
        <v>45882</v>
      </c>
      <c r="B2635" s="116">
        <v>770.8</v>
      </c>
      <c r="C2635" s="116">
        <v>769.75</v>
      </c>
      <c r="D2635" s="116">
        <v>748.6</v>
      </c>
      <c r="E2635" s="116">
        <v>748.6</v>
      </c>
      <c r="F2635" s="116">
        <v>769.75</v>
      </c>
      <c r="G2635">
        <v>186347</v>
      </c>
      <c r="H2635" s="116"/>
      <c r="I2635" s="116"/>
      <c r="L2635" s="170">
        <v>45882</v>
      </c>
      <c r="M2635" s="116">
        <v>769.8</v>
      </c>
      <c r="N2635" s="116">
        <v>771.3</v>
      </c>
      <c r="O2635" s="116">
        <v>750</v>
      </c>
      <c r="P2635" s="116">
        <v>751.1</v>
      </c>
      <c r="Q2635" s="116">
        <v>769.8</v>
      </c>
      <c r="R2635">
        <v>2637612</v>
      </c>
    </row>
    <row r="2636" spans="1:18" x14ac:dyDescent="0.25">
      <c r="A2636" s="170">
        <v>45883</v>
      </c>
      <c r="B2636" s="116">
        <v>776.7</v>
      </c>
      <c r="C2636" s="116">
        <v>774.25</v>
      </c>
      <c r="D2636" s="116">
        <v>763.9</v>
      </c>
      <c r="E2636" s="116">
        <v>770.2</v>
      </c>
      <c r="F2636" s="116">
        <v>774.25</v>
      </c>
      <c r="G2636">
        <v>90967</v>
      </c>
      <c r="H2636" s="116"/>
      <c r="I2636" s="116"/>
      <c r="L2636" s="170">
        <v>45883</v>
      </c>
      <c r="M2636" s="116">
        <v>774.35</v>
      </c>
      <c r="N2636" s="116">
        <v>776.9</v>
      </c>
      <c r="O2636" s="116">
        <v>763.2</v>
      </c>
      <c r="P2636" s="116">
        <v>769</v>
      </c>
      <c r="Q2636" s="116">
        <v>774.35</v>
      </c>
      <c r="R2636">
        <v>2975752</v>
      </c>
    </row>
    <row r="2637" spans="1:18" x14ac:dyDescent="0.25">
      <c r="A2637" s="170">
        <v>45887</v>
      </c>
      <c r="B2637" s="116">
        <v>785</v>
      </c>
      <c r="C2637" s="116">
        <v>775.35</v>
      </c>
      <c r="D2637" s="116">
        <v>773.1</v>
      </c>
      <c r="E2637" s="116">
        <v>783.5</v>
      </c>
      <c r="F2637" s="116">
        <v>775.35</v>
      </c>
      <c r="G2637">
        <v>66243</v>
      </c>
      <c r="H2637" s="116"/>
      <c r="I2637" s="116"/>
      <c r="L2637" s="170">
        <v>45887</v>
      </c>
      <c r="M2637" s="116">
        <v>775.5</v>
      </c>
      <c r="N2637" s="116">
        <v>785.2</v>
      </c>
      <c r="O2637" s="116">
        <v>773.15</v>
      </c>
      <c r="P2637" s="116">
        <v>780</v>
      </c>
      <c r="Q2637" s="116">
        <v>775.5</v>
      </c>
      <c r="R2637">
        <v>2310844</v>
      </c>
    </row>
    <row r="2638" spans="1:18" x14ac:dyDescent="0.25">
      <c r="A2638" s="170">
        <v>45888</v>
      </c>
      <c r="B2638" s="116">
        <v>777.75</v>
      </c>
      <c r="C2638" s="116">
        <v>775</v>
      </c>
      <c r="D2638" s="116">
        <v>766</v>
      </c>
      <c r="E2638" s="116">
        <v>775.45</v>
      </c>
      <c r="F2638" s="116">
        <v>775</v>
      </c>
      <c r="G2638">
        <v>28362</v>
      </c>
      <c r="H2638" s="116"/>
      <c r="I2638" s="116"/>
      <c r="L2638" s="170">
        <v>45888</v>
      </c>
      <c r="M2638" s="116">
        <v>775.15</v>
      </c>
      <c r="N2638" s="116">
        <v>777.95</v>
      </c>
      <c r="O2638" s="116">
        <v>766.05</v>
      </c>
      <c r="P2638" s="116">
        <v>773.2</v>
      </c>
      <c r="Q2638" s="116">
        <v>775.15</v>
      </c>
      <c r="R2638">
        <v>2697307</v>
      </c>
    </row>
    <row r="2639" spans="1:18" x14ac:dyDescent="0.25">
      <c r="A2639" s="170">
        <v>45889</v>
      </c>
      <c r="B2639" s="116">
        <v>811.7</v>
      </c>
      <c r="C2639" s="116">
        <v>807.75</v>
      </c>
      <c r="D2639" s="116">
        <v>762.65</v>
      </c>
      <c r="E2639" s="116">
        <v>762.65</v>
      </c>
      <c r="F2639" s="116">
        <v>807.75</v>
      </c>
      <c r="G2639">
        <v>392879</v>
      </c>
      <c r="H2639" s="116"/>
      <c r="I2639" s="116"/>
      <c r="L2639" s="170">
        <v>45889</v>
      </c>
      <c r="M2639" s="116">
        <v>806.8</v>
      </c>
      <c r="N2639" s="116">
        <v>811.5</v>
      </c>
      <c r="O2639" s="116">
        <v>775.5</v>
      </c>
      <c r="P2639" s="116">
        <v>775.65</v>
      </c>
      <c r="Q2639" s="116">
        <v>806.8</v>
      </c>
      <c r="R2639">
        <v>9310646</v>
      </c>
    </row>
    <row r="2640" spans="1:18" x14ac:dyDescent="0.25">
      <c r="A2640" s="170">
        <v>45890</v>
      </c>
      <c r="B2640" s="116">
        <v>811.9</v>
      </c>
      <c r="C2640" s="116">
        <v>795.45</v>
      </c>
      <c r="D2640" s="116">
        <v>791.3</v>
      </c>
      <c r="E2640" s="116">
        <v>806.15</v>
      </c>
      <c r="F2640" s="116">
        <v>795.45</v>
      </c>
      <c r="G2640">
        <v>121060</v>
      </c>
      <c r="H2640" s="116"/>
      <c r="I2640" s="116"/>
      <c r="L2640" s="170">
        <v>45890</v>
      </c>
      <c r="M2640" s="116">
        <v>795.65</v>
      </c>
      <c r="N2640" s="116">
        <v>811.95</v>
      </c>
      <c r="O2640" s="116">
        <v>791.2</v>
      </c>
      <c r="P2640" s="116">
        <v>810</v>
      </c>
      <c r="Q2640" s="116">
        <v>795.65</v>
      </c>
      <c r="R2640">
        <v>3074385</v>
      </c>
    </row>
    <row r="2641" spans="1:18" x14ac:dyDescent="0.25">
      <c r="A2641" s="170">
        <v>45891</v>
      </c>
      <c r="B2641" s="116">
        <v>803</v>
      </c>
      <c r="C2641" s="116">
        <v>789.05</v>
      </c>
      <c r="D2641" s="116">
        <v>787.65</v>
      </c>
      <c r="E2641" s="116">
        <v>803</v>
      </c>
      <c r="F2641" s="116">
        <v>789.05</v>
      </c>
      <c r="G2641">
        <v>36824</v>
      </c>
      <c r="H2641" s="116"/>
      <c r="I2641" s="116"/>
      <c r="L2641" s="170">
        <v>45891</v>
      </c>
      <c r="M2641" s="116">
        <v>788.85</v>
      </c>
      <c r="N2641" s="116">
        <v>800.65</v>
      </c>
      <c r="O2641" s="116">
        <v>787.55</v>
      </c>
      <c r="P2641" s="116">
        <v>798.35</v>
      </c>
      <c r="Q2641" s="116">
        <v>788.85</v>
      </c>
      <c r="R2641">
        <v>1780524</v>
      </c>
    </row>
    <row r="2642" spans="1:18" x14ac:dyDescent="0.25">
      <c r="A2642" s="170">
        <v>45894</v>
      </c>
      <c r="B2642" s="116">
        <v>794.4</v>
      </c>
      <c r="C2642" s="116">
        <v>785.55</v>
      </c>
      <c r="D2642" s="116">
        <v>783.95</v>
      </c>
      <c r="E2642" s="116">
        <v>790.15</v>
      </c>
      <c r="F2642" s="116">
        <v>785.55</v>
      </c>
      <c r="G2642">
        <v>80092</v>
      </c>
      <c r="H2642" s="116"/>
      <c r="I2642" s="116"/>
      <c r="L2642" s="170">
        <v>45894</v>
      </c>
      <c r="M2642" s="116">
        <v>785.55</v>
      </c>
      <c r="N2642" s="116">
        <v>795.65</v>
      </c>
      <c r="O2642" s="116">
        <v>784.25</v>
      </c>
      <c r="P2642" s="116">
        <v>791</v>
      </c>
      <c r="Q2642" s="116">
        <v>785.55</v>
      </c>
      <c r="R2642">
        <v>1374337</v>
      </c>
    </row>
    <row r="2643" spans="1:18" x14ac:dyDescent="0.25">
      <c r="A2643" s="170">
        <v>45895</v>
      </c>
      <c r="B2643" s="116">
        <v>788</v>
      </c>
      <c r="C2643" s="116">
        <v>769.35</v>
      </c>
      <c r="D2643" s="116">
        <v>766</v>
      </c>
      <c r="E2643" s="116">
        <v>785.55</v>
      </c>
      <c r="F2643" s="116">
        <v>769.35</v>
      </c>
      <c r="G2643">
        <v>92424</v>
      </c>
      <c r="H2643" s="116"/>
      <c r="I2643" s="116"/>
      <c r="L2643" s="170">
        <v>45895</v>
      </c>
      <c r="M2643" s="116">
        <v>769.05</v>
      </c>
      <c r="N2643" s="116">
        <v>788.1</v>
      </c>
      <c r="O2643" s="116">
        <v>765.1</v>
      </c>
      <c r="P2643" s="116">
        <v>785</v>
      </c>
      <c r="Q2643" s="116">
        <v>769.05</v>
      </c>
      <c r="R2643">
        <v>2691124</v>
      </c>
    </row>
    <row r="2644" spans="1:18" x14ac:dyDescent="0.25">
      <c r="A2644" s="170">
        <v>45897</v>
      </c>
      <c r="B2644" s="116">
        <v>781.6</v>
      </c>
      <c r="C2644" s="116">
        <v>765.7</v>
      </c>
      <c r="D2644" s="116">
        <v>763.5</v>
      </c>
      <c r="E2644" s="116">
        <v>781.6</v>
      </c>
      <c r="F2644" s="116">
        <v>765.7</v>
      </c>
      <c r="G2644">
        <v>74260</v>
      </c>
      <c r="H2644" s="116"/>
      <c r="I2644" s="116"/>
      <c r="L2644" s="170">
        <v>45897</v>
      </c>
      <c r="M2644" s="116">
        <v>765.15</v>
      </c>
      <c r="N2644" s="116">
        <v>781.2</v>
      </c>
      <c r="O2644" s="116">
        <v>763.5</v>
      </c>
      <c r="P2644" s="116">
        <v>781.2</v>
      </c>
      <c r="Q2644" s="116">
        <v>765.15</v>
      </c>
      <c r="R2644">
        <v>1693942</v>
      </c>
    </row>
    <row r="2645" spans="1:18" x14ac:dyDescent="0.25">
      <c r="A2645" s="170">
        <v>45898</v>
      </c>
      <c r="B2645" s="116">
        <v>776.85</v>
      </c>
      <c r="C2645" s="116">
        <v>758.5</v>
      </c>
      <c r="D2645" s="116">
        <v>757.1</v>
      </c>
      <c r="E2645" s="116">
        <v>766.05</v>
      </c>
      <c r="F2645" s="116">
        <v>758.5</v>
      </c>
      <c r="G2645">
        <v>96415</v>
      </c>
      <c r="H2645" s="116"/>
      <c r="I2645" s="116"/>
      <c r="L2645" s="170">
        <v>45898</v>
      </c>
      <c r="M2645" s="116">
        <v>758.45</v>
      </c>
      <c r="N2645" s="116">
        <v>776.7</v>
      </c>
      <c r="O2645" s="116">
        <v>757</v>
      </c>
      <c r="P2645" s="116">
        <v>766.85</v>
      </c>
      <c r="Q2645" s="116">
        <v>758.45</v>
      </c>
      <c r="R2645">
        <v>3485485</v>
      </c>
    </row>
    <row r="2646" spans="1:18" x14ac:dyDescent="0.25">
      <c r="A2646" s="170">
        <v>45901</v>
      </c>
      <c r="B2646" s="116">
        <v>765.3</v>
      </c>
      <c r="C2646" s="116">
        <v>759.65</v>
      </c>
      <c r="D2646" s="116">
        <v>755.55</v>
      </c>
      <c r="E2646" s="116">
        <v>759.1</v>
      </c>
      <c r="F2646" s="116">
        <v>759.65</v>
      </c>
      <c r="G2646">
        <v>55332</v>
      </c>
      <c r="H2646" s="116"/>
      <c r="I2646" s="116"/>
      <c r="L2646" s="170">
        <v>45901</v>
      </c>
      <c r="M2646" s="116">
        <v>759.85</v>
      </c>
      <c r="N2646" s="116">
        <v>765.4</v>
      </c>
      <c r="O2646" s="116">
        <v>755.5</v>
      </c>
      <c r="P2646" s="116">
        <v>759</v>
      </c>
      <c r="Q2646" s="116">
        <v>759.85</v>
      </c>
      <c r="R2646">
        <v>1589703</v>
      </c>
    </row>
    <row r="2647" spans="1:18" x14ac:dyDescent="0.25">
      <c r="A2647" s="170">
        <v>45902</v>
      </c>
      <c r="B2647" s="116">
        <v>771.95</v>
      </c>
      <c r="C2647" s="116">
        <v>765.5</v>
      </c>
      <c r="D2647" s="116">
        <v>756.7</v>
      </c>
      <c r="E2647" s="116">
        <v>771.95</v>
      </c>
      <c r="F2647" s="116">
        <v>765.5</v>
      </c>
      <c r="G2647">
        <v>90212</v>
      </c>
      <c r="H2647" s="116"/>
      <c r="I2647" s="116"/>
      <c r="L2647" s="170">
        <v>45902</v>
      </c>
      <c r="M2647" s="116">
        <v>765.6</v>
      </c>
      <c r="N2647" s="116">
        <v>768.8</v>
      </c>
      <c r="O2647" s="116">
        <v>756</v>
      </c>
      <c r="P2647" s="116">
        <v>762.1</v>
      </c>
      <c r="Q2647" s="116">
        <v>765.6</v>
      </c>
      <c r="R2647">
        <v>1347348</v>
      </c>
    </row>
    <row r="2648" spans="1:18" x14ac:dyDescent="0.25">
      <c r="A2648" s="170">
        <v>45903</v>
      </c>
      <c r="B2648" s="116">
        <v>782.3</v>
      </c>
      <c r="C2648" s="116">
        <v>773.7</v>
      </c>
      <c r="D2648" s="116">
        <v>764.5</v>
      </c>
      <c r="E2648" s="116">
        <v>764.95</v>
      </c>
      <c r="F2648" s="116">
        <v>773.7</v>
      </c>
      <c r="G2648">
        <v>38061</v>
      </c>
      <c r="H2648" s="116"/>
      <c r="I2648" s="116"/>
      <c r="L2648" s="170">
        <v>45903</v>
      </c>
      <c r="M2648" s="116">
        <v>773.95</v>
      </c>
      <c r="N2648" s="116">
        <v>781.9</v>
      </c>
      <c r="O2648" s="116">
        <v>764.05</v>
      </c>
      <c r="P2648" s="116">
        <v>766</v>
      </c>
      <c r="Q2648" s="116">
        <v>773.95</v>
      </c>
      <c r="R2648">
        <v>2118837</v>
      </c>
    </row>
    <row r="2649" spans="1:18" x14ac:dyDescent="0.25">
      <c r="A2649" s="170">
        <v>45904</v>
      </c>
      <c r="B2649" s="116">
        <v>790</v>
      </c>
      <c r="C2649" s="116">
        <v>774.5</v>
      </c>
      <c r="D2649" s="116">
        <v>772.4</v>
      </c>
      <c r="E2649" s="116">
        <v>785.95</v>
      </c>
      <c r="F2649" s="116">
        <v>774.5</v>
      </c>
      <c r="G2649">
        <v>52822</v>
      </c>
      <c r="H2649" s="116"/>
      <c r="I2649" s="116"/>
      <c r="L2649" s="170">
        <v>45904</v>
      </c>
      <c r="M2649" s="116">
        <v>774.75</v>
      </c>
      <c r="N2649" s="116">
        <v>789.75</v>
      </c>
      <c r="O2649" s="116">
        <v>772.5</v>
      </c>
      <c r="P2649" s="116">
        <v>778</v>
      </c>
      <c r="Q2649" s="116">
        <v>774.75</v>
      </c>
      <c r="R2649">
        <v>1973939</v>
      </c>
    </row>
    <row r="2650" spans="1:18" x14ac:dyDescent="0.25">
      <c r="A2650" s="170">
        <v>45905</v>
      </c>
      <c r="B2650" s="116">
        <v>779.95</v>
      </c>
      <c r="C2650" s="116">
        <v>774.1</v>
      </c>
      <c r="D2650" s="116">
        <v>769.2</v>
      </c>
      <c r="E2650" s="116">
        <v>779.6</v>
      </c>
      <c r="F2650" s="116">
        <v>774.1</v>
      </c>
      <c r="G2650">
        <v>28657</v>
      </c>
      <c r="H2650" s="116"/>
      <c r="I2650" s="116"/>
      <c r="L2650" s="170">
        <v>45905</v>
      </c>
      <c r="M2650" s="116">
        <v>774.75</v>
      </c>
      <c r="N2650" s="116">
        <v>780</v>
      </c>
      <c r="O2650" s="116">
        <v>769.1</v>
      </c>
      <c r="P2650" s="116">
        <v>775.8</v>
      </c>
      <c r="Q2650" s="116">
        <v>774.75</v>
      </c>
      <c r="R2650">
        <v>1379717</v>
      </c>
    </row>
    <row r="2651" spans="1:18" x14ac:dyDescent="0.25">
      <c r="A2651" s="170">
        <v>45908</v>
      </c>
      <c r="B2651" s="116">
        <v>785.7</v>
      </c>
      <c r="C2651" s="116">
        <v>777.95</v>
      </c>
      <c r="D2651" s="116">
        <v>774</v>
      </c>
      <c r="E2651" s="116">
        <v>775.1</v>
      </c>
      <c r="F2651" s="116">
        <v>777.95</v>
      </c>
      <c r="G2651">
        <v>56297</v>
      </c>
      <c r="H2651" s="116"/>
      <c r="I2651" s="116"/>
      <c r="L2651" s="170">
        <v>45908</v>
      </c>
      <c r="M2651" s="116">
        <v>777.7</v>
      </c>
      <c r="N2651" s="116">
        <v>785.8</v>
      </c>
      <c r="O2651" s="116">
        <v>773.7</v>
      </c>
      <c r="P2651" s="116">
        <v>777</v>
      </c>
      <c r="Q2651" s="116">
        <v>777.7</v>
      </c>
      <c r="R2651">
        <v>1364801</v>
      </c>
    </row>
    <row r="2652" spans="1:18" x14ac:dyDescent="0.25">
      <c r="A2652" s="170">
        <v>45909</v>
      </c>
      <c r="B2652" s="116">
        <v>780.75</v>
      </c>
      <c r="C2652" s="116">
        <v>776.3</v>
      </c>
      <c r="D2652" s="116">
        <v>766.1</v>
      </c>
      <c r="E2652" s="116">
        <v>778.15</v>
      </c>
      <c r="F2652" s="116">
        <v>776.3</v>
      </c>
      <c r="G2652">
        <v>78704</v>
      </c>
      <c r="H2652" s="116"/>
      <c r="I2652" s="116"/>
      <c r="L2652" s="170">
        <v>45909</v>
      </c>
      <c r="M2652" s="116">
        <v>775.5</v>
      </c>
      <c r="N2652" s="116">
        <v>781</v>
      </c>
      <c r="O2652" s="116">
        <v>766.15</v>
      </c>
      <c r="P2652" s="116">
        <v>781</v>
      </c>
      <c r="Q2652" s="116">
        <v>775.5</v>
      </c>
      <c r="R2652">
        <v>1874136</v>
      </c>
    </row>
    <row r="2653" spans="1:18" x14ac:dyDescent="0.25">
      <c r="A2653" s="170">
        <v>45910</v>
      </c>
      <c r="B2653" s="116">
        <v>781.65</v>
      </c>
      <c r="C2653" s="116">
        <v>775.75</v>
      </c>
      <c r="D2653" s="116">
        <v>772.15</v>
      </c>
      <c r="E2653" s="116">
        <v>776</v>
      </c>
      <c r="F2653" s="116">
        <v>775.75</v>
      </c>
      <c r="G2653">
        <v>45489</v>
      </c>
      <c r="H2653" s="116"/>
      <c r="I2653" s="116"/>
      <c r="L2653" s="170">
        <v>45910</v>
      </c>
      <c r="M2653" s="116">
        <v>775.5</v>
      </c>
      <c r="N2653" s="116">
        <v>781.55</v>
      </c>
      <c r="O2653" s="116">
        <v>771.95</v>
      </c>
      <c r="P2653" s="116">
        <v>775.5</v>
      </c>
      <c r="Q2653" s="116">
        <v>775.5</v>
      </c>
      <c r="R2653">
        <v>1174805</v>
      </c>
    </row>
    <row r="2654" spans="1:18" x14ac:dyDescent="0.25">
      <c r="A2654" s="170">
        <v>45911</v>
      </c>
      <c r="B2654" s="116">
        <v>778.35</v>
      </c>
      <c r="C2654" s="116">
        <v>773.85</v>
      </c>
      <c r="D2654" s="116">
        <v>770.5</v>
      </c>
      <c r="E2654" s="116">
        <v>773.15</v>
      </c>
      <c r="F2654" s="116">
        <v>773.85</v>
      </c>
      <c r="G2654">
        <v>41207</v>
      </c>
      <c r="H2654" s="116"/>
      <c r="I2654" s="116"/>
      <c r="L2654" s="170">
        <v>45911</v>
      </c>
      <c r="M2654" s="116">
        <v>773.95</v>
      </c>
      <c r="N2654" s="116">
        <v>778.4</v>
      </c>
      <c r="O2654" s="116">
        <v>770.4</v>
      </c>
      <c r="P2654" s="116">
        <v>774</v>
      </c>
      <c r="Q2654" s="116">
        <v>773.95</v>
      </c>
      <c r="R2654">
        <v>1689123</v>
      </c>
    </row>
    <row r="2655" spans="1:18" x14ac:dyDescent="0.25">
      <c r="A2655" s="170">
        <v>45912</v>
      </c>
      <c r="B2655" s="116">
        <v>782.5</v>
      </c>
      <c r="C2655" s="116">
        <v>777.95</v>
      </c>
      <c r="D2655" s="116">
        <v>773.75</v>
      </c>
      <c r="E2655" s="116">
        <v>775</v>
      </c>
      <c r="F2655" s="116">
        <v>777.95</v>
      </c>
      <c r="G2655">
        <v>34506</v>
      </c>
      <c r="H2655" s="116"/>
      <c r="I2655" s="116"/>
      <c r="L2655" s="170">
        <v>45912</v>
      </c>
      <c r="M2655" s="116">
        <v>777.7</v>
      </c>
      <c r="N2655" s="116">
        <v>782.4</v>
      </c>
      <c r="O2655" s="116">
        <v>773.05</v>
      </c>
      <c r="P2655" s="116">
        <v>775</v>
      </c>
      <c r="Q2655" s="116">
        <v>777.7</v>
      </c>
      <c r="R2655">
        <v>1039360</v>
      </c>
    </row>
    <row r="2656" spans="1:18" x14ac:dyDescent="0.25">
      <c r="A2656" s="170">
        <v>45915</v>
      </c>
      <c r="B2656" s="116">
        <v>792.4</v>
      </c>
      <c r="C2656" s="116">
        <v>791.05</v>
      </c>
      <c r="D2656" s="116">
        <v>778.2</v>
      </c>
      <c r="E2656" s="116">
        <v>781.2</v>
      </c>
      <c r="F2656" s="116">
        <v>791.05</v>
      </c>
      <c r="G2656">
        <v>98409</v>
      </c>
      <c r="H2656" s="116"/>
      <c r="I2656" s="116"/>
      <c r="L2656" s="170">
        <v>45915</v>
      </c>
      <c r="M2656" s="116">
        <v>790.85</v>
      </c>
      <c r="N2656" s="116">
        <v>792.55</v>
      </c>
      <c r="O2656" s="116">
        <v>778.5</v>
      </c>
      <c r="P2656" s="116">
        <v>778.5</v>
      </c>
      <c r="Q2656" s="116">
        <v>790.85</v>
      </c>
      <c r="R2656">
        <v>2096095</v>
      </c>
    </row>
    <row r="2657" spans="1:18" x14ac:dyDescent="0.25">
      <c r="A2657" s="170">
        <v>45916</v>
      </c>
      <c r="B2657" s="116">
        <v>790.9</v>
      </c>
      <c r="C2657" s="116">
        <v>778.6</v>
      </c>
      <c r="D2657" s="116">
        <v>775</v>
      </c>
      <c r="E2657" s="116">
        <v>790.9</v>
      </c>
      <c r="F2657" s="116">
        <v>778.6</v>
      </c>
      <c r="G2657">
        <v>97585</v>
      </c>
      <c r="H2657" s="116"/>
      <c r="I2657" s="116"/>
      <c r="L2657" s="170">
        <v>45916</v>
      </c>
      <c r="M2657" s="116">
        <v>778.65</v>
      </c>
      <c r="N2657" s="116">
        <v>790.1</v>
      </c>
      <c r="O2657" s="116">
        <v>775</v>
      </c>
      <c r="P2657" s="116">
        <v>788</v>
      </c>
      <c r="Q2657" s="116">
        <v>778.65</v>
      </c>
      <c r="R2657">
        <v>2182787</v>
      </c>
    </row>
    <row r="2658" spans="1:18" x14ac:dyDescent="0.25">
      <c r="A2658" s="170">
        <v>45917</v>
      </c>
      <c r="B2658" s="116">
        <v>787.85</v>
      </c>
      <c r="C2658" s="116">
        <v>780.25</v>
      </c>
      <c r="D2658" s="116">
        <v>778.5</v>
      </c>
      <c r="E2658" s="116">
        <v>786.1</v>
      </c>
      <c r="F2658" s="116">
        <v>780.25</v>
      </c>
      <c r="G2658">
        <v>25951</v>
      </c>
      <c r="H2658" s="116"/>
      <c r="I2658" s="116"/>
      <c r="L2658" s="170">
        <v>45917</v>
      </c>
      <c r="M2658" s="116">
        <v>780.25</v>
      </c>
      <c r="N2658" s="116">
        <v>787.9</v>
      </c>
      <c r="O2658" s="116">
        <v>778</v>
      </c>
      <c r="P2658" s="116">
        <v>782.9</v>
      </c>
      <c r="Q2658" s="116">
        <v>780.25</v>
      </c>
      <c r="R2658">
        <v>1788721</v>
      </c>
    </row>
    <row r="2659" spans="1:18" x14ac:dyDescent="0.25">
      <c r="A2659" s="170">
        <v>45918</v>
      </c>
      <c r="B2659" s="116">
        <v>791.5</v>
      </c>
      <c r="C2659" s="116">
        <v>781.65</v>
      </c>
      <c r="D2659" s="116">
        <v>772.2</v>
      </c>
      <c r="E2659" s="116">
        <v>783.95</v>
      </c>
      <c r="F2659" s="116">
        <v>781.65</v>
      </c>
      <c r="G2659">
        <v>136456</v>
      </c>
      <c r="H2659" s="116"/>
      <c r="I2659" s="116"/>
      <c r="L2659" s="170">
        <v>45918</v>
      </c>
      <c r="M2659" s="116">
        <v>782.05</v>
      </c>
      <c r="N2659" s="116">
        <v>791.45</v>
      </c>
      <c r="O2659" s="116">
        <v>772.2</v>
      </c>
      <c r="P2659" s="116">
        <v>782</v>
      </c>
      <c r="Q2659" s="116">
        <v>782.05</v>
      </c>
      <c r="R2659">
        <v>4723510</v>
      </c>
    </row>
    <row r="2660" spans="1:18" x14ac:dyDescent="0.25">
      <c r="A2660" s="170">
        <v>45919</v>
      </c>
      <c r="B2660" s="116">
        <v>781</v>
      </c>
      <c r="C2660" s="116">
        <v>774.95</v>
      </c>
      <c r="D2660" s="116">
        <v>764.1</v>
      </c>
      <c r="E2660" s="116">
        <v>774.95</v>
      </c>
      <c r="F2660" s="116">
        <v>774.95</v>
      </c>
      <c r="G2660">
        <v>82221</v>
      </c>
      <c r="H2660" s="116"/>
      <c r="I2660" s="116"/>
      <c r="L2660" s="170">
        <v>45919</v>
      </c>
      <c r="M2660" s="116">
        <v>775.55</v>
      </c>
      <c r="N2660" s="116">
        <v>781.1</v>
      </c>
      <c r="O2660" s="116">
        <v>764</v>
      </c>
      <c r="P2660" s="116">
        <v>774.2</v>
      </c>
      <c r="Q2660" s="116">
        <v>775.55</v>
      </c>
      <c r="R2660">
        <v>5541735</v>
      </c>
    </row>
    <row r="2661" spans="1:18" x14ac:dyDescent="0.25">
      <c r="A2661" s="170">
        <v>45922</v>
      </c>
      <c r="B2661" s="116">
        <v>776.5</v>
      </c>
      <c r="C2661" s="116">
        <v>769.55</v>
      </c>
      <c r="D2661" s="116">
        <v>768.25</v>
      </c>
      <c r="E2661" s="116">
        <v>774.65</v>
      </c>
      <c r="F2661" s="116">
        <v>769.55</v>
      </c>
      <c r="G2661">
        <v>20151</v>
      </c>
      <c r="H2661" s="116"/>
      <c r="I2661" s="116"/>
      <c r="L2661" s="170">
        <v>45922</v>
      </c>
      <c r="M2661" s="116">
        <v>769.4</v>
      </c>
      <c r="N2661" s="116">
        <v>776.95</v>
      </c>
      <c r="O2661" s="116">
        <v>768.3</v>
      </c>
      <c r="P2661" s="116">
        <v>775.55</v>
      </c>
      <c r="Q2661" s="116">
        <v>769.4</v>
      </c>
      <c r="R2661">
        <v>1576519</v>
      </c>
    </row>
    <row r="2662" spans="1:18" x14ac:dyDescent="0.25">
      <c r="A2662" s="170">
        <v>45923</v>
      </c>
      <c r="B2662" s="116">
        <v>773.95</v>
      </c>
      <c r="C2662" s="116">
        <v>752.05</v>
      </c>
      <c r="D2662" s="116">
        <v>746</v>
      </c>
      <c r="E2662" s="116">
        <v>769.5</v>
      </c>
      <c r="F2662" s="116">
        <v>752.05</v>
      </c>
      <c r="G2662">
        <v>128772</v>
      </c>
      <c r="H2662" s="116"/>
      <c r="I2662" s="116"/>
      <c r="L2662" s="170">
        <v>45923</v>
      </c>
      <c r="M2662" s="116">
        <v>752</v>
      </c>
      <c r="N2662" s="116">
        <v>772.35</v>
      </c>
      <c r="O2662" s="116">
        <v>746.05</v>
      </c>
      <c r="P2662" s="116">
        <v>772.35</v>
      </c>
      <c r="Q2662" s="116">
        <v>752</v>
      </c>
      <c r="R2662">
        <v>4312730</v>
      </c>
    </row>
    <row r="2663" spans="1:18" x14ac:dyDescent="0.25">
      <c r="A2663" s="170">
        <v>45924</v>
      </c>
      <c r="B2663" s="116">
        <v>756.7</v>
      </c>
      <c r="C2663" s="116">
        <v>746.2</v>
      </c>
      <c r="D2663" s="116">
        <v>744.7</v>
      </c>
      <c r="E2663" s="116">
        <v>752</v>
      </c>
      <c r="F2663" s="116">
        <v>746.2</v>
      </c>
      <c r="G2663">
        <v>74027</v>
      </c>
      <c r="H2663" s="116"/>
      <c r="I2663" s="116"/>
      <c r="L2663" s="170">
        <v>45924</v>
      </c>
      <c r="M2663" s="116">
        <v>746</v>
      </c>
      <c r="N2663" s="116">
        <v>756.7</v>
      </c>
      <c r="O2663" s="116">
        <v>744.5</v>
      </c>
      <c r="P2663" s="116">
        <v>752</v>
      </c>
      <c r="Q2663" s="116">
        <v>746</v>
      </c>
      <c r="R2663">
        <v>2452434</v>
      </c>
    </row>
    <row r="2664" spans="1:18" x14ac:dyDescent="0.25">
      <c r="A2664" s="170">
        <v>45925</v>
      </c>
      <c r="B2664" s="116">
        <v>749.95</v>
      </c>
      <c r="C2664" s="116">
        <v>732.25</v>
      </c>
      <c r="D2664" s="116">
        <v>730.5</v>
      </c>
      <c r="E2664" s="116">
        <v>745.55</v>
      </c>
      <c r="F2664" s="116">
        <v>732.25</v>
      </c>
      <c r="G2664">
        <v>91087</v>
      </c>
      <c r="H2664" s="116"/>
      <c r="I2664" s="116"/>
      <c r="L2664" s="170">
        <v>45925</v>
      </c>
      <c r="M2664" s="116">
        <v>732.15</v>
      </c>
      <c r="N2664" s="116">
        <v>749.7</v>
      </c>
      <c r="O2664" s="116">
        <v>730.1</v>
      </c>
      <c r="P2664" s="116">
        <v>746.85</v>
      </c>
      <c r="Q2664" s="116">
        <v>732.15</v>
      </c>
      <c r="R2664">
        <v>3330705</v>
      </c>
    </row>
    <row r="2665" spans="1:18" x14ac:dyDescent="0.25">
      <c r="A2665" s="170">
        <v>45926</v>
      </c>
      <c r="B2665" s="116">
        <v>734.95</v>
      </c>
      <c r="C2665" s="116">
        <v>709.95</v>
      </c>
      <c r="D2665" s="116">
        <v>708.7</v>
      </c>
      <c r="E2665" s="116">
        <v>733.8</v>
      </c>
      <c r="F2665" s="116">
        <v>709.95</v>
      </c>
      <c r="G2665">
        <v>117085</v>
      </c>
      <c r="H2665" s="116"/>
      <c r="I2665" s="116"/>
      <c r="L2665" s="170">
        <v>45926</v>
      </c>
      <c r="M2665" s="116">
        <v>709.8</v>
      </c>
      <c r="N2665" s="116">
        <v>734.95</v>
      </c>
      <c r="O2665" s="116">
        <v>708.1</v>
      </c>
      <c r="P2665" s="116">
        <v>733</v>
      </c>
      <c r="Q2665" s="116">
        <v>709.8</v>
      </c>
      <c r="R2665">
        <v>4121924</v>
      </c>
    </row>
    <row r="2666" spans="1:18" x14ac:dyDescent="0.25">
      <c r="A2666" s="170">
        <v>45929</v>
      </c>
      <c r="B2666" s="116">
        <v>725.75</v>
      </c>
      <c r="C2666" s="116">
        <v>724.35</v>
      </c>
      <c r="D2666" s="116">
        <v>710.2</v>
      </c>
      <c r="E2666" s="116">
        <v>710.2</v>
      </c>
      <c r="F2666" s="116">
        <v>724.35</v>
      </c>
      <c r="G2666">
        <v>79742</v>
      </c>
      <c r="H2666" s="116"/>
      <c r="I2666" s="116"/>
      <c r="L2666" s="170">
        <v>45929</v>
      </c>
      <c r="M2666" s="116">
        <v>724.3</v>
      </c>
      <c r="N2666" s="116">
        <v>727</v>
      </c>
      <c r="O2666" s="116">
        <v>710.55</v>
      </c>
      <c r="P2666" s="116">
        <v>711.1</v>
      </c>
      <c r="Q2666" s="116">
        <v>724.3</v>
      </c>
      <c r="R2666">
        <v>4836722</v>
      </c>
    </row>
    <row r="2667" spans="1:18" x14ac:dyDescent="0.25">
      <c r="A2667" s="170">
        <v>45930</v>
      </c>
      <c r="B2667" s="116">
        <v>727.1</v>
      </c>
      <c r="C2667" s="116">
        <v>720.4</v>
      </c>
      <c r="D2667" s="116">
        <v>719.15</v>
      </c>
      <c r="E2667" s="116">
        <v>724.3</v>
      </c>
      <c r="F2667" s="116">
        <v>720.4</v>
      </c>
      <c r="G2667">
        <v>52598</v>
      </c>
      <c r="H2667" s="116"/>
      <c r="I2667" s="116"/>
      <c r="L2667" s="170">
        <v>45930</v>
      </c>
      <c r="M2667" s="116">
        <v>720.3</v>
      </c>
      <c r="N2667" s="116">
        <v>727.45</v>
      </c>
      <c r="O2667" s="116">
        <v>718.9</v>
      </c>
      <c r="P2667" s="116">
        <v>725</v>
      </c>
      <c r="Q2667" s="116">
        <v>720.3</v>
      </c>
      <c r="R2667">
        <v>3742770</v>
      </c>
    </row>
    <row r="2668" spans="1:18" x14ac:dyDescent="0.25">
      <c r="A2668" s="170">
        <v>45931</v>
      </c>
      <c r="B2668" s="116">
        <v>724.8</v>
      </c>
      <c r="C2668" s="116">
        <v>723.2</v>
      </c>
      <c r="D2668" s="116">
        <v>711.25</v>
      </c>
      <c r="E2668" s="116">
        <v>720.25</v>
      </c>
      <c r="F2668" s="116">
        <v>723.2</v>
      </c>
      <c r="G2668">
        <v>66201</v>
      </c>
      <c r="H2668" s="116"/>
      <c r="I2668" s="116"/>
      <c r="L2668" s="170">
        <v>45931</v>
      </c>
      <c r="M2668" s="116">
        <v>723.25</v>
      </c>
      <c r="N2668" s="116">
        <v>724.5</v>
      </c>
      <c r="O2668" s="116">
        <v>711</v>
      </c>
      <c r="P2668" s="116">
        <v>718.65</v>
      </c>
      <c r="Q2668" s="116">
        <v>723.25</v>
      </c>
      <c r="R2668">
        <v>1845296</v>
      </c>
    </row>
    <row r="2669" spans="1:18" x14ac:dyDescent="0.25">
      <c r="A2669" s="170">
        <v>45933</v>
      </c>
      <c r="B2669" s="116">
        <v>727.25</v>
      </c>
      <c r="C2669" s="116">
        <v>724.7</v>
      </c>
      <c r="D2669" s="116">
        <v>720.65</v>
      </c>
      <c r="E2669" s="116">
        <v>723.6</v>
      </c>
      <c r="F2669" s="116">
        <v>724.7</v>
      </c>
      <c r="G2669">
        <v>33654</v>
      </c>
      <c r="H2669" s="116"/>
      <c r="I2669" s="116"/>
      <c r="L2669" s="170">
        <v>45933</v>
      </c>
      <c r="M2669" s="116">
        <v>724.45</v>
      </c>
      <c r="N2669" s="116">
        <v>727.3</v>
      </c>
      <c r="O2669" s="116">
        <v>720.2</v>
      </c>
      <c r="P2669" s="116">
        <v>725.05</v>
      </c>
      <c r="Q2669" s="116">
        <v>724.45</v>
      </c>
      <c r="R2669">
        <v>1911564</v>
      </c>
    </row>
    <row r="2670" spans="1:18" x14ac:dyDescent="0.25">
      <c r="A2670" s="170">
        <v>45936</v>
      </c>
      <c r="B2670" s="116">
        <v>726.75</v>
      </c>
      <c r="C2670" s="116">
        <v>723.4</v>
      </c>
      <c r="D2670" s="116">
        <v>718.35</v>
      </c>
      <c r="E2670" s="116">
        <v>726.3</v>
      </c>
      <c r="F2670" s="116">
        <v>723.4</v>
      </c>
      <c r="G2670">
        <v>72462</v>
      </c>
      <c r="H2670" s="116"/>
      <c r="I2670" s="116"/>
      <c r="L2670" s="170">
        <v>45936</v>
      </c>
      <c r="M2670" s="116">
        <v>723.55</v>
      </c>
      <c r="N2670" s="116">
        <v>728.35</v>
      </c>
      <c r="O2670" s="116">
        <v>718.5</v>
      </c>
      <c r="P2670" s="116">
        <v>728.05</v>
      </c>
      <c r="Q2670" s="116">
        <v>723.55</v>
      </c>
      <c r="R2670">
        <v>2782042</v>
      </c>
    </row>
    <row r="2671" spans="1:18" x14ac:dyDescent="0.25">
      <c r="A2671" s="170">
        <v>45937</v>
      </c>
      <c r="B2671" s="116">
        <v>735</v>
      </c>
      <c r="C2671" s="116">
        <v>733.9</v>
      </c>
      <c r="D2671" s="116">
        <v>721</v>
      </c>
      <c r="E2671" s="116">
        <v>723.85</v>
      </c>
      <c r="F2671" s="116">
        <v>733.9</v>
      </c>
      <c r="G2671">
        <v>62393</v>
      </c>
      <c r="H2671" s="116"/>
      <c r="I2671" s="116"/>
      <c r="L2671" s="170">
        <v>45937</v>
      </c>
      <c r="M2671" s="116">
        <v>733.25</v>
      </c>
      <c r="N2671" s="116">
        <v>735.25</v>
      </c>
      <c r="O2671" s="116">
        <v>721</v>
      </c>
      <c r="P2671" s="116">
        <v>725</v>
      </c>
      <c r="Q2671" s="116">
        <v>733.25</v>
      </c>
      <c r="R2671">
        <v>3016892</v>
      </c>
    </row>
    <row r="2672" spans="1:18" x14ac:dyDescent="0.25">
      <c r="A2672" s="170">
        <v>45938</v>
      </c>
      <c r="B2672" s="116">
        <v>735</v>
      </c>
      <c r="C2672" s="116">
        <v>729.8</v>
      </c>
      <c r="D2672" s="116">
        <v>728.5</v>
      </c>
      <c r="E2672" s="116">
        <v>730</v>
      </c>
      <c r="F2672" s="116">
        <v>729.8</v>
      </c>
      <c r="G2672">
        <v>36335</v>
      </c>
      <c r="H2672" s="116"/>
      <c r="I2672" s="116"/>
      <c r="L2672" s="170">
        <v>45938</v>
      </c>
      <c r="M2672" s="116">
        <v>730</v>
      </c>
      <c r="N2672" s="116">
        <v>735.8</v>
      </c>
      <c r="O2672" s="116">
        <v>728.05</v>
      </c>
      <c r="P2672" s="116">
        <v>730.1</v>
      </c>
      <c r="Q2672" s="116">
        <v>730</v>
      </c>
      <c r="R2672">
        <v>2734309</v>
      </c>
    </row>
    <row r="2673" spans="1:18" x14ac:dyDescent="0.25">
      <c r="A2673" s="170">
        <v>45939</v>
      </c>
      <c r="B2673" s="116">
        <v>734.9</v>
      </c>
      <c r="C2673" s="116">
        <v>732.1</v>
      </c>
      <c r="D2673" s="116">
        <v>728</v>
      </c>
      <c r="E2673" s="116">
        <v>731.15</v>
      </c>
      <c r="F2673" s="116">
        <v>732.1</v>
      </c>
      <c r="G2673">
        <v>24488</v>
      </c>
      <c r="H2673" s="116"/>
      <c r="I2673" s="116"/>
      <c r="L2673" s="170">
        <v>45939</v>
      </c>
      <c r="M2673" s="116">
        <v>732.15</v>
      </c>
      <c r="N2673" s="116">
        <v>735</v>
      </c>
      <c r="O2673" s="116">
        <v>728</v>
      </c>
      <c r="P2673" s="116">
        <v>733</v>
      </c>
      <c r="Q2673" s="116">
        <v>732.15</v>
      </c>
      <c r="R2673">
        <v>1123403</v>
      </c>
    </row>
    <row r="2674" spans="1:18" x14ac:dyDescent="0.25">
      <c r="A2674" s="170">
        <v>45940</v>
      </c>
      <c r="B2674" s="116">
        <v>740.1</v>
      </c>
      <c r="C2674" s="116">
        <v>735.3</v>
      </c>
      <c r="D2674" s="116">
        <v>731.85</v>
      </c>
      <c r="E2674" s="116">
        <v>732.9</v>
      </c>
      <c r="F2674" s="116">
        <v>735.3</v>
      </c>
      <c r="G2674">
        <v>129961</v>
      </c>
      <c r="H2674" s="116"/>
      <c r="I2674" s="116"/>
      <c r="L2674" s="170">
        <v>45940</v>
      </c>
      <c r="M2674" s="116">
        <v>735.55</v>
      </c>
      <c r="N2674" s="116">
        <v>739.8</v>
      </c>
      <c r="O2674" s="116">
        <v>731.05</v>
      </c>
      <c r="P2674" s="116">
        <v>732.05</v>
      </c>
      <c r="Q2674" s="116">
        <v>735.55</v>
      </c>
      <c r="R2674">
        <v>1505485</v>
      </c>
    </row>
    <row r="2675" spans="1:18" x14ac:dyDescent="0.25">
      <c r="A2675" s="170">
        <v>45943</v>
      </c>
      <c r="B2675" s="116">
        <v>736.4</v>
      </c>
      <c r="C2675" s="116">
        <v>727.05</v>
      </c>
      <c r="D2675" s="116">
        <v>722.4</v>
      </c>
      <c r="E2675" s="116">
        <v>733.9</v>
      </c>
      <c r="F2675" s="116">
        <v>727.05</v>
      </c>
      <c r="G2675">
        <v>133230</v>
      </c>
      <c r="H2675" s="116"/>
      <c r="I2675" s="116"/>
      <c r="L2675" s="170">
        <v>45943</v>
      </c>
      <c r="M2675" s="116">
        <v>726.05</v>
      </c>
      <c r="N2675" s="116">
        <v>736.35</v>
      </c>
      <c r="O2675" s="116">
        <v>722</v>
      </c>
      <c r="P2675" s="116">
        <v>733</v>
      </c>
      <c r="Q2675" s="116">
        <v>726.05</v>
      </c>
      <c r="R2675">
        <v>1692185</v>
      </c>
    </row>
    <row r="2676" spans="1:18" x14ac:dyDescent="0.25">
      <c r="A2676" s="170">
        <v>45944</v>
      </c>
      <c r="B2676" s="116">
        <v>736.15</v>
      </c>
      <c r="C2676" s="116">
        <v>720.8</v>
      </c>
      <c r="D2676" s="116">
        <v>719</v>
      </c>
      <c r="E2676" s="116">
        <v>731.65</v>
      </c>
      <c r="F2676" s="116">
        <v>720.8</v>
      </c>
      <c r="G2676">
        <v>71710</v>
      </c>
      <c r="H2676" s="116"/>
      <c r="I2676" s="116"/>
      <c r="L2676" s="170">
        <v>45944</v>
      </c>
      <c r="M2676" s="116">
        <v>721.15</v>
      </c>
      <c r="N2676" s="116">
        <v>736.65</v>
      </c>
      <c r="O2676" s="116">
        <v>719.15</v>
      </c>
      <c r="P2676" s="116">
        <v>729</v>
      </c>
      <c r="Q2676" s="116">
        <v>721.15</v>
      </c>
      <c r="R2676">
        <v>2288523</v>
      </c>
    </row>
    <row r="2677" spans="1:18" x14ac:dyDescent="0.25">
      <c r="A2677" s="170">
        <v>45945</v>
      </c>
      <c r="B2677" s="116">
        <v>730.3</v>
      </c>
      <c r="C2677" s="116">
        <v>728.1</v>
      </c>
      <c r="D2677" s="116">
        <v>719.7</v>
      </c>
      <c r="E2677" s="116">
        <v>721.25</v>
      </c>
      <c r="F2677" s="116">
        <v>728.1</v>
      </c>
      <c r="G2677">
        <v>63550</v>
      </c>
      <c r="H2677" s="116"/>
      <c r="I2677" s="116"/>
      <c r="L2677" s="170">
        <v>45945</v>
      </c>
      <c r="M2677" s="116">
        <v>727.75</v>
      </c>
      <c r="N2677" s="116">
        <v>730.75</v>
      </c>
      <c r="O2677" s="116">
        <v>719.65</v>
      </c>
      <c r="P2677" s="116">
        <v>721.75</v>
      </c>
      <c r="Q2677" s="116">
        <v>727.75</v>
      </c>
      <c r="R2677">
        <v>2906645</v>
      </c>
    </row>
    <row r="2678" spans="1:18" x14ac:dyDescent="0.25">
      <c r="A2678" s="170">
        <v>45946</v>
      </c>
      <c r="B2678" s="116">
        <v>739.9</v>
      </c>
      <c r="C2678" s="116">
        <v>737.85</v>
      </c>
      <c r="D2678" s="116">
        <v>729.15</v>
      </c>
      <c r="E2678" s="116">
        <v>729.15</v>
      </c>
      <c r="F2678" s="116">
        <v>737.85</v>
      </c>
      <c r="G2678">
        <v>81495</v>
      </c>
      <c r="H2678" s="116"/>
      <c r="I2678" s="116"/>
      <c r="L2678" s="170">
        <v>45946</v>
      </c>
      <c r="M2678" s="116">
        <v>738.05</v>
      </c>
      <c r="N2678" s="116">
        <v>740.95</v>
      </c>
      <c r="O2678" s="116">
        <v>729</v>
      </c>
      <c r="P2678" s="116">
        <v>730</v>
      </c>
      <c r="Q2678" s="116">
        <v>738.05</v>
      </c>
      <c r="R2678">
        <v>2887514</v>
      </c>
    </row>
    <row r="2679" spans="1:18" x14ac:dyDescent="0.25">
      <c r="A2679" s="170">
        <v>45947</v>
      </c>
      <c r="B2679" s="116">
        <v>743.25</v>
      </c>
      <c r="C2679" s="116">
        <v>735.5</v>
      </c>
      <c r="D2679" s="116">
        <v>734.3</v>
      </c>
      <c r="E2679" s="116">
        <v>738.25</v>
      </c>
      <c r="F2679" s="116">
        <v>735.5</v>
      </c>
      <c r="G2679">
        <v>33529</v>
      </c>
      <c r="H2679" s="116"/>
      <c r="I2679" s="116"/>
      <c r="L2679" s="170">
        <v>45947</v>
      </c>
      <c r="M2679" s="116">
        <v>735.4</v>
      </c>
      <c r="N2679" s="116">
        <v>743.3</v>
      </c>
      <c r="O2679" s="116">
        <v>734.3</v>
      </c>
      <c r="P2679" s="116">
        <v>739.05</v>
      </c>
      <c r="Q2679" s="116">
        <v>735.4</v>
      </c>
      <c r="R2679">
        <v>1915423</v>
      </c>
    </row>
    <row r="2680" spans="1:18" x14ac:dyDescent="0.25">
      <c r="A2680" s="170">
        <v>45950</v>
      </c>
      <c r="B2680" s="116">
        <v>744.5</v>
      </c>
      <c r="C2680" s="116">
        <v>743.3</v>
      </c>
      <c r="D2680" s="116">
        <v>736.9</v>
      </c>
      <c r="E2680" s="116">
        <v>738.95</v>
      </c>
      <c r="F2680" s="116">
        <v>743.3</v>
      </c>
      <c r="G2680">
        <v>66141</v>
      </c>
      <c r="H2680" s="116"/>
      <c r="I2680" s="116"/>
      <c r="L2680" s="170">
        <v>45950</v>
      </c>
      <c r="M2680" s="116">
        <v>743</v>
      </c>
      <c r="N2680" s="116">
        <v>744.5</v>
      </c>
      <c r="O2680" s="116">
        <v>736.2</v>
      </c>
      <c r="P2680" s="116">
        <v>736.2</v>
      </c>
      <c r="Q2680" s="116">
        <v>743</v>
      </c>
      <c r="R2680">
        <v>1820844</v>
      </c>
    </row>
    <row r="2681" spans="1:18" x14ac:dyDescent="0.25">
      <c r="A2681" s="170">
        <v>45951</v>
      </c>
      <c r="B2681" s="116">
        <v>748.6</v>
      </c>
      <c r="C2681" s="116">
        <v>744.2</v>
      </c>
      <c r="D2681" s="116">
        <v>741</v>
      </c>
      <c r="E2681" s="116">
        <v>744.3</v>
      </c>
      <c r="F2681" s="116">
        <v>744.2</v>
      </c>
      <c r="G2681">
        <v>44021</v>
      </c>
      <c r="H2681" s="116"/>
      <c r="I2681" s="116"/>
      <c r="L2681" s="170">
        <v>45951</v>
      </c>
      <c r="M2681" s="116">
        <v>744.25</v>
      </c>
      <c r="N2681" s="116">
        <v>748</v>
      </c>
      <c r="O2681" s="116">
        <v>741</v>
      </c>
      <c r="P2681" s="116">
        <v>746.05</v>
      </c>
      <c r="Q2681" s="116">
        <v>744.25</v>
      </c>
      <c r="R2681">
        <v>249034</v>
      </c>
    </row>
    <row r="2682" spans="1:18" x14ac:dyDescent="0.25">
      <c r="A2682" s="170">
        <v>45953</v>
      </c>
      <c r="B2682" s="116">
        <v>748.9</v>
      </c>
      <c r="C2682" s="116">
        <v>737.35</v>
      </c>
      <c r="D2682" s="116">
        <v>736.05</v>
      </c>
      <c r="E2682" s="116">
        <v>747.75</v>
      </c>
      <c r="F2682" s="116">
        <v>737.35</v>
      </c>
      <c r="G2682">
        <v>24968</v>
      </c>
      <c r="H2682" s="116"/>
      <c r="I2682" s="116"/>
      <c r="L2682" s="170">
        <v>45953</v>
      </c>
      <c r="M2682" s="116">
        <v>737.55</v>
      </c>
      <c r="N2682" s="116">
        <v>748.9</v>
      </c>
      <c r="O2682" s="116">
        <v>736.2</v>
      </c>
      <c r="P2682" s="116">
        <v>747.5</v>
      </c>
      <c r="Q2682" s="116">
        <v>737.55</v>
      </c>
      <c r="R2682">
        <v>2623071</v>
      </c>
    </row>
    <row r="2683" spans="1:18" x14ac:dyDescent="0.25">
      <c r="A2683" s="170">
        <v>45954</v>
      </c>
      <c r="B2683" s="116">
        <v>741.3</v>
      </c>
      <c r="C2683" s="116">
        <v>736.2</v>
      </c>
      <c r="D2683" s="116">
        <v>731.7</v>
      </c>
      <c r="E2683" s="116">
        <v>736.5</v>
      </c>
      <c r="F2683" s="116">
        <v>736.2</v>
      </c>
      <c r="G2683">
        <v>21678</v>
      </c>
      <c r="H2683" s="116"/>
      <c r="I2683" s="116"/>
      <c r="L2683" s="170">
        <v>45954</v>
      </c>
      <c r="M2683" s="116">
        <v>735.9</v>
      </c>
      <c r="N2683" s="116">
        <v>741.5</v>
      </c>
      <c r="O2683" s="116">
        <v>731.35</v>
      </c>
      <c r="P2683" s="116">
        <v>734.7</v>
      </c>
      <c r="Q2683" s="116">
        <v>735.9</v>
      </c>
      <c r="R2683">
        <v>1708596</v>
      </c>
    </row>
    <row r="2684" spans="1:18" x14ac:dyDescent="0.25">
      <c r="A2684" s="170">
        <v>45957</v>
      </c>
      <c r="B2684" s="116">
        <v>747.85</v>
      </c>
      <c r="C2684" s="116">
        <v>746.5</v>
      </c>
      <c r="D2684" s="116">
        <v>734.85</v>
      </c>
      <c r="E2684" s="116">
        <v>737</v>
      </c>
      <c r="F2684" s="116">
        <v>746.5</v>
      </c>
      <c r="G2684">
        <v>68651</v>
      </c>
      <c r="H2684" s="116"/>
      <c r="I2684" s="116"/>
      <c r="L2684" s="170">
        <v>45957</v>
      </c>
      <c r="M2684" s="116">
        <v>746.55</v>
      </c>
      <c r="N2684" s="116">
        <v>748</v>
      </c>
      <c r="O2684" s="116">
        <v>734.85</v>
      </c>
      <c r="P2684" s="116">
        <v>736.25</v>
      </c>
      <c r="Q2684" s="116">
        <v>746.55</v>
      </c>
      <c r="R2684">
        <v>1602382</v>
      </c>
    </row>
    <row r="2685" spans="1:18" x14ac:dyDescent="0.25">
      <c r="A2685" s="170">
        <v>45958</v>
      </c>
      <c r="B2685" s="116">
        <v>747.55</v>
      </c>
      <c r="C2685" s="116">
        <v>741.55</v>
      </c>
      <c r="D2685" s="116">
        <v>739.15</v>
      </c>
      <c r="E2685" s="116">
        <v>745.75</v>
      </c>
      <c r="F2685" s="116">
        <v>741.55</v>
      </c>
      <c r="G2685">
        <v>23678</v>
      </c>
      <c r="H2685" s="116"/>
      <c r="I2685" s="116"/>
      <c r="L2685" s="170">
        <v>45958</v>
      </c>
      <c r="M2685" s="116">
        <v>741.75</v>
      </c>
      <c r="N2685" s="116">
        <v>747.75</v>
      </c>
      <c r="O2685" s="116">
        <v>739.2</v>
      </c>
      <c r="P2685" s="116">
        <v>746.55</v>
      </c>
      <c r="Q2685" s="116">
        <v>741.75</v>
      </c>
      <c r="R2685">
        <v>1569323</v>
      </c>
    </row>
    <row r="2686" spans="1:18" x14ac:dyDescent="0.25">
      <c r="A2686" s="170">
        <v>45959</v>
      </c>
      <c r="B2686" s="116">
        <v>749.6</v>
      </c>
      <c r="C2686" s="116">
        <v>746.7</v>
      </c>
      <c r="D2686" s="116">
        <v>738</v>
      </c>
      <c r="E2686" s="116">
        <v>741</v>
      </c>
      <c r="F2686" s="116">
        <v>746.7</v>
      </c>
      <c r="G2686">
        <v>41602</v>
      </c>
      <c r="H2686" s="116"/>
      <c r="I2686" s="116"/>
      <c r="L2686" s="170">
        <v>45959</v>
      </c>
      <c r="M2686" s="116">
        <v>746.75</v>
      </c>
      <c r="N2686" s="116">
        <v>749.7</v>
      </c>
      <c r="O2686" s="116">
        <v>737.45</v>
      </c>
      <c r="P2686" s="116">
        <v>741</v>
      </c>
      <c r="Q2686" s="116">
        <v>746.75</v>
      </c>
      <c r="R2686">
        <v>3288567</v>
      </c>
    </row>
    <row r="2687" spans="1:18" x14ac:dyDescent="0.25">
      <c r="A2687" s="170">
        <v>45960</v>
      </c>
      <c r="B2687" s="116">
        <v>752</v>
      </c>
      <c r="C2687" s="116">
        <v>749.75</v>
      </c>
      <c r="D2687" s="116">
        <v>743.15</v>
      </c>
      <c r="E2687" s="116">
        <v>745.15</v>
      </c>
      <c r="F2687" s="116">
        <v>749.75</v>
      </c>
      <c r="G2687">
        <v>29629</v>
      </c>
      <c r="H2687" s="116"/>
      <c r="I2687" s="116"/>
      <c r="L2687" s="170">
        <v>45960</v>
      </c>
      <c r="M2687" s="116">
        <v>749.65</v>
      </c>
      <c r="N2687" s="116">
        <v>752.25</v>
      </c>
      <c r="O2687" s="116">
        <v>742.6</v>
      </c>
      <c r="P2687" s="116">
        <v>746.75</v>
      </c>
      <c r="Q2687" s="116">
        <v>749.65</v>
      </c>
      <c r="R2687">
        <v>913961</v>
      </c>
    </row>
    <row r="2688" spans="1:18" x14ac:dyDescent="0.25">
      <c r="A2688" s="170">
        <v>45961</v>
      </c>
      <c r="B2688" s="116">
        <v>753.95</v>
      </c>
      <c r="C2688" s="116">
        <v>742.15</v>
      </c>
      <c r="D2688" s="116">
        <v>740</v>
      </c>
      <c r="E2688" s="116">
        <v>744.65</v>
      </c>
      <c r="F2688" s="116">
        <v>742.15</v>
      </c>
      <c r="G2688">
        <v>43554</v>
      </c>
      <c r="H2688" s="116"/>
      <c r="I2688" s="116"/>
      <c r="L2688" s="170">
        <v>45961</v>
      </c>
      <c r="M2688" s="116">
        <v>741.8</v>
      </c>
      <c r="N2688" s="116">
        <v>753.95</v>
      </c>
      <c r="O2688" s="116">
        <v>739.65</v>
      </c>
      <c r="P2688" s="116">
        <v>749.65</v>
      </c>
      <c r="Q2688" s="116">
        <v>741.8</v>
      </c>
      <c r="R2688">
        <v>2279088</v>
      </c>
    </row>
    <row r="2689" spans="1:18" x14ac:dyDescent="0.25">
      <c r="A2689" s="170">
        <v>45964</v>
      </c>
      <c r="B2689" s="116">
        <v>749.25</v>
      </c>
      <c r="C2689" s="116">
        <v>747.05</v>
      </c>
      <c r="D2689" s="116">
        <v>739.6</v>
      </c>
      <c r="E2689" s="116">
        <v>742.95</v>
      </c>
      <c r="F2689" s="116">
        <v>747.05</v>
      </c>
      <c r="G2689">
        <v>55865</v>
      </c>
      <c r="H2689" s="116"/>
      <c r="I2689" s="116"/>
      <c r="L2689" s="170">
        <v>45964</v>
      </c>
      <c r="M2689" s="116">
        <v>747.15</v>
      </c>
      <c r="N2689" s="116">
        <v>749.95</v>
      </c>
      <c r="O2689" s="116">
        <v>739.1</v>
      </c>
      <c r="P2689" s="116">
        <v>741.8</v>
      </c>
      <c r="Q2689" s="116">
        <v>747.15</v>
      </c>
      <c r="R2689">
        <v>1600989</v>
      </c>
    </row>
    <row r="2690" spans="1:18" x14ac:dyDescent="0.25">
      <c r="A2690" s="170">
        <v>45965</v>
      </c>
      <c r="B2690" s="116">
        <v>746.55</v>
      </c>
      <c r="C2690" s="116">
        <v>743.45</v>
      </c>
      <c r="D2690" s="116">
        <v>738.75</v>
      </c>
      <c r="E2690" s="116">
        <v>746.35</v>
      </c>
      <c r="F2690" s="116">
        <v>743.45</v>
      </c>
      <c r="G2690">
        <v>147487</v>
      </c>
      <c r="H2690" s="116"/>
      <c r="I2690" s="116"/>
      <c r="L2690" s="170">
        <v>45965</v>
      </c>
      <c r="M2690" s="116">
        <v>743.2</v>
      </c>
      <c r="N2690" s="116">
        <v>746.75</v>
      </c>
      <c r="O2690" s="116">
        <v>738</v>
      </c>
      <c r="P2690" s="116">
        <v>744.65</v>
      </c>
      <c r="Q2690" s="116">
        <v>743.2</v>
      </c>
      <c r="R2690">
        <v>2564263</v>
      </c>
    </row>
    <row r="2691" spans="1:18" x14ac:dyDescent="0.25">
      <c r="A2691" s="170">
        <v>45967</v>
      </c>
      <c r="B2691" s="116">
        <v>736.3</v>
      </c>
      <c r="C2691" s="116">
        <v>697.15</v>
      </c>
      <c r="D2691" s="116">
        <v>694.75</v>
      </c>
      <c r="E2691" s="116">
        <v>711.2</v>
      </c>
      <c r="F2691" s="116">
        <v>697.15</v>
      </c>
      <c r="G2691">
        <v>1123741</v>
      </c>
      <c r="H2691" s="116"/>
      <c r="I2691" s="116"/>
      <c r="L2691" s="170">
        <v>45967</v>
      </c>
      <c r="M2691" s="116">
        <v>697</v>
      </c>
      <c r="N2691" s="116">
        <v>738.3</v>
      </c>
      <c r="O2691" s="116">
        <v>694.05</v>
      </c>
      <c r="P2691" s="116">
        <v>715</v>
      </c>
      <c r="Q2691" s="116">
        <v>697</v>
      </c>
      <c r="R2691">
        <v>12158028</v>
      </c>
    </row>
    <row r="2692" spans="1:18" x14ac:dyDescent="0.25">
      <c r="A2692" s="170">
        <v>45968</v>
      </c>
      <c r="B2692" s="116">
        <v>697.15</v>
      </c>
      <c r="C2692" s="116">
        <v>692.15</v>
      </c>
      <c r="D2692" s="116">
        <v>672.55</v>
      </c>
      <c r="E2692" s="116">
        <v>697.15</v>
      </c>
      <c r="F2692" s="116">
        <v>692.15</v>
      </c>
      <c r="G2692">
        <v>672532</v>
      </c>
      <c r="H2692" s="116"/>
      <c r="I2692" s="116"/>
      <c r="L2692" s="170">
        <v>45968</v>
      </c>
      <c r="M2692" s="116">
        <v>691.3</v>
      </c>
      <c r="N2692" s="116">
        <v>698.75</v>
      </c>
      <c r="O2692" s="116">
        <v>672.6</v>
      </c>
      <c r="P2692" s="116">
        <v>697</v>
      </c>
      <c r="Q2692" s="116">
        <v>691.3</v>
      </c>
      <c r="R2692">
        <v>5546394</v>
      </c>
    </row>
    <row r="2693" spans="1:18" x14ac:dyDescent="0.25">
      <c r="A2693" s="170">
        <v>45971</v>
      </c>
      <c r="B2693" s="116">
        <v>707.4</v>
      </c>
      <c r="C2693" s="116">
        <v>703.5</v>
      </c>
      <c r="D2693" s="116">
        <v>690.55</v>
      </c>
      <c r="E2693" s="116">
        <v>692.2</v>
      </c>
      <c r="F2693" s="116">
        <v>703.5</v>
      </c>
      <c r="G2693">
        <v>107850</v>
      </c>
      <c r="H2693" s="116"/>
      <c r="I2693" s="116"/>
      <c r="L2693" s="170">
        <v>45971</v>
      </c>
      <c r="M2693" s="116">
        <v>703.8</v>
      </c>
      <c r="N2693" s="116">
        <v>707.5</v>
      </c>
      <c r="O2693" s="116">
        <v>690.35</v>
      </c>
      <c r="P2693" s="116">
        <v>691.3</v>
      </c>
      <c r="Q2693" s="116">
        <v>703.8</v>
      </c>
      <c r="R2693">
        <v>2938488</v>
      </c>
    </row>
    <row r="2694" spans="1:18" x14ac:dyDescent="0.25">
      <c r="A2694" s="170">
        <v>45972</v>
      </c>
      <c r="B2694" s="116">
        <v>703.85</v>
      </c>
      <c r="C2694" s="116">
        <v>698.2</v>
      </c>
      <c r="D2694" s="116">
        <v>692.75</v>
      </c>
      <c r="E2694" s="116">
        <v>701</v>
      </c>
      <c r="F2694" s="116">
        <v>698.2</v>
      </c>
      <c r="G2694">
        <v>37081</v>
      </c>
      <c r="H2694" s="116"/>
      <c r="I2694" s="116"/>
      <c r="L2694" s="170">
        <v>45972</v>
      </c>
      <c r="M2694" s="116">
        <v>697.75</v>
      </c>
      <c r="N2694" s="116">
        <v>703.8</v>
      </c>
      <c r="O2694" s="116">
        <v>692.65</v>
      </c>
      <c r="P2694" s="116">
        <v>703.8</v>
      </c>
      <c r="Q2694" s="116">
        <v>697.75</v>
      </c>
      <c r="R2694">
        <v>3758087</v>
      </c>
    </row>
    <row r="2695" spans="1:18" x14ac:dyDescent="0.25">
      <c r="A2695" s="170">
        <v>45973</v>
      </c>
      <c r="B2695" s="116">
        <v>708</v>
      </c>
      <c r="C2695" s="116">
        <v>707</v>
      </c>
      <c r="D2695" s="116">
        <v>698.8</v>
      </c>
      <c r="E2695" s="116">
        <v>700</v>
      </c>
      <c r="F2695" s="116">
        <v>707</v>
      </c>
      <c r="G2695">
        <v>56829</v>
      </c>
      <c r="H2695" s="116"/>
      <c r="I2695" s="116"/>
      <c r="L2695" s="170">
        <v>45973</v>
      </c>
      <c r="M2695" s="116">
        <v>706.95</v>
      </c>
      <c r="N2695" s="116">
        <v>708.35</v>
      </c>
      <c r="O2695" s="116">
        <v>698.65</v>
      </c>
      <c r="P2695" s="116">
        <v>700</v>
      </c>
      <c r="Q2695" s="116">
        <v>706.95</v>
      </c>
      <c r="R2695">
        <v>4614524</v>
      </c>
    </row>
    <row r="2696" spans="1:18" x14ac:dyDescent="0.25">
      <c r="A2696" s="170">
        <v>45974</v>
      </c>
      <c r="B2696" s="116">
        <v>720</v>
      </c>
      <c r="C2696" s="116">
        <v>717.5</v>
      </c>
      <c r="D2696" s="116">
        <v>705.05</v>
      </c>
      <c r="E2696" s="116">
        <v>708.5</v>
      </c>
      <c r="F2696" s="116">
        <v>717.5</v>
      </c>
      <c r="G2696">
        <v>125217</v>
      </c>
      <c r="H2696" s="116"/>
      <c r="I2696" s="116"/>
      <c r="L2696" s="170">
        <v>45974</v>
      </c>
      <c r="M2696" s="116">
        <v>717.7</v>
      </c>
      <c r="N2696" s="116">
        <v>720.35</v>
      </c>
      <c r="O2696" s="116">
        <v>705</v>
      </c>
      <c r="P2696" s="116">
        <v>706.95</v>
      </c>
      <c r="Q2696" s="116">
        <v>717.7</v>
      </c>
      <c r="R2696">
        <v>4914713</v>
      </c>
    </row>
    <row r="2697" spans="1:18" x14ac:dyDescent="0.25">
      <c r="A2697" s="170">
        <v>45975</v>
      </c>
      <c r="B2697" s="116">
        <v>723.65</v>
      </c>
      <c r="C2697" s="116">
        <v>720.4</v>
      </c>
      <c r="D2697" s="116">
        <v>712</v>
      </c>
      <c r="E2697" s="116">
        <v>714.6</v>
      </c>
      <c r="F2697" s="116">
        <v>720.4</v>
      </c>
      <c r="G2697">
        <v>54268</v>
      </c>
      <c r="H2697" s="116"/>
      <c r="I2697" s="116"/>
      <c r="L2697" s="170">
        <v>45975</v>
      </c>
      <c r="M2697" s="116">
        <v>720.8</v>
      </c>
      <c r="N2697" s="116">
        <v>724</v>
      </c>
      <c r="O2697" s="116">
        <v>712</v>
      </c>
      <c r="P2697" s="116">
        <v>712</v>
      </c>
      <c r="Q2697" s="116">
        <v>720.8</v>
      </c>
      <c r="R2697">
        <v>3854104</v>
      </c>
    </row>
    <row r="2698" spans="1:18" x14ac:dyDescent="0.25">
      <c r="A2698" s="170">
        <v>45978</v>
      </c>
      <c r="B2698" s="116">
        <v>726.2</v>
      </c>
      <c r="C2698" s="116">
        <v>722.35</v>
      </c>
      <c r="D2698" s="116">
        <v>717</v>
      </c>
      <c r="E2698" s="116">
        <v>723.35</v>
      </c>
      <c r="F2698" s="116">
        <v>722.35</v>
      </c>
      <c r="G2698">
        <v>95456</v>
      </c>
      <c r="H2698" s="116"/>
      <c r="I2698" s="116"/>
      <c r="L2698" s="170">
        <v>45978</v>
      </c>
      <c r="M2698" s="116">
        <v>722.3</v>
      </c>
      <c r="N2698" s="116">
        <v>725</v>
      </c>
      <c r="O2698" s="116">
        <v>716.85</v>
      </c>
      <c r="P2698" s="116">
        <v>725</v>
      </c>
      <c r="Q2698" s="116">
        <v>722.3</v>
      </c>
      <c r="R2698">
        <v>3247761</v>
      </c>
    </row>
    <row r="2699" spans="1:18" x14ac:dyDescent="0.25">
      <c r="A2699" s="170">
        <v>45979</v>
      </c>
      <c r="B2699" s="116">
        <v>724.95</v>
      </c>
      <c r="C2699" s="116">
        <v>712.4</v>
      </c>
      <c r="D2699" s="116">
        <v>710.55</v>
      </c>
      <c r="E2699" s="116">
        <v>723.65</v>
      </c>
      <c r="F2699" s="116">
        <v>712.4</v>
      </c>
      <c r="G2699">
        <v>195273</v>
      </c>
      <c r="H2699" s="116"/>
      <c r="I2699" s="116"/>
      <c r="L2699" s="170">
        <v>45979</v>
      </c>
      <c r="M2699" s="116">
        <v>712.75</v>
      </c>
      <c r="N2699" s="116">
        <v>725</v>
      </c>
      <c r="O2699" s="116">
        <v>710.6</v>
      </c>
      <c r="P2699" s="116">
        <v>725</v>
      </c>
      <c r="Q2699" s="116">
        <v>712.75</v>
      </c>
      <c r="R2699">
        <v>3166341</v>
      </c>
    </row>
    <row r="2700" spans="1:18" x14ac:dyDescent="0.25">
      <c r="A2700" s="170">
        <v>45980</v>
      </c>
      <c r="B2700" s="116">
        <v>723.25</v>
      </c>
      <c r="C2700" s="116">
        <v>719.6</v>
      </c>
      <c r="D2700" s="116">
        <v>708</v>
      </c>
      <c r="E2700" s="116">
        <v>708</v>
      </c>
      <c r="F2700" s="116">
        <v>719.6</v>
      </c>
      <c r="G2700">
        <v>30520</v>
      </c>
      <c r="H2700" s="116"/>
      <c r="I2700" s="116"/>
      <c r="L2700" s="170">
        <v>45980</v>
      </c>
      <c r="M2700" s="116">
        <v>719.55</v>
      </c>
      <c r="N2700" s="116">
        <v>723.35</v>
      </c>
      <c r="O2700" s="116">
        <v>708.05</v>
      </c>
      <c r="P2700" s="116">
        <v>708.05</v>
      </c>
      <c r="Q2700" s="116">
        <v>719.55</v>
      </c>
      <c r="R2700">
        <v>2796978</v>
      </c>
    </row>
    <row r="2701" spans="1:18" x14ac:dyDescent="0.25">
      <c r="A2701" s="170">
        <v>45981</v>
      </c>
      <c r="B2701" s="116">
        <v>740.95</v>
      </c>
      <c r="C2701" s="116">
        <v>733.1</v>
      </c>
      <c r="D2701" s="116">
        <v>719</v>
      </c>
      <c r="E2701" s="116">
        <v>723.95</v>
      </c>
      <c r="F2701" s="116">
        <v>733.1</v>
      </c>
      <c r="G2701">
        <v>976218</v>
      </c>
      <c r="H2701" s="116"/>
      <c r="I2701" s="116"/>
      <c r="L2701" s="170">
        <v>45981</v>
      </c>
      <c r="M2701" s="116">
        <v>733.35</v>
      </c>
      <c r="N2701" s="116">
        <v>741</v>
      </c>
      <c r="O2701" s="116">
        <v>719.1</v>
      </c>
      <c r="P2701" s="116">
        <v>722.4</v>
      </c>
      <c r="Q2701" s="116">
        <v>733.35</v>
      </c>
      <c r="R2701">
        <v>4075549</v>
      </c>
    </row>
    <row r="2702" spans="1:18" x14ac:dyDescent="0.25">
      <c r="A2702" s="170">
        <v>45982</v>
      </c>
      <c r="B2702" s="116">
        <v>739.2</v>
      </c>
      <c r="C2702" s="116">
        <v>732.9</v>
      </c>
      <c r="D2702" s="116">
        <v>729.5</v>
      </c>
      <c r="E2702" s="116">
        <v>732.75</v>
      </c>
      <c r="F2702" s="116">
        <v>732.9</v>
      </c>
      <c r="G2702">
        <v>44467</v>
      </c>
      <c r="H2702" s="116"/>
      <c r="I2702" s="116"/>
      <c r="L2702" s="170">
        <v>45982</v>
      </c>
      <c r="M2702" s="116">
        <v>733.2</v>
      </c>
      <c r="N2702" s="116">
        <v>739.25</v>
      </c>
      <c r="O2702" s="116">
        <v>729</v>
      </c>
      <c r="P2702" s="116">
        <v>732</v>
      </c>
      <c r="Q2702" s="116">
        <v>733.2</v>
      </c>
      <c r="R2702">
        <v>2739967</v>
      </c>
    </row>
    <row r="2703" spans="1:18" x14ac:dyDescent="0.25">
      <c r="A2703" s="170">
        <v>45985</v>
      </c>
      <c r="B2703" s="116">
        <v>737</v>
      </c>
      <c r="C2703" s="116">
        <v>721.55</v>
      </c>
      <c r="D2703" s="116">
        <v>717</v>
      </c>
      <c r="E2703" s="116">
        <v>734.95</v>
      </c>
      <c r="F2703" s="116">
        <v>721.55</v>
      </c>
      <c r="G2703">
        <v>283367</v>
      </c>
      <c r="H2703" s="116"/>
      <c r="I2703" s="116"/>
      <c r="L2703" s="170">
        <v>45985</v>
      </c>
      <c r="M2703" s="116">
        <v>721.15</v>
      </c>
      <c r="N2703" s="116">
        <v>738</v>
      </c>
      <c r="O2703" s="116">
        <v>716.7</v>
      </c>
      <c r="P2703" s="116">
        <v>738</v>
      </c>
      <c r="Q2703" s="116">
        <v>721.15</v>
      </c>
      <c r="R2703">
        <v>6950166</v>
      </c>
    </row>
    <row r="2704" spans="1:18" x14ac:dyDescent="0.25">
      <c r="A2704" s="170">
        <v>45986</v>
      </c>
      <c r="B2704" s="116">
        <v>728</v>
      </c>
      <c r="C2704" s="116">
        <v>726.3</v>
      </c>
      <c r="D2704" s="116">
        <v>717.95</v>
      </c>
      <c r="E2704" s="116">
        <v>721.5</v>
      </c>
      <c r="F2704" s="116">
        <v>726.3</v>
      </c>
      <c r="G2704">
        <v>143032</v>
      </c>
      <c r="H2704" s="116"/>
      <c r="I2704" s="116"/>
      <c r="L2704" s="170">
        <v>45986</v>
      </c>
      <c r="M2704" s="116">
        <v>726.5</v>
      </c>
      <c r="N2704" s="116">
        <v>728.15</v>
      </c>
      <c r="O2704" s="116">
        <v>717.95</v>
      </c>
      <c r="P2704" s="116">
        <v>720</v>
      </c>
      <c r="Q2704" s="116">
        <v>726.5</v>
      </c>
      <c r="R2704">
        <v>3835430</v>
      </c>
    </row>
    <row r="2705" spans="1:18" x14ac:dyDescent="0.25">
      <c r="A2705" s="170">
        <v>45987</v>
      </c>
      <c r="B2705" s="116">
        <v>735.75</v>
      </c>
      <c r="C2705" s="116">
        <v>731</v>
      </c>
      <c r="D2705" s="116">
        <v>724.15</v>
      </c>
      <c r="E2705" s="116">
        <v>725.95</v>
      </c>
      <c r="F2705" s="116">
        <v>731</v>
      </c>
      <c r="G2705">
        <v>36830</v>
      </c>
      <c r="H2705" s="116"/>
      <c r="I2705" s="116"/>
      <c r="L2705" s="170">
        <v>45987</v>
      </c>
      <c r="M2705" s="116">
        <v>731.4</v>
      </c>
      <c r="N2705" s="116">
        <v>735.5</v>
      </c>
      <c r="O2705" s="116">
        <v>724.05</v>
      </c>
      <c r="P2705" s="116">
        <v>728.15</v>
      </c>
      <c r="Q2705" s="116">
        <v>731.4</v>
      </c>
      <c r="R2705">
        <v>1350259</v>
      </c>
    </row>
    <row r="2706" spans="1:18" x14ac:dyDescent="0.25">
      <c r="A2706" s="170">
        <v>45988</v>
      </c>
      <c r="B2706" s="116">
        <v>740</v>
      </c>
      <c r="C2706" s="116">
        <v>735.15</v>
      </c>
      <c r="D2706" s="116">
        <v>727.1</v>
      </c>
      <c r="E2706" s="116">
        <v>731</v>
      </c>
      <c r="F2706" s="116">
        <v>735.15</v>
      </c>
      <c r="G2706">
        <v>37059</v>
      </c>
      <c r="H2706" s="116"/>
      <c r="I2706" s="116"/>
      <c r="L2706" s="170">
        <v>45988</v>
      </c>
      <c r="M2706" s="116">
        <v>735</v>
      </c>
      <c r="N2706" s="116">
        <v>740</v>
      </c>
      <c r="O2706" s="116">
        <v>727.4</v>
      </c>
      <c r="P2706" s="116">
        <v>731</v>
      </c>
      <c r="Q2706" s="116">
        <v>735</v>
      </c>
      <c r="R2706">
        <v>1862591</v>
      </c>
    </row>
    <row r="2707" spans="1:18" x14ac:dyDescent="0.25">
      <c r="A2707" s="170">
        <v>45989</v>
      </c>
      <c r="B2707" s="116">
        <v>748.8</v>
      </c>
      <c r="C2707" s="116">
        <v>744</v>
      </c>
      <c r="D2707" s="116">
        <v>733.05</v>
      </c>
      <c r="E2707" s="116">
        <v>733.05</v>
      </c>
      <c r="F2707" s="116">
        <v>744</v>
      </c>
      <c r="G2707">
        <v>149469</v>
      </c>
      <c r="H2707" s="116"/>
      <c r="I2707" s="116"/>
      <c r="L2707" s="170">
        <v>45989</v>
      </c>
      <c r="M2707" s="116">
        <v>744.3</v>
      </c>
      <c r="N2707" s="116">
        <v>748.75</v>
      </c>
      <c r="O2707" s="116">
        <v>734.2</v>
      </c>
      <c r="P2707" s="116">
        <v>738</v>
      </c>
      <c r="Q2707" s="116">
        <v>744.3</v>
      </c>
      <c r="R2707">
        <v>3897542</v>
      </c>
    </row>
    <row r="2708" spans="1:18" x14ac:dyDescent="0.25">
      <c r="A2708" s="170">
        <v>45992</v>
      </c>
      <c r="B2708" s="116">
        <v>753</v>
      </c>
      <c r="C2708" s="116">
        <v>748.75</v>
      </c>
      <c r="D2708" s="116">
        <v>744.35</v>
      </c>
      <c r="E2708" s="116">
        <v>753</v>
      </c>
      <c r="F2708" s="116">
        <v>748.75</v>
      </c>
      <c r="G2708">
        <v>35098</v>
      </c>
      <c r="H2708" s="116"/>
      <c r="I2708" s="116"/>
      <c r="L2708" s="170">
        <v>45992</v>
      </c>
      <c r="M2708" s="116">
        <v>749.05</v>
      </c>
      <c r="N2708" s="116">
        <v>752.45</v>
      </c>
      <c r="O2708" s="116">
        <v>744.4</v>
      </c>
      <c r="P2708" s="116">
        <v>750</v>
      </c>
      <c r="Q2708" s="116">
        <v>749.05</v>
      </c>
      <c r="R2708">
        <v>2237313</v>
      </c>
    </row>
    <row r="2709" spans="1:18" x14ac:dyDescent="0.25">
      <c r="A2709" s="170">
        <v>45993</v>
      </c>
      <c r="B2709">
        <v>754.15</v>
      </c>
      <c r="C2709">
        <v>742.45</v>
      </c>
      <c r="D2709">
        <v>740.5</v>
      </c>
      <c r="E2709">
        <v>751.85</v>
      </c>
      <c r="F2709">
        <v>742.45</v>
      </c>
      <c r="G2709">
        <v>38116</v>
      </c>
      <c r="H2709" s="116"/>
      <c r="I2709" s="116"/>
      <c r="L2709" s="170">
        <v>45993</v>
      </c>
      <c r="M2709" s="116">
        <v>742.5</v>
      </c>
      <c r="N2709" s="116">
        <v>754</v>
      </c>
      <c r="O2709" s="116">
        <v>740.3</v>
      </c>
      <c r="P2709" s="116">
        <v>749</v>
      </c>
      <c r="Q2709" s="116">
        <v>742.5</v>
      </c>
      <c r="R2709">
        <v>2514236</v>
      </c>
    </row>
    <row r="2710" spans="1:18" x14ac:dyDescent="0.25">
      <c r="A2710" s="170">
        <v>45994</v>
      </c>
      <c r="B2710">
        <v>745.8</v>
      </c>
      <c r="C2710">
        <v>734.7</v>
      </c>
      <c r="D2710">
        <v>731.25</v>
      </c>
      <c r="E2710">
        <v>740.95</v>
      </c>
      <c r="F2710">
        <v>734.7</v>
      </c>
      <c r="G2710">
        <v>266346</v>
      </c>
      <c r="H2710" s="116"/>
      <c r="I2710" s="116"/>
      <c r="L2710" s="170">
        <v>45994</v>
      </c>
      <c r="M2710" s="116">
        <v>734.6</v>
      </c>
      <c r="N2710" s="116">
        <v>746.15</v>
      </c>
      <c r="O2710" s="116">
        <v>730.85</v>
      </c>
      <c r="P2710" s="116">
        <v>740</v>
      </c>
      <c r="Q2710" s="116">
        <v>734.6</v>
      </c>
      <c r="R2710">
        <v>1513825</v>
      </c>
    </row>
    <row r="2711" spans="1:18" x14ac:dyDescent="0.25">
      <c r="A2711" s="170">
        <v>45995</v>
      </c>
      <c r="B2711">
        <v>738.3</v>
      </c>
      <c r="C2711">
        <v>729.2</v>
      </c>
      <c r="D2711">
        <v>728.5</v>
      </c>
      <c r="E2711">
        <v>734</v>
      </c>
      <c r="F2711">
        <v>729.2</v>
      </c>
      <c r="G2711">
        <v>29579</v>
      </c>
      <c r="H2711" s="116"/>
      <c r="I2711" s="116"/>
      <c r="L2711" s="170">
        <v>45995</v>
      </c>
      <c r="M2711" s="116">
        <v>729.55</v>
      </c>
      <c r="N2711" s="116">
        <v>738.2</v>
      </c>
      <c r="O2711" s="116">
        <v>728.55</v>
      </c>
      <c r="P2711" s="116">
        <v>734</v>
      </c>
      <c r="Q2711" s="116">
        <v>729.55</v>
      </c>
      <c r="R2711">
        <v>1536712</v>
      </c>
    </row>
    <row r="2712" spans="1:18" x14ac:dyDescent="0.25">
      <c r="A2712" s="170">
        <v>45996</v>
      </c>
      <c r="B2712">
        <v>740.55</v>
      </c>
      <c r="C2712">
        <v>730.7</v>
      </c>
      <c r="D2712">
        <v>727.05</v>
      </c>
      <c r="E2712">
        <v>728.15</v>
      </c>
      <c r="F2712">
        <v>730.7</v>
      </c>
      <c r="G2712">
        <v>31111</v>
      </c>
      <c r="H2712" s="116"/>
      <c r="I2712" s="116"/>
      <c r="L2712" s="170">
        <v>45996</v>
      </c>
      <c r="M2712" s="116">
        <v>730.9</v>
      </c>
      <c r="N2712" s="116">
        <v>740.75</v>
      </c>
      <c r="O2712" s="116">
        <v>725.55</v>
      </c>
      <c r="P2712" s="116">
        <v>725.55</v>
      </c>
      <c r="Q2712" s="116">
        <v>730.9</v>
      </c>
      <c r="R2712">
        <v>2253909</v>
      </c>
    </row>
    <row r="2713" spans="1:18" x14ac:dyDescent="0.25">
      <c r="A2713" s="170">
        <v>45999</v>
      </c>
      <c r="B2713">
        <v>736</v>
      </c>
      <c r="C2713">
        <v>717.7</v>
      </c>
      <c r="D2713">
        <v>715</v>
      </c>
      <c r="E2713">
        <v>721.05</v>
      </c>
      <c r="F2713">
        <v>717.7</v>
      </c>
      <c r="G2713">
        <v>38538</v>
      </c>
      <c r="H2713" s="116"/>
      <c r="I2713" s="116"/>
      <c r="L2713" s="170">
        <v>45999</v>
      </c>
      <c r="M2713" s="116">
        <v>718.1</v>
      </c>
      <c r="N2713" s="116">
        <v>735.95</v>
      </c>
      <c r="O2713" s="116">
        <v>714.25</v>
      </c>
      <c r="P2713" s="116">
        <v>726</v>
      </c>
      <c r="Q2713" s="116">
        <v>718.1</v>
      </c>
      <c r="R2713">
        <v>2518371</v>
      </c>
    </row>
    <row r="2714" spans="1:18" x14ac:dyDescent="0.25">
      <c r="A2714" s="170">
        <v>46000</v>
      </c>
      <c r="B2714">
        <v>729.5</v>
      </c>
      <c r="C2714">
        <v>727.65</v>
      </c>
      <c r="D2714">
        <v>708</v>
      </c>
      <c r="E2714">
        <v>716.05</v>
      </c>
      <c r="F2714">
        <v>727.65</v>
      </c>
      <c r="G2714">
        <v>25649</v>
      </c>
      <c r="H2714" s="116"/>
      <c r="I2714" s="116"/>
      <c r="L2714" s="170">
        <v>46000</v>
      </c>
      <c r="M2714" s="116">
        <v>727.75</v>
      </c>
      <c r="N2714" s="116">
        <v>729.8</v>
      </c>
      <c r="O2714" s="116">
        <v>707.8</v>
      </c>
      <c r="P2714" s="116">
        <v>719.4</v>
      </c>
      <c r="Q2714" s="116">
        <v>727.75</v>
      </c>
      <c r="R2714">
        <v>3074691</v>
      </c>
    </row>
    <row r="2715" spans="1:18" x14ac:dyDescent="0.25">
      <c r="A2715" s="170">
        <v>46001</v>
      </c>
      <c r="B2715">
        <v>732.4</v>
      </c>
      <c r="C2715">
        <v>718.85</v>
      </c>
      <c r="D2715">
        <v>717.15</v>
      </c>
      <c r="E2715">
        <v>727.35</v>
      </c>
      <c r="F2715">
        <v>718.85</v>
      </c>
      <c r="G2715">
        <v>15499</v>
      </c>
      <c r="H2715" s="116"/>
      <c r="I2715" s="116"/>
      <c r="L2715" s="170">
        <v>46001</v>
      </c>
      <c r="M2715" s="116">
        <v>718.6</v>
      </c>
      <c r="N2715" s="116">
        <v>732.9</v>
      </c>
      <c r="O2715" s="116">
        <v>717.1</v>
      </c>
      <c r="P2715" s="116">
        <v>728.4</v>
      </c>
      <c r="Q2715" s="116">
        <v>718.6</v>
      </c>
      <c r="R2715">
        <v>1758455</v>
      </c>
    </row>
    <row r="2716" spans="1:18" x14ac:dyDescent="0.25">
      <c r="A2716" s="170">
        <v>46002</v>
      </c>
      <c r="B2716">
        <v>731</v>
      </c>
      <c r="C2716">
        <v>729.2</v>
      </c>
      <c r="D2716">
        <v>716.65</v>
      </c>
      <c r="E2716">
        <v>720.7</v>
      </c>
      <c r="F2716">
        <v>729.2</v>
      </c>
      <c r="G2716">
        <v>35417</v>
      </c>
      <c r="H2716" s="116"/>
      <c r="I2716" s="116"/>
      <c r="L2716" s="170">
        <v>46002</v>
      </c>
      <c r="M2716" s="116">
        <v>729</v>
      </c>
      <c r="N2716" s="116">
        <v>732</v>
      </c>
      <c r="O2716" s="116">
        <v>716.1</v>
      </c>
      <c r="P2716" s="116">
        <v>719.95</v>
      </c>
      <c r="Q2716" s="116">
        <v>729</v>
      </c>
      <c r="R2716">
        <v>1695971</v>
      </c>
    </row>
    <row r="2717" spans="1:18" x14ac:dyDescent="0.25">
      <c r="A2717" s="170">
        <v>46003</v>
      </c>
      <c r="B2717">
        <v>741.2</v>
      </c>
      <c r="C2717">
        <v>734.8</v>
      </c>
      <c r="D2717">
        <v>727.4</v>
      </c>
      <c r="E2717">
        <v>728.15</v>
      </c>
      <c r="F2717">
        <v>734.8</v>
      </c>
      <c r="G2717">
        <v>85155</v>
      </c>
      <c r="H2717" s="116"/>
      <c r="I2717" s="116"/>
      <c r="L2717" s="170">
        <v>46003</v>
      </c>
      <c r="M2717" s="116">
        <v>735.05</v>
      </c>
      <c r="N2717" s="116">
        <v>740.95</v>
      </c>
      <c r="O2717" s="116">
        <v>727.35</v>
      </c>
      <c r="P2717" s="116">
        <v>730</v>
      </c>
      <c r="Q2717" s="116">
        <v>735.05</v>
      </c>
      <c r="R2717">
        <v>2784620</v>
      </c>
    </row>
    <row r="2718" spans="1:18" x14ac:dyDescent="0.25">
      <c r="A2718" s="170">
        <v>46006</v>
      </c>
      <c r="B2718">
        <v>737</v>
      </c>
      <c r="C2718">
        <v>730.45</v>
      </c>
      <c r="D2718">
        <v>728.9</v>
      </c>
      <c r="E2718">
        <v>735</v>
      </c>
      <c r="F2718">
        <v>730.45</v>
      </c>
      <c r="G2718">
        <v>18562</v>
      </c>
      <c r="H2718" s="116"/>
      <c r="I2718" s="116"/>
      <c r="L2718" s="170">
        <v>46006</v>
      </c>
      <c r="M2718" s="116">
        <v>731.15</v>
      </c>
      <c r="N2718" s="116">
        <v>738.3</v>
      </c>
      <c r="O2718" s="116">
        <v>727.95</v>
      </c>
      <c r="P2718" s="116">
        <v>735</v>
      </c>
      <c r="Q2718" s="116">
        <v>731.15</v>
      </c>
      <c r="R2718">
        <v>2997677</v>
      </c>
    </row>
    <row r="2719" spans="1:18" x14ac:dyDescent="0.25">
      <c r="A2719" s="170">
        <v>46007</v>
      </c>
      <c r="B2719">
        <v>731.1</v>
      </c>
      <c r="C2719">
        <v>724.7</v>
      </c>
      <c r="D2719">
        <v>723.3</v>
      </c>
      <c r="E2719">
        <v>729.2</v>
      </c>
      <c r="F2719">
        <v>724.7</v>
      </c>
      <c r="G2719">
        <v>12821</v>
      </c>
      <c r="H2719" s="116"/>
      <c r="I2719" s="116"/>
      <c r="L2719" s="170">
        <v>46007</v>
      </c>
      <c r="M2719" s="116">
        <v>725.25</v>
      </c>
      <c r="N2719" s="116">
        <v>731.9</v>
      </c>
      <c r="O2719" s="116">
        <v>723.5</v>
      </c>
      <c r="P2719" s="116">
        <v>727.1</v>
      </c>
      <c r="Q2719" s="116">
        <v>725.25</v>
      </c>
      <c r="R2719">
        <v>2129633</v>
      </c>
    </row>
    <row r="2720" spans="1:18" x14ac:dyDescent="0.25">
      <c r="A2720" s="170">
        <v>46008</v>
      </c>
      <c r="B2720">
        <v>728.9</v>
      </c>
      <c r="C2720">
        <v>713.5</v>
      </c>
      <c r="D2720">
        <v>710.8</v>
      </c>
      <c r="E2720">
        <v>721.9</v>
      </c>
      <c r="F2720">
        <v>713.5</v>
      </c>
      <c r="G2720">
        <v>21402</v>
      </c>
      <c r="H2720" s="116"/>
      <c r="I2720" s="116"/>
      <c r="L2720" s="170">
        <v>46008</v>
      </c>
      <c r="M2720" s="116">
        <v>713.2</v>
      </c>
      <c r="N2720" s="116">
        <v>728.95</v>
      </c>
      <c r="O2720" s="116">
        <v>710.3</v>
      </c>
      <c r="P2720" s="116">
        <v>721.55</v>
      </c>
      <c r="Q2720" s="116">
        <v>713.2</v>
      </c>
      <c r="R2720">
        <v>2576640</v>
      </c>
    </row>
    <row r="2721" spans="1:18" x14ac:dyDescent="0.25">
      <c r="A2721" s="170">
        <v>46009</v>
      </c>
      <c r="B2721">
        <v>723.55</v>
      </c>
      <c r="C2721">
        <v>721.75</v>
      </c>
      <c r="D2721">
        <v>710.7</v>
      </c>
      <c r="E2721">
        <v>713.5</v>
      </c>
      <c r="F2721">
        <v>721.75</v>
      </c>
      <c r="G2721">
        <v>41044</v>
      </c>
      <c r="H2721" s="116"/>
      <c r="I2721" s="116"/>
      <c r="L2721" s="170">
        <v>46009</v>
      </c>
      <c r="M2721" s="116">
        <v>722</v>
      </c>
      <c r="N2721" s="116">
        <v>723.5</v>
      </c>
      <c r="O2721" s="116">
        <v>712</v>
      </c>
      <c r="P2721" s="116">
        <v>713</v>
      </c>
      <c r="Q2721" s="116">
        <v>722</v>
      </c>
      <c r="R2721">
        <v>2445790</v>
      </c>
    </row>
    <row r="2722" spans="1:18" x14ac:dyDescent="0.25">
      <c r="A2722" s="170">
        <v>46010</v>
      </c>
      <c r="B2722">
        <v>732.8</v>
      </c>
      <c r="C2722">
        <v>731.2</v>
      </c>
      <c r="D2722">
        <v>722.05</v>
      </c>
      <c r="E2722">
        <v>722.25</v>
      </c>
      <c r="F2722">
        <v>731.2</v>
      </c>
      <c r="G2722">
        <v>137664</v>
      </c>
      <c r="H2722" s="116"/>
      <c r="I2722" s="116"/>
      <c r="L2722" s="170">
        <v>46010</v>
      </c>
      <c r="M2722" s="116">
        <v>731.2</v>
      </c>
      <c r="N2722" s="116">
        <v>733</v>
      </c>
      <c r="O2722" s="116">
        <v>721.55</v>
      </c>
      <c r="P2722" s="116">
        <v>723.95</v>
      </c>
      <c r="Q2722" s="116">
        <v>731.2</v>
      </c>
      <c r="R2722">
        <v>2770317</v>
      </c>
    </row>
    <row r="2723" spans="1:18" x14ac:dyDescent="0.25">
      <c r="A2723" s="170">
        <v>46013</v>
      </c>
      <c r="B2723">
        <v>741.4</v>
      </c>
      <c r="C2723">
        <v>739.9</v>
      </c>
      <c r="D2723">
        <v>728</v>
      </c>
      <c r="E2723">
        <v>733.2</v>
      </c>
      <c r="F2723">
        <v>739.9</v>
      </c>
      <c r="G2723">
        <v>264645</v>
      </c>
      <c r="H2723" s="116"/>
      <c r="I2723" s="116"/>
      <c r="L2723" s="170">
        <v>46013</v>
      </c>
      <c r="M2723" s="116">
        <v>740.15</v>
      </c>
      <c r="N2723" s="116">
        <v>741.55</v>
      </c>
      <c r="O2723" s="116">
        <v>728</v>
      </c>
      <c r="P2723" s="116">
        <v>735</v>
      </c>
      <c r="Q2723" s="116">
        <v>740.15</v>
      </c>
      <c r="R2723">
        <v>1140608</v>
      </c>
    </row>
    <row r="2724" spans="1:18" x14ac:dyDescent="0.25">
      <c r="A2724" s="170">
        <v>46014</v>
      </c>
      <c r="B2724">
        <v>744.9</v>
      </c>
      <c r="C2724">
        <v>738.1</v>
      </c>
      <c r="D2724">
        <v>734.3</v>
      </c>
      <c r="E2724">
        <v>741.65</v>
      </c>
      <c r="F2724">
        <v>738.1</v>
      </c>
      <c r="G2724">
        <v>26551</v>
      </c>
      <c r="H2724" s="116"/>
      <c r="I2724" s="116"/>
      <c r="L2724" s="170">
        <v>46014</v>
      </c>
      <c r="M2724" s="116">
        <v>738.3</v>
      </c>
      <c r="N2724" s="116">
        <v>743.85</v>
      </c>
      <c r="O2724" s="116">
        <v>734</v>
      </c>
      <c r="P2724" s="116">
        <v>743.7</v>
      </c>
      <c r="Q2724" s="116">
        <v>738.3</v>
      </c>
      <c r="R2724">
        <v>1609752</v>
      </c>
    </row>
    <row r="2725" spans="1:18" x14ac:dyDescent="0.25">
      <c r="A2725" s="170">
        <v>46015</v>
      </c>
      <c r="B2725">
        <v>741.3</v>
      </c>
      <c r="C2725">
        <v>739.95</v>
      </c>
      <c r="D2725">
        <v>734.1</v>
      </c>
      <c r="E2725">
        <v>737.55</v>
      </c>
      <c r="F2725">
        <v>739.95</v>
      </c>
      <c r="G2725">
        <v>69187</v>
      </c>
      <c r="H2725" s="116"/>
      <c r="I2725" s="116"/>
      <c r="L2725" s="170">
        <v>46015</v>
      </c>
      <c r="M2725" s="116">
        <v>740.1</v>
      </c>
      <c r="N2725" s="116">
        <v>741.05</v>
      </c>
      <c r="O2725" s="116">
        <v>734.45</v>
      </c>
      <c r="P2725" s="116">
        <v>738.4</v>
      </c>
      <c r="Q2725" s="116">
        <v>740.1</v>
      </c>
      <c r="R2725">
        <v>1613745</v>
      </c>
    </row>
    <row r="2726" spans="1:18" x14ac:dyDescent="0.25">
      <c r="A2726" s="170">
        <v>46017</v>
      </c>
      <c r="B2726">
        <v>743.7</v>
      </c>
      <c r="C2726">
        <v>739.3</v>
      </c>
      <c r="D2726">
        <v>736.5</v>
      </c>
      <c r="E2726">
        <v>739.3</v>
      </c>
      <c r="F2726">
        <v>739.3</v>
      </c>
      <c r="G2726">
        <v>31594</v>
      </c>
      <c r="H2726" s="116"/>
      <c r="I2726" s="116"/>
      <c r="L2726" s="170">
        <v>46017</v>
      </c>
      <c r="M2726" s="116">
        <v>739.6</v>
      </c>
      <c r="N2726" s="116">
        <v>744.5</v>
      </c>
      <c r="O2726" s="116">
        <v>736.45</v>
      </c>
      <c r="P2726" s="116">
        <v>740.1</v>
      </c>
      <c r="Q2726" s="116">
        <v>739.6</v>
      </c>
      <c r="R2726">
        <v>1596208</v>
      </c>
    </row>
    <row r="2727" spans="1:18" x14ac:dyDescent="0.25">
      <c r="A2727" s="170">
        <v>46020</v>
      </c>
      <c r="B2727">
        <v>748.1</v>
      </c>
      <c r="C2727">
        <v>742.6</v>
      </c>
      <c r="D2727">
        <v>737.5</v>
      </c>
      <c r="E2727">
        <v>748.1</v>
      </c>
      <c r="F2727">
        <v>742.6</v>
      </c>
      <c r="G2727">
        <v>66829</v>
      </c>
      <c r="H2727" s="116"/>
      <c r="I2727" s="116"/>
      <c r="L2727" s="170">
        <v>46020</v>
      </c>
      <c r="M2727" s="116">
        <v>742.15</v>
      </c>
      <c r="N2727" s="116">
        <v>743.05</v>
      </c>
      <c r="O2727" s="116">
        <v>737.55</v>
      </c>
      <c r="P2727" s="116">
        <v>740</v>
      </c>
      <c r="Q2727" s="116">
        <v>742.15</v>
      </c>
      <c r="R2727">
        <v>3172912</v>
      </c>
    </row>
    <row r="2728" spans="1:18" x14ac:dyDescent="0.25">
      <c r="A2728" s="170">
        <v>46021</v>
      </c>
      <c r="B2728">
        <v>744.75</v>
      </c>
      <c r="C2728">
        <v>730.2</v>
      </c>
      <c r="D2728">
        <v>725.4</v>
      </c>
      <c r="E2728">
        <v>744.75</v>
      </c>
      <c r="F2728">
        <v>730.2</v>
      </c>
      <c r="G2728">
        <v>71760</v>
      </c>
      <c r="H2728" s="116"/>
      <c r="I2728" s="116"/>
      <c r="L2728" s="170">
        <v>46021</v>
      </c>
      <c r="M2728" s="116">
        <v>729.55</v>
      </c>
      <c r="N2728" s="116">
        <v>743.5</v>
      </c>
      <c r="O2728" s="116">
        <v>725.1</v>
      </c>
      <c r="P2728" s="116">
        <v>743.5</v>
      </c>
      <c r="Q2728" s="116">
        <v>729.55</v>
      </c>
      <c r="R2728">
        <v>6502946</v>
      </c>
    </row>
    <row r="2729" spans="1:18" x14ac:dyDescent="0.25">
      <c r="A2729" s="170">
        <v>46022</v>
      </c>
      <c r="B2729">
        <v>740.85</v>
      </c>
      <c r="C2729">
        <v>738.75</v>
      </c>
      <c r="D2729">
        <v>730.75</v>
      </c>
      <c r="E2729">
        <v>730.75</v>
      </c>
      <c r="F2729">
        <v>738.75</v>
      </c>
      <c r="G2729">
        <v>186864</v>
      </c>
      <c r="H2729" s="116"/>
      <c r="I2729" s="116"/>
      <c r="L2729" s="170">
        <v>46022</v>
      </c>
      <c r="M2729" s="116">
        <v>738.85</v>
      </c>
      <c r="N2729" s="116">
        <v>740.95</v>
      </c>
      <c r="O2729" s="116">
        <v>731.7</v>
      </c>
      <c r="P2729" s="116">
        <v>733</v>
      </c>
      <c r="Q2729" s="116">
        <v>738.85</v>
      </c>
      <c r="R2729">
        <v>2264023</v>
      </c>
    </row>
    <row r="2730" spans="1:18" x14ac:dyDescent="0.25">
      <c r="A2730" s="170">
        <v>46023</v>
      </c>
      <c r="B2730">
        <v>740.25</v>
      </c>
      <c r="C2730">
        <v>739.55</v>
      </c>
      <c r="D2730">
        <v>731.5</v>
      </c>
      <c r="E2730">
        <v>738.8</v>
      </c>
      <c r="F2730">
        <v>739.55</v>
      </c>
      <c r="G2730">
        <v>89196</v>
      </c>
      <c r="H2730" s="116"/>
      <c r="I2730" s="116"/>
      <c r="L2730" s="170">
        <v>46023</v>
      </c>
      <c r="M2730" s="116">
        <v>738.6</v>
      </c>
      <c r="N2730" s="116">
        <v>742.7</v>
      </c>
      <c r="O2730" s="116">
        <v>731.4</v>
      </c>
      <c r="P2730" s="116">
        <v>741.95</v>
      </c>
      <c r="Q2730" s="116">
        <v>738.6</v>
      </c>
      <c r="R2730">
        <v>1108196</v>
      </c>
    </row>
    <row r="2731" spans="1:18" x14ac:dyDescent="0.25">
      <c r="A2731" s="170">
        <v>46024</v>
      </c>
      <c r="B2731">
        <v>751</v>
      </c>
      <c r="C2731">
        <v>748.35</v>
      </c>
      <c r="D2731">
        <v>735.2</v>
      </c>
      <c r="E2731">
        <v>739.35</v>
      </c>
      <c r="F2731">
        <v>748.35</v>
      </c>
      <c r="G2731">
        <v>107331</v>
      </c>
      <c r="H2731" s="116"/>
      <c r="I2731" s="116"/>
      <c r="L2731" s="170">
        <v>46024</v>
      </c>
      <c r="M2731" s="116">
        <v>748.65</v>
      </c>
      <c r="N2731" s="116">
        <v>751.3</v>
      </c>
      <c r="O2731" s="116">
        <v>735.55</v>
      </c>
      <c r="P2731" s="116">
        <v>736.4</v>
      </c>
      <c r="Q2731" s="116">
        <v>748.65</v>
      </c>
      <c r="R2731">
        <v>1660155</v>
      </c>
    </row>
    <row r="2732" spans="1:18" x14ac:dyDescent="0.25">
      <c r="A2732" s="170">
        <v>46027</v>
      </c>
      <c r="B2732">
        <v>748.45</v>
      </c>
      <c r="C2732">
        <v>744.6</v>
      </c>
      <c r="D2732">
        <v>735.25</v>
      </c>
      <c r="E2732">
        <v>748.35</v>
      </c>
      <c r="F2732">
        <v>744.6</v>
      </c>
      <c r="G2732">
        <v>22961</v>
      </c>
      <c r="H2732" s="116"/>
      <c r="I2732" s="116"/>
      <c r="L2732" s="170">
        <v>46027</v>
      </c>
      <c r="M2732" s="116">
        <v>744.2</v>
      </c>
      <c r="N2732" s="116">
        <v>748</v>
      </c>
      <c r="O2732" s="116">
        <v>735.5</v>
      </c>
      <c r="P2732" s="116">
        <v>748</v>
      </c>
      <c r="Q2732" s="116">
        <v>744.2</v>
      </c>
      <c r="R2732">
        <v>1693043</v>
      </c>
    </row>
    <row r="2733" spans="1:18" x14ac:dyDescent="0.25">
      <c r="A2733" s="170">
        <v>46028</v>
      </c>
      <c r="B2733">
        <v>745.45</v>
      </c>
      <c r="C2733">
        <v>725.85</v>
      </c>
      <c r="D2733">
        <v>720.8</v>
      </c>
      <c r="E2733">
        <v>743.75</v>
      </c>
      <c r="F2733">
        <v>725.85</v>
      </c>
      <c r="G2733">
        <v>877863</v>
      </c>
      <c r="H2733" s="116"/>
      <c r="I2733" s="116"/>
      <c r="L2733" s="170">
        <v>46028</v>
      </c>
      <c r="M2733" s="116">
        <v>726.4</v>
      </c>
      <c r="N2733" s="116">
        <v>746</v>
      </c>
      <c r="O2733" s="116">
        <v>720.3</v>
      </c>
      <c r="P2733" s="116">
        <v>746</v>
      </c>
      <c r="Q2733" s="116">
        <v>726.4</v>
      </c>
      <c r="R2733">
        <v>2525206</v>
      </c>
    </row>
    <row r="2734" spans="1:18" x14ac:dyDescent="0.25">
      <c r="A2734" s="170">
        <v>46029</v>
      </c>
      <c r="B2734">
        <v>722.25</v>
      </c>
      <c r="C2734">
        <v>715.95</v>
      </c>
      <c r="D2734">
        <v>703.6</v>
      </c>
      <c r="E2734">
        <v>722.25</v>
      </c>
      <c r="F2734">
        <v>715.95</v>
      </c>
      <c r="G2734">
        <v>126110</v>
      </c>
      <c r="H2734" s="116"/>
      <c r="I2734" s="116"/>
      <c r="L2734" s="170">
        <v>46029</v>
      </c>
      <c r="M2734" s="116">
        <v>715.35</v>
      </c>
      <c r="N2734" s="116">
        <v>721.05</v>
      </c>
      <c r="O2734" s="116">
        <v>703.3</v>
      </c>
      <c r="P2734" s="116">
        <v>720</v>
      </c>
      <c r="Q2734" s="116">
        <v>715.35</v>
      </c>
      <c r="R2734">
        <v>3998970</v>
      </c>
    </row>
    <row r="2735" spans="1:18" x14ac:dyDescent="0.25">
      <c r="A2735" s="170">
        <v>46030</v>
      </c>
      <c r="B2735">
        <v>713.2</v>
      </c>
      <c r="C2735">
        <v>703.85</v>
      </c>
      <c r="D2735">
        <v>701.1</v>
      </c>
      <c r="E2735">
        <v>710.75</v>
      </c>
      <c r="F2735">
        <v>703.85</v>
      </c>
      <c r="G2735">
        <v>222327</v>
      </c>
      <c r="H2735" s="116"/>
      <c r="I2735" s="116"/>
      <c r="L2735" s="170">
        <v>46030</v>
      </c>
      <c r="M2735" s="116">
        <v>704.35</v>
      </c>
      <c r="N2735" s="116">
        <v>713.55</v>
      </c>
      <c r="O2735" s="116">
        <v>701</v>
      </c>
      <c r="P2735" s="116">
        <v>712</v>
      </c>
      <c r="Q2735" s="116">
        <v>704.35</v>
      </c>
      <c r="R2735">
        <v>3026071</v>
      </c>
    </row>
    <row r="2736" spans="1:18" x14ac:dyDescent="0.25">
      <c r="A2736" s="170">
        <v>46031</v>
      </c>
      <c r="B2736">
        <v>704.45</v>
      </c>
      <c r="C2736">
        <v>693.25</v>
      </c>
      <c r="D2736">
        <v>690.6</v>
      </c>
      <c r="E2736">
        <v>700.5</v>
      </c>
      <c r="F2736">
        <v>693.25</v>
      </c>
      <c r="G2736">
        <v>376352</v>
      </c>
      <c r="H2736" s="116"/>
      <c r="I2736" s="116"/>
      <c r="L2736" s="170">
        <v>46031</v>
      </c>
      <c r="M2736" s="116">
        <v>693.1</v>
      </c>
      <c r="N2736" s="116">
        <v>704.7</v>
      </c>
      <c r="O2736" s="116">
        <v>690.5</v>
      </c>
      <c r="P2736" s="116">
        <v>699.2</v>
      </c>
      <c r="Q2736" s="116">
        <v>693.1</v>
      </c>
      <c r="R2736">
        <v>2597123</v>
      </c>
    </row>
    <row r="2737" spans="1:18" x14ac:dyDescent="0.25">
      <c r="A2737" s="170">
        <v>46034</v>
      </c>
      <c r="B2737">
        <v>692.45</v>
      </c>
      <c r="C2737">
        <v>690.15</v>
      </c>
      <c r="D2737">
        <v>681.3</v>
      </c>
      <c r="E2737">
        <v>690.65</v>
      </c>
      <c r="F2737">
        <v>690.15</v>
      </c>
      <c r="G2737">
        <v>188254</v>
      </c>
      <c r="H2737" s="116"/>
      <c r="I2737" s="116"/>
      <c r="L2737" s="170">
        <v>46034</v>
      </c>
      <c r="M2737" s="116">
        <v>690.1</v>
      </c>
      <c r="N2737" s="116">
        <v>692.55</v>
      </c>
      <c r="O2737" s="116">
        <v>681.3</v>
      </c>
      <c r="P2737" s="116">
        <v>692</v>
      </c>
      <c r="Q2737" s="116">
        <v>690.1</v>
      </c>
      <c r="R2737">
        <v>1750234</v>
      </c>
    </row>
    <row r="2738" spans="1:18" x14ac:dyDescent="0.25">
      <c r="A2738" s="170">
        <v>46035</v>
      </c>
      <c r="B2738">
        <v>694.35</v>
      </c>
      <c r="C2738">
        <v>678.55</v>
      </c>
      <c r="D2738">
        <v>675.4</v>
      </c>
      <c r="E2738">
        <v>692.1</v>
      </c>
      <c r="F2738">
        <v>678.55</v>
      </c>
      <c r="G2738">
        <v>70501</v>
      </c>
      <c r="H2738" s="116"/>
      <c r="I2738" s="116"/>
      <c r="L2738" s="170">
        <v>46035</v>
      </c>
      <c r="M2738" s="116">
        <v>678.15</v>
      </c>
      <c r="N2738" s="116">
        <v>694.2</v>
      </c>
      <c r="O2738" s="116">
        <v>675.25</v>
      </c>
      <c r="P2738" s="116">
        <v>693</v>
      </c>
      <c r="Q2738" s="116">
        <v>678.15</v>
      </c>
      <c r="R2738">
        <v>3034666</v>
      </c>
    </row>
    <row r="2739" spans="1:18" x14ac:dyDescent="0.25">
      <c r="A2739" s="170">
        <v>46036</v>
      </c>
      <c r="B2739">
        <v>692.95</v>
      </c>
      <c r="C2739">
        <v>689.85</v>
      </c>
      <c r="D2739">
        <v>674.25</v>
      </c>
      <c r="E2739">
        <v>679.45</v>
      </c>
      <c r="F2739">
        <v>689.85</v>
      </c>
      <c r="G2739">
        <v>204520</v>
      </c>
      <c r="H2739" s="116"/>
      <c r="I2739" s="116"/>
      <c r="L2739" s="170">
        <v>46036</v>
      </c>
      <c r="M2739" s="116">
        <v>689.45</v>
      </c>
      <c r="N2739" s="116">
        <v>692.5</v>
      </c>
      <c r="O2739" s="116">
        <v>675.1</v>
      </c>
      <c r="P2739" s="116">
        <v>679.05</v>
      </c>
      <c r="Q2739" s="116">
        <v>689.45</v>
      </c>
      <c r="R2739">
        <v>3808208</v>
      </c>
    </row>
    <row r="2740" spans="1:18" x14ac:dyDescent="0.25">
      <c r="A2740" s="170">
        <v>46038</v>
      </c>
      <c r="B2740">
        <v>695.95</v>
      </c>
      <c r="C2740">
        <v>684.15</v>
      </c>
      <c r="D2740">
        <v>682.15</v>
      </c>
      <c r="E2740">
        <v>690.8</v>
      </c>
      <c r="F2740">
        <v>684.15</v>
      </c>
      <c r="G2740">
        <v>240644</v>
      </c>
      <c r="H2740" s="116"/>
      <c r="I2740" s="116"/>
      <c r="L2740" s="170">
        <v>46038</v>
      </c>
      <c r="M2740" s="116">
        <v>684.45</v>
      </c>
      <c r="N2740" s="116">
        <v>696</v>
      </c>
      <c r="O2740" s="116">
        <v>682.45</v>
      </c>
      <c r="P2740" s="116">
        <v>694.7</v>
      </c>
      <c r="Q2740" s="116">
        <v>684.45</v>
      </c>
      <c r="R2740">
        <v>3581617</v>
      </c>
    </row>
    <row r="2741" spans="1:18" x14ac:dyDescent="0.25">
      <c r="A2741" s="170">
        <v>46041</v>
      </c>
      <c r="B2741">
        <v>687.25</v>
      </c>
      <c r="C2741">
        <v>668.15</v>
      </c>
      <c r="D2741">
        <v>666</v>
      </c>
      <c r="E2741">
        <v>684</v>
      </c>
      <c r="F2741">
        <v>668.15</v>
      </c>
      <c r="G2741">
        <v>329273</v>
      </c>
      <c r="H2741" s="116"/>
      <c r="I2741" s="116"/>
      <c r="L2741" s="170">
        <v>46041</v>
      </c>
      <c r="M2741" s="116">
        <v>668.35</v>
      </c>
      <c r="N2741" s="116">
        <v>687.2</v>
      </c>
      <c r="O2741" s="116">
        <v>665.8</v>
      </c>
      <c r="P2741" s="116">
        <v>682.95</v>
      </c>
      <c r="Q2741" s="116">
        <v>668.35</v>
      </c>
      <c r="R2741">
        <v>3112471</v>
      </c>
    </row>
    <row r="2742" spans="1:18" x14ac:dyDescent="0.25">
      <c r="A2742" s="170">
        <v>46042</v>
      </c>
      <c r="B2742">
        <v>670.75</v>
      </c>
      <c r="C2742">
        <v>645.20000000000005</v>
      </c>
      <c r="D2742">
        <v>641.25</v>
      </c>
      <c r="E2742">
        <v>669.2</v>
      </c>
      <c r="F2742">
        <v>645.20000000000005</v>
      </c>
      <c r="G2742">
        <v>326617</v>
      </c>
      <c r="H2742" s="116"/>
      <c r="I2742" s="116"/>
      <c r="L2742" s="170">
        <v>46042</v>
      </c>
      <c r="M2742" s="116">
        <v>645.5</v>
      </c>
      <c r="N2742" s="116">
        <v>670.45</v>
      </c>
      <c r="O2742" s="116">
        <v>641.35</v>
      </c>
      <c r="P2742" s="116">
        <v>670</v>
      </c>
      <c r="Q2742" s="116">
        <v>645.5</v>
      </c>
      <c r="R2742">
        <v>3777196</v>
      </c>
    </row>
    <row r="2743" spans="1:18" x14ac:dyDescent="0.25">
      <c r="A2743" s="170">
        <v>46043</v>
      </c>
      <c r="B2743">
        <v>662.3</v>
      </c>
      <c r="C2743">
        <v>654</v>
      </c>
      <c r="D2743">
        <v>638</v>
      </c>
      <c r="E2743">
        <v>644.25</v>
      </c>
      <c r="F2743">
        <v>654</v>
      </c>
      <c r="G2743">
        <v>86636</v>
      </c>
      <c r="H2743" s="116"/>
      <c r="I2743" s="116"/>
      <c r="L2743" s="170">
        <v>46043</v>
      </c>
      <c r="M2743" s="116">
        <v>653.6</v>
      </c>
      <c r="N2743" s="116">
        <v>662.45</v>
      </c>
      <c r="O2743" s="116">
        <v>637.54999999999995</v>
      </c>
      <c r="P2743" s="116">
        <v>645</v>
      </c>
      <c r="Q2743" s="116">
        <v>653.6</v>
      </c>
      <c r="R2743">
        <v>5962526</v>
      </c>
    </row>
    <row r="2744" spans="1:18" x14ac:dyDescent="0.25">
      <c r="A2744" s="170">
        <v>46044</v>
      </c>
      <c r="B2744">
        <v>663</v>
      </c>
      <c r="C2744">
        <v>656.6</v>
      </c>
      <c r="D2744">
        <v>649.20000000000005</v>
      </c>
      <c r="E2744">
        <v>655.75</v>
      </c>
      <c r="F2744">
        <v>656.6</v>
      </c>
      <c r="G2744">
        <v>121789</v>
      </c>
      <c r="H2744" s="116"/>
      <c r="I2744" s="116"/>
      <c r="L2744" s="170">
        <v>46044</v>
      </c>
      <c r="M2744" s="116">
        <v>656.55</v>
      </c>
      <c r="N2744" s="116">
        <v>664.65</v>
      </c>
      <c r="O2744" s="116">
        <v>648.45000000000005</v>
      </c>
      <c r="P2744" s="116">
        <v>660</v>
      </c>
      <c r="Q2744" s="116">
        <v>656.55</v>
      </c>
      <c r="R2744">
        <v>5736453</v>
      </c>
    </row>
    <row r="2745" spans="1:18" x14ac:dyDescent="0.25">
      <c r="A2745" s="170">
        <v>46045</v>
      </c>
      <c r="B2745">
        <v>656</v>
      </c>
      <c r="C2745">
        <v>644.9</v>
      </c>
      <c r="D2745">
        <v>640.95000000000005</v>
      </c>
      <c r="E2745">
        <v>655</v>
      </c>
      <c r="F2745">
        <v>644.9</v>
      </c>
      <c r="G2745">
        <v>151862</v>
      </c>
      <c r="H2745" s="116"/>
      <c r="I2745" s="116"/>
      <c r="L2745" s="170">
        <v>46045</v>
      </c>
      <c r="M2745" s="116">
        <v>645.79999999999995</v>
      </c>
      <c r="N2745" s="116">
        <v>657.45</v>
      </c>
      <c r="O2745" s="116">
        <v>640.54999999999995</v>
      </c>
      <c r="P2745" s="116">
        <v>654</v>
      </c>
      <c r="Q2745" s="116">
        <v>645.79999999999995</v>
      </c>
      <c r="R2745">
        <v>4263487</v>
      </c>
    </row>
    <row r="2746" spans="1:18" x14ac:dyDescent="0.25">
      <c r="A2746" s="170">
        <v>46049</v>
      </c>
      <c r="B2746">
        <v>654</v>
      </c>
      <c r="C2746">
        <v>650.04999999999995</v>
      </c>
      <c r="D2746">
        <v>633.70000000000005</v>
      </c>
      <c r="E2746">
        <v>641.54999999999995</v>
      </c>
      <c r="F2746">
        <v>650.04999999999995</v>
      </c>
      <c r="G2746">
        <v>2247174</v>
      </c>
      <c r="H2746" s="116"/>
      <c r="I2746" s="116"/>
      <c r="L2746" s="170">
        <v>46049</v>
      </c>
      <c r="M2746" s="116">
        <v>651.35</v>
      </c>
      <c r="N2746" s="116">
        <v>654.1</v>
      </c>
      <c r="O2746" s="116">
        <v>633.85</v>
      </c>
      <c r="P2746" s="116">
        <v>640.70000000000005</v>
      </c>
      <c r="Q2746" s="116">
        <v>651.35</v>
      </c>
      <c r="R2746">
        <v>5027334</v>
      </c>
    </row>
    <row r="2747" spans="1:18" x14ac:dyDescent="0.25">
      <c r="A2747" s="170">
        <v>46050</v>
      </c>
      <c r="B2747">
        <v>658.6</v>
      </c>
      <c r="C2747">
        <v>656.3</v>
      </c>
      <c r="D2747">
        <v>648.54999999999995</v>
      </c>
      <c r="E2747">
        <v>650.9</v>
      </c>
      <c r="F2747">
        <v>656.3</v>
      </c>
      <c r="G2747">
        <v>37217</v>
      </c>
      <c r="H2747" s="116"/>
      <c r="I2747" s="116"/>
      <c r="L2747" s="170">
        <v>46050</v>
      </c>
      <c r="M2747" s="116">
        <v>656.2</v>
      </c>
      <c r="N2747" s="116">
        <v>659.4</v>
      </c>
      <c r="O2747" s="116">
        <v>648</v>
      </c>
      <c r="P2747" s="116">
        <v>651.4</v>
      </c>
      <c r="Q2747" s="116">
        <v>656.2</v>
      </c>
      <c r="R2747">
        <v>3678915</v>
      </c>
    </row>
    <row r="2748" spans="1:18" x14ac:dyDescent="0.25">
      <c r="A2748" s="170">
        <v>46051</v>
      </c>
      <c r="B2748">
        <v>665.8</v>
      </c>
      <c r="C2748">
        <v>664.6</v>
      </c>
      <c r="D2748">
        <v>648.95000000000005</v>
      </c>
      <c r="E2748">
        <v>655.25</v>
      </c>
      <c r="F2748">
        <v>664.6</v>
      </c>
      <c r="G2748">
        <v>66601</v>
      </c>
      <c r="H2748" s="116"/>
      <c r="I2748" s="116"/>
      <c r="L2748" s="170">
        <v>46051</v>
      </c>
      <c r="M2748" s="116">
        <v>664.6</v>
      </c>
      <c r="N2748" s="116">
        <v>665.8</v>
      </c>
      <c r="O2748" s="116">
        <v>648.54999999999995</v>
      </c>
      <c r="P2748" s="116">
        <v>656</v>
      </c>
      <c r="Q2748" s="116">
        <v>664.6</v>
      </c>
      <c r="R2748">
        <v>3053868</v>
      </c>
    </row>
    <row r="2749" spans="1:18" x14ac:dyDescent="0.25">
      <c r="A2749" s="170">
        <v>46052</v>
      </c>
      <c r="B2749">
        <v>677.45</v>
      </c>
      <c r="C2749">
        <v>674.5</v>
      </c>
      <c r="D2749">
        <v>661.6</v>
      </c>
      <c r="E2749">
        <v>666</v>
      </c>
      <c r="F2749">
        <v>674.5</v>
      </c>
      <c r="G2749">
        <v>176556</v>
      </c>
      <c r="H2749" s="116"/>
      <c r="I2749" s="116"/>
      <c r="L2749" s="170">
        <v>46052</v>
      </c>
      <c r="M2749" s="116">
        <v>674.15</v>
      </c>
      <c r="N2749" s="116">
        <v>678.5</v>
      </c>
      <c r="O2749" s="116">
        <v>661.5</v>
      </c>
      <c r="P2749" s="116">
        <v>667.9</v>
      </c>
      <c r="Q2749" s="116">
        <v>674.15</v>
      </c>
      <c r="R2749">
        <v>3713962</v>
      </c>
    </row>
    <row r="2750" spans="1:18" x14ac:dyDescent="0.25">
      <c r="A2750" s="170">
        <v>46054</v>
      </c>
      <c r="B2750">
        <v>681.5</v>
      </c>
      <c r="C2750">
        <v>661.85</v>
      </c>
      <c r="D2750">
        <v>626.65</v>
      </c>
      <c r="E2750">
        <v>675.05</v>
      </c>
      <c r="F2750">
        <v>661.85</v>
      </c>
      <c r="G2750">
        <v>84632</v>
      </c>
      <c r="H2750" s="116"/>
      <c r="I2750" s="116"/>
      <c r="L2750" s="170">
        <v>46054</v>
      </c>
      <c r="M2750" s="116">
        <v>664.3</v>
      </c>
      <c r="N2750" s="116">
        <v>681.45</v>
      </c>
      <c r="O2750" s="116">
        <v>627.20000000000005</v>
      </c>
      <c r="P2750" s="116">
        <v>675.6</v>
      </c>
      <c r="Q2750" s="116">
        <v>664.3</v>
      </c>
      <c r="R2750">
        <v>1739209</v>
      </c>
    </row>
    <row r="2751" spans="1:18" x14ac:dyDescent="0.25">
      <c r="A2751" s="170">
        <v>46055</v>
      </c>
      <c r="B2751">
        <v>667.15</v>
      </c>
      <c r="C2751">
        <v>664.2</v>
      </c>
      <c r="D2751">
        <v>647.29999999999995</v>
      </c>
      <c r="E2751">
        <v>662.1</v>
      </c>
      <c r="F2751">
        <v>664.2</v>
      </c>
      <c r="G2751">
        <v>144695</v>
      </c>
      <c r="H2751" s="116"/>
      <c r="I2751" s="116"/>
      <c r="L2751" s="170">
        <v>46055</v>
      </c>
      <c r="M2751" s="116">
        <v>663.9</v>
      </c>
      <c r="N2751" s="116">
        <v>667.3</v>
      </c>
      <c r="O2751" s="116">
        <v>646.70000000000005</v>
      </c>
      <c r="P2751" s="116">
        <v>664</v>
      </c>
      <c r="Q2751" s="116">
        <v>663.9</v>
      </c>
      <c r="R2751">
        <v>1970748</v>
      </c>
    </row>
    <row r="2752" spans="1:18" x14ac:dyDescent="0.25">
      <c r="A2752" s="170">
        <v>46056</v>
      </c>
      <c r="B2752">
        <v>694.2</v>
      </c>
      <c r="C2752">
        <v>681.25</v>
      </c>
      <c r="D2752">
        <v>675.6</v>
      </c>
      <c r="E2752">
        <v>675.6</v>
      </c>
      <c r="F2752">
        <v>681.25</v>
      </c>
      <c r="G2752">
        <v>310867</v>
      </c>
      <c r="H2752" s="116"/>
      <c r="I2752" s="116"/>
      <c r="L2752" s="170">
        <v>46056</v>
      </c>
      <c r="M2752" s="116">
        <v>681.5</v>
      </c>
      <c r="N2752" s="116">
        <v>693.9</v>
      </c>
      <c r="O2752" s="116">
        <v>678.25</v>
      </c>
      <c r="P2752" s="116">
        <v>680</v>
      </c>
      <c r="Q2752" s="116">
        <v>681.5</v>
      </c>
      <c r="R2752">
        <v>1625286</v>
      </c>
    </row>
    <row r="2753" spans="1:18" x14ac:dyDescent="0.25">
      <c r="A2753" s="170">
        <v>46057</v>
      </c>
      <c r="B2753">
        <v>689.7</v>
      </c>
      <c r="C2753">
        <v>686.1</v>
      </c>
      <c r="D2753">
        <v>671.6</v>
      </c>
      <c r="E2753">
        <v>689.7</v>
      </c>
      <c r="F2753">
        <v>686.1</v>
      </c>
      <c r="G2753">
        <v>44068</v>
      </c>
      <c r="H2753" s="116"/>
      <c r="I2753" s="116"/>
      <c r="L2753" s="170">
        <v>46057</v>
      </c>
      <c r="M2753" s="116">
        <v>686.15</v>
      </c>
      <c r="N2753" s="116">
        <v>687.6</v>
      </c>
      <c r="O2753" s="116">
        <v>671.1</v>
      </c>
      <c r="P2753" s="116">
        <v>684.9</v>
      </c>
      <c r="Q2753" s="116">
        <v>686.15</v>
      </c>
      <c r="R2753">
        <v>878517</v>
      </c>
    </row>
    <row r="2754" spans="1:18" x14ac:dyDescent="0.25">
      <c r="A2754" s="170">
        <v>46058</v>
      </c>
      <c r="B2754">
        <v>693.85</v>
      </c>
      <c r="C2754">
        <v>689.05</v>
      </c>
      <c r="D2754">
        <v>682</v>
      </c>
      <c r="E2754">
        <v>687.3</v>
      </c>
      <c r="F2754">
        <v>689.05</v>
      </c>
      <c r="G2754">
        <v>149855</v>
      </c>
      <c r="H2754" s="116"/>
      <c r="I2754" s="116"/>
      <c r="L2754" s="170">
        <v>46058</v>
      </c>
      <c r="M2754" s="116">
        <v>689.15</v>
      </c>
      <c r="N2754" s="116">
        <v>693.45</v>
      </c>
      <c r="O2754" s="116">
        <v>681.85</v>
      </c>
      <c r="P2754" s="116">
        <v>689.4</v>
      </c>
      <c r="Q2754" s="116">
        <v>689.15</v>
      </c>
      <c r="R2754">
        <v>1307331</v>
      </c>
    </row>
    <row r="2755" spans="1:18" x14ac:dyDescent="0.25">
      <c r="A2755" s="170">
        <v>46059</v>
      </c>
      <c r="B2755">
        <v>689.5</v>
      </c>
      <c r="C2755">
        <v>682.65</v>
      </c>
      <c r="D2755">
        <v>676</v>
      </c>
      <c r="E2755">
        <v>689.5</v>
      </c>
      <c r="F2755">
        <v>682.65</v>
      </c>
      <c r="G2755">
        <v>23980</v>
      </c>
      <c r="H2755" s="116"/>
      <c r="I2755" s="116"/>
      <c r="L2755" s="170">
        <v>46059</v>
      </c>
      <c r="M2755" s="116">
        <v>683.2</v>
      </c>
      <c r="N2755" s="116">
        <v>688.95</v>
      </c>
      <c r="O2755" s="116">
        <v>675.3</v>
      </c>
      <c r="P2755" s="116">
        <v>687.55</v>
      </c>
      <c r="Q2755" s="116">
        <v>683.2</v>
      </c>
      <c r="R2755">
        <v>916019</v>
      </c>
    </row>
    <row r="2756" spans="1:18" x14ac:dyDescent="0.25">
      <c r="A2756" s="170">
        <v>46062</v>
      </c>
      <c r="B2756">
        <v>698.75</v>
      </c>
      <c r="C2756">
        <v>696.2</v>
      </c>
      <c r="D2756">
        <v>683.15</v>
      </c>
      <c r="E2756">
        <v>683.55</v>
      </c>
      <c r="F2756">
        <v>696.2</v>
      </c>
      <c r="G2756">
        <v>56634</v>
      </c>
      <c r="H2756" s="116"/>
      <c r="I2756" s="116"/>
      <c r="L2756" s="170">
        <v>46062</v>
      </c>
      <c r="M2756" s="116">
        <v>695</v>
      </c>
      <c r="N2756" s="116">
        <v>698.8</v>
      </c>
      <c r="O2756" s="116">
        <v>682.95</v>
      </c>
      <c r="P2756" s="116">
        <v>684.35</v>
      </c>
      <c r="Q2756" s="116">
        <v>695</v>
      </c>
      <c r="R2756">
        <v>1133059</v>
      </c>
    </row>
    <row r="2757" spans="1:18" x14ac:dyDescent="0.25">
      <c r="A2757" s="170">
        <v>46063</v>
      </c>
      <c r="B2757">
        <v>706.9</v>
      </c>
      <c r="C2757">
        <v>702.3</v>
      </c>
      <c r="D2757">
        <v>693.55</v>
      </c>
      <c r="E2757">
        <v>701.15</v>
      </c>
      <c r="F2757">
        <v>702.3</v>
      </c>
      <c r="G2757">
        <v>70316</v>
      </c>
      <c r="H2757" s="116"/>
      <c r="I2757" s="116"/>
      <c r="L2757" s="170">
        <v>46063</v>
      </c>
      <c r="M2757" s="116">
        <v>702.55</v>
      </c>
      <c r="N2757" s="116">
        <v>706.9</v>
      </c>
      <c r="O2757" s="116">
        <v>693</v>
      </c>
      <c r="P2757" s="116">
        <v>700</v>
      </c>
      <c r="Q2757" s="116">
        <v>702.55</v>
      </c>
      <c r="R2757">
        <v>1303615</v>
      </c>
    </row>
    <row r="2758" spans="1:18" x14ac:dyDescent="0.25">
      <c r="A2758" s="170">
        <v>46064</v>
      </c>
      <c r="B2758">
        <v>708.85</v>
      </c>
      <c r="C2758">
        <v>707.3</v>
      </c>
      <c r="D2758">
        <v>698.65</v>
      </c>
      <c r="E2758">
        <v>708.85</v>
      </c>
      <c r="F2758">
        <v>707.3</v>
      </c>
      <c r="G2758">
        <v>34128</v>
      </c>
      <c r="H2758" s="116"/>
      <c r="I2758" s="116"/>
      <c r="L2758" s="170">
        <v>46064</v>
      </c>
      <c r="M2758" s="116">
        <v>707.55</v>
      </c>
      <c r="N2758" s="116">
        <v>708.6</v>
      </c>
      <c r="O2758" s="116">
        <v>698.5</v>
      </c>
      <c r="P2758" s="116">
        <v>703.45</v>
      </c>
      <c r="Q2758" s="116">
        <v>707.55</v>
      </c>
      <c r="R2758">
        <v>1356773</v>
      </c>
    </row>
    <row r="2759" spans="1:18" x14ac:dyDescent="0.25">
      <c r="A2759" s="170">
        <v>46065</v>
      </c>
      <c r="B2759">
        <v>718.7</v>
      </c>
      <c r="C2759">
        <v>711.6</v>
      </c>
      <c r="D2759">
        <v>696.3</v>
      </c>
      <c r="E2759">
        <v>718.7</v>
      </c>
      <c r="F2759">
        <v>711.6</v>
      </c>
      <c r="G2759">
        <v>58431</v>
      </c>
      <c r="H2759" s="116"/>
      <c r="I2759" s="116"/>
      <c r="L2759" s="170">
        <v>46065</v>
      </c>
      <c r="M2759" s="116">
        <v>712</v>
      </c>
      <c r="N2759" s="116">
        <v>713.9</v>
      </c>
      <c r="O2759" s="116">
        <v>696.2</v>
      </c>
      <c r="P2759" s="116">
        <v>707</v>
      </c>
      <c r="Q2759" s="116">
        <v>712</v>
      </c>
      <c r="R2759">
        <v>3425160</v>
      </c>
    </row>
    <row r="2760" spans="1:18" x14ac:dyDescent="0.25">
      <c r="A2760" s="170">
        <v>46066</v>
      </c>
      <c r="B2760">
        <v>709.9</v>
      </c>
      <c r="C2760">
        <v>700.25</v>
      </c>
      <c r="D2760">
        <v>683.95</v>
      </c>
      <c r="E2760">
        <v>709.9</v>
      </c>
      <c r="F2760">
        <v>700.25</v>
      </c>
      <c r="G2760">
        <v>127529</v>
      </c>
      <c r="H2760" s="116"/>
      <c r="I2760" s="116"/>
      <c r="L2760" s="170">
        <v>46066</v>
      </c>
      <c r="M2760" s="116">
        <v>699.9</v>
      </c>
      <c r="N2760" s="116">
        <v>707</v>
      </c>
      <c r="O2760" s="116">
        <v>683.4</v>
      </c>
      <c r="P2760" s="116">
        <v>707</v>
      </c>
      <c r="Q2760" s="116">
        <v>699.9</v>
      </c>
      <c r="R2760">
        <v>3861052</v>
      </c>
    </row>
    <row r="2761" spans="1:18" x14ac:dyDescent="0.25">
      <c r="A2761" s="170">
        <v>46069</v>
      </c>
      <c r="B2761">
        <v>702.9</v>
      </c>
      <c r="C2761">
        <v>690.8</v>
      </c>
      <c r="D2761">
        <v>685.4</v>
      </c>
      <c r="E2761">
        <v>696.2</v>
      </c>
      <c r="F2761">
        <v>690.8</v>
      </c>
      <c r="G2761">
        <v>99689</v>
      </c>
      <c r="H2761" s="116"/>
      <c r="I2761" s="116"/>
      <c r="L2761" s="170">
        <v>46069</v>
      </c>
      <c r="M2761" s="116">
        <v>691</v>
      </c>
      <c r="N2761" s="116">
        <v>703.45</v>
      </c>
      <c r="O2761" s="116">
        <v>685.45</v>
      </c>
      <c r="P2761" s="116">
        <v>699.9</v>
      </c>
      <c r="Q2761" s="116">
        <v>691</v>
      </c>
      <c r="R2761">
        <v>1206215</v>
      </c>
    </row>
    <row r="2762" spans="1:18" x14ac:dyDescent="0.25">
      <c r="A2762" s="170">
        <v>46070</v>
      </c>
      <c r="B2762">
        <v>698.5</v>
      </c>
      <c r="C2762">
        <v>687.5</v>
      </c>
      <c r="D2762">
        <v>686.1</v>
      </c>
      <c r="E2762">
        <v>691.05</v>
      </c>
      <c r="F2762">
        <v>687.5</v>
      </c>
      <c r="G2762">
        <v>21248</v>
      </c>
      <c r="H2762" s="116"/>
      <c r="I2762" s="116"/>
      <c r="L2762" s="170">
        <v>46070</v>
      </c>
      <c r="M2762" s="116">
        <v>687.75</v>
      </c>
      <c r="N2762" s="116">
        <v>699</v>
      </c>
      <c r="O2762" s="116">
        <v>685.7</v>
      </c>
      <c r="P2762" s="116">
        <v>691</v>
      </c>
      <c r="Q2762" s="116">
        <v>687.75</v>
      </c>
      <c r="R2762">
        <v>1325438</v>
      </c>
    </row>
    <row r="2763" spans="1:18" x14ac:dyDescent="0.25">
      <c r="A2763" s="170">
        <v>46071</v>
      </c>
      <c r="B2763">
        <v>696.6</v>
      </c>
      <c r="C2763">
        <v>695.1</v>
      </c>
      <c r="D2763">
        <v>682.05</v>
      </c>
      <c r="E2763">
        <v>685</v>
      </c>
      <c r="F2763">
        <v>695.1</v>
      </c>
      <c r="G2763">
        <v>178370</v>
      </c>
      <c r="H2763" s="116"/>
      <c r="I2763" s="116"/>
      <c r="L2763" s="170">
        <v>46071</v>
      </c>
      <c r="M2763" s="116">
        <v>695.1</v>
      </c>
      <c r="N2763" s="116">
        <v>696.9</v>
      </c>
      <c r="O2763" s="116">
        <v>682.3</v>
      </c>
      <c r="P2763" s="116">
        <v>683</v>
      </c>
      <c r="Q2763" s="116">
        <v>695.1</v>
      </c>
      <c r="R2763">
        <v>1977779</v>
      </c>
    </row>
    <row r="2764" spans="1:18" x14ac:dyDescent="0.25">
      <c r="A2764" s="170">
        <v>46072</v>
      </c>
      <c r="B2764">
        <v>696</v>
      </c>
      <c r="C2764">
        <v>672.1</v>
      </c>
      <c r="D2764">
        <v>668.75</v>
      </c>
      <c r="E2764">
        <v>695.2</v>
      </c>
      <c r="F2764">
        <v>672.1</v>
      </c>
      <c r="G2764">
        <v>73904</v>
      </c>
      <c r="H2764" s="116"/>
      <c r="I2764" s="116"/>
      <c r="L2764" s="170">
        <v>46072</v>
      </c>
      <c r="M2764" s="116">
        <v>672.1</v>
      </c>
      <c r="N2764" s="116">
        <v>697</v>
      </c>
      <c r="O2764" s="116">
        <v>668.1</v>
      </c>
      <c r="P2764" s="116">
        <v>695.95</v>
      </c>
      <c r="Q2764" s="116">
        <v>672.1</v>
      </c>
      <c r="R2764">
        <v>1302865</v>
      </c>
    </row>
    <row r="2765" spans="1:18" x14ac:dyDescent="0.25">
      <c r="A2765" s="170">
        <v>46073</v>
      </c>
      <c r="B2765">
        <v>680.55</v>
      </c>
      <c r="C2765">
        <v>674.3</v>
      </c>
      <c r="D2765">
        <v>665</v>
      </c>
      <c r="E2765">
        <v>671.75</v>
      </c>
      <c r="F2765">
        <v>674.3</v>
      </c>
      <c r="G2765">
        <v>48477</v>
      </c>
      <c r="H2765" s="116"/>
      <c r="I2765" s="116"/>
      <c r="L2765" s="170">
        <v>46073</v>
      </c>
      <c r="M2765" s="116">
        <v>674.95</v>
      </c>
      <c r="N2765" s="116">
        <v>680.5</v>
      </c>
      <c r="O2765" s="116">
        <v>665</v>
      </c>
      <c r="P2765" s="116">
        <v>671</v>
      </c>
      <c r="Q2765" s="116">
        <v>674.95</v>
      </c>
      <c r="R2765">
        <v>1301586</v>
      </c>
    </row>
    <row r="2766" spans="1:18" x14ac:dyDescent="0.25">
      <c r="A2766" s="170">
        <v>46076</v>
      </c>
      <c r="B2766">
        <v>683.25</v>
      </c>
      <c r="C2766">
        <v>674.6</v>
      </c>
      <c r="D2766">
        <v>672.1</v>
      </c>
      <c r="E2766">
        <v>680</v>
      </c>
      <c r="F2766">
        <v>674.6</v>
      </c>
      <c r="G2766">
        <v>43551</v>
      </c>
      <c r="H2766" s="116"/>
      <c r="I2766" s="116"/>
      <c r="L2766" s="170">
        <v>46076</v>
      </c>
      <c r="M2766" s="116">
        <v>675.1</v>
      </c>
      <c r="N2766" s="116">
        <v>683.1</v>
      </c>
      <c r="O2766" s="116">
        <v>672.1</v>
      </c>
      <c r="P2766" s="116">
        <v>681.05</v>
      </c>
      <c r="Q2766" s="116">
        <v>675.1</v>
      </c>
      <c r="R2766">
        <v>3799324</v>
      </c>
    </row>
    <row r="2767" spans="1:18" x14ac:dyDescent="0.25">
      <c r="A2767" s="170">
        <v>46077</v>
      </c>
      <c r="B2767">
        <v>679</v>
      </c>
      <c r="C2767">
        <v>676.85</v>
      </c>
      <c r="D2767">
        <v>668.25</v>
      </c>
      <c r="E2767">
        <v>668.25</v>
      </c>
      <c r="F2767">
        <v>676.85</v>
      </c>
      <c r="G2767">
        <v>140784</v>
      </c>
      <c r="H2767" s="116"/>
      <c r="I2767" s="116"/>
      <c r="L2767" s="170">
        <v>46077</v>
      </c>
      <c r="M2767" s="116">
        <v>676.15</v>
      </c>
      <c r="N2767" s="116">
        <v>679.1</v>
      </c>
      <c r="O2767" s="116">
        <v>668.3</v>
      </c>
      <c r="P2767" s="116">
        <v>669.1</v>
      </c>
      <c r="Q2767" s="116">
        <v>676.15</v>
      </c>
      <c r="R2767">
        <v>2532825</v>
      </c>
    </row>
    <row r="2768" spans="1:18" x14ac:dyDescent="0.25">
      <c r="A2768" s="170">
        <v>46078</v>
      </c>
      <c r="B2768">
        <v>682.95</v>
      </c>
      <c r="C2768">
        <v>676.6</v>
      </c>
      <c r="D2768">
        <v>671.05</v>
      </c>
      <c r="E2768">
        <v>676.05</v>
      </c>
      <c r="F2768">
        <v>676.6</v>
      </c>
      <c r="G2768">
        <v>90377</v>
      </c>
      <c r="H2768" s="116"/>
      <c r="I2768" s="116"/>
      <c r="L2768" s="170">
        <v>46078</v>
      </c>
      <c r="M2768" s="116">
        <v>676.7</v>
      </c>
      <c r="N2768" s="116">
        <v>682.9</v>
      </c>
      <c r="O2768" s="116">
        <v>671.25</v>
      </c>
      <c r="P2768" s="116">
        <v>678</v>
      </c>
      <c r="Q2768" s="116">
        <v>676.7</v>
      </c>
      <c r="R2768">
        <v>1463623</v>
      </c>
    </row>
    <row r="2769" spans="1:18" x14ac:dyDescent="0.25">
      <c r="A2769" s="170">
        <v>46079</v>
      </c>
      <c r="B2769">
        <v>682.35</v>
      </c>
      <c r="C2769">
        <v>681.1</v>
      </c>
      <c r="D2769">
        <v>673.25</v>
      </c>
      <c r="E2769">
        <v>676.7</v>
      </c>
      <c r="F2769">
        <v>681.1</v>
      </c>
      <c r="G2769">
        <v>21574</v>
      </c>
      <c r="H2769" s="116"/>
      <c r="I2769" s="116"/>
      <c r="L2769" s="170">
        <v>46079</v>
      </c>
      <c r="M2769" s="116">
        <v>680.95</v>
      </c>
      <c r="N2769" s="116">
        <v>682.05</v>
      </c>
      <c r="O2769" s="116">
        <v>672.95</v>
      </c>
      <c r="P2769" s="116">
        <v>676.7</v>
      </c>
      <c r="Q2769" s="116">
        <v>680.95</v>
      </c>
      <c r="R2769">
        <v>1540627</v>
      </c>
    </row>
    <row r="2770" spans="1:18" x14ac:dyDescent="0.25">
      <c r="A2770" s="170">
        <v>46080</v>
      </c>
      <c r="B2770">
        <v>683.95</v>
      </c>
      <c r="C2770">
        <v>667.3</v>
      </c>
      <c r="D2770">
        <v>665</v>
      </c>
      <c r="E2770">
        <v>682.65</v>
      </c>
      <c r="F2770">
        <v>667.3</v>
      </c>
      <c r="G2770">
        <v>93961</v>
      </c>
      <c r="H2770" s="116"/>
      <c r="I2770" s="116"/>
      <c r="L2770" s="170">
        <v>46080</v>
      </c>
      <c r="M2770" s="116">
        <v>667.05</v>
      </c>
      <c r="N2770" s="116">
        <v>685</v>
      </c>
      <c r="O2770" s="116">
        <v>665.25</v>
      </c>
      <c r="P2770" s="116">
        <v>685</v>
      </c>
      <c r="Q2770" s="116">
        <v>667.05</v>
      </c>
      <c r="R2770">
        <v>4968047</v>
      </c>
    </row>
    <row r="2771" spans="1:18" x14ac:dyDescent="0.25">
      <c r="A2771" s="170">
        <v>46083</v>
      </c>
      <c r="B2771">
        <v>662</v>
      </c>
      <c r="C2771">
        <v>651.29999999999995</v>
      </c>
      <c r="D2771">
        <v>637.79999999999995</v>
      </c>
      <c r="E2771">
        <v>637.79999999999995</v>
      </c>
      <c r="F2771">
        <v>651.29999999999995</v>
      </c>
      <c r="G2771">
        <v>1362638</v>
      </c>
      <c r="H2771" s="116"/>
      <c r="I2771" s="116"/>
      <c r="L2771" s="170">
        <v>46083</v>
      </c>
      <c r="M2771" s="116">
        <v>651</v>
      </c>
      <c r="N2771" s="116">
        <v>662.1</v>
      </c>
      <c r="O2771" s="116">
        <v>640.25</v>
      </c>
      <c r="P2771" s="116">
        <v>645.29999999999995</v>
      </c>
      <c r="Q2771" s="116">
        <v>651</v>
      </c>
      <c r="R2771">
        <v>1894582</v>
      </c>
    </row>
    <row r="2772" spans="1:18" x14ac:dyDescent="0.25">
      <c r="A2772" s="170">
        <v>46085</v>
      </c>
      <c r="B2772">
        <v>641.75</v>
      </c>
      <c r="C2772">
        <v>632.15</v>
      </c>
      <c r="D2772">
        <v>627.4</v>
      </c>
      <c r="E2772">
        <v>640.15</v>
      </c>
      <c r="F2772">
        <v>632.15</v>
      </c>
      <c r="G2772">
        <v>274057</v>
      </c>
      <c r="H2772" s="116"/>
      <c r="I2772" s="116"/>
      <c r="L2772" s="170">
        <v>46085</v>
      </c>
      <c r="M2772" s="116">
        <v>633.75</v>
      </c>
      <c r="N2772" s="116">
        <v>643.04999999999995</v>
      </c>
      <c r="O2772" s="116">
        <v>630</v>
      </c>
      <c r="P2772" s="116">
        <v>640</v>
      </c>
      <c r="Q2772" s="116">
        <v>633.75</v>
      </c>
      <c r="R2772">
        <v>3210626</v>
      </c>
    </row>
    <row r="2773" spans="1:18" x14ac:dyDescent="0.25">
      <c r="A2773" s="170">
        <v>46086</v>
      </c>
      <c r="B2773">
        <v>642.25</v>
      </c>
      <c r="C2773">
        <v>629.79999999999995</v>
      </c>
      <c r="D2773">
        <v>614.04999999999995</v>
      </c>
      <c r="E2773">
        <v>634.54999999999995</v>
      </c>
      <c r="F2773">
        <v>629.79999999999995</v>
      </c>
      <c r="G2773">
        <v>137665</v>
      </c>
      <c r="H2773" s="116"/>
      <c r="I2773" s="116"/>
      <c r="L2773" s="170">
        <v>46086</v>
      </c>
      <c r="M2773" s="116">
        <v>629.70000000000005</v>
      </c>
      <c r="N2773" s="116">
        <v>641.85</v>
      </c>
      <c r="O2773" s="116">
        <v>614.1</v>
      </c>
      <c r="P2773" s="116">
        <v>638</v>
      </c>
      <c r="Q2773" s="116">
        <v>629.70000000000005</v>
      </c>
      <c r="R2773">
        <v>4257521</v>
      </c>
    </row>
    <row r="2774" spans="1:18" x14ac:dyDescent="0.25">
      <c r="A2774" s="170">
        <v>46087</v>
      </c>
      <c r="B2774">
        <v>629.75</v>
      </c>
      <c r="C2774">
        <v>623.70000000000005</v>
      </c>
      <c r="D2774">
        <v>618.75</v>
      </c>
      <c r="E2774">
        <v>620.45000000000005</v>
      </c>
      <c r="F2774">
        <v>623.70000000000005</v>
      </c>
      <c r="G2774">
        <v>800958</v>
      </c>
      <c r="H2774" s="116"/>
      <c r="I2774" s="116"/>
      <c r="L2774" s="170">
        <v>46087</v>
      </c>
      <c r="M2774" s="116">
        <v>623.85</v>
      </c>
      <c r="N2774" s="116">
        <v>629.75</v>
      </c>
      <c r="O2774" s="116">
        <v>618.79999999999995</v>
      </c>
      <c r="P2774" s="116">
        <v>624.65</v>
      </c>
      <c r="Q2774" s="116">
        <v>623.85</v>
      </c>
      <c r="R2774">
        <v>3777555</v>
      </c>
    </row>
    <row r="2775" spans="1:18" x14ac:dyDescent="0.25">
      <c r="A2775" s="170">
        <v>46090</v>
      </c>
      <c r="B2775">
        <v>614.4</v>
      </c>
      <c r="C2775">
        <v>611.79999999999995</v>
      </c>
      <c r="D2775">
        <v>597.15</v>
      </c>
      <c r="E2775">
        <v>612.9</v>
      </c>
      <c r="F2775">
        <v>611.79999999999995</v>
      </c>
      <c r="G2775">
        <v>135617</v>
      </c>
      <c r="H2775" s="116"/>
      <c r="I2775" s="116"/>
      <c r="L2775" s="170">
        <v>46090</v>
      </c>
      <c r="M2775" s="116">
        <v>611.70000000000005</v>
      </c>
      <c r="N2775" s="116">
        <v>613.95000000000005</v>
      </c>
      <c r="O2775" s="116">
        <v>597</v>
      </c>
      <c r="P2775" s="116">
        <v>610.1</v>
      </c>
      <c r="Q2775" s="116">
        <v>611.70000000000005</v>
      </c>
      <c r="R2775">
        <v>3679712</v>
      </c>
    </row>
    <row r="2776" spans="1:18" x14ac:dyDescent="0.25">
      <c r="A2776" s="170">
        <v>46091</v>
      </c>
      <c r="B2776">
        <v>631.45000000000005</v>
      </c>
      <c r="C2776">
        <v>629.20000000000005</v>
      </c>
      <c r="D2776">
        <v>613.45000000000005</v>
      </c>
      <c r="E2776">
        <v>613.45000000000005</v>
      </c>
      <c r="F2776">
        <v>629.20000000000005</v>
      </c>
      <c r="G2776">
        <v>92935</v>
      </c>
      <c r="H2776" s="116"/>
      <c r="I2776" s="116"/>
      <c r="L2776" s="170">
        <v>46091</v>
      </c>
      <c r="M2776" s="116">
        <v>629.4</v>
      </c>
      <c r="N2776" s="116">
        <v>631.4</v>
      </c>
      <c r="O2776" s="116">
        <v>612.25</v>
      </c>
      <c r="P2776" s="116">
        <v>612.25</v>
      </c>
      <c r="Q2776" s="116">
        <v>629.4</v>
      </c>
      <c r="R2776">
        <v>2881261</v>
      </c>
    </row>
    <row r="2777" spans="1:18" x14ac:dyDescent="0.25">
      <c r="A2777" s="170">
        <v>46092</v>
      </c>
      <c r="B2777">
        <v>635.45000000000005</v>
      </c>
      <c r="C2777">
        <v>623.85</v>
      </c>
      <c r="D2777">
        <v>620.4</v>
      </c>
      <c r="E2777">
        <v>629.29999999999995</v>
      </c>
      <c r="F2777">
        <v>623.85</v>
      </c>
      <c r="G2777">
        <v>214604</v>
      </c>
      <c r="H2777" s="116"/>
      <c r="I2777" s="116"/>
      <c r="L2777" s="170">
        <v>46092</v>
      </c>
      <c r="M2777" s="116">
        <v>624.04999999999995</v>
      </c>
      <c r="N2777" s="116">
        <v>632</v>
      </c>
      <c r="O2777" s="116">
        <v>620.35</v>
      </c>
      <c r="P2777" s="116">
        <v>630</v>
      </c>
      <c r="Q2777" s="116">
        <v>624.04999999999995</v>
      </c>
      <c r="R2777">
        <v>2374852</v>
      </c>
    </row>
    <row r="2778" spans="1:18" x14ac:dyDescent="0.25">
      <c r="A2778" s="170">
        <v>46093</v>
      </c>
      <c r="B2778">
        <v>631.4</v>
      </c>
      <c r="C2778">
        <v>624.79999999999995</v>
      </c>
      <c r="D2778">
        <v>603.9</v>
      </c>
      <c r="E2778">
        <v>619.95000000000005</v>
      </c>
      <c r="F2778">
        <v>624.79999999999995</v>
      </c>
      <c r="G2778">
        <v>83666</v>
      </c>
      <c r="H2778" s="116"/>
      <c r="I2778" s="116"/>
      <c r="L2778" s="170">
        <v>46093</v>
      </c>
      <c r="M2778" s="116">
        <v>624.95000000000005</v>
      </c>
      <c r="N2778" s="116">
        <v>631.9</v>
      </c>
      <c r="O2778" s="116">
        <v>603.75</v>
      </c>
      <c r="P2778" s="116">
        <v>617</v>
      </c>
      <c r="Q2778" s="116">
        <v>624.95000000000005</v>
      </c>
      <c r="R2778">
        <v>4723816</v>
      </c>
    </row>
    <row r="2779" spans="1:18" x14ac:dyDescent="0.25">
      <c r="A2779" s="170">
        <v>46094</v>
      </c>
      <c r="B2779">
        <v>623.70000000000005</v>
      </c>
      <c r="C2779">
        <v>609.79999999999995</v>
      </c>
      <c r="D2779">
        <v>607.45000000000005</v>
      </c>
      <c r="E2779">
        <v>618.79999999999995</v>
      </c>
      <c r="F2779">
        <v>609.79999999999995</v>
      </c>
      <c r="G2779">
        <v>93419</v>
      </c>
      <c r="H2779" s="116"/>
      <c r="I2779" s="116"/>
      <c r="L2779" s="170">
        <v>46094</v>
      </c>
      <c r="M2779" s="116">
        <v>609.85</v>
      </c>
      <c r="N2779" s="116">
        <v>624.95000000000005</v>
      </c>
      <c r="O2779" s="116">
        <v>607.04999999999995</v>
      </c>
      <c r="P2779" s="116">
        <v>617.20000000000005</v>
      </c>
      <c r="Q2779" s="116">
        <v>609.85</v>
      </c>
      <c r="R2779">
        <v>2889105</v>
      </c>
    </row>
    <row r="2780" spans="1:18" x14ac:dyDescent="0.25">
      <c r="A2780" s="170">
        <v>46097</v>
      </c>
      <c r="B2780">
        <v>616.9</v>
      </c>
      <c r="C2780">
        <v>613.35</v>
      </c>
      <c r="D2780">
        <v>595</v>
      </c>
      <c r="E2780">
        <v>608.45000000000005</v>
      </c>
      <c r="F2780">
        <v>613.35</v>
      </c>
      <c r="G2780">
        <v>155552</v>
      </c>
      <c r="H2780" s="116"/>
      <c r="I2780" s="116"/>
      <c r="L2780" s="170">
        <v>46097</v>
      </c>
      <c r="M2780" s="116">
        <v>613.35</v>
      </c>
      <c r="N2780" s="116">
        <v>617.20000000000005</v>
      </c>
      <c r="O2780" s="116">
        <v>595</v>
      </c>
      <c r="P2780" s="116">
        <v>610</v>
      </c>
      <c r="Q2780" s="116">
        <v>613.35</v>
      </c>
      <c r="R2780">
        <v>3356823</v>
      </c>
    </row>
    <row r="2781" spans="1:18" x14ac:dyDescent="0.25">
      <c r="A2781" s="170">
        <v>46098</v>
      </c>
      <c r="B2781">
        <v>625.4</v>
      </c>
      <c r="C2781">
        <v>621.29999999999995</v>
      </c>
      <c r="D2781">
        <v>608.04999999999995</v>
      </c>
      <c r="E2781">
        <v>614.25</v>
      </c>
      <c r="F2781">
        <v>621.29999999999995</v>
      </c>
      <c r="G2781">
        <v>64752</v>
      </c>
      <c r="H2781" s="116"/>
      <c r="I2781" s="116"/>
      <c r="L2781" s="170">
        <v>46098</v>
      </c>
      <c r="M2781" s="116">
        <v>622.04999999999995</v>
      </c>
      <c r="N2781" s="116">
        <v>624.95000000000005</v>
      </c>
      <c r="O2781" s="116">
        <v>608</v>
      </c>
      <c r="P2781" s="116">
        <v>615</v>
      </c>
      <c r="Q2781" s="116">
        <v>622.04999999999995</v>
      </c>
      <c r="R2781">
        <v>2270604</v>
      </c>
    </row>
    <row r="2782" spans="1:18" x14ac:dyDescent="0.25">
      <c r="A2782" s="170">
        <v>46099</v>
      </c>
      <c r="B2782">
        <v>641.75</v>
      </c>
      <c r="C2782">
        <v>637.1</v>
      </c>
      <c r="D2782">
        <v>622.04999999999995</v>
      </c>
      <c r="E2782">
        <v>629.35</v>
      </c>
      <c r="F2782">
        <v>637.1</v>
      </c>
      <c r="G2782">
        <v>48961</v>
      </c>
      <c r="H2782" s="116"/>
      <c r="I2782" s="116"/>
      <c r="L2782" s="170">
        <v>46099</v>
      </c>
      <c r="M2782" s="116">
        <v>636.95000000000005</v>
      </c>
      <c r="N2782" s="116">
        <v>641.9</v>
      </c>
      <c r="O2782" s="116">
        <v>621.70000000000005</v>
      </c>
      <c r="P2782" s="116">
        <v>624.85</v>
      </c>
      <c r="Q2782" s="116">
        <v>636.95000000000005</v>
      </c>
      <c r="R2782">
        <v>2400000</v>
      </c>
    </row>
    <row r="2783" spans="1:18" x14ac:dyDescent="0.25">
      <c r="A2783" s="170">
        <v>46100</v>
      </c>
      <c r="B2783">
        <v>630.70000000000005</v>
      </c>
      <c r="C2783">
        <v>613.29999999999995</v>
      </c>
      <c r="D2783">
        <v>611.5</v>
      </c>
      <c r="E2783">
        <v>630.70000000000005</v>
      </c>
      <c r="F2783">
        <v>613.29999999999995</v>
      </c>
      <c r="G2783">
        <v>58675</v>
      </c>
      <c r="H2783" s="116"/>
      <c r="I2783" s="116"/>
      <c r="L2783" s="170">
        <v>46100</v>
      </c>
      <c r="M2783" s="116">
        <v>613.65</v>
      </c>
      <c r="N2783" s="116">
        <v>629.35</v>
      </c>
      <c r="O2783" s="116">
        <v>611.54999999999995</v>
      </c>
      <c r="P2783" s="116">
        <v>629.35</v>
      </c>
      <c r="Q2783" s="116">
        <v>613.65</v>
      </c>
      <c r="R2783">
        <v>1029632</v>
      </c>
    </row>
    <row r="2784" spans="1:18" x14ac:dyDescent="0.25">
      <c r="A2784" s="170">
        <v>46101</v>
      </c>
      <c r="B2784">
        <v>630</v>
      </c>
      <c r="C2784">
        <v>615.75</v>
      </c>
      <c r="D2784">
        <v>614.15</v>
      </c>
      <c r="E2784">
        <v>614.9</v>
      </c>
      <c r="F2784">
        <v>615.75</v>
      </c>
      <c r="G2784">
        <v>68213</v>
      </c>
      <c r="H2784" s="116"/>
      <c r="I2784" s="116"/>
      <c r="L2784" s="170">
        <v>46101</v>
      </c>
      <c r="M2784" s="116">
        <v>615.54999999999995</v>
      </c>
      <c r="N2784" s="116">
        <v>630.4</v>
      </c>
      <c r="O2784" s="116">
        <v>614.04999999999995</v>
      </c>
      <c r="P2784" s="116">
        <v>616.70000000000005</v>
      </c>
      <c r="Q2784" s="116">
        <v>615.54999999999995</v>
      </c>
      <c r="R2784">
        <v>1743429</v>
      </c>
    </row>
    <row r="2785" spans="1:18" x14ac:dyDescent="0.25">
      <c r="A2785" s="170">
        <v>46104</v>
      </c>
      <c r="B2785">
        <v>613.20000000000005</v>
      </c>
      <c r="C2785">
        <v>582.5</v>
      </c>
      <c r="D2785">
        <v>581</v>
      </c>
      <c r="E2785">
        <v>610.1</v>
      </c>
      <c r="F2785">
        <v>582.5</v>
      </c>
      <c r="G2785">
        <v>199555</v>
      </c>
      <c r="H2785" s="116"/>
      <c r="I2785" s="116"/>
      <c r="L2785" s="170">
        <v>46104</v>
      </c>
      <c r="M2785" s="116">
        <v>582.45000000000005</v>
      </c>
      <c r="N2785" s="116">
        <v>611</v>
      </c>
      <c r="O2785" s="116">
        <v>580.85</v>
      </c>
      <c r="P2785" s="116">
        <v>610.54999999999995</v>
      </c>
      <c r="Q2785" s="116">
        <v>582.45000000000005</v>
      </c>
      <c r="R2785">
        <v>3495215</v>
      </c>
    </row>
    <row r="2786" spans="1:18" x14ac:dyDescent="0.25">
      <c r="A2786" s="170">
        <v>46105</v>
      </c>
      <c r="B2786">
        <v>607.4</v>
      </c>
      <c r="C2786">
        <v>604.1</v>
      </c>
      <c r="D2786">
        <v>588.1</v>
      </c>
      <c r="E2786">
        <v>600.54999999999995</v>
      </c>
      <c r="F2786">
        <v>604.1</v>
      </c>
      <c r="G2786">
        <v>192598</v>
      </c>
      <c r="H2786" s="116"/>
      <c r="I2786" s="116"/>
      <c r="L2786" s="170">
        <v>46105</v>
      </c>
      <c r="M2786" s="116">
        <v>604.04999999999995</v>
      </c>
      <c r="N2786" s="116">
        <v>607.5</v>
      </c>
      <c r="O2786" s="116">
        <v>588</v>
      </c>
      <c r="P2786" s="116">
        <v>599.9</v>
      </c>
      <c r="Q2786" s="116">
        <v>604.04999999999995</v>
      </c>
      <c r="R2786">
        <v>2990050</v>
      </c>
    </row>
    <row r="2787" spans="1:18" x14ac:dyDescent="0.25">
      <c r="A2787" s="170">
        <v>46106</v>
      </c>
      <c r="B2787">
        <v>625.95000000000005</v>
      </c>
      <c r="C2787">
        <v>617.35</v>
      </c>
      <c r="D2787">
        <v>608.5</v>
      </c>
      <c r="E2787">
        <v>608.5</v>
      </c>
      <c r="F2787">
        <v>617.35</v>
      </c>
      <c r="G2787">
        <v>240927</v>
      </c>
      <c r="H2787" s="116"/>
      <c r="I2787" s="116"/>
      <c r="L2787" s="170">
        <v>46106</v>
      </c>
      <c r="M2787" s="116">
        <v>617.29999999999995</v>
      </c>
      <c r="N2787" s="116">
        <v>625.95000000000005</v>
      </c>
      <c r="O2787" s="116">
        <v>609.70000000000005</v>
      </c>
      <c r="P2787" s="116">
        <v>611.70000000000005</v>
      </c>
      <c r="Q2787" s="116">
        <v>617.29999999999995</v>
      </c>
      <c r="R2787">
        <v>2887317</v>
      </c>
    </row>
    <row r="2788" spans="1:18" x14ac:dyDescent="0.25">
      <c r="A2788" s="170">
        <v>46108</v>
      </c>
      <c r="B2788">
        <v>614.85</v>
      </c>
      <c r="C2788">
        <v>590.75</v>
      </c>
      <c r="D2788">
        <v>588.6</v>
      </c>
      <c r="E2788">
        <v>606.65</v>
      </c>
      <c r="F2788">
        <v>590.75</v>
      </c>
      <c r="G2788">
        <v>285825</v>
      </c>
      <c r="H2788" s="116"/>
      <c r="I2788" s="116"/>
      <c r="L2788" s="170">
        <v>46108</v>
      </c>
      <c r="M2788" s="116">
        <v>590.9</v>
      </c>
      <c r="N2788" s="116">
        <v>615</v>
      </c>
      <c r="O2788" s="116">
        <v>588.9</v>
      </c>
      <c r="P2788" s="116">
        <v>611</v>
      </c>
      <c r="Q2788" s="116">
        <v>590.9</v>
      </c>
      <c r="R2788">
        <v>7459494</v>
      </c>
    </row>
    <row r="2789" spans="1:18" x14ac:dyDescent="0.25">
      <c r="A2789" s="170">
        <v>46111</v>
      </c>
      <c r="B2789">
        <v>590.54999999999995</v>
      </c>
      <c r="C2789">
        <v>570.75</v>
      </c>
      <c r="D2789">
        <v>569</v>
      </c>
      <c r="E2789">
        <v>590.54999999999995</v>
      </c>
      <c r="F2789">
        <v>570.75</v>
      </c>
      <c r="G2789">
        <v>188878</v>
      </c>
      <c r="H2789" s="116"/>
      <c r="I2789" s="116"/>
      <c r="L2789" s="170">
        <v>46111</v>
      </c>
      <c r="M2789" s="116">
        <v>570.95000000000005</v>
      </c>
      <c r="N2789" s="116">
        <v>587.79999999999995</v>
      </c>
      <c r="O2789" s="116">
        <v>569</v>
      </c>
      <c r="P2789" s="116">
        <v>582.15</v>
      </c>
      <c r="Q2789" s="116">
        <v>570.95000000000005</v>
      </c>
      <c r="R2789">
        <v>5494383</v>
      </c>
    </row>
    <row r="2790" spans="1:18" x14ac:dyDescent="0.25">
      <c r="A2790" s="170">
        <v>46113</v>
      </c>
      <c r="B2790">
        <v>606.35</v>
      </c>
      <c r="C2790">
        <v>585.65</v>
      </c>
      <c r="D2790">
        <v>581</v>
      </c>
      <c r="E2790">
        <v>606.35</v>
      </c>
      <c r="F2790">
        <v>585.65</v>
      </c>
      <c r="G2790">
        <v>1352882</v>
      </c>
      <c r="H2790" s="116"/>
      <c r="I2790" s="116"/>
      <c r="L2790" s="170">
        <v>46113</v>
      </c>
      <c r="M2790" s="116">
        <v>585.20000000000005</v>
      </c>
      <c r="N2790" s="116">
        <v>597</v>
      </c>
      <c r="O2790" s="116">
        <v>581</v>
      </c>
      <c r="P2790" s="116">
        <v>597</v>
      </c>
      <c r="Q2790" s="116">
        <v>585.20000000000005</v>
      </c>
      <c r="R2790">
        <v>5310511</v>
      </c>
    </row>
    <row r="2791" spans="1:18" x14ac:dyDescent="0.25">
      <c r="A2791" s="170">
        <v>46114</v>
      </c>
      <c r="B2791">
        <v>584.95000000000005</v>
      </c>
      <c r="C2791">
        <v>583.04999999999995</v>
      </c>
      <c r="D2791">
        <v>565.25</v>
      </c>
      <c r="E2791">
        <v>578.95000000000005</v>
      </c>
      <c r="F2791">
        <v>583.04999999999995</v>
      </c>
      <c r="G2791">
        <v>97197</v>
      </c>
      <c r="H2791" s="116"/>
      <c r="I2791" s="116"/>
      <c r="L2791" s="170">
        <v>46114</v>
      </c>
      <c r="M2791" s="116">
        <v>582.75</v>
      </c>
      <c r="N2791" s="116">
        <v>584.9</v>
      </c>
      <c r="O2791" s="116">
        <v>565</v>
      </c>
      <c r="P2791" s="116">
        <v>578</v>
      </c>
      <c r="Q2791" s="116">
        <v>582.75</v>
      </c>
      <c r="R2791">
        <v>3849686</v>
      </c>
    </row>
    <row r="2792" spans="1:18" x14ac:dyDescent="0.25">
      <c r="A2792" s="170">
        <v>46118</v>
      </c>
      <c r="B2792">
        <v>597.85</v>
      </c>
      <c r="C2792">
        <v>595.54999999999995</v>
      </c>
      <c r="D2792">
        <v>578</v>
      </c>
      <c r="E2792">
        <v>583.4</v>
      </c>
      <c r="F2792">
        <v>595.54999999999995</v>
      </c>
      <c r="G2792">
        <v>175526</v>
      </c>
      <c r="H2792" s="116"/>
      <c r="I2792" s="116"/>
      <c r="L2792" s="170">
        <v>46118</v>
      </c>
      <c r="M2792" s="116">
        <v>595.4</v>
      </c>
      <c r="N2792" s="116">
        <v>597.79999999999995</v>
      </c>
      <c r="O2792" s="116">
        <v>577.79999999999995</v>
      </c>
      <c r="P2792" s="116">
        <v>584</v>
      </c>
      <c r="Q2792" s="116">
        <v>595.4</v>
      </c>
      <c r="R2792">
        <v>3018104</v>
      </c>
    </row>
    <row r="2793" spans="1:18" x14ac:dyDescent="0.25">
      <c r="A2793" s="170">
        <v>46119</v>
      </c>
      <c r="B2793">
        <v>602</v>
      </c>
      <c r="C2793">
        <v>600.35</v>
      </c>
      <c r="D2793">
        <v>577.70000000000005</v>
      </c>
      <c r="E2793">
        <v>594.29999999999995</v>
      </c>
      <c r="F2793">
        <v>600.35</v>
      </c>
      <c r="G2793">
        <v>69286</v>
      </c>
      <c r="H2793" s="116"/>
      <c r="I2793" s="116"/>
      <c r="L2793" s="170">
        <v>46119</v>
      </c>
      <c r="M2793" s="116">
        <v>600.4</v>
      </c>
      <c r="N2793" s="116">
        <v>602.4</v>
      </c>
      <c r="O2793" s="116">
        <v>577.65</v>
      </c>
      <c r="P2793" s="116">
        <v>591.20000000000005</v>
      </c>
      <c r="Q2793" s="116">
        <v>600.4</v>
      </c>
      <c r="R2793">
        <v>2169845</v>
      </c>
    </row>
    <row r="2794" spans="1:18" x14ac:dyDescent="0.25">
      <c r="A2794" s="170">
        <v>46120</v>
      </c>
      <c r="B2794">
        <v>643.35</v>
      </c>
      <c r="C2794">
        <v>636.15</v>
      </c>
      <c r="D2794">
        <v>624.79999999999995</v>
      </c>
      <c r="E2794">
        <v>624.85</v>
      </c>
      <c r="F2794">
        <v>636.15</v>
      </c>
      <c r="G2794">
        <v>134568</v>
      </c>
      <c r="H2794" s="116"/>
      <c r="I2794" s="116"/>
      <c r="L2794" s="170">
        <v>46120</v>
      </c>
      <c r="M2794" s="116">
        <v>636.35</v>
      </c>
      <c r="N2794" s="116">
        <v>643.5</v>
      </c>
      <c r="O2794" s="116">
        <v>621.5</v>
      </c>
      <c r="P2794" s="116">
        <v>621.5</v>
      </c>
      <c r="Q2794" s="116">
        <v>636.35</v>
      </c>
      <c r="R2794">
        <v>3317869</v>
      </c>
    </row>
    <row r="2795" spans="1:18" x14ac:dyDescent="0.25">
      <c r="A2795" s="170">
        <v>46121</v>
      </c>
      <c r="B2795">
        <v>635.95000000000005</v>
      </c>
      <c r="C2795">
        <v>628.85</v>
      </c>
      <c r="D2795">
        <v>619.4</v>
      </c>
      <c r="E2795">
        <v>635.95000000000005</v>
      </c>
      <c r="F2795">
        <v>628.85</v>
      </c>
      <c r="G2795">
        <v>51629</v>
      </c>
      <c r="H2795" s="116"/>
      <c r="I2795" s="116"/>
      <c r="L2795" s="170">
        <v>46121</v>
      </c>
      <c r="M2795" s="116">
        <v>629.1</v>
      </c>
      <c r="N2795" s="116">
        <v>635</v>
      </c>
      <c r="O2795" s="116">
        <v>619.1</v>
      </c>
      <c r="P2795" s="116">
        <v>635</v>
      </c>
      <c r="Q2795" s="116">
        <v>629.1</v>
      </c>
      <c r="R2795">
        <v>2021831</v>
      </c>
    </row>
    <row r="2796" spans="1:18" x14ac:dyDescent="0.25">
      <c r="A2796" s="170">
        <v>46122</v>
      </c>
      <c r="B2796">
        <v>643.54999999999995</v>
      </c>
      <c r="C2796">
        <v>641.29999999999995</v>
      </c>
      <c r="D2796">
        <v>634.04999999999995</v>
      </c>
      <c r="E2796">
        <v>634.04999999999995</v>
      </c>
      <c r="F2796">
        <v>641.29999999999995</v>
      </c>
      <c r="G2796">
        <v>39999</v>
      </c>
      <c r="H2796" s="116"/>
      <c r="I2796" s="116"/>
      <c r="L2796" s="170">
        <v>46122</v>
      </c>
      <c r="M2796" s="116">
        <v>641.5</v>
      </c>
      <c r="N2796" s="116">
        <v>644</v>
      </c>
      <c r="O2796" s="116">
        <v>633.35</v>
      </c>
      <c r="P2796" s="116">
        <v>633.35</v>
      </c>
      <c r="Q2796" s="116">
        <v>641.5</v>
      </c>
      <c r="R2796">
        <v>1898558</v>
      </c>
    </row>
    <row r="2797" spans="1:18" x14ac:dyDescent="0.25">
      <c r="A2797" s="170">
        <v>46125</v>
      </c>
      <c r="B2797">
        <v>639.95000000000005</v>
      </c>
      <c r="C2797">
        <v>635.75</v>
      </c>
      <c r="D2797">
        <v>618.1</v>
      </c>
      <c r="E2797">
        <v>624.4</v>
      </c>
      <c r="F2797">
        <v>635.75</v>
      </c>
      <c r="G2797">
        <v>78522</v>
      </c>
      <c r="H2797" s="116"/>
      <c r="I2797" s="116"/>
      <c r="L2797" s="170">
        <v>46125</v>
      </c>
      <c r="M2797" s="116">
        <v>634.95000000000005</v>
      </c>
      <c r="N2797" s="116">
        <v>640</v>
      </c>
      <c r="O2797" s="116">
        <v>618</v>
      </c>
      <c r="P2797" s="116">
        <v>620.04999999999995</v>
      </c>
      <c r="Q2797" s="116">
        <v>634.95000000000005</v>
      </c>
      <c r="R2797">
        <v>2083643</v>
      </c>
    </row>
    <row r="2798" spans="1:18" x14ac:dyDescent="0.25">
      <c r="A2798" s="170">
        <v>46127</v>
      </c>
      <c r="B2798">
        <v>653.1</v>
      </c>
      <c r="C2798">
        <v>646.4</v>
      </c>
      <c r="D2798">
        <v>639.20000000000005</v>
      </c>
      <c r="E2798">
        <v>644.75</v>
      </c>
      <c r="F2798">
        <v>646.4</v>
      </c>
      <c r="G2798">
        <v>193124</v>
      </c>
      <c r="H2798" s="116"/>
      <c r="I2798" s="116"/>
      <c r="L2798" s="170">
        <v>46127</v>
      </c>
      <c r="M2798" s="116">
        <v>646.4</v>
      </c>
      <c r="N2798" s="116">
        <v>653.4</v>
      </c>
      <c r="O2798" s="116">
        <v>638.9</v>
      </c>
      <c r="P2798" s="116">
        <v>641.04999999999995</v>
      </c>
      <c r="Q2798" s="116">
        <v>646.4</v>
      </c>
      <c r="R2798">
        <v>3031172</v>
      </c>
    </row>
    <row r="2799" spans="1:18" x14ac:dyDescent="0.25">
      <c r="A2799" s="170">
        <v>46128</v>
      </c>
      <c r="B2799">
        <v>662.85</v>
      </c>
      <c r="C2799">
        <v>653.29999999999995</v>
      </c>
      <c r="D2799">
        <v>644.54999999999995</v>
      </c>
      <c r="E2799">
        <v>650.04999999999995</v>
      </c>
      <c r="F2799">
        <v>653.29999999999995</v>
      </c>
      <c r="G2799">
        <v>135275</v>
      </c>
      <c r="H2799" s="116"/>
      <c r="I2799" s="116"/>
      <c r="L2799" s="170">
        <v>46128</v>
      </c>
      <c r="M2799" s="116">
        <v>652.75</v>
      </c>
      <c r="N2799" s="116">
        <v>662.95</v>
      </c>
      <c r="O2799" s="116">
        <v>644.29999999999995</v>
      </c>
      <c r="P2799" s="116">
        <v>651.25</v>
      </c>
      <c r="Q2799" s="116">
        <v>652.75</v>
      </c>
      <c r="R2799">
        <v>3134706</v>
      </c>
    </row>
    <row r="2800" spans="1:18" x14ac:dyDescent="0.25">
      <c r="A2800" s="170">
        <v>46129</v>
      </c>
      <c r="B2800">
        <v>661.35</v>
      </c>
      <c r="C2800">
        <v>659.55</v>
      </c>
      <c r="D2800">
        <v>648</v>
      </c>
      <c r="E2800">
        <v>652.45000000000005</v>
      </c>
      <c r="F2800">
        <v>659.55</v>
      </c>
      <c r="G2800">
        <v>139454</v>
      </c>
      <c r="H2800" s="116"/>
      <c r="I2800" s="116"/>
      <c r="L2800" s="170">
        <v>46129</v>
      </c>
      <c r="M2800" s="116">
        <v>659.3</v>
      </c>
      <c r="N2800" s="116">
        <v>661.45</v>
      </c>
      <c r="O2800" s="116">
        <v>647.9</v>
      </c>
      <c r="P2800" s="116">
        <v>654</v>
      </c>
      <c r="Q2800" s="116">
        <v>659.3</v>
      </c>
      <c r="R2800">
        <v>2644531</v>
      </c>
    </row>
    <row r="2801" spans="1:18" x14ac:dyDescent="0.25">
      <c r="A2801" s="170">
        <v>46132</v>
      </c>
      <c r="B2801">
        <v>668.4</v>
      </c>
      <c r="C2801">
        <v>657.5</v>
      </c>
      <c r="D2801">
        <v>648</v>
      </c>
      <c r="E2801">
        <v>657</v>
      </c>
      <c r="F2801">
        <v>657.5</v>
      </c>
      <c r="G2801">
        <v>147337</v>
      </c>
      <c r="H2801" s="116"/>
      <c r="I2801" s="116"/>
      <c r="L2801" s="170">
        <v>46132</v>
      </c>
      <c r="M2801" s="116">
        <v>659.5</v>
      </c>
      <c r="N2801" s="116">
        <v>668.8</v>
      </c>
      <c r="O2801" s="116">
        <v>647.65</v>
      </c>
      <c r="P2801" s="116">
        <v>659</v>
      </c>
      <c r="Q2801" s="116">
        <v>659.5</v>
      </c>
      <c r="R2801">
        <v>2662519</v>
      </c>
    </row>
    <row r="2802" spans="1:18" x14ac:dyDescent="0.25">
      <c r="A2802" s="170">
        <v>46133</v>
      </c>
      <c r="B2802">
        <v>667.2</v>
      </c>
      <c r="C2802">
        <v>666.05</v>
      </c>
      <c r="D2802">
        <v>657.2</v>
      </c>
      <c r="E2802">
        <v>659.9</v>
      </c>
      <c r="F2802">
        <v>666.05</v>
      </c>
      <c r="G2802">
        <v>29648</v>
      </c>
      <c r="H2802" s="116"/>
      <c r="I2802" s="116"/>
      <c r="L2802" s="170">
        <v>46133</v>
      </c>
      <c r="M2802" s="116">
        <v>666.15</v>
      </c>
      <c r="N2802" s="116">
        <v>667.2</v>
      </c>
      <c r="O2802" s="116">
        <v>655.75</v>
      </c>
      <c r="P2802" s="116">
        <v>658.95</v>
      </c>
      <c r="Q2802" s="116">
        <v>666.15</v>
      </c>
      <c r="R2802">
        <v>1597620</v>
      </c>
    </row>
    <row r="2803" spans="1:18" x14ac:dyDescent="0.25">
      <c r="A2803" s="170">
        <v>46134</v>
      </c>
      <c r="B2803">
        <v>664.85</v>
      </c>
      <c r="C2803">
        <v>658.95</v>
      </c>
      <c r="D2803">
        <v>657.5</v>
      </c>
      <c r="E2803">
        <v>664.85</v>
      </c>
      <c r="F2803">
        <v>658.95</v>
      </c>
      <c r="G2803">
        <v>345473</v>
      </c>
      <c r="H2803" s="116"/>
      <c r="I2803" s="116"/>
      <c r="L2803" s="170">
        <v>46134</v>
      </c>
      <c r="M2803" s="116">
        <v>659.7</v>
      </c>
      <c r="N2803" s="116">
        <v>666.05</v>
      </c>
      <c r="O2803" s="116">
        <v>657.5</v>
      </c>
      <c r="P2803" s="116">
        <v>662.9</v>
      </c>
      <c r="Q2803" s="116">
        <v>659.7</v>
      </c>
      <c r="R2803">
        <v>1658342</v>
      </c>
    </row>
    <row r="2804" spans="1:18" x14ac:dyDescent="0.25">
      <c r="A2804" s="170">
        <v>46135</v>
      </c>
      <c r="B2804">
        <v>658</v>
      </c>
      <c r="C2804">
        <v>638.9</v>
      </c>
      <c r="D2804">
        <v>636.15</v>
      </c>
      <c r="E2804">
        <v>658</v>
      </c>
      <c r="F2804">
        <v>638.9</v>
      </c>
      <c r="G2804">
        <v>501278</v>
      </c>
      <c r="H2804" s="116"/>
      <c r="I2804" s="116"/>
      <c r="L2804" s="170">
        <v>46135</v>
      </c>
      <c r="M2804" s="116">
        <v>639.45000000000005</v>
      </c>
      <c r="N2804" s="116">
        <v>657</v>
      </c>
      <c r="O2804" s="116">
        <v>636</v>
      </c>
      <c r="P2804" s="116">
        <v>657</v>
      </c>
      <c r="Q2804" s="116">
        <v>639.45000000000005</v>
      </c>
      <c r="R2804">
        <v>4493765</v>
      </c>
    </row>
    <row r="2805" spans="1:18" x14ac:dyDescent="0.25">
      <c r="A2805" s="170">
        <v>46136</v>
      </c>
      <c r="B2805">
        <v>641.4</v>
      </c>
      <c r="C2805">
        <v>635.65</v>
      </c>
      <c r="D2805">
        <v>630.70000000000005</v>
      </c>
      <c r="E2805">
        <v>638.79999999999995</v>
      </c>
      <c r="F2805">
        <v>635.65</v>
      </c>
      <c r="G2805">
        <v>52385</v>
      </c>
      <c r="H2805" s="116"/>
      <c r="I2805" s="116"/>
      <c r="L2805" s="170">
        <v>46136</v>
      </c>
      <c r="M2805" s="116">
        <v>635.35</v>
      </c>
      <c r="N2805" s="116">
        <v>641.54999999999995</v>
      </c>
      <c r="O2805" s="116">
        <v>630.4</v>
      </c>
      <c r="P2805" s="116">
        <v>636.85</v>
      </c>
      <c r="Q2805" s="116">
        <v>635.35</v>
      </c>
      <c r="R2805">
        <v>2239399</v>
      </c>
    </row>
    <row r="2806" spans="1:18" x14ac:dyDescent="0.25">
      <c r="A2806" s="170">
        <v>46139</v>
      </c>
      <c r="B2806">
        <v>652.6</v>
      </c>
      <c r="C2806">
        <v>647.75</v>
      </c>
      <c r="D2806">
        <v>633.45000000000005</v>
      </c>
      <c r="E2806">
        <v>633.45000000000005</v>
      </c>
      <c r="F2806">
        <v>647.75</v>
      </c>
      <c r="G2806">
        <v>304510</v>
      </c>
      <c r="H2806" s="116"/>
      <c r="I2806" s="116"/>
      <c r="L2806" s="170">
        <v>46139</v>
      </c>
      <c r="M2806" s="116">
        <v>647.85</v>
      </c>
      <c r="N2806" s="116">
        <v>652.5</v>
      </c>
      <c r="O2806" s="116">
        <v>635.35</v>
      </c>
      <c r="P2806" s="116">
        <v>635.54999999999995</v>
      </c>
      <c r="Q2806" s="116">
        <v>647.85</v>
      </c>
      <c r="R2806">
        <v>1469955</v>
      </c>
    </row>
    <row r="2807" spans="1:18" x14ac:dyDescent="0.25">
      <c r="A2807" s="170">
        <v>46140</v>
      </c>
      <c r="B2807">
        <v>655</v>
      </c>
      <c r="C2807">
        <v>652</v>
      </c>
      <c r="D2807">
        <v>643.35</v>
      </c>
      <c r="E2807">
        <v>647</v>
      </c>
      <c r="F2807">
        <v>652</v>
      </c>
      <c r="G2807">
        <v>41451</v>
      </c>
      <c r="H2807" s="116"/>
      <c r="I2807" s="116"/>
      <c r="L2807" s="170">
        <v>46140</v>
      </c>
      <c r="M2807" s="116">
        <v>652.45000000000005</v>
      </c>
      <c r="N2807" s="116">
        <v>655</v>
      </c>
      <c r="O2807" s="116">
        <v>643.25</v>
      </c>
      <c r="P2807" s="116">
        <v>645.1</v>
      </c>
      <c r="Q2807" s="116">
        <v>652.45000000000005</v>
      </c>
      <c r="R2807">
        <v>1967671</v>
      </c>
    </row>
    <row r="2808" spans="1:18" x14ac:dyDescent="0.25">
      <c r="A2808" s="170">
        <v>46141</v>
      </c>
      <c r="B2808">
        <v>656.55</v>
      </c>
      <c r="C2808">
        <v>644.25</v>
      </c>
      <c r="D2808">
        <v>643</v>
      </c>
      <c r="E2808">
        <v>654</v>
      </c>
      <c r="F2808">
        <v>644.25</v>
      </c>
      <c r="G2808">
        <v>29320</v>
      </c>
      <c r="H2808" s="116"/>
      <c r="I2808" s="116"/>
      <c r="L2808" s="170">
        <v>46141</v>
      </c>
      <c r="M2808" s="116">
        <v>644.65</v>
      </c>
      <c r="N2808" s="116">
        <v>656.6</v>
      </c>
      <c r="O2808" s="116">
        <v>643</v>
      </c>
      <c r="P2808" s="116">
        <v>654</v>
      </c>
      <c r="Q2808" s="116">
        <v>644.65</v>
      </c>
      <c r="R2808">
        <v>1782233</v>
      </c>
    </row>
    <row r="2809" spans="1:18" x14ac:dyDescent="0.25">
      <c r="A2809" s="170">
        <v>46142</v>
      </c>
      <c r="B2809">
        <v>644.15</v>
      </c>
      <c r="C2809">
        <v>635.75</v>
      </c>
      <c r="D2809">
        <v>626.65</v>
      </c>
      <c r="E2809">
        <v>644.15</v>
      </c>
      <c r="F2809">
        <v>635.75</v>
      </c>
      <c r="G2809">
        <v>53614</v>
      </c>
      <c r="H2809" s="116"/>
      <c r="I2809" s="116"/>
      <c r="L2809" s="170">
        <v>46142</v>
      </c>
      <c r="M2809" s="116">
        <v>635.85</v>
      </c>
      <c r="N2809" s="116">
        <v>644.5</v>
      </c>
      <c r="O2809" s="116">
        <v>626.70000000000005</v>
      </c>
      <c r="P2809" s="116">
        <v>642</v>
      </c>
      <c r="Q2809" s="116">
        <v>635.85</v>
      </c>
      <c r="R2809">
        <v>1466637</v>
      </c>
    </row>
    <row r="2810" spans="1:18" x14ac:dyDescent="0.25">
      <c r="A2810" s="170">
        <v>46146</v>
      </c>
      <c r="B2810">
        <v>647.70000000000005</v>
      </c>
      <c r="C2810">
        <v>643.85</v>
      </c>
      <c r="D2810">
        <v>635.5</v>
      </c>
      <c r="E2810">
        <v>643.75</v>
      </c>
      <c r="F2810">
        <v>643.85</v>
      </c>
      <c r="G2810">
        <v>143508</v>
      </c>
      <c r="H2810" s="116"/>
      <c r="I2810" s="116"/>
      <c r="L2810" s="170">
        <v>46146</v>
      </c>
      <c r="M2810" s="116">
        <v>643.70000000000005</v>
      </c>
      <c r="N2810" s="116">
        <v>647.75</v>
      </c>
      <c r="O2810" s="116">
        <v>635</v>
      </c>
      <c r="P2810" s="116">
        <v>640</v>
      </c>
      <c r="Q2810" s="116">
        <v>643.70000000000005</v>
      </c>
      <c r="R2810">
        <v>1482763</v>
      </c>
    </row>
    <row r="2811" spans="1:18" x14ac:dyDescent="0.25">
      <c r="A2811" s="170">
        <v>46147</v>
      </c>
      <c r="B2811">
        <v>651</v>
      </c>
      <c r="C2811">
        <v>648.35</v>
      </c>
      <c r="D2811">
        <v>637.54999999999995</v>
      </c>
      <c r="E2811">
        <v>641.54999999999995</v>
      </c>
      <c r="F2811">
        <v>648.35</v>
      </c>
      <c r="G2811">
        <v>64664</v>
      </c>
      <c r="H2811" s="116"/>
      <c r="I2811" s="116"/>
      <c r="L2811" s="170">
        <v>46147</v>
      </c>
      <c r="M2811" s="116">
        <v>647.79999999999995</v>
      </c>
      <c r="N2811" s="116">
        <v>651.29999999999995</v>
      </c>
      <c r="O2811" s="116">
        <v>637.15</v>
      </c>
      <c r="P2811" s="116">
        <v>643</v>
      </c>
      <c r="Q2811" s="116">
        <v>647.79999999999995</v>
      </c>
      <c r="R2811">
        <v>1154419</v>
      </c>
    </row>
    <row r="2812" spans="1:18" x14ac:dyDescent="0.25">
      <c r="A2812" s="170">
        <v>46148</v>
      </c>
      <c r="B2812">
        <v>669</v>
      </c>
      <c r="C2812">
        <v>666.05</v>
      </c>
      <c r="D2812">
        <v>650</v>
      </c>
      <c r="E2812">
        <v>650</v>
      </c>
      <c r="F2812">
        <v>666.05</v>
      </c>
      <c r="G2812">
        <v>147302</v>
      </c>
      <c r="H2812" s="116"/>
      <c r="I2812" s="116"/>
      <c r="L2812" s="170">
        <v>46148</v>
      </c>
      <c r="M2812" s="116">
        <v>666.15</v>
      </c>
      <c r="N2812" s="116">
        <v>669</v>
      </c>
      <c r="O2812" s="116">
        <v>651</v>
      </c>
      <c r="P2812" s="116">
        <v>652</v>
      </c>
      <c r="Q2812" s="116">
        <v>666.15</v>
      </c>
      <c r="R2812">
        <v>2413898</v>
      </c>
    </row>
    <row r="2813" spans="1:18" x14ac:dyDescent="0.25">
      <c r="A2813" s="170">
        <v>46149</v>
      </c>
      <c r="B2813">
        <v>675</v>
      </c>
      <c r="C2813">
        <v>669.15</v>
      </c>
      <c r="D2813">
        <v>664.55</v>
      </c>
      <c r="E2813">
        <v>669.95</v>
      </c>
      <c r="F2813">
        <v>669.15</v>
      </c>
      <c r="G2813">
        <v>92557</v>
      </c>
      <c r="H2813" s="116"/>
      <c r="I2813" s="116"/>
      <c r="L2813" s="170">
        <v>46149</v>
      </c>
      <c r="M2813" s="116">
        <v>669.1</v>
      </c>
      <c r="N2813" s="116">
        <v>675.45</v>
      </c>
      <c r="O2813" s="116">
        <v>664.4</v>
      </c>
      <c r="P2813" s="116">
        <v>668</v>
      </c>
      <c r="Q2813" s="116">
        <v>669.1</v>
      </c>
      <c r="R2813">
        <v>2123264</v>
      </c>
    </row>
    <row r="2814" spans="1:18" x14ac:dyDescent="0.25">
      <c r="A2814" s="170">
        <v>46150</v>
      </c>
      <c r="B2814">
        <v>678.3</v>
      </c>
      <c r="C2814">
        <v>673.3</v>
      </c>
      <c r="D2814">
        <v>663.45</v>
      </c>
      <c r="E2814">
        <v>669.95</v>
      </c>
      <c r="F2814">
        <v>673.3</v>
      </c>
      <c r="G2814">
        <v>270233</v>
      </c>
      <c r="H2814" s="116"/>
      <c r="I2814" s="116"/>
      <c r="L2814" s="170">
        <v>46150</v>
      </c>
      <c r="M2814" s="116">
        <v>673.05</v>
      </c>
      <c r="N2814" s="116">
        <v>678.5</v>
      </c>
      <c r="O2814" s="116">
        <v>663.15</v>
      </c>
      <c r="P2814" s="116">
        <v>670.45</v>
      </c>
      <c r="Q2814" s="116">
        <v>673.05</v>
      </c>
      <c r="R2814">
        <v>1914787</v>
      </c>
    </row>
    <row r="2815" spans="1:18" x14ac:dyDescent="0.25">
      <c r="A2815" s="170">
        <v>46153</v>
      </c>
      <c r="B2815">
        <v>671.55</v>
      </c>
      <c r="C2815">
        <v>660.95</v>
      </c>
      <c r="D2815">
        <v>656.25</v>
      </c>
      <c r="E2815">
        <v>660.1</v>
      </c>
      <c r="F2815">
        <v>660.95</v>
      </c>
      <c r="G2815">
        <v>202377</v>
      </c>
      <c r="H2815" s="116"/>
      <c r="I2815" s="116"/>
      <c r="L2815" s="170">
        <v>46153</v>
      </c>
      <c r="M2815" s="116">
        <v>661.3</v>
      </c>
      <c r="N2815" s="116">
        <v>671.9</v>
      </c>
      <c r="O2815" s="116">
        <v>655.9</v>
      </c>
      <c r="P2815" s="116">
        <v>670</v>
      </c>
      <c r="Q2815" s="116">
        <v>661.3</v>
      </c>
      <c r="R2815">
        <v>2547669</v>
      </c>
    </row>
    <row r="2816" spans="1:18" x14ac:dyDescent="0.25">
      <c r="A2816" s="170">
        <v>46154</v>
      </c>
      <c r="B2816">
        <v>680.8</v>
      </c>
      <c r="C2816">
        <v>634.29999999999995</v>
      </c>
      <c r="D2816">
        <v>633</v>
      </c>
      <c r="E2816">
        <v>680.8</v>
      </c>
      <c r="F2816">
        <v>634.29999999999995</v>
      </c>
      <c r="G2816">
        <v>544928</v>
      </c>
      <c r="H2816" s="116"/>
      <c r="I2816" s="116"/>
      <c r="L2816" s="170">
        <v>46154</v>
      </c>
      <c r="M2816" s="116">
        <v>634.4</v>
      </c>
      <c r="N2816" s="116">
        <v>674.9</v>
      </c>
      <c r="O2816" s="116">
        <v>633.15</v>
      </c>
      <c r="P2816" s="116">
        <v>674.15</v>
      </c>
      <c r="Q2816" s="116">
        <v>634.4</v>
      </c>
      <c r="R2816">
        <v>8170486</v>
      </c>
    </row>
    <row r="2817" spans="1:18" x14ac:dyDescent="0.25">
      <c r="A2817" s="170">
        <v>46155</v>
      </c>
      <c r="B2817">
        <v>644.9</v>
      </c>
      <c r="C2817">
        <v>637.4</v>
      </c>
      <c r="D2817">
        <v>622.6</v>
      </c>
      <c r="E2817">
        <v>633.70000000000005</v>
      </c>
      <c r="F2817">
        <v>637.4</v>
      </c>
      <c r="G2817">
        <v>113417</v>
      </c>
      <c r="H2817" s="116"/>
      <c r="I2817" s="116"/>
      <c r="L2817" s="170">
        <v>46155</v>
      </c>
      <c r="M2817" s="116">
        <v>637.4</v>
      </c>
      <c r="N2817" s="116">
        <v>644.85</v>
      </c>
      <c r="O2817" s="116">
        <v>622.45000000000005</v>
      </c>
      <c r="P2817" s="116">
        <v>636.95000000000005</v>
      </c>
      <c r="Q2817" s="116">
        <v>637.4</v>
      </c>
      <c r="R2817">
        <v>2815942</v>
      </c>
    </row>
    <row r="2818" spans="1:18" x14ac:dyDescent="0.25">
      <c r="A2818" s="170">
        <v>46156</v>
      </c>
      <c r="B2818">
        <v>655.25</v>
      </c>
      <c r="C2818">
        <v>650.1</v>
      </c>
      <c r="D2818">
        <v>636.6</v>
      </c>
      <c r="E2818">
        <v>649.25</v>
      </c>
      <c r="F2818">
        <v>650.1</v>
      </c>
      <c r="G2818">
        <v>396302</v>
      </c>
      <c r="H2818" s="116"/>
      <c r="I2818" s="116"/>
      <c r="L2818" s="170">
        <v>46156</v>
      </c>
      <c r="M2818" s="116">
        <v>650.20000000000005</v>
      </c>
      <c r="N2818" s="116">
        <v>655.4</v>
      </c>
      <c r="O2818" s="116">
        <v>636.4</v>
      </c>
      <c r="P2818" s="116">
        <v>641.6</v>
      </c>
      <c r="Q2818" s="116">
        <v>650.20000000000005</v>
      </c>
      <c r="R2818">
        <v>3221881</v>
      </c>
    </row>
    <row r="2819" spans="1:18" x14ac:dyDescent="0.25">
      <c r="A2819" s="170">
        <v>46157</v>
      </c>
      <c r="B2819">
        <v>660.6</v>
      </c>
      <c r="C2819">
        <v>655.20000000000005</v>
      </c>
      <c r="D2819">
        <v>645.29999999999995</v>
      </c>
      <c r="E2819">
        <v>650.5</v>
      </c>
      <c r="F2819">
        <v>655.20000000000005</v>
      </c>
      <c r="G2819">
        <v>55815</v>
      </c>
      <c r="H2819" s="116"/>
      <c r="I2819" s="116"/>
      <c r="L2819" s="170">
        <v>46157</v>
      </c>
      <c r="M2819" s="116">
        <v>656.25</v>
      </c>
      <c r="N2819" s="116">
        <v>660.9</v>
      </c>
      <c r="O2819" s="116">
        <v>645.20000000000005</v>
      </c>
      <c r="P2819" s="116">
        <v>650.20000000000005</v>
      </c>
      <c r="Q2819" s="116">
        <v>656.25</v>
      </c>
      <c r="R2819">
        <v>2003906</v>
      </c>
    </row>
    <row r="2820" spans="1:18" x14ac:dyDescent="0.25">
      <c r="A2820" s="170">
        <v>46160</v>
      </c>
      <c r="B2820">
        <v>650.1</v>
      </c>
      <c r="C2820">
        <v>648.25</v>
      </c>
      <c r="D2820">
        <v>634</v>
      </c>
      <c r="E2820">
        <v>649.95000000000005</v>
      </c>
      <c r="F2820">
        <v>648.25</v>
      </c>
      <c r="G2820">
        <v>69551</v>
      </c>
      <c r="H2820" s="116"/>
      <c r="I2820" s="116"/>
      <c r="L2820" s="170">
        <v>46160</v>
      </c>
      <c r="M2820" s="116">
        <v>648.54999999999995</v>
      </c>
      <c r="N2820" s="116">
        <v>651</v>
      </c>
      <c r="O2820" s="116">
        <v>633.4</v>
      </c>
      <c r="P2820" s="116">
        <v>651</v>
      </c>
      <c r="Q2820" s="116">
        <v>648.54999999999995</v>
      </c>
      <c r="R2820">
        <v>3030365</v>
      </c>
    </row>
    <row r="2821" spans="1:18" x14ac:dyDescent="0.25">
      <c r="A2821" s="170">
        <v>46161</v>
      </c>
      <c r="B2821">
        <v>660</v>
      </c>
      <c r="C2821">
        <v>652.5</v>
      </c>
      <c r="D2821">
        <v>647.35</v>
      </c>
      <c r="E2821">
        <v>653.45000000000005</v>
      </c>
      <c r="F2821">
        <v>652.5</v>
      </c>
      <c r="G2821">
        <v>174651</v>
      </c>
      <c r="H2821" s="116"/>
      <c r="I2821" s="116"/>
      <c r="L2821" s="170">
        <v>46161</v>
      </c>
      <c r="M2821" s="116">
        <v>652.75</v>
      </c>
      <c r="N2821" s="116">
        <v>660</v>
      </c>
      <c r="O2821" s="116">
        <v>647</v>
      </c>
      <c r="P2821" s="116">
        <v>650</v>
      </c>
      <c r="Q2821" s="116">
        <v>652.75</v>
      </c>
      <c r="R2821">
        <v>3046903</v>
      </c>
    </row>
    <row r="2822" spans="1:18" x14ac:dyDescent="0.25">
      <c r="A2822" s="170">
        <v>46162</v>
      </c>
      <c r="B2822">
        <v>662.1</v>
      </c>
      <c r="C2822">
        <v>659.65</v>
      </c>
      <c r="D2822">
        <v>641.70000000000005</v>
      </c>
      <c r="E2822">
        <v>652.1</v>
      </c>
      <c r="F2822">
        <v>659.65</v>
      </c>
      <c r="G2822">
        <v>43089</v>
      </c>
      <c r="H2822" s="116"/>
      <c r="I2822" s="116"/>
      <c r="L2822" s="170">
        <v>46162</v>
      </c>
      <c r="M2822" s="116">
        <v>659.6</v>
      </c>
      <c r="N2822" s="116">
        <v>662.4</v>
      </c>
      <c r="O2822" s="116">
        <v>641.20000000000005</v>
      </c>
      <c r="P2822" s="116">
        <v>649</v>
      </c>
      <c r="Q2822" s="116">
        <v>659.6</v>
      </c>
      <c r="R2822">
        <v>2402392</v>
      </c>
    </row>
    <row r="2823" spans="1:18" x14ac:dyDescent="0.25">
      <c r="A2823" s="170">
        <v>46163</v>
      </c>
      <c r="B2823">
        <v>666.5</v>
      </c>
      <c r="C2823">
        <v>657.2</v>
      </c>
      <c r="D2823">
        <v>652.5</v>
      </c>
      <c r="E2823">
        <v>660.05</v>
      </c>
      <c r="F2823">
        <v>657.2</v>
      </c>
      <c r="G2823">
        <v>71919</v>
      </c>
      <c r="H2823" s="116"/>
      <c r="I2823" s="116"/>
      <c r="L2823" s="170">
        <v>46163</v>
      </c>
      <c r="M2823" s="116">
        <v>657.4</v>
      </c>
      <c r="N2823" s="116">
        <v>666.7</v>
      </c>
      <c r="O2823" s="116">
        <v>652.35</v>
      </c>
      <c r="P2823" s="116">
        <v>662</v>
      </c>
      <c r="Q2823" s="116">
        <v>657.4</v>
      </c>
      <c r="R2823">
        <v>1878182</v>
      </c>
    </row>
    <row r="2824" spans="1:18" x14ac:dyDescent="0.25">
      <c r="A2824" s="170">
        <v>46164</v>
      </c>
      <c r="B2824">
        <v>660.05</v>
      </c>
      <c r="C2824">
        <v>650.45000000000005</v>
      </c>
      <c r="D2824">
        <v>649.15</v>
      </c>
      <c r="E2824">
        <v>660.05</v>
      </c>
      <c r="F2824">
        <v>650.45000000000005</v>
      </c>
      <c r="G2824">
        <v>25499</v>
      </c>
      <c r="H2824" s="116"/>
      <c r="I2824" s="116"/>
      <c r="L2824" s="170">
        <v>46164</v>
      </c>
      <c r="M2824" s="116">
        <v>650.25</v>
      </c>
      <c r="N2824" s="116">
        <v>659.1</v>
      </c>
      <c r="O2824" s="116">
        <v>649.04999999999995</v>
      </c>
      <c r="P2824" s="116">
        <v>656.65</v>
      </c>
      <c r="Q2824" s="116">
        <v>650.25</v>
      </c>
      <c r="R2824">
        <v>1415868</v>
      </c>
    </row>
    <row r="2825" spans="1:18" x14ac:dyDescent="0.25">
      <c r="A2825" s="170">
        <v>46167</v>
      </c>
      <c r="B2825">
        <v>666.55</v>
      </c>
      <c r="C2825">
        <v>663.7</v>
      </c>
      <c r="D2825">
        <v>650.75</v>
      </c>
      <c r="E2825">
        <v>650.75</v>
      </c>
      <c r="F2825">
        <v>663.7</v>
      </c>
      <c r="G2825">
        <v>200836</v>
      </c>
      <c r="H2825" s="116"/>
      <c r="I2825" s="116"/>
      <c r="L2825" s="170">
        <v>46167</v>
      </c>
      <c r="M2825" s="116">
        <v>663.55</v>
      </c>
      <c r="N2825" s="116">
        <v>666.45</v>
      </c>
      <c r="O2825" s="116">
        <v>654.25</v>
      </c>
      <c r="P2825" s="116">
        <v>654.25</v>
      </c>
      <c r="Q2825" s="116">
        <v>663.55</v>
      </c>
      <c r="R2825">
        <v>1738393</v>
      </c>
    </row>
    <row r="2826" spans="1:18" x14ac:dyDescent="0.25">
      <c r="A2826" s="170">
        <v>46168</v>
      </c>
      <c r="B2826">
        <v>665.8</v>
      </c>
      <c r="C2826">
        <v>657.3</v>
      </c>
      <c r="D2826">
        <v>652.85</v>
      </c>
      <c r="E2826">
        <v>664.05</v>
      </c>
      <c r="F2826">
        <v>657.3</v>
      </c>
      <c r="G2826">
        <v>50015</v>
      </c>
      <c r="H2826" s="116"/>
      <c r="I2826" s="116"/>
      <c r="L2826" s="170">
        <v>46168</v>
      </c>
      <c r="M2826" s="116">
        <v>657.15</v>
      </c>
      <c r="N2826" s="116">
        <v>665.9</v>
      </c>
      <c r="O2826" s="116">
        <v>652.75</v>
      </c>
      <c r="P2826" s="116">
        <v>663.6</v>
      </c>
      <c r="Q2826" s="116">
        <v>657.15</v>
      </c>
      <c r="R2826">
        <v>1883174</v>
      </c>
    </row>
    <row r="2827" spans="1:18" x14ac:dyDescent="0.25">
      <c r="A2827" s="170">
        <v>46169</v>
      </c>
      <c r="B2827">
        <v>668.5</v>
      </c>
      <c r="C2827">
        <v>667.6</v>
      </c>
      <c r="D2827">
        <v>655.75</v>
      </c>
      <c r="E2827">
        <v>655.75</v>
      </c>
      <c r="F2827">
        <v>667.6</v>
      </c>
      <c r="G2827">
        <v>80725</v>
      </c>
      <c r="H2827" s="116"/>
      <c r="I2827" s="116"/>
      <c r="L2827" s="170">
        <v>46169</v>
      </c>
      <c r="M2827" s="116">
        <v>667.7</v>
      </c>
      <c r="N2827" s="116">
        <v>669</v>
      </c>
      <c r="O2827" s="116">
        <v>656.65</v>
      </c>
      <c r="P2827" s="116">
        <v>658.95</v>
      </c>
      <c r="Q2827" s="116">
        <v>667.7</v>
      </c>
      <c r="R2827">
        <v>1360823</v>
      </c>
    </row>
    <row r="2828" spans="1:18" x14ac:dyDescent="0.25">
      <c r="A2828" s="170">
        <v>46171</v>
      </c>
      <c r="B2828">
        <v>673</v>
      </c>
      <c r="C2828">
        <v>655.15</v>
      </c>
      <c r="D2828">
        <v>650.95000000000005</v>
      </c>
      <c r="E2828">
        <v>672.2</v>
      </c>
      <c r="F2828">
        <v>655.15</v>
      </c>
      <c r="G2828">
        <v>52100</v>
      </c>
      <c r="H2828" s="116"/>
      <c r="I2828" s="116"/>
      <c r="L2828" s="170">
        <v>46171</v>
      </c>
      <c r="M2828" s="116">
        <v>654.25</v>
      </c>
      <c r="N2828" s="116">
        <v>673.2</v>
      </c>
      <c r="O2828" s="116">
        <v>650.6</v>
      </c>
      <c r="P2828" s="116">
        <v>669</v>
      </c>
      <c r="Q2828" s="116">
        <v>654.25</v>
      </c>
      <c r="R2828">
        <v>5298646</v>
      </c>
    </row>
    <row r="2829" spans="1:18" x14ac:dyDescent="0.25">
      <c r="A2829" s="170">
        <v>46174</v>
      </c>
      <c r="B2829">
        <v>660.45</v>
      </c>
      <c r="C2829">
        <v>646.45000000000005</v>
      </c>
      <c r="D2829">
        <v>644.35</v>
      </c>
      <c r="E2829">
        <v>660.3</v>
      </c>
      <c r="F2829">
        <v>646.45000000000005</v>
      </c>
      <c r="G2829">
        <v>57838</v>
      </c>
      <c r="H2829" s="116"/>
      <c r="I2829" s="116"/>
      <c r="L2829" s="170">
        <v>46174</v>
      </c>
      <c r="M2829" s="116">
        <v>646.75</v>
      </c>
      <c r="N2829" s="116">
        <v>663</v>
      </c>
      <c r="O2829" s="116">
        <v>643.95000000000005</v>
      </c>
      <c r="P2829" s="116">
        <v>663</v>
      </c>
      <c r="Q2829" s="116">
        <v>646.75</v>
      </c>
      <c r="R2829">
        <v>4278527</v>
      </c>
    </row>
    <row r="2830" spans="1:18" x14ac:dyDescent="0.25">
      <c r="A2830" s="170">
        <v>46175</v>
      </c>
      <c r="B2830">
        <v>663.85</v>
      </c>
      <c r="C2830">
        <v>661.85</v>
      </c>
      <c r="D2830">
        <v>634.95000000000005</v>
      </c>
      <c r="E2830">
        <v>641.1</v>
      </c>
      <c r="F2830">
        <v>661.85</v>
      </c>
      <c r="G2830">
        <v>79069</v>
      </c>
      <c r="H2830" s="116"/>
      <c r="I2830" s="116"/>
      <c r="L2830" s="170">
        <v>46175</v>
      </c>
      <c r="M2830" s="116">
        <v>661.65</v>
      </c>
      <c r="N2830" s="116">
        <v>664.2</v>
      </c>
      <c r="O2830" s="116">
        <v>635</v>
      </c>
      <c r="P2830" s="116">
        <v>640.1</v>
      </c>
      <c r="Q2830" s="116">
        <v>661.65</v>
      </c>
      <c r="R2830">
        <v>2270486</v>
      </c>
    </row>
    <row r="2831" spans="1:18" x14ac:dyDescent="0.25">
      <c r="A2831" s="170">
        <v>46176</v>
      </c>
      <c r="B2831">
        <v>661.1</v>
      </c>
      <c r="C2831">
        <v>655.8</v>
      </c>
      <c r="D2831">
        <v>649.35</v>
      </c>
      <c r="E2831">
        <v>653.04999999999995</v>
      </c>
      <c r="F2831">
        <v>655.8</v>
      </c>
      <c r="G2831">
        <v>58197</v>
      </c>
      <c r="H2831" s="116"/>
      <c r="I2831" s="116"/>
      <c r="L2831" s="170">
        <v>46176</v>
      </c>
      <c r="M2831" s="116">
        <v>656.3</v>
      </c>
      <c r="N2831" s="116">
        <v>661.55</v>
      </c>
      <c r="O2831" s="116">
        <v>649.04999999999995</v>
      </c>
      <c r="P2831" s="116">
        <v>661.55</v>
      </c>
      <c r="Q2831" s="116">
        <v>656.3</v>
      </c>
      <c r="R2831">
        <v>1595640</v>
      </c>
    </row>
    <row r="2832" spans="1:18" x14ac:dyDescent="0.25">
      <c r="A2832" s="170">
        <v>46177</v>
      </c>
      <c r="B2832">
        <v>663.5</v>
      </c>
      <c r="C2832">
        <v>661.65</v>
      </c>
      <c r="D2832">
        <v>650</v>
      </c>
      <c r="E2832">
        <v>652.25</v>
      </c>
      <c r="F2832">
        <v>661.65</v>
      </c>
      <c r="G2832">
        <v>84591</v>
      </c>
      <c r="H2832" s="116"/>
      <c r="I2832" s="116"/>
      <c r="L2832" s="170">
        <v>46177</v>
      </c>
      <c r="M2832" s="116">
        <v>661.55</v>
      </c>
      <c r="N2832" s="116">
        <v>663.7</v>
      </c>
      <c r="O2832" s="116">
        <v>649.54999999999995</v>
      </c>
      <c r="P2832" s="116">
        <v>652</v>
      </c>
      <c r="Q2832" s="116">
        <v>661.55</v>
      </c>
      <c r="R2832">
        <v>2091666</v>
      </c>
    </row>
    <row r="2833" spans="1:18" x14ac:dyDescent="0.25">
      <c r="A2833" s="170">
        <v>46178</v>
      </c>
      <c r="B2833">
        <v>668.1</v>
      </c>
      <c r="C2833">
        <v>657.4</v>
      </c>
      <c r="D2833">
        <v>652.5</v>
      </c>
      <c r="E2833">
        <v>663.2</v>
      </c>
      <c r="F2833">
        <v>657.4</v>
      </c>
      <c r="G2833">
        <v>39862</v>
      </c>
      <c r="H2833" s="116"/>
      <c r="I2833" s="116"/>
      <c r="L2833" s="170">
        <v>46178</v>
      </c>
      <c r="M2833" s="116">
        <v>657.6</v>
      </c>
      <c r="N2833" s="116">
        <v>668.5</v>
      </c>
      <c r="O2833" s="116">
        <v>652.6</v>
      </c>
      <c r="P2833" s="116">
        <v>664</v>
      </c>
      <c r="Q2833" s="116">
        <v>657.6</v>
      </c>
      <c r="R2833">
        <v>1151265</v>
      </c>
    </row>
    <row r="2834" spans="1:18" x14ac:dyDescent="0.25">
      <c r="A2834" s="170">
        <v>46181</v>
      </c>
      <c r="B2834">
        <v>659.4</v>
      </c>
      <c r="C2834">
        <v>652.45000000000005</v>
      </c>
      <c r="D2834">
        <v>645.85</v>
      </c>
      <c r="E2834">
        <v>650.75</v>
      </c>
      <c r="F2834">
        <v>652.45000000000005</v>
      </c>
      <c r="G2834">
        <v>77157</v>
      </c>
      <c r="H2834" s="116"/>
      <c r="I2834" s="116"/>
      <c r="L2834" s="170">
        <v>46181</v>
      </c>
      <c r="M2834" s="116">
        <v>652.25</v>
      </c>
      <c r="N2834" s="116">
        <v>659.45</v>
      </c>
      <c r="O2834" s="116">
        <v>645.6</v>
      </c>
      <c r="P2834" s="116">
        <v>650</v>
      </c>
      <c r="Q2834" s="116">
        <v>652.25</v>
      </c>
      <c r="R2834">
        <v>2204518</v>
      </c>
    </row>
    <row r="2835" spans="1:18" x14ac:dyDescent="0.25">
      <c r="A2835" s="170">
        <v>46182</v>
      </c>
      <c r="B2835">
        <v>667.85</v>
      </c>
      <c r="C2835">
        <v>666.8</v>
      </c>
      <c r="D2835">
        <v>654.5</v>
      </c>
      <c r="E2835">
        <v>654.5</v>
      </c>
      <c r="F2835">
        <v>666.8</v>
      </c>
      <c r="G2835">
        <v>65100</v>
      </c>
      <c r="H2835" s="116"/>
      <c r="I2835" s="116"/>
      <c r="L2835" s="170">
        <v>46182</v>
      </c>
      <c r="M2835" s="116">
        <v>666.7</v>
      </c>
      <c r="N2835" s="116">
        <v>668</v>
      </c>
      <c r="O2835" s="116">
        <v>656.25</v>
      </c>
      <c r="P2835" s="116">
        <v>657</v>
      </c>
      <c r="Q2835" s="116">
        <v>666.7</v>
      </c>
      <c r="R2835">
        <v>1655964</v>
      </c>
    </row>
    <row r="2836" spans="1:18" x14ac:dyDescent="0.25">
      <c r="A2836" s="170">
        <v>46183</v>
      </c>
      <c r="B2836">
        <v>679</v>
      </c>
      <c r="C2836">
        <v>665.55</v>
      </c>
      <c r="D2836">
        <v>660.65</v>
      </c>
      <c r="E2836">
        <v>660.95</v>
      </c>
      <c r="F2836">
        <v>665.55</v>
      </c>
      <c r="G2836">
        <v>146906</v>
      </c>
      <c r="H2836" s="116"/>
      <c r="I2836" s="116"/>
      <c r="L2836" s="170">
        <v>46183</v>
      </c>
      <c r="M2836" s="116">
        <v>665.85</v>
      </c>
      <c r="N2836" s="116">
        <v>679.75</v>
      </c>
      <c r="O2836" s="116">
        <v>661.65</v>
      </c>
      <c r="P2836" s="116">
        <v>664.1</v>
      </c>
      <c r="Q2836" s="116">
        <v>665.85</v>
      </c>
      <c r="R2836">
        <v>2263436</v>
      </c>
    </row>
    <row r="2837" spans="1:18" x14ac:dyDescent="0.25">
      <c r="A2837" s="170">
        <v>46184</v>
      </c>
      <c r="B2837">
        <v>665</v>
      </c>
      <c r="C2837">
        <v>655.45</v>
      </c>
      <c r="D2837">
        <v>654</v>
      </c>
      <c r="E2837">
        <v>664</v>
      </c>
      <c r="F2837">
        <v>655.45</v>
      </c>
      <c r="G2837">
        <v>100076</v>
      </c>
      <c r="H2837" s="116"/>
      <c r="I2837" s="116"/>
      <c r="L2837" s="170">
        <v>46184</v>
      </c>
      <c r="M2837" s="116">
        <v>655.7</v>
      </c>
      <c r="N2837" s="116">
        <v>665.65</v>
      </c>
      <c r="O2837" s="116">
        <v>654.04999999999995</v>
      </c>
      <c r="P2837" s="116">
        <v>663</v>
      </c>
      <c r="Q2837" s="116">
        <v>655.7</v>
      </c>
      <c r="R2837">
        <v>3037980</v>
      </c>
    </row>
    <row r="2838" spans="1:18" x14ac:dyDescent="0.25">
      <c r="A2838" s="170">
        <v>46185</v>
      </c>
      <c r="B2838">
        <v>681.85</v>
      </c>
      <c r="C2838">
        <v>679.85</v>
      </c>
      <c r="D2838">
        <v>660.1</v>
      </c>
      <c r="E2838">
        <v>662</v>
      </c>
      <c r="F2838">
        <v>679.85</v>
      </c>
      <c r="G2838">
        <v>486904</v>
      </c>
      <c r="H2838" s="116"/>
      <c r="I2838" s="116"/>
      <c r="L2838" s="170">
        <v>46185</v>
      </c>
      <c r="M2838" s="116">
        <v>679.45</v>
      </c>
      <c r="N2838" s="116">
        <v>681.95</v>
      </c>
      <c r="O2838" s="116">
        <v>659.05</v>
      </c>
      <c r="P2838" s="116">
        <v>659.75</v>
      </c>
      <c r="Q2838" s="116">
        <v>679.45</v>
      </c>
      <c r="R2838">
        <v>2799377</v>
      </c>
    </row>
    <row r="2839" spans="1:18" x14ac:dyDescent="0.25">
      <c r="A2839" s="170">
        <v>46188</v>
      </c>
      <c r="B2839">
        <v>698.75</v>
      </c>
      <c r="C2839">
        <v>689.9</v>
      </c>
      <c r="D2839">
        <v>685.5</v>
      </c>
      <c r="E2839">
        <v>686.45</v>
      </c>
      <c r="F2839">
        <v>689.9</v>
      </c>
      <c r="G2839">
        <v>160927</v>
      </c>
      <c r="H2839" s="116"/>
      <c r="I2839" s="116"/>
      <c r="L2839" s="170">
        <v>46188</v>
      </c>
      <c r="M2839" s="116">
        <v>689.85</v>
      </c>
      <c r="N2839" s="116">
        <v>698.9</v>
      </c>
      <c r="O2839" s="116">
        <v>685</v>
      </c>
      <c r="P2839" s="116">
        <v>687</v>
      </c>
      <c r="Q2839" s="116">
        <v>689.85</v>
      </c>
      <c r="R2839">
        <v>2663696</v>
      </c>
    </row>
    <row r="2840" spans="1:18" x14ac:dyDescent="0.25">
      <c r="A2840" s="170">
        <v>46189</v>
      </c>
      <c r="B2840">
        <v>698.5</v>
      </c>
      <c r="C2840">
        <v>694.3</v>
      </c>
      <c r="D2840">
        <v>690.9</v>
      </c>
      <c r="E2840">
        <v>693.95</v>
      </c>
      <c r="F2840">
        <v>694.3</v>
      </c>
      <c r="G2840">
        <v>74774</v>
      </c>
      <c r="H2840" s="116"/>
      <c r="I2840" s="116"/>
      <c r="L2840" s="170">
        <v>46189</v>
      </c>
      <c r="M2840" s="116">
        <v>694.4</v>
      </c>
      <c r="N2840" s="116">
        <v>698.5</v>
      </c>
      <c r="O2840" s="116">
        <v>690.7</v>
      </c>
      <c r="P2840" s="116">
        <v>692.3</v>
      </c>
      <c r="Q2840" s="116">
        <v>694.4</v>
      </c>
      <c r="R2840">
        <v>1198899</v>
      </c>
    </row>
    <row r="2841" spans="1:18" x14ac:dyDescent="0.25">
      <c r="A2841" s="170">
        <v>46190</v>
      </c>
      <c r="B2841">
        <v>701.65</v>
      </c>
      <c r="C2841">
        <v>698.75</v>
      </c>
      <c r="D2841">
        <v>692</v>
      </c>
      <c r="E2841">
        <v>701.65</v>
      </c>
      <c r="F2841">
        <v>698.75</v>
      </c>
      <c r="G2841">
        <v>301991</v>
      </c>
      <c r="H2841" s="116"/>
      <c r="I2841" s="116"/>
      <c r="L2841" s="170">
        <v>46190</v>
      </c>
      <c r="M2841" s="116">
        <v>699.1</v>
      </c>
      <c r="N2841" s="116">
        <v>700.6</v>
      </c>
      <c r="O2841" s="116">
        <v>691.65</v>
      </c>
      <c r="P2841" s="116">
        <v>696.3</v>
      </c>
      <c r="Q2841" s="116">
        <v>699.1</v>
      </c>
      <c r="R2841">
        <v>986679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2026-06-17T16:58:06Z</dcterms:modified>
  <cp:category/>
  <cp:contentStatus/>
</cp:coreProperties>
</file>